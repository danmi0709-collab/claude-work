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우리 기수 전체 일정" sheetId="1" r:id="rId5"/>
    <sheet state="visible" name="이번 달 원씽 실적 체크" sheetId="2" r:id="rId6"/>
    <sheet state="visible" name="Step1-1. 서로를 알아보아요" sheetId="3" r:id="rId7"/>
    <sheet state="visible" name="Step1-2. 질문있어요!" sheetId="4" r:id="rId8"/>
    <sheet state="visible" name="Step2. 우리의 임장 계획" sheetId="5" r:id="rId9"/>
    <sheet state="visible" name="매임예약" sheetId="6" r:id="rId10"/>
    <sheet state="visible" name="Step3-1. 아맞다 전화임장!" sheetId="7" r:id="rId11"/>
    <sheet state="visible" name="Step3-2. 우리들의 단지분석" sheetId="8" r:id="rId12"/>
    <sheet state="visible" name="Step4. 튜터님 마지막 질문입니다!" sheetId="9" r:id="rId13"/>
    <sheet state="visible" name="Step3-2. 매물임장 가보자~" sheetId="10" r:id="rId14"/>
    <sheet state="visible" name="💛분위기임장 팁" sheetId="11" r:id="rId15"/>
    <sheet state="visible" name="💛실전반 수강 전 읽어보면 좋은 글" sheetId="12" r:id="rId16"/>
    <sheet state="visible" name="💛임장루트 꿀팁" sheetId="13" r:id="rId17"/>
    <sheet state="visible" name="💛전화단지매물임장" sheetId="14" r:id="rId18"/>
    <sheet state="visible" name="💛임장보고서 팁" sheetId="15" r:id="rId19"/>
  </sheets>
  <definedNames>
    <definedName hidden="1" localSheetId="6" name="_xlnm._FilterDatabase">'Step3-1. 아맞다 전화임장!'!$A$4:$AH$233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
      <text>
        <t xml:space="preserve">예약 상황에 맞춰서 시간 변경 가능합니다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4">
      <text>
        <t xml:space="preserve">[내생각]
- 위치상으론 힐스보단 e편한이 훨 좋은데, e편한 입주에도 힐스의 호가가 많이 빠지지 않았다. 아직 2년 되기 전이라 매물이 다 나오지 않은 것도 한몫할 것 같고 (비교적 경쟁 덜한), 내놓은 분들 대부분이 급하지 않아서 그런가? (현재 공실이 꽤 많다) 급한 분은 4.9까지 내렸다. 매임 때 [호가가 여전히 높은 이유]와 [힐스 vs e편한 선호 차이] 알아볼 것
[e편한 브리핑]
- 분양권은 아예 1도 모른다하고 부사님 브리핑 받아보기
- 분양가/ 확장비/ 옵션/ 피 등등 계산 방식 이해하기</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7">
      <text>
        <t xml:space="preserve">갱신 제외 최근 실거래 25.08</t>
      </text>
    </comment>
    <comment authorId="0" ref="Q18">
      <text>
        <t xml:space="preserve">26년 2월 실거래</t>
      </text>
    </comment>
    <comment authorId="0" ref="Q109">
      <text>
        <t xml:space="preserve">2026.01 실거래가</t>
      </text>
    </comment>
  </commentList>
</comments>
</file>

<file path=xl/sharedStrings.xml><?xml version="1.0" encoding="utf-8"?>
<sst xmlns="http://schemas.openxmlformats.org/spreadsheetml/2006/main" count="4191" uniqueCount="2085">
  <si>
    <t>✿ 지투실전 28기 15조 with 뽀오뇨 튜터님 ✿</t>
  </si>
  <si>
    <t>첫 "일요일" 날짜</t>
  </si>
  <si>
    <t>실전반 가이드</t>
  </si>
  <si>
    <t>실전반 과제시트</t>
  </si>
  <si>
    <t>요일</t>
  </si>
  <si>
    <t>일 (SUN)</t>
  </si>
  <si>
    <t>월(MON)</t>
  </si>
  <si>
    <t>화(TUE)</t>
  </si>
  <si>
    <t>수(WED)</t>
  </si>
  <si>
    <t>목(THU)</t>
  </si>
  <si>
    <t>금(FRI)</t>
  </si>
  <si>
    <t>토(SAT)</t>
  </si>
  <si>
    <t>날짜</t>
  </si>
  <si>
    <t>주요 일정</t>
  </si>
  <si>
    <t>1강 오프라인 강의</t>
  </si>
  <si>
    <t>지투실전 전체 OT</t>
  </si>
  <si>
    <t>개강 / 1강 온라인 업로드</t>
  </si>
  <si>
    <t>조 OT</t>
  </si>
  <si>
    <t>2강 오프라인 강의</t>
  </si>
  <si>
    <t>튜터님과 1on1 (20min)</t>
  </si>
  <si>
    <t>♥오늘의 주인공♥</t>
  </si>
  <si>
    <t>MZ</t>
  </si>
  <si>
    <t xml:space="preserve">로에 </t>
  </si>
  <si>
    <t>가히</t>
  </si>
  <si>
    <t>전임 당번</t>
  </si>
  <si>
    <t>야자수그늘, 가히</t>
  </si>
  <si>
    <t>MZ, 라니</t>
  </si>
  <si>
    <t>학생,로에</t>
  </si>
  <si>
    <t>전임 단지</t>
  </si>
  <si>
    <t>신흥SKVIEW, 
이스트시티1</t>
  </si>
  <si>
    <t>리더스시티4BL
힐스테이트가양더와이즈</t>
  </si>
  <si>
    <t>리더스시티5BL
은어송하늘채리버뷰</t>
  </si>
  <si>
    <t>1강 후기 마감</t>
  </si>
  <si>
    <t>2강 온라인 업로드</t>
  </si>
  <si>
    <t>사임 마감</t>
  </si>
  <si>
    <t>튜터링데이 오전9시~</t>
  </si>
  <si>
    <t>야자수그늘</t>
  </si>
  <si>
    <t>라니</t>
  </si>
  <si>
    <t>학생</t>
  </si>
  <si>
    <t>굿데이</t>
  </si>
  <si>
    <t>케빈D</t>
  </si>
  <si>
    <t>케빈D, 굿데이3,MZ</t>
  </si>
  <si>
    <t>아르떼,가히,학생</t>
  </si>
  <si>
    <t>로에,야자수그늘,굿데이3</t>
  </si>
  <si>
    <t>라니,MZ</t>
  </si>
  <si>
    <t>굿데이3,학생,아르떼</t>
  </si>
  <si>
    <t>e편한세상대전에코포레
새들뫼휴먼시아1단지
아침LH</t>
  </si>
  <si>
    <t>한밭자이
고운하이플러스
대주파크빌</t>
  </si>
  <si>
    <t>가오주공
은어송1단지풍림아이원
은어송5단지우미린</t>
  </si>
  <si>
    <t>은어송3단지아이파크
남월제이오투그란데</t>
  </si>
  <si>
    <t>삼익세라믹
은어송6단지풍림아이원
남대전이편한세상</t>
  </si>
  <si>
    <t>튜데2일차/ 2강 후기 마감</t>
  </si>
  <si>
    <t>4강 오프라인 강의</t>
  </si>
  <si>
    <t>중임 마감</t>
  </si>
  <si>
    <t>아르떼</t>
  </si>
  <si>
    <t>로에</t>
  </si>
  <si>
    <t>가히,케빈D,로에</t>
  </si>
  <si>
    <t>야자수그늘,아르떼, 라니</t>
  </si>
  <si>
    <t>MZ,로에</t>
  </si>
  <si>
    <t>학생,라니,야자수그늘</t>
  </si>
  <si>
    <t>케빈D,굿데이3</t>
  </si>
  <si>
    <t>석촌주공,
은어송하늘채2단지
주공삼성타운</t>
  </si>
  <si>
    <t>스마트뷰
효촌마을
신흥마을/어진마을</t>
  </si>
  <si>
    <t>이스트2단지
삼정하이츠타운</t>
  </si>
  <si>
    <t>용방마을
용운주공2단지
한화꿈에그린</t>
  </si>
  <si>
    <t>신동아
한숲</t>
  </si>
  <si>
    <t>튜터링데이 후기 마감</t>
  </si>
  <si>
    <t>4강 온라인 업로드</t>
  </si>
  <si>
    <t>5강 오프라인 강의</t>
  </si>
  <si>
    <t>5강 온라인 업로드</t>
  </si>
  <si>
    <t>최임 마감</t>
  </si>
  <si>
    <t>아르떼,가히,케빈D</t>
  </si>
  <si>
    <t>로에,야자수그늘</t>
  </si>
  <si>
    <t>가히, 케빈D</t>
  </si>
  <si>
    <t>인동현대/효동현대
자양동아
청룡</t>
  </si>
  <si>
    <t>삼정그린코아1단지
위드힐</t>
  </si>
  <si>
    <t>삼정그린코아2단지
휴먼시아2단지</t>
  </si>
  <si>
    <t>판암주공1,2차
판암주공5,6차
신동파밀리에1</t>
  </si>
  <si>
    <t>홍도갤러리휴리움
홍도서우</t>
  </si>
  <si>
    <t>4강 후기 마감</t>
  </si>
  <si>
    <t>최종모임 저녁7시~</t>
  </si>
  <si>
    <t>최종 과제 마감</t>
  </si>
  <si>
    <t>종강</t>
  </si>
  <si>
    <t>뽀튜터님(?)</t>
  </si>
  <si>
    <t>★규칙★</t>
  </si>
  <si>
    <t>습관화예시</t>
  </si>
  <si>
    <t>1. 체크시트는 매주 일요일까지 셀프 체크, 습관 팀장님(님) 최종 시트 확인 후 주간 실적 카톡방 공유</t>
  </si>
  <si>
    <t xml:space="preserve">   * 전화임장 주 3회, 회당 부동산 2곳 이상 ([도전]100일 습관만들기 게시판 포스팅)</t>
  </si>
  <si>
    <t>2. 미모하시는 분들은 미모시간에 단톡방에 아침인사 해주세요!</t>
  </si>
  <si>
    <t xml:space="preserve">   * 독서 매일 50p (지금 독서중 글게시) 및 월 3권 독서후기 작성 (독서후기게시판 포스팅)</t>
  </si>
  <si>
    <t>3. 독서하시는 분은 '독서중~♡'게시판에, 필사는 칼럼필사 게시판에, 기타 습관 100일습관만들기 게시판에</t>
  </si>
  <si>
    <t xml:space="preserve">   * 경제기사 및 생각 정리 주 3회 ([습관] 경제뉴스읽기 게시판 포스팅)</t>
  </si>
  <si>
    <t>4. 인증 완료 후 숫자 "1" 기재</t>
  </si>
  <si>
    <t xml:space="preserve">   * 월부칼럼 필사 주 3회([흡수] 책/칼럼 필사 게시판 포스팅)</t>
  </si>
  <si>
    <t>4월 습관화 과제 체크 시트</t>
  </si>
  <si>
    <t>4월 습관화 과제</t>
  </si>
  <si>
    <t>매일시세 30분</t>
  </si>
  <si>
    <t>매일 시세 및 생각 공유</t>
  </si>
  <si>
    <t>시세스캐닝</t>
  </si>
  <si>
    <t>투자칼럼 필사
(이틀에 한 번)</t>
  </si>
  <si>
    <t>시세</t>
  </si>
  <si>
    <t>전화임장</t>
  </si>
  <si>
    <t>시세루틴</t>
  </si>
  <si>
    <t>달성기준(일)</t>
  </si>
  <si>
    <t>달성 횟수 (자동계산됨)</t>
  </si>
  <si>
    <t>목표 달성률 (자동계산됨)</t>
  </si>
  <si>
    <t>주</t>
  </si>
  <si>
    <t xml:space="preserve">날짜 </t>
  </si>
  <si>
    <t>케빈</t>
  </si>
  <si>
    <t>데이</t>
  </si>
  <si>
    <t>그늘</t>
  </si>
  <si>
    <t>W-1</t>
  </si>
  <si>
    <t>월</t>
  </si>
  <si>
    <t>화</t>
  </si>
  <si>
    <t>수</t>
  </si>
  <si>
    <t>목</t>
  </si>
  <si>
    <t>금</t>
  </si>
  <si>
    <t>토</t>
  </si>
  <si>
    <t>일</t>
  </si>
  <si>
    <t>W-2</t>
  </si>
  <si>
    <t>김해</t>
  </si>
  <si>
    <t>W-3</t>
  </si>
  <si>
    <t>창원마산</t>
  </si>
  <si>
    <t>청주 흥덕서원</t>
  </si>
  <si>
    <t>청주 청원</t>
  </si>
  <si>
    <t>부산,대구</t>
  </si>
  <si>
    <t>W-4</t>
  </si>
  <si>
    <t>W-5</t>
  </si>
  <si>
    <t>1주차 합</t>
  </si>
  <si>
    <t>2주차 합</t>
  </si>
  <si>
    <t>3주차 합</t>
  </si>
  <si>
    <t>4주차 합</t>
  </si>
  <si>
    <t>5주차 합</t>
  </si>
  <si>
    <t>서로에 대해 알아보아요!</t>
  </si>
  <si>
    <t>닉네임</t>
  </si>
  <si>
    <t>가히dasikeum</t>
  </si>
  <si>
    <t>굿데이3</t>
  </si>
  <si>
    <t>*개인정보는 종강 이후 삭제합니다</t>
  </si>
  <si>
    <t>연락처</t>
  </si>
  <si>
    <t>010-2411-8866</t>
  </si>
  <si>
    <t>010-3554-3966</t>
  </si>
  <si>
    <t>010-4006-0709</t>
  </si>
  <si>
    <t>010-2736-9430</t>
  </si>
  <si>
    <t>010-9876-8701</t>
  </si>
  <si>
    <t>010-9525-3753</t>
  </si>
  <si>
    <t>010-4214-7789</t>
  </si>
  <si>
    <t>010-7191-9684</t>
  </si>
  <si>
    <t>010-5047-7286</t>
  </si>
  <si>
    <t>역할</t>
  </si>
  <si>
    <t>조장</t>
  </si>
  <si>
    <t>원씽팀장</t>
  </si>
  <si>
    <t>전임팀장</t>
  </si>
  <si>
    <t>부조장님/과제팀장</t>
  </si>
  <si>
    <t>부조장님/임장팀장</t>
  </si>
  <si>
    <t>감일팀장</t>
  </si>
  <si>
    <t>공유팀장</t>
  </si>
  <si>
    <t>사진/인증팀장</t>
  </si>
  <si>
    <t>총무팀장</t>
  </si>
  <si>
    <t>*구까지 기재</t>
  </si>
  <si>
    <t>거주지</t>
  </si>
  <si>
    <t>강남구</t>
  </si>
  <si>
    <t>동작구</t>
  </si>
  <si>
    <t>경남거제시</t>
  </si>
  <si>
    <t>동대문구</t>
  </si>
  <si>
    <t>양천구</t>
  </si>
  <si>
    <t>관악구</t>
  </si>
  <si>
    <t>성북구</t>
  </si>
  <si>
    <t>성동구</t>
  </si>
  <si>
    <t>경기도 시흥시</t>
  </si>
  <si>
    <t>교통편
(이용 기차역)</t>
  </si>
  <si>
    <t>수서역/서울역</t>
  </si>
  <si>
    <t>서울역</t>
  </si>
  <si>
    <t>부산역</t>
  </si>
  <si>
    <t>수서/서울역</t>
  </si>
  <si>
    <t>용산역</t>
  </si>
  <si>
    <t>광명역</t>
  </si>
  <si>
    <t>*근무패턴, 개인상황, 보틀넥, 연락가능시간 등</t>
  </si>
  <si>
    <r>
      <rPr>
        <rFont val="Arial"/>
        <b/>
        <color rgb="FFFFFFFF"/>
        <sz val="11.0"/>
      </rPr>
      <t>특이사항</t>
    </r>
    <r>
      <rPr>
        <rFont val="Arial"/>
        <b/>
        <color rgb="FFFFFFFF"/>
        <sz val="10.0"/>
      </rPr>
      <t xml:space="preserve">
(연령대 . 근무시간 . 연락가능시간 . 기타 개인상황이나 보틀넥)</t>
    </r>
  </si>
  <si>
    <t>제 2026년 4월은 15조의 것입니다 ♡♡♡</t>
  </si>
  <si>
    <t>4월 업무 이슈 (조장님 개인카톡 드릴게용)</t>
  </si>
  <si>
    <t>특이사항없습니다</t>
  </si>
  <si>
    <t>4/12 (일) 가족 일정
4/25 (토) 출근 가능성</t>
  </si>
  <si>
    <t>4/18(토) 가족 결혼식으로 불참 + 4/25일(토) 회사체육대회로 불참</t>
  </si>
  <si>
    <t>4월 4일을 제외한 주말은 스케줄 이상 없습니다.</t>
  </si>
  <si>
    <t>투자가능여부</t>
  </si>
  <si>
    <t>X</t>
  </si>
  <si>
    <t>X (3월 잔금)</t>
  </si>
  <si>
    <t>강의수강현황 (금번 제외)</t>
  </si>
  <si>
    <t>기초강의</t>
  </si>
  <si>
    <t>O</t>
  </si>
  <si>
    <t>실전</t>
  </si>
  <si>
    <t>지투</t>
  </si>
  <si>
    <t>학교</t>
  </si>
  <si>
    <t>실전투자목표</t>
  </si>
  <si>
    <t>1호기 잔금
(4월 12일)</t>
  </si>
  <si>
    <t>지투반 임보 50장 틀 만들기</t>
  </si>
  <si>
    <t>선명한앞마당</t>
  </si>
  <si>
    <t>2호기 방향성 설정</t>
  </si>
  <si>
    <t>3호기 잔금 (4/23)</t>
  </si>
  <si>
    <t>2호기찾기</t>
  </si>
  <si>
    <t>2호기 찾기</t>
  </si>
  <si>
    <t>2호기 지방투자 꼭 해보고 싶습니다</t>
  </si>
  <si>
    <t>1호기 계약
(4월 4일)</t>
  </si>
  <si>
    <t>*꼭 이루고 싶은 딱 한가지만 적어주세요</t>
  </si>
  <si>
    <t>목표</t>
  </si>
  <si>
    <t>실전반 원씽</t>
  </si>
  <si>
    <t>15조 다함께 실전 스케줄 완주하기</t>
  </si>
  <si>
    <t>1호기 매도 
플랜 세우기</t>
  </si>
  <si>
    <t>끈끈한 투자메이트 만들기</t>
  </si>
  <si>
    <t>뾰족한 앞마당 만들기</t>
  </si>
  <si>
    <t>선명한 앞마당</t>
  </si>
  <si>
    <t>대전 동구 앞마당 만들기</t>
  </si>
  <si>
    <t>선명한 앞마당 만들기</t>
  </si>
  <si>
    <t>*많다고 좋은건 아닙니다</t>
  </si>
  <si>
    <t>루틴
(정량화)</t>
  </si>
  <si>
    <t>매일 시세 (닷컴 인증) +전수조사 템플릿 완성</t>
  </si>
  <si>
    <t>중소도시 앞마당 챙기기 (너무 내버려뒀어요)</t>
  </si>
  <si>
    <t>시세트레킹</t>
  </si>
  <si>
    <t>매일 시세</t>
  </si>
  <si>
    <t>임보 매일 1장</t>
  </si>
  <si>
    <t>출퇴근길 50p 이상 독서 루틴</t>
  </si>
  <si>
    <t>임보
(페이지)</t>
  </si>
  <si>
    <t>핵심만 추린
30</t>
  </si>
  <si>
    <t>*10시간 이상 2회</t>
  </si>
  <si>
    <t>임장
(회수)</t>
  </si>
  <si>
    <t>전화임장
(회수)</t>
  </si>
  <si>
    <t>1일1전임</t>
  </si>
  <si>
    <t>매물
(개수)</t>
  </si>
  <si>
    <t>부동산
(개수)</t>
  </si>
  <si>
    <t>나눔글
(개수)</t>
  </si>
  <si>
    <t>*앞마당 확인
*임장보고서 완성 
기준으로 기재</t>
  </si>
  <si>
    <t>수도권</t>
  </si>
  <si>
    <t>[서울] 성동,
구로 (반의반의 반의반마당)
[수도권] 수원 권선</t>
  </si>
  <si>
    <t>서울 : 구로,송파,동대문,성북
경기 : 고양시 덕양구, 부천 (평촌,광명)
인천 : 부평구</t>
  </si>
  <si>
    <t xml:space="preserve">강서구 성동구 수지구 동안구 </t>
  </si>
  <si>
    <t>서울 관악구, 도봉구
성남 수정구, 중원구, 안양 동안구, 구리, 군포, 수원 영통구, 남양주</t>
  </si>
  <si>
    <t xml:space="preserve">[서울]  강남구, 서초구, 양천구, 동작구, 영등포구, 강서구, 동대문구, 서대문구, 성북구, 관악구, 은평구, 구로구
[경기도] 용인시 수지구, 안양 동안구, 일산 서구, 동구 , 구리시, 수원 영통구, 군포시 </t>
  </si>
  <si>
    <t>[서울] 서대문구, 강동구, 동작구
[경기도] 수지구, 권선구</t>
  </si>
  <si>
    <t>구리, 성북구</t>
  </si>
  <si>
    <t>구리시, 군포시, 덕양구, 수지구, 강동구, 노원구, 동대문구, 서대문구, 성동구, 성북구, 영등포구, 구성남, 부평구</t>
  </si>
  <si>
    <t>서대문구/ 부천원미구/ 군포</t>
  </si>
  <si>
    <t>지방</t>
  </si>
  <si>
    <t>부산
(동래, 연제, 진)
울산 (남)
창원 (성산, 의창, 마산회원, 합포),
김해</t>
  </si>
  <si>
    <t>대구 :수중북동
부산 :연제동래
광주 :남
대전: 중
울산: 남중북
중소도시: 청주,창원마산,김해,천안서북</t>
  </si>
  <si>
    <t>부산남구  수영구 천안동남구, 창원 성산구 의창구</t>
  </si>
  <si>
    <t>부산 연제구 / 대구 중구, 북구, 동구, 남구 / 광주 남구 / 울산 남구, 중구, 북구, 동구
천안 서북구, 동남구 / 전주 덕진구 / 포항 남구</t>
  </si>
  <si>
    <t xml:space="preserve">[광역시] 부산 해운대구, 동래구, 진구 / 대구 수성구, 중구 / 대전 서구, 유성구 / 울산 남구, 중구, 북구, 동구 / 광주 북구 
[중소도시]  창원 성산구, 의창구,마산회원구,합포구 / 천안시 서북구/ 청주시 흥덕구, 서원구, 청원구, 상당구 / 김해시 / 구미시 </t>
  </si>
  <si>
    <t>부산 동래구/연제구/진구
울산 남구/중구/동구/북구
광주 남구
[중소] 성산구 / 의창구/ 마산회원 / 합포구
흥덕구</t>
  </si>
  <si>
    <t>부산 해운대구, 진구, 연제구,   울산 남구, 중구, 북구, 동구</t>
  </si>
  <si>
    <t>광주 서구, 대구 북구, 울산 남구, 울산 북구, 전주 완산구</t>
  </si>
  <si>
    <t>울산 북구/동구/ 창원 성산구/마산합포/마산회원/ 천안 서북구</t>
  </si>
  <si>
    <t>튜터와 소통하여 조의 전체사항 조율/진행
 공지사항 및 스케쥴 안내, 과제취합 및 운영 전반</t>
  </si>
  <si>
    <t>부조장 (임장)</t>
  </si>
  <si>
    <t>임장 스케줄/루트 취합, 최종루트 배포,
 임장 리딩, 매임 조 편성</t>
  </si>
  <si>
    <t>부조장 (과제)</t>
  </si>
  <si>
    <t>과제 및 과제수행 독려, 주요 데드라인 체크
 (매주 월요일 일정 체크하여 안내)</t>
  </si>
  <si>
    <t>원씽 팀장</t>
  </si>
  <si>
    <t>매일 원씽 독려하며 조원들 원씽 챙기기 (오전 6-8시)</t>
  </si>
  <si>
    <t>감일 팀장</t>
  </si>
  <si>
    <t>감사일기 매일(주중 오전) 취합</t>
  </si>
  <si>
    <t>사진 팀장</t>
  </si>
  <si>
    <t>온오프라인 모임 시 인증 사진 &amp; 제목,
 주중 올뺌 관리,</t>
  </si>
  <si>
    <t>전임 팀장</t>
  </si>
  <si>
    <t>전화임장 리딩(전임 두려운 분 적극 권장),
 매일 전임 담당 안내 및 독려</t>
  </si>
  <si>
    <t>공유 팀장</t>
  </si>
  <si>
    <t>부동산 기사/임장지 지역 정보 등 기사 공유, 조원 나눔글/수강후기/발도장 공유(수시)</t>
  </si>
  <si>
    <t>총무 팀장</t>
  </si>
  <si>
    <t>임장 및 튜터링데이 스카, 식당, 숙박,
 각종 모임장소 예약 및 총무역할</t>
  </si>
  <si>
    <t>질문으로 성장한다</t>
  </si>
  <si>
    <r>
      <rPr>
        <rFont val="Arial"/>
        <b/>
        <color rgb="FFFFFFFF"/>
        <sz val="10.0"/>
      </rPr>
      <t xml:space="preserve">*질문을 위한 질문은 No!
*질문은 읽는 사람을 배려하여 </t>
    </r>
    <r>
      <rPr>
        <rFont val="Arial"/>
        <b/>
        <color rgb="FFFFFF00"/>
        <sz val="10.0"/>
      </rPr>
      <t>핵심을 간결</t>
    </r>
    <r>
      <rPr>
        <rFont val="Arial"/>
        <b/>
        <color rgb="FFFFFFFF"/>
        <sz val="10.0"/>
      </rPr>
      <t>하게!</t>
    </r>
  </si>
  <si>
    <t>순번</t>
  </si>
  <si>
    <t>질문자</t>
  </si>
  <si>
    <t>질문</t>
  </si>
  <si>
    <t>질문에 대한 내 생각</t>
  </si>
  <si>
    <t>질문에 대한 조원들 생각</t>
  </si>
  <si>
    <t>튜터님 말씀</t>
  </si>
  <si>
    <t>대전 동구 분임과 단임을 하면서 기존에 앞마당이었던 대구 북구의 느낌이 들었습니다. 대전 안에서도 중심이 아니기에, 위치 역시 중심일수록 좋고, 학군보다는 연식과 그 주변 환경이 중요하다는 것을 알았습니다. 예전에 대구 북구 임장시 택시에서 들었던 임장지에 대한 기사님의 평가와 대구 북구와 대전 동구와 굉장히 비슷하다고 느꼈습니다. 궁금한 것은 만약 대구 북구안에서의 중심부의 단지와 대전 동구 안에서의 중심부의 한 단지를 비교할 때 같은 연식과 같은 평형이라 가정했을 때, 우선순위 혹은 선호도를 가르기 위해서는 매임을 양쪽으로 넘나들어야 되는 것이겠죠? 혹시 다른 방법이 있다면 어떤 것이 있을까요? 다른 지역에 있는 단지들끼리 아무리 중요한 핵심 포인트가 같다 하더라도, 대구 북구 사람들과 대전 동구 사람들이 다른데, 이 단지가 더 낫겠다의 생각은 어떻게 하는 걸까요?!</t>
  </si>
  <si>
    <t>우선 대구 북구와 대전 동구의 단지 비교 단지의 전세가를 확인해보고, 선호도를 나눌 수 있겠다는 생각과 각 물건마다의 상황 파악을 위한 전임을 통해 내가 감당 가능한 물건인지 확인! 그리고 하루는 대구 북구 가서 매물털고, 하루는 대전 동구가서 매물 털기!</t>
  </si>
  <si>
    <r>
      <rPr>
        <rFont val="Arial"/>
        <b/>
        <color rgb="FF0000FF"/>
        <sz val="11.0"/>
      </rPr>
      <t>케빈</t>
    </r>
    <r>
      <rPr>
        <rFont val="Arial"/>
        <b/>
        <color theme="1"/>
        <sz val="11.0"/>
      </rPr>
      <t xml:space="preserve"> － 지방 다른 도시끼리 비교할 때는 흔히 도생단(도시, 생활권, 단지)으로 비교를 많이 하는 편입니다.
도시로 비교했을 때는 대구(235만) &gt;대전(144만) / 생활권은 북구 침산은 대구 내에서 어느 정도 위상을 가진 생활권일까, 동구 신흥은 대전 내에서 어느 정도 위상을 가진 생활권일까 / 단지는 그 생활권에서 선호도가 어느 정도 되는 단지일까를 서로 정리한 후 비교를 해보는 편입니다.
ex) 대전 동구 신흥sk뷰는 대전 내 중하위생활권의 최선호단지 vs 대구 북구 오페라삼정그린코아는 대구 중위 생활권의 최선호단지  =&gt;&gt; 오페라삼정그린코아가 좀 더 가치가 높다
이런식으로 판단 후 그래프를 붙여보는 편입니다 학생님 좋은 질문 감사합니다 ~~! 
</t>
    </r>
    <r>
      <rPr>
        <rFont val="Arial"/>
        <b/>
        <color rgb="FF0000FF"/>
        <sz val="11.0"/>
      </rPr>
      <t xml:space="preserve">가히 </t>
    </r>
    <r>
      <rPr>
        <rFont val="Arial"/>
        <b/>
        <color theme="1"/>
        <sz val="11.0"/>
      </rPr>
      <t xml:space="preserve">- 저도 케빈님 방식대로 봅니다! 지역간 비교를 많이 해본 적은 없지만, 1) 인구수를 기준으로 한 도시 체급 비교, 2) 생활권 순위 (상중하 정도), 3) 생활권 내 선호도 순위 (상중하 정도), 4) 기타 입지요소 비교 ... 그 다음에 아실 그래프로 확인!
그래프마저 비슷하다면 거래량도 같이 볼 것 같고.. (지방이니까) 그래도 정말 비슷하다? 하면 진짜 매임 통해서 매물 vs 매물로 가격 협상, 조건 더 좋은 것으로 투자 고려할 것 같습니다 :)
</t>
    </r>
    <r>
      <rPr>
        <rFont val="Arial"/>
        <b/>
        <color rgb="FF0000FF"/>
        <sz val="11.0"/>
      </rPr>
      <t xml:space="preserve">
</t>
    </r>
    <r>
      <rPr>
        <rFont val="Arial"/>
        <b/>
        <color rgb="FF9900FF"/>
        <sz val="11.0"/>
      </rPr>
      <t xml:space="preserve">MZ </t>
    </r>
    <r>
      <rPr>
        <rFont val="Arial"/>
        <b/>
        <color theme="1"/>
        <sz val="11.0"/>
      </rPr>
      <t xml:space="preserve">－ 체급이 다른 지역을 비교하는 것은 정말 어려운 일이라고 생각해요! 대구 북구의 위상을 대구 안에서 전체적으로 보고 그 후에 단지는 그 지역내 상, 중상, 중중, 중하, 하 중에 어디에 속하는지 선호도를 볼 것 같고요, 그 다음에 대전동구의 하나의 단지는 대전 동구에서의 전체에서 어떤 생활권 위상을 가지고 선호도는 얼마나 되는지 볼 것 같습니다. (케부님의 도,생,단 전법이라고 볼 수 있겠어요) 대전 북구와 대전 동구 두 개의 앞마당만으로는 비교하기가 쉽지 않을 것 같습니다. 대전과 대구에서 최소의 두 개의 구씩 더 돌아보고 판단해볼 것 같습니다. </t>
    </r>
  </si>
  <si>
    <t>지방에서 다른지역간의 비교를 질문주셨네요
우선 대구 북구와 대전 동구의 단지 비교 단지의 전세가를 확인해보고, 선호도를 나눌 수 있겠다는 생각과 각 물건마다의 상황 파악을 위한 전임을 통해 내가 감당 가능한 물건인지 확인! 그리고 하루는 대구 북구 가서 매물털고, 하루는 대전 동구가서 매물 털기!
라고 생각남겨주셨는데 일다 지방에서 지역간 비교하는것 자체가 어려워요 . 그걸 인정하고 시작하셔야합니다
지방은 각각의 사이클이 다르고, 인구 체급이 달라서 그래요
그래서 체급을 먼저 비교하면 대구 &gt; 대전 이죠 (체급 (=인구 수!)
각 말씀주신 단지의 가치가 지역내에서 구내에서 생활권내에서의 가치를 잘 알고있어야해요
사실 엄청어렵잖아요
일단 질문에는 단지의 가치나 특정 투자금도 없어서 제가 방법적으로 먼저 설명드리면
투자후보 단지라면 물건을 매물털러 지역2개다 가지말고 가성비로 전화임장으로 매물털기를 추천드립니다
전화임장으로 모든물건지, 부동산 다 전화드려서 같은물건에대한 정보를 다 쌓으세요. 그러고 상황과 상태, 일잘러 부사님 몇분 핀을 꽂아두고
정말 좋은 물건이 나오면 그때 매물보러 가시고, 간김에 털고오는걸 추천드려요</t>
  </si>
  <si>
    <t>이편한세상대전에코포레 뒤편에 스타벅스가 위치되어 있던데, 심지어 외곽이었지만 DT가 아니었습니다. 현재 대전 동구의 DT가 아닌 스벅은 대전터미널점, 가오동 생활권, 그리고 에코포레 단지 뒤편 뿐입니다. 그렇다면 스타벅스에서 에코포레가 입지적으로 대전동구에서 괜찮다고 생각했기에 여기다 지은게 아닐까 하는 생각이 들었습니다. 이런 생각과 동시에 에코포레 단임시 정말 신혼부부 수요가 엄청나다는 것을 알수 있었습니다. 그렇다면! 생각보다 에코포레가 굉장히 괜찮은 단지가 아닐까 하는 생각이 들었습니다 제 생각이 맞을까요?</t>
  </si>
  <si>
    <t>대전 동구의 킥은 위치, 연식, 환경으로 대전 에코포레는 대전 동구에서 연식만으로 승부를 건다고 생각했으나, 스벅에서 이 땅을 선택했다면 위치역시 애매하지 않다는 것일까? 생각이 들었습니다.</t>
  </si>
  <si>
    <r>
      <rPr>
        <rFont val="Arial"/>
        <b/>
        <color rgb="FF0000FF"/>
        <sz val="11.0"/>
      </rPr>
      <t>케빈</t>
    </r>
    <r>
      <rPr>
        <rFont val="Arial"/>
        <b/>
        <color theme="1"/>
        <sz val="11.0"/>
      </rPr>
      <t xml:space="preserve"> - e편한 단지 저도 너무 좋았습니다 ㅎㅎ 스타벅스가 들어오는 것도 학생님 생각에 어느 정도 동의합니다 ㅎㅎ 다만 스타벅스는 우리가 입지 가치를 따지는 데에 우선적으로 검토하진 않는 것으로 알고 있어요 :) 그리고 그쪽 스타벅스는 DT이름은 없지만 DT느낌 같아요.. 따라서 스타벅스는 우선 머리속에 지워두고 학생님이 말씀하신 킥(선호요소)을 중점으로 단지 가치를 먼저 따져볼 것 같습니다 ㅎㅎ
</t>
    </r>
    <r>
      <rPr>
        <rFont val="Arial"/>
        <b/>
        <color rgb="FF0000FF"/>
        <sz val="11.0"/>
      </rPr>
      <t>가히</t>
    </r>
    <r>
      <rPr>
        <rFont val="Arial"/>
        <b/>
        <color theme="1"/>
        <sz val="11.0"/>
      </rPr>
      <t xml:space="preserve"> - 저도 에코포레 되게 좋게 봤습니다!! 신혼부부/영유아 자녀 부모들이 가성비 있게 거주할 수 있는 [외곽 신축 대단지]로 봤어요. 연식 괜찮고 브랜드까지 좋아서 젊은 분들 선호도도 높을 것이라 생각했는데, 학생님 말씀처럼 실제로 단임할 때 사람들 엄청 많아서 더 좋아보였습니다! 학생님의 결론은 동의하지만, 결론으로 향하는 과정에서 스벅의 의사결정(?)을 그렇게까지 높이 평가할 것 같진 않아요! ㅋㅋ (그리고 오늘 학생님이 전임으로 확인도 해주셨고!~ㅎㅎ) 다만 스벅과 별개로 용운동의 위치가 (예를 들어 가오동보다) 좋냐 나쁘냐는 좀 더 살펴봐야할 것 같습니다! (대전 중심 서구 혹은 대전역과의 거리 등)
</t>
    </r>
    <r>
      <rPr>
        <rFont val="Arial"/>
        <b/>
        <color rgb="FF9900FF"/>
        <sz val="11.0"/>
      </rPr>
      <t>MZ</t>
    </r>
    <r>
      <rPr>
        <rFont val="Arial"/>
        <b/>
        <color theme="1"/>
        <sz val="11.0"/>
      </rPr>
      <t xml:space="preserve"> - 저도 입지를 판단할 때에 스벅을 참고하는 것을 참 좋아합니다. 그런데 에코포레 뒷편의 스벅의 경우 저희가 실제 스타벅스를 가보지 않았고, (막상 가봤는데 엄청 작은 스벅일 수도 있고요)  주변에 아무것도 없다고 한다면 저는 주변 호재가 있는지 한 번 살펴볼 것 같습니다. 전임해주신 대로 의료원이 들어오기로 했다고 하여 DT점이 아닌 스벅이 있다는 게 이해가 되었는데 의료원이 만약 못들어온다고 하면 조금 아쉬운 입지의 스벅이 될 것 같습니다. 그런데 지방에서는 신축이 곧 입지다!! 라는 말을 어느정도 믿고 있기 때문에 에코포레의 위상과 어느정도 대단지인지를 살펴볼 것 같은데 그 자체만으로 입지를 만드는 건 4000세대 정도 되었을 때의 이야기라고 생각했습니다. 에코포레의 경우 2267세대로, 이 단지 하나만으로 스벅이 들어오기는 조금 아쉽다고 생각했었습니다. 그럼에도 나홀로 언덕 대단지에 속하기 때문에 투자하기에는 괜찮은 단지라고 생각했습니다. </t>
    </r>
  </si>
  <si>
    <t>아무래도 스타벅스때문에 혼란이 오신거같아요
저도 공감하는데요
스타벅스랑 맥도날드는 부동산사업하는곳이라던데 ㅎㅎ 아니면 초록마을이 있으면 학군지고 아이들이많다! 등등의 생각들이 저도 있었어요
일단 크게 대전동구에서의 입지가 무엇이 있는지 생각해보면 좋겠어요
대전동구 사임도 이제 다 제출하셨으니, 입지요소는 다들 파악하셨죠
어떤 입지가 가격을 경정하나요? 
여러분들이 말하시는 연식이 환경이에요. 환경이 택지, 상권,연식이 들어갑니다
대전동구에 학군이 있나요?직장이 있나요?
지방에서 교통의 의미도 크지는 않아요. 그럼 남는건 환경이죠(=연식)
환경 : 택지 (쾌적성+안전성), 상권 (편의성), 연식 (쾌적성+하차감♡)
스타벅스는 없구요! 이제 연식이 좋은 이편한이 어느정도 선호도를 갖고있는지 파악해보면 되겠네요</t>
  </si>
  <si>
    <t>동구 내에서 E편한에코포레와 은어송하늘채리버뷰에 대한 가치 비교가 헷갈립니다 !</t>
  </si>
  <si>
    <t>생활권은 하늘채가 확실히 낫지만, 가오동은 동구 내에서도 외곽이라는 인식이 강한 듯 해요 (택시기사님, 부사님, 실거주민 등)
환금성을 고려하면 투자하기엔 그래도 중심쪽이고 단지가 좋은 E편한이 비슷하거나 아주 조금 더 나은 것 같은데요. 튜터님의 생각은 어떠실지요 :)</t>
  </si>
  <si>
    <r>
      <rPr>
        <rFont val="Arial"/>
        <b/>
        <color rgb="FF0000FF"/>
        <sz val="11.0"/>
      </rPr>
      <t xml:space="preserve">가히 </t>
    </r>
    <r>
      <rPr>
        <rFont val="Arial"/>
        <b/>
        <color theme="1"/>
        <sz val="11.0"/>
      </rPr>
      <t xml:space="preserve">- 케부님 의견처럼 대전 거주민들이 가오동을 완전 외곽으로 보는 것 같다고 느꼈지만, 그래도 연식이 4년 더좋고 (내가 매도할 때도 연식이 꽤 괜찮을) 리버뷰 주변 균질성이 더 좋아서 저는 리버뷰의 손을 들어주고 싶습니다 ㅎㅎ.
</t>
    </r>
    <r>
      <rPr>
        <rFont val="Arial"/>
        <b/>
        <color rgb="FF0000FF"/>
        <sz val="11.0"/>
      </rPr>
      <t>로에</t>
    </r>
    <r>
      <rPr>
        <rFont val="Arial"/>
        <b/>
        <color theme="1"/>
        <sz val="11.0"/>
      </rPr>
      <t xml:space="preserve"> - 연식은 리버뷰가 더 좋지만, 눈으로 보았을 때 연식 차이가 크게 느껴지진 않았던 것 같아요. 그리고 e편한이 2000세대가 넘는 대단지로 상품성이 좋고, 브랜드 아파트라 사람들의 선호도로 조금 더 가져가지 않을까 싶습니다ㅎㅎ 위치의 장점이 둘 다 없다면 거주만족도가 어디가 더 좋을까? 생각해봤을 때 단지 분위기, 시설 등이 더 좋았던 e편한이 조오금 더 가치가 있을 것 같습니다.
</t>
    </r>
    <r>
      <rPr>
        <rFont val="Arial"/>
        <b/>
        <color rgb="FF9900FF"/>
        <sz val="11.0"/>
      </rPr>
      <t>MZ</t>
    </r>
    <r>
      <rPr>
        <rFont val="Arial"/>
        <b/>
        <color theme="1"/>
        <sz val="11.0"/>
      </rPr>
      <t xml:space="preserve"> - 지방에서는 연식이 곧 입지다!! 그리고 둘 다 입지가 조금 애매한 곳이기 때문에 연식으로 따지면 에코포레'20/2267^, 하늘채리버뷰'24/937^ 로, 둘 다 충분히 투자가치가 높은 곳이지만 하늘채리버뷰를 좀 더 앞단으로 생각할 것 같습니다. </t>
    </r>
  </si>
  <si>
    <t>대전동구의 입지요소로는 환경은 연식이죠 ㅎㅎ 
두 단지의 연식이 모두 좋아요 
그럼 여기서부터는 그럼 연식외에 다른 선호요인이 무엇을 갖고있는지 레이어를 쌓아보면 좋아요
일단 아직 여러분이 단지분석과 매물임장전이라 단지의 장단점을 자세히 파악하지 못하셨을거에요
그러니 전임, 매임하시면서 요부분 집중해서 파악해보시면 좋을거같구요
저는 생활권에 사는 사람을 볼거같아요 
이편한은 신혼부부, 가오동은 가족이 주로 거주하고있죠
이부분은 현장에서 임장하면서 생활권에 사는 사람들, 그 분위기를 보고 오셔야합니다
더 자세한건 저랑 튜터링데이에 임장하면서 어떻게 봐야하는지 알려드릴게요
위치는 은어송생활권 반경에있고 연식도 4년더 신축인 하늘채를 우선으로 볼거같으나
제가드리는 말씀에는 가격이 다 빠져있어요
이렇게 생각하고 말씀드리지만, 나의 상황과 투자금에는 그 순위가 바뀔수있다는점도 같이 말씀드리고싶어요
또 투자로 봤을때 가치가 더 좋은걸 우선으로 보되, 질문에 나온거처럼 외곽이니까 대전역 인근에 같은투자금으로 할수있는 더좋은게 있는지 살펴봐야합니다</t>
  </si>
  <si>
    <t>대전역이 가지는 의미 (지하철역, ktx)</t>
  </si>
  <si>
    <t xml:space="preserve">지방에서는 자차를 많이 이용 하니 지하철역이 크게 의미 있지 않고, 또 대전이 부산만큼 지하철이 활성화 되어 있지도 않다 보니 크게 의미 있다고 생각하지 않았었고, ktx 의 경우에도 지방의 경우 원도심에 많이 있다 보니 크게 의미있지 않을 거라고 생각했는데, 대전역과 가까운 단지들에서 서울과의 출퇴근, 대전역을 많이 언급하는 걸 보니 대전역은 좀 의미가 다른 거 같다고 생각했습니다. </t>
  </si>
  <si>
    <r>
      <rPr>
        <rFont val="Arial"/>
        <b/>
        <color rgb="FF0000FF"/>
        <sz val="11.0"/>
      </rPr>
      <t>케빈</t>
    </r>
    <r>
      <rPr>
        <rFont val="Arial"/>
        <b/>
        <color theme="1"/>
        <sz val="11.0"/>
      </rPr>
      <t xml:space="preserve">- 지하철역을 기준으로 하면 도시교통량이 중요한 것 같아요 ㅎㅎ 대구도 교통체증이 심한 곳은 지하철이 의미가 있듯이 대전도 서구 주요 지역에서 교통체증이 심한 편이라면 중심부 노선 정도는 의미가 있겠지만 
저희가 가는 동구에는 택시기사님 모두가 대전은 차 안밀려요 ~ 라는 것을 말씀하신 것을 보아 유의미하지 않다고 생각합니다 :)
대전역은 시외로 이동하는 수요가 있기 떄문에 엠지님이 말씀하셨던 것처럼 어느 정도는 의미가 있을 것이라 생각합니다 (남편 동탄 출근, 아내 구미 출근 등) 
이는 동구 신흥생활권 내에서 역과의 거리에 대한 매매가 및 전세가 비교로 알 수 있을 듯 합니다 :)
그리고 임보써보니 코레일 본사 직원수가 굉장히 많으네요 ㅎㅎ
</t>
    </r>
    <r>
      <rPr>
        <rFont val="Arial"/>
        <b/>
        <color rgb="FF0000FF"/>
        <sz val="11.0"/>
      </rPr>
      <t xml:space="preserve">가히 </t>
    </r>
    <r>
      <rPr>
        <rFont val="Arial"/>
        <b/>
        <color theme="1"/>
        <sz val="11.0"/>
      </rPr>
      <t xml:space="preserve">- 과거 대장이었던 이스트시티를 왜 좋아하냐는 질문에 부사님이 1초의 망설임도 없이 "대전역 가까워서"라고 했던 걸 보면 대전역이 그래도 꽤 유의미하다고 생각했습니다! ㅎㅎ
다만 대전역의 교통 가치가 뛰어나서라기보다 코레일 본사가 거기 있다보니 직주근접의 가치도 있지 않을까~ 생각했어요.
신인동 단지들을 조금 파보면 더 자세히 알 수 있을 것 같고.. 특히 [어진마을 vs 신흥마을]은  왜 3-4천씩 차이가 나는지 궁금했습니다 :) 
정리하자면, 대전역이 서구/유성구를 뛰어넘을 (혹은 견줄만한) 가치를 지녔다고 보긴 어렵지만 동구 내에서 대전역 접근성은 유의미하다 정도로 봤습니다 :) 
그늘 : 저도 이부분이 계속 고민됩니다. 내가 코레일 본사직원이면 동구 살까? 출퇴근이 힘든 서울도 아닌데 직주근접을 이유로 환경을 버리는 게 지방에서 제대로 보는 게 맞나 계속 의심되는데 이스트 사장님은 거기가 철도아파트랍니다. 어떻게봐야할지 저도 궁금합니다.  코레일 직원도 가족단위라면 서구/유성구 살면서 교통도 편한데 자차출퇴근 할 것 같고, 아니면 서울 살면서 공짜기차 이용하거나, 솔로나 자녀 없는 부부는 동구 거주가능하지 않나 생각해봤습니다. </t>
    </r>
  </si>
  <si>
    <t>제가 튜터링데이에서도 대전에대해 말씀드릴텐데
지방에서는 타지인이 이해할수없는 부분들이있어요 ㅎㅎ 
일단 대전역이 가깝다는건 교통+직장의 의미입니다 
실제로 직장이 서울과 지방인분은
신혼집을 대전역 인근에 구할수도있어요
그 대전역이라는 수요가 직장이 될수도있는데, 그게 꼭 대전에 있을필요는 없다는걸 말씀드리고 싶은겁니다
대전역으로 출퇴근하거나 꼭 주변에 살아야하는 수요가 있어요
요부분은 한번 여러분이 단지분석혹은 매물임장하면서 어디까지가
그들의 마지노선인지 파악해보면 좋겠습니다
이런거야말로 진짜 임장을 통해서 알수있어요
사실 다들 아실거같지만, 전임과 매임을 통해 파악합니다 
여기 사는분들 회사출퇴근 어디로 주로하시는지 여쭤보거나 
직접가서 어떤직업 갖고게신지, 이사 왜가시는지 어디로가시는지
이 단지에 사람들이 사는이유를 직간접적으로 물어봅니다</t>
  </si>
  <si>
    <t>가오동에서 투자범위를 어디까지 볼 것인가?</t>
  </si>
  <si>
    <t>하늘채리버뷰까지!
코오롱하늘채2차는 16년으로 이미 10년.. 어쩔 수 없이 연식 아쉬운 단지를 해야한다면 동구보다는 수요층이 더 탄탄할 (거라고 예상되는) 서구/유성구를 우선할 듯</t>
  </si>
  <si>
    <r>
      <rPr>
        <rFont val="Arial"/>
        <b/>
        <color rgb="FF0000FF"/>
        <sz val="11.0"/>
      </rPr>
      <t xml:space="preserve">MZ </t>
    </r>
    <r>
      <rPr>
        <rFont val="Arial"/>
        <b/>
        <color theme="1"/>
        <sz val="11.0"/>
      </rPr>
      <t xml:space="preserve">: 하늘채리버뷰까지만 볼듯.
하늘채2차부터 16년식이지만 조금 애매.
</t>
    </r>
    <r>
      <rPr>
        <rFont val="Arial"/>
        <b/>
        <color rgb="FF0000FF"/>
        <sz val="11.0"/>
      </rPr>
      <t>로에</t>
    </r>
    <r>
      <rPr>
        <rFont val="Arial"/>
        <b/>
        <color theme="1"/>
        <sz val="11.0"/>
      </rPr>
      <t xml:space="preserve">  : 하늘채리버뷰까지만 볼 듯.
코오롱이 여기중에서는 연식이 괜찮은 편이지만 동구 전체로는 연식이 이미 상품성이 떨어지기 시작.
</t>
    </r>
    <r>
      <rPr>
        <rFont val="Arial"/>
        <b/>
        <color rgb="FF0000FF"/>
        <sz val="11.0"/>
      </rPr>
      <t>케빈</t>
    </r>
    <r>
      <rPr>
        <rFont val="Arial"/>
        <b/>
        <color theme="1"/>
        <sz val="11.0"/>
      </rPr>
      <t xml:space="preserve"> : 저는 신흥 생활권까지만 볼 듯 합니다 :) 리버뷰도 투자못할 건 아니지만 너무 하급지의 중간생활권이라 좀 더 좋은 선택지가 있지 않을까 생각합니다. 차라리 대전 내 중급지 중위생활권이 좀 더 수요가 많다고 생각합니다
라니: 저는 중구에 조금더 연식이 떨어지더라도 중심부에 있는 단지를 할거 같습니다. 그래프가 누워있는것을 보고(?) 식겁했습니다 ㅎㅎ 이부분은 튜데때 만나서 이야기 해봐도 좋을것같습니다!</t>
    </r>
  </si>
  <si>
    <r>
      <rPr>
        <rFont val="Arial"/>
        <b/>
        <color theme="1"/>
        <sz val="11.0"/>
      </rPr>
      <t xml:space="preserve">투자마지노선에 대한 질문들이 몇개더 있었는데요. 일단 </t>
    </r>
    <r>
      <rPr>
        <rFont val="Arial"/>
        <b/>
        <color rgb="FFFF0000"/>
        <sz val="11.0"/>
      </rPr>
      <t>투자하지못할 단지는 없습니다</t>
    </r>
    <r>
      <rPr>
        <rFont val="Arial"/>
        <b/>
        <color theme="1"/>
        <sz val="11.0"/>
      </rPr>
      <t xml:space="preserve">. 우리는 </t>
    </r>
    <r>
      <rPr>
        <rFont val="Arial"/>
        <b/>
        <color rgb="FFFF0000"/>
        <sz val="11.0"/>
      </rPr>
      <t>선호도와 투자금에따라 우선순위를 정할뿐</t>
    </r>
    <r>
      <rPr>
        <rFont val="Arial"/>
        <b/>
        <color theme="1"/>
        <sz val="11.0"/>
      </rPr>
      <t xml:space="preserve">입니다.
가오동 투자우선순위가 쉽게 오지않을뿐이에요... 앞단에 항상 더 좋은것들이 있어서요. 여기서 조심해야할 사항은 우리가 앞마당으로만들고 무시?하던 단지가 2년후 소액으로와서 투자기회를 줄 단지가 될수도있어요.
실제로 제가 학생때 실전반에서 앞마당만들면서 무시하던 단지를 1년후에 어렵게 모셔서 투자했습니다 ^^ 
그러니 이렇게 만들때 제일중요한건 임보에 단지의 가치와 선호도를 반드시 기록하고 남겨놓아야해요.
1년후에 대전동구에서 변하는게 크게 어떤게 있을까요. </t>
    </r>
    <r>
      <rPr>
        <rFont val="Arial"/>
        <b/>
        <color rgb="FFFF0000"/>
        <sz val="11.0"/>
      </rPr>
      <t>변하는건 가격입니다. 가치는 안변해요.</t>
    </r>
    <r>
      <rPr>
        <rFont val="Arial"/>
        <b/>
        <color theme="1"/>
        <sz val="11.0"/>
      </rPr>
      <t xml:space="preserve">  공급말씀주시는것도 사실 가격을 말하시는거라고 이해되어요. 그러니 지금 우리는 </t>
    </r>
    <r>
      <rPr>
        <rFont val="Arial"/>
        <b/>
        <color rgb="FFFF0000"/>
        <sz val="11.0"/>
      </rPr>
      <t>임보에 가치와 선호도를 잘 남겨야해요.</t>
    </r>
  </si>
  <si>
    <t>판암동 삼코1단지 vs. 은어송 하늘채리버뷰</t>
  </si>
  <si>
    <t>하늘채리버뷰 ((가격 확인 전. 분임 &amp; 단임 만으로 판단))
- 삼코가 단지 느낌과 상권접근성이 훨씬 더 좋았지만 연식 (24vs18), 받아줄 수요층이 더 많을 것 같다 생각해서 리버뷰
- 삼코1단지가 판암에서 독보적이라 실제 가치보다 판암 거주민들의 자부심?으로 가격이 높게 형성되어 있을듯</t>
  </si>
  <si>
    <r>
      <rPr>
        <rFont val="Arial"/>
        <b/>
        <color rgb="FF0000FF"/>
        <sz val="11.0"/>
      </rPr>
      <t>MZ</t>
    </r>
    <r>
      <rPr>
        <rFont val="Arial"/>
        <b/>
        <color theme="1"/>
        <sz val="11.0"/>
      </rPr>
      <t xml:space="preserve"> : 연식으로 접근. 하늘채리버뷰 (삼코1 은 실거주면 고민해볼듯)
</t>
    </r>
    <r>
      <rPr>
        <rFont val="Arial"/>
        <b/>
        <color rgb="FF0000FF"/>
        <sz val="11.0"/>
      </rPr>
      <t>로에</t>
    </r>
    <r>
      <rPr>
        <rFont val="Arial"/>
        <b/>
        <color theme="1"/>
        <sz val="11.0"/>
      </rPr>
      <t xml:space="preserve"> : 환경 좀 더 우세. 삼코1단지. 연식(상품성)은 떨어지지만 현장에서 더 살고싶은 마음이 들었음
</t>
    </r>
    <r>
      <rPr>
        <rFont val="Arial"/>
        <b/>
        <color rgb="FF0000FF"/>
        <sz val="11.0"/>
      </rPr>
      <t xml:space="preserve">아르떼 </t>
    </r>
    <r>
      <rPr>
        <rFont val="Arial"/>
        <b/>
        <color theme="1"/>
        <sz val="11.0"/>
      </rPr>
      <t>: 삼코(주변환경과 상품성이 좋은것 같다) 연식좋을때 사서 팔고 나오면 괜찮을것 같은데 투자 마지노선 느낌인듯
하지만 가격이 싸다면 고려하겠음.</t>
    </r>
  </si>
  <si>
    <t>(이제 막 사임을 제출, 단지분석과 매물임장 전임을 감안하고)
다른분들 의견도 반반으로 나뉘는것같아요. 반반으로 나뉘죠? 그럼 진짜 비슷한거에요, 장단점이 상쇄되면서 수요도 똑같이 분산되겠죠. 
그럼우리는 거기서 더 높은 수익률을 위해 이렇게 노력하는 투자자들이니, 매물까지 들어가서 비교하면서 볼거같아요. 중요한건 실거주인지 투자인지에 따라 내가 가능한 매매가, 혹은 투자금에따라 순서가 바뀌겠죠.
가치가 이렇게 비슷하다면, 더 딮하게 물건대 물건으로 비교해야하는 거에요.
[추가 질문] 우리는 결국 전세 레버리지 투자자니 개별 단지 매물대 매물로 보되 전세 수요가 더 큰곳 (사람들이 더 많이 찾는곳)을 매물임장으로 파악하고 결론내리면될지? 에 대한 질문이었습니다! 
→ 네 물건대 물건이라는건 결국 물건 가격, 상태, 동층향이 다 포함된 이야기에요. 조건에서 전세의 조건에따라 우선순위가 중요해지는거죠. 말씀처럼 전세수요가더 큰= 가격이더 높은 으로 이해됩니다. 그럼 투자금이 더 적으니 우선순위가 맞아요.</t>
  </si>
  <si>
    <t>한화꿈그 투자할 수 있나?</t>
  </si>
  <si>
    <t>연식도 아쉬운데 동구, 그것도 용운동이라 입지 가치가 거의 없다고 생각.. 대전이 오르고 올라 투자할 곳이 여기밖에 없다해도 차라리 다른 지방 지역을 가겠다. (=투자안한다.)</t>
  </si>
  <si>
    <r>
      <rPr>
        <rFont val="Arial"/>
        <b/>
        <color rgb="FF0000FF"/>
        <sz val="11.0"/>
      </rPr>
      <t xml:space="preserve">MZ </t>
    </r>
    <r>
      <rPr>
        <rFont val="Arial"/>
        <b/>
        <color theme="1"/>
        <sz val="11.0"/>
      </rPr>
      <t xml:space="preserve">: 외곽이라는 택시기사님 의견, 동구도 외곽인데 거기서 더 외곽느낌 나면 투자로 고려하지 않을 듯
</t>
    </r>
    <r>
      <rPr>
        <rFont val="Arial"/>
        <b/>
        <color rgb="FF0000FF"/>
        <sz val="11.0"/>
      </rPr>
      <t xml:space="preserve">로에 </t>
    </r>
    <r>
      <rPr>
        <rFont val="Arial"/>
        <b/>
        <color theme="1"/>
        <sz val="11.0"/>
      </rPr>
      <t xml:space="preserve">: 연식이 경쟁력이 없는 연식인데 그만큼 강점도 없다. 수요를 끌어오지 못할듯
</t>
    </r>
    <r>
      <rPr>
        <rFont val="Arial"/>
        <b/>
        <color rgb="FF0000FF"/>
        <sz val="11.0"/>
      </rPr>
      <t xml:space="preserve">아르떼 </t>
    </r>
    <r>
      <rPr>
        <rFont val="Arial"/>
        <b/>
        <color theme="1"/>
        <sz val="11.0"/>
      </rPr>
      <t>: 주변에 좋아할만한게 없는것 같다 그럼에도 불구하고 투자를 한다하면 앞단에 대전역 더 가까운곳이나 신흥쪽 더 좋는 단지를 먼저 찾아볼것 같습니다.</t>
    </r>
  </si>
  <si>
    <t xml:space="preserve">투자에는 우선순위만 있을뿐, 투자 못할 단지는 없다.
(다만 한화꿈그가) 그 순위가 너어무 후순위로 까마득한거죠. 내가만약에 정말 이투자금밖에 없고, 그때 한화꿈이 제일 우선순위면 투자하는거에요.
자칫 이단지는 투자안해라는 생각으로 투자기회를 놓칠수있어요. 이게정말 한끗차이라서 그냥 우선순위가 아니다라고 생각하고 바라보시면 좋겠습니다. </t>
  </si>
  <si>
    <t>삼코1 vs. E편한 에코포레</t>
  </si>
  <si>
    <t>E편한에코포레
- 상품성 : E편한 &gt; 삼코
⇒ 연식, 브랜드, (+세대수)
- 환경 : E편한 =&lt; 삼코
⇒ 삼코 앞 신축 상권, 주공이긴 하지만 아파트 택지,, 다만 그렇다고 해서 E편한 주변 환경이 유해한 것은 아니었기 때문에 비슷한 수준으로 평가.
- 교통 : E편한 &lt; 삼코 
대전 동구의 최우선 선호요소를 상품성으로 봤기 때문에 E편한 선택</t>
  </si>
  <si>
    <r>
      <rPr>
        <rFont val="Arial"/>
        <b/>
        <color rgb="FF0000FF"/>
        <sz val="11.0"/>
      </rPr>
      <t xml:space="preserve">로에 </t>
    </r>
    <r>
      <rPr>
        <rFont val="Arial"/>
        <b/>
        <color theme="1"/>
        <sz val="11.0"/>
      </rPr>
      <t xml:space="preserve">: 에코포레, 더 대단지, 내부 쾌적, 아이들 위한 시설 많고 아이들도 많고 젊은 어머니들 많고 살고 싶은느낌 . 그런데 따로떨어진 두동(117,118) 보다는 삼코1 선호.
</t>
    </r>
    <r>
      <rPr>
        <rFont val="Arial"/>
        <b/>
        <color rgb="FF0000FF"/>
        <sz val="11.0"/>
      </rPr>
      <t xml:space="preserve">MZ </t>
    </r>
    <r>
      <rPr>
        <rFont val="Arial"/>
        <b/>
        <color theme="1"/>
        <sz val="11.0"/>
      </rPr>
      <t xml:space="preserve">: 언덕이긴 막상 가보면 아이들 많고 활발한 분위기. 에코포레 더 좋음.
</t>
    </r>
    <r>
      <rPr>
        <rFont val="Arial"/>
        <b/>
        <color rgb="FF0000FF"/>
        <sz val="11.0"/>
      </rPr>
      <t>라니</t>
    </r>
    <r>
      <rPr>
        <rFont val="Arial"/>
        <b/>
        <color theme="1"/>
        <sz val="11.0"/>
      </rPr>
      <t xml:space="preserve"> : 전세수요가 어느곳이 더 붙는지는 확인해봐야 알겠지만 삼코1은 위치적인 이점이 있고 e편한은 연식 그 자체+초품아 이점이 있음. E편한이 신축이긴 하지만 신혼부부,애키우는 유딩초딩으로 수요가 한정되진 않을까 라는 생각을 해봄. E편한이 김해 주촌 두산위브같다는 생각을 해봄 (외곽인데 단지 그 자체만으로도 사람들이 좋아하는 아파트)
</t>
    </r>
    <r>
      <rPr>
        <rFont val="Arial"/>
        <b/>
        <color rgb="FF0000FF"/>
        <sz val="11.0"/>
      </rPr>
      <t xml:space="preserve">아르떼 </t>
    </r>
    <r>
      <rPr>
        <rFont val="Arial"/>
        <b/>
        <color theme="1"/>
        <sz val="11.0"/>
      </rPr>
      <t>: 밖에서 볼땐 안쪽이라 그랬는데 단지 내부가 너무 쾌적했고 애들도 많아 활기찬 느낌 . e편한 에코포레 선택할듯</t>
    </r>
  </si>
  <si>
    <r>
      <rPr>
        <rFont val="Arial"/>
        <b/>
        <color theme="1"/>
        <sz val="11.0"/>
      </rPr>
      <t xml:space="preserve">Q6과 비슷
→ 전임/매임/단분으로 숨참고 딥다이브하기!
</t>
    </r>
    <r>
      <rPr>
        <rFont val="Arial"/>
        <b/>
        <color rgb="FF34A853"/>
        <sz val="26.0"/>
      </rPr>
      <t>ㅋㅋㅋㅋㅋㅋㅋㅋㅋㅋㅋㅋ누가 "숨참고" 써주셨나욬ㅋㅋㅋㅋㅋㅋ</t>
    </r>
  </si>
  <si>
    <r>
      <rPr>
        <rFont val="Arial"/>
        <b/>
        <color theme="1"/>
        <sz val="11.0"/>
      </rPr>
      <t xml:space="preserve">케빈님 질문 답을 쓰다가 문득 궁금해진 게, 일반인(?)들이 이사 or 집 구할 때 지역을 넓게 보기보다 본인이 살던 곳 주변 신축을 가는 경우도 꽤 있는데.. 
가오동 신축의 이사 수요와 용운동 신축의 이사 수요가 각각 어디 살던 어떤 사람들일지 궁금합니다.
→ </t>
    </r>
    <r>
      <rPr>
        <rFont val="Arial"/>
        <b/>
        <color rgb="FFFF0000"/>
        <sz val="11.0"/>
      </rPr>
      <t>대전 동구 애매한 생활권 신축의 수요층</t>
    </r>
  </si>
  <si>
    <t>동구에 살다가 동구 안에서만 이사하는 분들이 꽤 많을 것 같고, 신혼부부가 아닌 이상 생활권을 바꾸면서까지 거주지를 바꿀지는 의문입니다. 특히 가장 좋아하는 신인동/천동 쪽이 아니라 가오동/용운동으로는.. "굳이?" 싶습니다. (그나마 e편한이 브랜드라 쪼끔은 다른 생활권 수요를 끌어들일지도)
전임으로 해결하는 수 밖에 없을 것 같은데 부사님께 어떤 식으로 질문을 드리면 좋을까요?
→ "새 아파트 생기면 보통 어떤 분들이 이사오세요?"</t>
  </si>
  <si>
    <r>
      <rPr>
        <rFont val="Arial"/>
        <b/>
        <color rgb="FF0000FF"/>
        <sz val="11.0"/>
      </rPr>
      <t xml:space="preserve">케빈 </t>
    </r>
    <r>
      <rPr>
        <rFont val="Arial"/>
        <b/>
        <color theme="1"/>
        <sz val="11.0"/>
      </rPr>
      <t xml:space="preserve">: 저도 원주민들 수요가 제일 클거 같고 대전역 출퇴근 가성비 수요, 또는 그 주변 금산이나 옥천에 조그만 산단 일자리가 있던데 그 정도 수요가 있지 않을까 생각합니다 !
</t>
    </r>
    <r>
      <rPr>
        <rFont val="Arial"/>
        <b/>
        <color rgb="FF0000FF"/>
        <sz val="11.0"/>
      </rPr>
      <t xml:space="preserve">가히 </t>
    </r>
    <r>
      <rPr>
        <rFont val="Arial"/>
        <b/>
        <color theme="1"/>
        <sz val="11.0"/>
      </rPr>
      <t xml:space="preserve">: (제가 질문했지만 아까 전임하면서 살짝 들은 얘기가 있어서) 가오/용운은 아니지만, 리더스 입주 때 서구/유성구 살던 젊은 분들이 엄청 많이 오셨었다고 해요! 분양가가 워낙 쌌기도 해서 인기 많았다고, 그런데 동구를 "거쳐가는 아파트"라고 인식하신다 하고, 그래서 59도 선호도가 상당히 높은 점 확인했습니다. 지방은 무조건 84 선호도가 높을 줄 알았는데 대전은 (혹은 대전 동구는) 그렇지 않다는 점이 특이했어요. (+리더스 전세하려다 매매하셨던 분들 지금 가격 많이 올라가지구 요즘 매우 기뻐하고 계신다는  얘기도 살짝 전합니다.. ^^)
라니 : 저 이거 전임하면서 물어봤었어요! </t>
    </r>
    <r>
      <rPr>
        <rFont val="Arial"/>
        <b/>
        <color rgb="FF980000"/>
        <sz val="11.0"/>
      </rPr>
      <t>여기는 주로 어떤 사람들이 이사오냐구요.(실거주로 전화함)</t>
    </r>
    <r>
      <rPr>
        <rFont val="Arial"/>
        <b/>
        <color theme="1"/>
        <sz val="11.0"/>
      </rPr>
      <t xml:space="preserve"> 확실한건 신혼부부나 애있는 엄마들은 이 단지를 찍어서 온다고 했습니다. (아마도 신축살고싶은데 돈이 안되는 사람들이겠죠) 반면 이 사람들이 또 돈모아서 서구 유성구 단지로 이사도 갑니다.. 명암이 있는것 같습니다! </t>
    </r>
  </si>
  <si>
    <r>
      <rPr>
        <rFont val="Arial"/>
        <b/>
        <color theme="1"/>
        <sz val="11.0"/>
      </rPr>
      <t xml:space="preserve">요거는 뭔가 정답은 없는 질문인데요. 일단 매임가셔서 자세히 보시면 좋겠구요. 그럼에도 답변을 드리려고 노력해본다면... 
제생각에는 일단 주변에 입지가없는곳에 건물연식만 보고오면 몸이 가벼운사람이 올 확률이 높겠죠. 아이가없는 신혼부부, 자녀가 성인인 가족처럼요. 그러고 전임과 매임으로 한번더 확인해볼거같아요.
Q) 부사님께 어떤 식으로 질문을 드려야 이 정보를 캐낼 수 있을지
보통 </t>
    </r>
    <r>
      <rPr>
        <rFont val="Arial"/>
        <b/>
        <color rgb="FF0000FF"/>
        <sz val="11.0"/>
      </rPr>
      <t>매도이유</t>
    </r>
    <r>
      <rPr>
        <rFont val="Arial"/>
        <b/>
        <color theme="1"/>
        <sz val="11.0"/>
      </rPr>
      <t xml:space="preserve">를 물어봅니다. </t>
    </r>
    <r>
      <rPr>
        <rFont val="Arial"/>
        <b/>
        <color rgb="FF0000FF"/>
        <sz val="11.0"/>
      </rPr>
      <t>세입자 연령대나 누가주로 보러오는지</t>
    </r>
    <r>
      <rPr>
        <rFont val="Arial"/>
        <b/>
        <color theme="1"/>
        <sz val="11.0"/>
      </rPr>
      <t xml:space="preserve"> 물어봅니다. 매임가서 사는사람을 관찰하고옵니다. 그래서 가능하면 공실은 잘 안잡아요.  계속 </t>
    </r>
    <r>
      <rPr>
        <rFont val="Arial"/>
        <b/>
        <color rgb="FFFF0000"/>
        <sz val="11.0"/>
      </rPr>
      <t>누가사는지 어떤사람이사는지</t>
    </r>
    <r>
      <rPr>
        <rFont val="Arial"/>
        <b/>
        <color theme="1"/>
        <sz val="11.0"/>
      </rPr>
      <t xml:space="preserve">를 물어보고 파악하셔야해요. </t>
    </r>
    <r>
      <rPr>
        <rFont val="Arial"/>
        <b/>
        <color rgb="FFFF0000"/>
        <sz val="11.0"/>
      </rPr>
      <t>그분들의 소득수준과 수요가 얼마나 두터운지가 투자랑 연결</t>
    </r>
    <r>
      <rPr>
        <rFont val="Arial"/>
        <b/>
        <color theme="1"/>
        <sz val="11.0"/>
      </rPr>
      <t xml:space="preserve">되니까요
+ [라니님 꿀팁] 
사장님~ 여기 신혼부부가 집 많이보러 오나요? 주로 누가 오나요? ((전세수요파악))
+ [MZ님 추가 질문] 
갑자기 궁금해진 건데, 신혼부부 많이 사는 단지와 가족단위(부모+초중딩자녀) 로 사는 단지는 어떤 게 더 좋다, 라는 게 있는지 궁금합니다.
→ 정말 솔직하게 답변드리면, 그분들의 소득수준을 생각해보시면 좋겠어요.
예를들면 가족단위(부모+초중딩자녀) 세입자에게 전세금 2천 요구와 신혼부부에게 전세금 2천만원을 요구했을때 내가 세입자라면 어떨까요 (전세상승금이요)
실제로 거주하는 지역사람들의 입장에서 생각해보면 투자에도 도움이됩니다. 제가 가족형태로 말씀드렸지만 부유한 신혼부부가 거주하는 동네도 있어요 ㅎㅎ 예를들면 성동구가 그런곳이죠.
그래서 지방에서는 직장이 중요합니다. 
(가족단위 수요 혹은) 신혼부부가 아니라 </t>
    </r>
    <r>
      <rPr>
        <rFont val="Arial"/>
        <b/>
        <color rgb="FFFF0000"/>
        <sz val="11.0"/>
      </rPr>
      <t>사람들의 수요로 생각을 확장</t>
    </r>
    <r>
      <rPr>
        <rFont val="Arial"/>
        <b/>
        <color theme="1"/>
        <sz val="11.0"/>
      </rPr>
      <t>하면 더 도움되실거에요. 단지분석, 매물임장까지 결론쭉 써보면서 지역사람들의 입장과 수요 집중해보면 좋을거같아요.
+ [케부님 정리] 
우리집에 전세금을 잘 받쳐줄 수 있는 세입자를 찾아봅시다!~</t>
    </r>
  </si>
  <si>
    <r>
      <rPr>
        <rFont val="Arial"/>
        <b/>
        <color theme="1"/>
        <sz val="11.0"/>
      </rPr>
      <t xml:space="preserve">대전 </t>
    </r>
    <r>
      <rPr>
        <rFont val="Arial"/>
        <b/>
        <color rgb="FFFF0000"/>
        <sz val="11.0"/>
      </rPr>
      <t>동구 생활권</t>
    </r>
    <r>
      <rPr>
        <rFont val="Arial"/>
        <b/>
        <color theme="1"/>
        <sz val="11.0"/>
      </rPr>
      <t xml:space="preserve">을 어떻게 분류하셨나요?
그리고 </t>
    </r>
    <r>
      <rPr>
        <rFont val="Arial"/>
        <b/>
        <color rgb="FFFF0000"/>
        <sz val="11.0"/>
      </rPr>
      <t>생활권의 순위</t>
    </r>
    <r>
      <rPr>
        <rFont val="Arial"/>
        <b/>
        <color theme="1"/>
        <sz val="11.0"/>
      </rPr>
      <t>는 어떻게 나누셨는지 궁금합니다!~</t>
    </r>
  </si>
  <si>
    <r>
      <rPr>
        <rFont val="Arial"/>
        <b/>
        <color theme="1"/>
        <sz val="11.0"/>
      </rPr>
      <t xml:space="preserve">1) 신인/천동
2) 가오/대성
3) 용운
3) 판암
4) 삼성/성남
순위 : 신인/천동 &gt; 가오/대성 &gt; 용운 = 판암 &gt; 삼성/성남
(*삼성/성남 : 홍도/가양동까지 포함)
그런데 Top10을 보아하니.. [삼성/성남/홍도/가양]의 단지들이 상위권에 훨씬 많이 포진해 있었습니다.ㅠ
생활권 순위는 주거 환경이 좋은 순대로 놓되, 개별 단지 가치가 높다 (연식, 브랜드 신축 등) 라고 봐도 무방할까요?
혹은 대전역/서구 둔산동 접근성 고려해서 </t>
    </r>
    <r>
      <rPr>
        <rFont val="Arial"/>
        <b/>
        <color rgb="FFFF0000"/>
        <sz val="11.0"/>
      </rPr>
      <t>삼성/성남의 땅의 (물리적 위치) 가치</t>
    </r>
    <r>
      <rPr>
        <rFont val="Arial"/>
        <b/>
        <color theme="1"/>
        <sz val="11.0"/>
      </rPr>
      <t>가 높다고 판단해야 할까요?</t>
    </r>
  </si>
  <si>
    <r>
      <rPr>
        <rFont val="Arial"/>
        <b/>
        <color rgb="FF0000FF"/>
        <sz val="11.0"/>
      </rPr>
      <t>케빈</t>
    </r>
    <r>
      <rPr>
        <rFont val="Arial"/>
        <b/>
        <color theme="1"/>
        <sz val="11.0"/>
      </rPr>
      <t xml:space="preserve"> : 저도 신흥 &gt; 가오 &gt;= 판암 &gt; 성남 정도로 생활권 순위는 이렇게 생각했지만 땅의 위치로만 따졌을 때는 삼성성남이 1등이라 생각합니다. 관악구에서도 남현동이 땅의 위치는 제일 좋지만 상위생활권은 아니듯이, 대전역 위쪽도 땅의 가치는 제일 좋지만 아파트가 많이 없어 상위 생활권은 아니지만 단지가 딴딴하고 주변이 나쁘지 않으면 충분히 선호되는 단지라고 생각합니다 ! 따라서 삼성4구역이나 성남3구역 등 위쪽 개발이 이루어지면 삼성성남이 상위생활권이 될 수 있지 않을까 생각합니다 :)
</t>
    </r>
    <r>
      <rPr>
        <rFont val="Arial"/>
        <b/>
        <color rgb="FF0000FF"/>
        <sz val="11.0"/>
      </rPr>
      <t>그늘</t>
    </r>
    <r>
      <rPr>
        <rFont val="Arial"/>
        <b/>
        <color theme="1"/>
        <sz val="11.0"/>
      </rPr>
      <t>: 저도 지금 상황에선 삼성/성남이 균질성 환경 면에서 아쉬움이 크지만, 재건축된다면 의미있는 위치라고 생각했습니다. 그리고 비균질하거나, 외곽도 많은 동구에선 더욱 더 단지 바이 단지로 보는 게 맞겠다고 저도 생각했습니다.</t>
    </r>
  </si>
  <si>
    <r>
      <rPr>
        <rFont val="Arial"/>
        <b/>
        <color theme="1"/>
        <sz val="11.0"/>
      </rPr>
      <t xml:space="preserve">대전동구의 가격결정 요소는 환경이었는데요.
이제 여러분이 제출하신 생활권 순위에서 어려워하시는 부분이 무엇인지 파악해보니 수도권과 지방에서 환경이 좋다는 정의가 달라요.
더 자세히 말씀드리면 지방에서도 지역마다, 생활권마다 환경이라는 입지요소가 다릅니다. 그지역에서 사람들이 좋아하는 환경이 상권일수도 있구요. 아파트 연식일수도있어요. 아니면 역세권일수도있어요 ㅎㅎ
+[아까 정리 복붙]
★ </t>
    </r>
    <r>
      <rPr>
        <rFont val="Arial"/>
        <b/>
        <color rgb="FF0000FF"/>
        <sz val="11.0"/>
      </rPr>
      <t>환경 : 택지 (쾌적성+안전성), 상권 (편의성), 연식 (쾌적성+하차감♡)</t>
    </r>
    <r>
      <rPr>
        <rFont val="Arial"/>
        <b/>
        <color theme="1"/>
        <sz val="11.0"/>
      </rPr>
      <t xml:space="preserve">
그게 수도권은 큰판으로 비슷한데 지방은 그게 참 너무다양하고 달라서 파악하는게 어려울수있어요. 그걸 여러분이 한달동안 파악하는거에요. 그걸 강의에서는 선호도, 가격결정요소라고 하는거에요. 
그래서 순위는 (두구두구)
튜터링데이에 공개하겠습니다 ㅎㅎㅎ </t>
    </r>
  </si>
  <si>
    <t>새들뫼휴먼시아1단지 가격흐름을 봤을 때, 2012-2013년도에는 공급이 그리 많지 않음에도 전세가는 오르지만 가격이 소폭하락하는 모습을 보이는데 왜 그럴까요 ?</t>
  </si>
  <si>
    <t>입주가 많지는 않은데다, 세종시 정부청사 이전으로 인한 거주수요까지 늘어나 전세가가 오르긴 했지만,
금리 상승기로 인해 매매수요로 올겨붙지 않았고, 잇따른 세종 내 대규모 입주를 위해 전세를 살며 기다리며 관망하는 분위기였을 것 같습니다. (지금과 비슷한 분위기)</t>
  </si>
  <si>
    <r>
      <rPr>
        <rFont val="Arial"/>
        <b/>
        <color rgb="FF0000FF"/>
        <sz val="11.0"/>
      </rPr>
      <t xml:space="preserve">학생- </t>
    </r>
    <r>
      <rPr>
        <rFont val="Arial"/>
        <b/>
        <color theme="1"/>
        <sz val="11.0"/>
      </rPr>
      <t xml:space="preserve">오 찾아보니 세종시 대규모 입주로 매매가 잠잠해졌다고 합니다. 그래서 매매수요가 전세수요로 전환되어 그런 상황이 벌어진 것 같스비다
</t>
    </r>
    <r>
      <rPr>
        <rFont val="Arial"/>
        <b/>
        <color rgb="FF0000FF"/>
        <sz val="11.0"/>
      </rPr>
      <t xml:space="preserve">라니- </t>
    </r>
    <r>
      <rPr>
        <rFont val="Arial"/>
        <b/>
        <color theme="1"/>
        <sz val="11.0"/>
      </rPr>
      <t>저는 조금 다르게 이해했습니다. 10-11년때 유성구에 공급이 많았고 이게 소화가 되지 않아서 12,13년에도 물량이 적어도 대전 내에서 해소되지 않은 것 같아요. 근데 또 세종 공급도 11년부터 스멀스멀 올라오기 시작했습니다.. 14년에는 불기둥이네요.  챗GPT에 검색해보니 당시 정책 불확실성으로 인한 전세난이 있었고(사람들이 집을 안살려고 함)  매수심리는 위축되어서 저가 급매위주로 소진됬다고 합니당.</t>
    </r>
  </si>
  <si>
    <t xml:space="preserve">요건 다양한 요인이 있을수있는데, 이 단지만 그런건지 아니면 생활권 내에 어느정도 선호도를 갖고있는 단지만 그런건지 파악해보면 좋겠습니다 
사실 데이터는 확인용으로 보고, 전임을 열심히하시는게 더 도움이됩니다
이걸 답변을 드리기보단 이 질문을갖고 결론까지 가져가보는게 좋을거같아요
그래야 내투자시 리스크까지 헷지될거같습니다 </t>
  </si>
  <si>
    <t>저희 조에 저를 포함해 대전이 첫 임장지이신 분들이 많은데요. 한 지역을 처음갈 때, 또 심지어 동구처럼 그 지역의 하급지일 때, 지역과 친해지기 위한 튜터님만의 팁이 있을까요 ~?</t>
  </si>
  <si>
    <t>대전을 전체 판으로 놓고 알아보는 과정이 필요할 듯 한데, 아직 앞마당이 많이 없다면 어떻게 알아가야할 지가 궁금합니다 ㅎㅎ</t>
  </si>
  <si>
    <r>
      <rPr>
        <rFont val="Arial"/>
        <b/>
        <color rgb="FF0000FF"/>
        <sz val="11.0"/>
      </rPr>
      <t>로에 -</t>
    </r>
    <r>
      <rPr>
        <rFont val="Arial"/>
        <b/>
        <color theme="1"/>
        <sz val="11.0"/>
      </rPr>
      <t xml:space="preserve"> 전체적으로 그 지역의 중요한 요소(ex.학군, 직등)가 무엇인지 파악하고 접근하는 것 같아요! 예를 들어서 마산을 먼저 임장간다 하면 창원에서는 국가산업단지(직장)가 중요하니까 마산에서 이 부분에 영향을 끼치는 요소는 뭘까? 하고 접근하면 그 지역을 이해하기 더 쉬워지지 않을까 싶습니다!
</t>
    </r>
    <r>
      <rPr>
        <rFont val="Arial"/>
        <b/>
        <color rgb="FF0000FF"/>
        <sz val="11.0"/>
      </rPr>
      <t xml:space="preserve">라니- </t>
    </r>
    <r>
      <rPr>
        <rFont val="Arial"/>
        <b/>
        <color theme="1"/>
        <sz val="11.0"/>
      </rPr>
      <t xml:space="preserve">저도 로에님이랑 비슷한 생각인데 임보 쓰기 전까지는 연식 좋은것만 보자! 라는 생각을 배제하는 편이에요. 완전 썩구축 말고 애매한 3억짜리 애들도 매임을 못하면 전임이라도 합니다. </t>
    </r>
  </si>
  <si>
    <t>일단요건 앞마당 갯수에따라 다른데요 10개이하면 1개구를 자세히 파요  10개이하면 1개구를 자세히 파요 10개이상, 어느정도 임보가 익숙하거나 속도가 붙으면 지방에서 입지작성할때 광역시면 크게 한판으로 보고 임장지를 들어갑니다
그리고 여러분은 이미 지방투자 실전반 강의를 들으셧잖아요 1강에서 다 알려주셔서 사실 다 아셔요 ㅎㅎ 네 강의자료 레버리지하세요 그런식으로 간단하게! 파악하고 임장지를 깊게 들어갑니다 1개구를 제대로 이해하면 다른지역이해도 빨라요 결국 그 지역사람들을 이해하는게 중요해서그렇습니다 (같은광역시 기준입니다)</t>
  </si>
  <si>
    <t>대전 동구에서 이편한세상대전센텀비스타 같은 주복의 영향력은 어느정도 일지 궁금합니다. 대구처럼 주복을 대전도 좋아하나요?</t>
  </si>
  <si>
    <t>우선 35평 현재 호가가 4억대 중반으로 형성되어있습니다. 26년 6월에 입주하는 신축임에도 불구하고 은어송하늘채리버뷰 가격가 비슷한 것을 보니, 연식이 뛰어나도 그리고 위치상으로 나쁘지 않음에도 대전 동구에서 주복은 그리 선호하지 않는 것으로 보입니다</t>
  </si>
  <si>
    <r>
      <rPr>
        <rFont val="Arial"/>
        <b/>
        <color rgb="FF0000FF"/>
        <sz val="11.0"/>
      </rPr>
      <t>케빈</t>
    </r>
    <r>
      <rPr>
        <rFont val="Arial"/>
        <b/>
        <color theme="1"/>
        <sz val="11.0"/>
      </rPr>
      <t xml:space="preserve"> : 대구 사람들이 주복을 왜 좋아할지 생각해봤을 때, '주복이라서' 좋아한다기 보다는 대구에 중심지 땅 자체가 너무 좁기 때문에 어쩔 수 없이 주상복합이 많이 들어오고, 대구 사람들은 '주복 정도만 되어도' 만족하는 것이 아닐까 생각이 듭니다. 그러니 대구에선 주복을 최대한 짱짱히 짓기도 하는 것 같고요.
이 점에서 대전 동구는 빈 땅이 있는 것은 아니지만 대단지들도 있고 재개발되어 들어올 수도 있기 떄문에 주복에 대한 선호도는 크지 않을 것이라 생각합니다. 실제로 이편한이 들어오는 땅은 저희가 분임을 처음 했을 때 매우 별로였던 생활권이기도 했고 그런 점이 가격에 녹아있지 않나~ 생각합니다
</t>
    </r>
    <r>
      <rPr>
        <rFont val="Arial"/>
        <b/>
        <color rgb="FF0000FF"/>
        <sz val="11.0"/>
      </rPr>
      <t>라니 :</t>
    </r>
    <r>
      <rPr>
        <rFont val="Arial"/>
        <b/>
        <color theme="1"/>
        <sz val="11.0"/>
      </rPr>
      <t xml:space="preserve"> 대구사람들 주복 환장합니다(원주민이 이야기 하는거니 들어주세요 ㅎ). 특히 달구벌대로에 붙어있고 으시대는거 좋아하면 더 좋아하죠. 하지만 대전은 대구만큼 주복보다는 국평을 선호한다는 생각이 더 강하게 들었습니다. 특히 시세따면서  은어송 생활권에 59가 없다는 것을 보고 아 여기는 진짜 처음부터 지을떄 84를 타겟팅으로 하고 짓구나 하는 생각이 들었습니다.!!
MZ : 대전 동구는 연식이 중요한데, 생각보다 동구에 연식 좋은 아파트가 많지 않아서 연식이 좋다면 주복도 의미있게 볼 수 있겠다고 생각헀습니다. </t>
    </r>
  </si>
  <si>
    <t>동구에서 학원상권의 의미</t>
  </si>
  <si>
    <t>가오동에 학원가가 좋지만, 택시기사님께 거긴 맞벌이 부부가 학원만 보내놓고 케어가 안된다고 하셨습니다. 그러고 보니, 중학교 성취도도 형편없는 수준이더라고요. 학원가상권이 그렇게 좋아도 애들 수준이 그렇게 떨어지면, 학원가가 의미가 없다고 생각합니다.</t>
  </si>
  <si>
    <t>MZ : 생각보다 학업성취도도 높지 않고 매력적인 아파트가 많지 않았습니다. 엄청 의미 있는 학원가로 생각하지 않을 것 같습니다. 
케빈 : 그늘님 말씀처럼 손품으로나 발품으로나 학업성취도, 학원가 면에서 학군으로의 의미는 없을거라 생각합니다 ~</t>
  </si>
  <si>
    <t>대전 동구가 학군지인가요?외부에서 동구로 아이를 교육시키러 이사오나요?그럼 동구에서 학원은 환경, 상권으로 생각하시면 될거같아요</t>
  </si>
  <si>
    <t xml:space="preserve">이편한에코포레 위치를 유의미하게 봐도 좋을까요? 외곽은 외곽일까요.  </t>
  </si>
  <si>
    <t>코레일 직원이 동구에 산다는 가정 하에, 운전을 못하지 않는 한, 굳이 이스트에 살까? 신축2000세대인 에코포레에 살까 생각해보았습니다. 에코포레가 차로 대전역까지 8분이더라고요. 저희야 분임으로 뺑뺑 돌았지만, 실제로는 매우 가까워보이더라고요. 택시기사님도 여긴 아침에 대전역까지 안막힌다하시고, 막상 에코포레 가보니 거주민들 수준이 좋아보였습니다. 이런 외곽 신축이라면 의미있지 않을까(학군, 환경 포기하고 동구 살기로 마음먹었다면) 생각합니다.</t>
  </si>
  <si>
    <t xml:space="preserve">라니 : 전임시트에도 적었는데, 여기는 사람들이 가격 때문에 찍어서 오는 단지이지만 신혼부부나 3인가정 수요를 확실히 끌어들일 수 있는 단지라고 생각합니다. 하지만 위치가 가지는 의미는 약하다고 생각합니다. 우리가 보통 '중심부에 가까이 붙어있다' 라고 설명하는 곳은 전부 대전을 전체로 놓고 봤을 때 그나마 서구 중구에 붙어있는 단지들이었습니다.
제가 생각했을 때는 여기는 위치보다도 연식이 가지는 힘이 더 크다고 생각합니다 하지만 섣부른 판단일 수 있으니 매임하면서 한번 더 생각을 입혀보겠습니다 :)
MZ : 연식이 곧 환경이다! 이 정도의 연식에 대단지 아파트라면 그 자체로 의미있는 환경이 될 것이라고 생각합니다. 의미 있는 곳이라고 생각했습니다. </t>
  </si>
  <si>
    <t>거주민 수준이 좋아보이셨다고 적어주셨는데요에코포레 거주민 수준을 매물임장 다녀오셔서 확인해보시면 좋겟어요 매물임장까지 다녀오셔서 안에사는 사람들이 누군지 어떤사람들이 사는지 보시면 좋겠어요</t>
  </si>
  <si>
    <t>(튜터님 다음번에 답 주셔도 됩니다)
공급파트를 쓰다 보니 앞으로 세종 공급이 없습니다. 강의에서 배웠듯이 대전 공급은 세종 공급까지 같이 봐야 한다 라는 말이 있었는데요, 과거 시장에는 어느정도 이해가 되었습니다. 하지만 앞으로의 세종 공급은 거의 없는 시점에서, 세종 공급을 같이 보는게 유의미할까 라는 생각이 드는데 튜터님+조원분들의 생각이 궁금합니다.</t>
  </si>
  <si>
    <t xml:space="preserve">인구이동에서 앞으로 세종에 공급이 터지고 더 중심부에 매력적인 공급이 나오면 움직일 수도 있기 때문에 아직도 유의미한지가 궁금했습니다 ㅎㅎ </t>
  </si>
  <si>
    <t>MZ : 세종이 앞마당은 아니라서 공급에 대해 잘 모르긴 하지만 공급이 없더라도 주변 영향을 받는 지역의 공급을 트래킹하는 것은 루틴화에 도움이 될 거라고 생각합니다! 
케빈 : 저도 엠지님처럼 안하는 것보다 하는 것이 좋다고 생각합니다~ 다만 동구보다는 유성구에서 주효할 듯 합니다 :)</t>
  </si>
  <si>
    <r>
      <rPr>
        <rFont val="Arial"/>
        <b/>
        <color rgb="FFFF0000"/>
        <sz val="11.0"/>
      </rPr>
      <t xml:space="preserve">[튜터님 팁]
요거는 공급분석을 한번 해보면 좋을거같아요. 과거에 세종공급의 영향이 얼마나있었는지 보시면 좋을거같아요. 과거 세종공급이 있을때 어느동네에 영향이 가장컸고, 얼마나 컸는지 보시면 좋을거같아요. 
</t>
    </r>
    <r>
      <rPr>
        <rFont val="Arial"/>
        <b/>
        <color rgb="FF000000"/>
        <sz val="11.0"/>
      </rPr>
      <t xml:space="preserve">튜데 이후-&gt; 구별로 뜯어보기 </t>
    </r>
    <r>
      <rPr>
        <rFont val="Arial"/>
        <b/>
        <color rgb="FFFF0000"/>
        <sz val="11.0"/>
      </rPr>
      <t xml:space="preserve">
</t>
    </r>
  </si>
  <si>
    <t>튜터님 주말은 잘 보내셨나요!
튜데 끝나고 집 가는길에 튜터님이 비교분임 해주신 유성구의 '이 생활권에 없는 것' 을 열심히 생각했는데요 (새로운 시도였고 매우 재밌었습니다)
3,4주차 매물임장 할 때 저희가 부사님께 '매도사유가 어떻게 되냐' 라고 물어보는데요 이 부분을 '이 생활권에 없는것' 으로 확장해서 생각해도 되겠죠?!!!</t>
  </si>
  <si>
    <t xml:space="preserve">도안신도시 생활권에 없는것 = 학군-&gt; 이건 둔산에 있다! 라는 생각을 하게 되니 왜 도안베르디움이 연식이 빠지는데도 가격을 지키고 있는지가 이해되었습니다  </t>
  </si>
  <si>
    <t>케빈 : 저도 동의합니다 ~ 없는 것을 찾아서 갈 테니 ~
로에 - '매도사유=해당 단지, 생활권에 없는 것' 확실하게 이해됐어요! 저도 이부분에 있어 동의합니다ㅎㅎ</t>
  </si>
  <si>
    <t>너무 좋은 질문입니다 💛
사람들이 매도하거나 이사나가는 수요가 바로 그단지의 약점이나 부족한 점으로 볼수있어요! 이렇게 현장에서 매물임장가셔서 내가 생각한 수요가 맞는지 확인하고 오시면 좋겠습니다~
또 반대로 사람들이 정말좋아하는 수요에대한 선호도의 크기도 느껴보고 오시면 좋겠습니다!
대전역 접근성을 도대체 얼마나 좋아하는건지! 생생한 후기 기다리고있겠습니다
*내가 생각한 강점/약점과 진짜 거주민들의 이유 매칭시켜보기
*도대체 얼마나 왜 !</t>
  </si>
  <si>
    <t>단지분석 4분할 하면서 놀란것은 은어송1단지풍림아이원이 6개월간 20퍼센트 반등했다는 사실입니다 아니 가오동 외곽에서 왜 여기를 샀을까? 하는 의문이 들었습니다 대전 동구의 킥은 위치와 연식인데 여기는 두개 다 빠지는 거 아닌가? 오히려 위드힐은 위치상으로 은어송1단지 풍림아이원보다 괜찮은데 3개월 동안 4퍼센트 하락했습니다 가오동 정말 헷갈리는 동네네요</t>
  </si>
  <si>
    <t>우선 대전 동구의 킥은 위치와 연식이 중요합니다. 그럼에도 가오동은 가오동 안에 그 중심상권과 가까우면 선호를 좀 더 받는 것 같다고 생각이들었습니다 은어송1단지풍림아이원이 정말 가까이에 상권이 있다보니 아무래도 선택을 받았지 않았을까 싶습니다. 그럼에도 대전 동구는 위치와 연식이 중요하다는 제 생각에는 변함이 없습니다</t>
  </si>
  <si>
    <r>
      <rPr>
        <rFont val="Arial"/>
        <b/>
        <color rgb="FF0000FF"/>
        <sz val="11.0"/>
      </rPr>
      <t>가히</t>
    </r>
    <r>
      <rPr>
        <rFont val="Arial"/>
        <b/>
        <color theme="1"/>
        <sz val="11.0"/>
      </rPr>
      <t xml:space="preserve"> : 오.. 질문을 보자마자 아실에서 풍림을 확인했는데 진짜로 최근에 거래가 쭉! 상승했더라고요!! 그런데 그래프에서 같이 눈에 띄는 부분이.. 전세가 완전 딱 붙어서 상승해있더라 이말입니다 ㅋㅋ (전세가가 치고 올라와서 매매가를 끌어올리는 것처럼 보였어요.) 그와 달리 위드힐은 전세가가 최근에 치고 올라와서 진짜 소액 투자 기회를 주고 있네~ 라는 생각이 들었습니다. 정리하자면, 위드힐이 최근 3개월간 살짝 내리막을 보여준것은 사실이지만 2013년식이라 매물 컨디션에 따른 차이일수도 있고, 오히려 22년 12월 저점 대비 상승한걸로 봐서 저는 그래프상으로도 위드힐이 앞서있다고 읽혀집니다!! 물론 아실그래프가 정답은 아니지만, 두 단지 그래프를 비교해보면 (평형이 다양하긴하지만) 위드힐이 더 먼저 &amp; 더 크게 상승하는 것도 확인이 되어요!~ 가오동도 사람들이 사는 곳이고 일반인들은 원래 거주하던 동네를 잘 떠나지 않는데다 요즘 워낙 전세가 귀해지다보니 이럴거면 차라리 매수해~로 많이 넘어간게 아닐까 짐작해봅니다 :)
케빈 : 6개월 전은 특히나 낮게찍히고 최근거래는 특히나 높게 찍혀 20%라는 상승률을 만들어냈네요 ㅎㅎ 이건 물건 단위로 좀 더 상세하게 들어가 볼 필요가 있겠고요 상승률은 언제까지나 숫자이고 참고용으로 생각해주시고, 학생님의 킥으로 가치 비교를 하는 데에 더 우선을 두셨으면 좋겠습니다 ㅎㅎ</t>
    </r>
  </si>
  <si>
    <r>
      <rPr>
        <rFont val="Arial"/>
        <b/>
        <color theme="1"/>
        <sz val="11.0"/>
      </rPr>
      <t xml:space="preserve">요건 단지의 상승를 보시고 질문주신것같아요
수익률을 볼때 조심해야하는건, 그 단지에대한 가치로만 생각하는것이 아니라 </t>
    </r>
    <r>
      <rPr>
        <rFont val="Arial"/>
        <b/>
        <color rgb="FFFF0000"/>
        <sz val="11.0"/>
      </rPr>
      <t>당시에 그단지의 연식, 주변의 상황까지 같이 보시면 더 입체적으로 이해</t>
    </r>
    <r>
      <rPr>
        <rFont val="Arial"/>
        <b/>
        <color theme="1"/>
        <sz val="11.0"/>
      </rPr>
      <t>되실거같습니다
과거시점의 단지가치를 지금시점으로 가져오면 다른단지가 나오게될수도있어요</t>
    </r>
  </si>
  <si>
    <t xml:space="preserve">단지분석의 반등여부 칸을 정리하면서, 동구에는 아무래도 경제적 능력이 아직 부족한 신혼과 영유아가정이 많이 살다보니, 20평대를 선호한다는 이야기를 전임에서 많이 들었습니다. 그래서 주요단지는 반등여부에 20평대와30평대를 같이 넣어보았는데요. 신흥SK의 경우, 20평대는 +32%, 30평대는 +52%반등했더라고요. 역시 20평대를 선호해도, 오름 폭은 30평대가 좋다고 이해해야 할까요? 같은 의미로 지방에서는 가능하다면  투자금을 더 들여 30평대를 투자하는게 낫다는 결론으로 가는 게 맞을까요? </t>
  </si>
  <si>
    <t xml:space="preserve">SK 20평대와30평대인데요. 평수로 등락률 비교로도 해석이  가능할까요? 전 SK 20평대선호도도 꽤좋다고 생각했는데, 역시 오르는 건 30평대인가...라는 생각을 했습니다/ (튜터님 말씀)그늘님~~ 이런 고민들 너무 좋아요! 💛 더 깊게들어가서 결국 고민하는 본질을 더 생각해보면 좋을거같아요. 투자하는 경우라면 같은 투자금인가요. 실거주인가요. 사람들의 선호도를 보기위함인가요. 그런 관점으로 고민해보면서 단지분석 혹은 질문시트 남겨주세요~ </t>
  </si>
  <si>
    <r>
      <rPr>
        <rFont val="Arial"/>
        <b/>
        <color rgb="FF0000FF"/>
        <sz val="11.0"/>
      </rPr>
      <t xml:space="preserve">가히 </t>
    </r>
    <r>
      <rPr>
        <rFont val="Arial"/>
        <b/>
        <color theme="1"/>
        <sz val="11.0"/>
      </rPr>
      <t>: 저 또한 "지방은 84지"라는 편견을 가지고 전임했다보니 부사님들 말씀에 59에 혹했어서 넘 공감되는 질문이었습니다ㅎㅎ. 저는 20평대가 낫냐 30평대가 낫냐보다 내 투자금에 뭘 할 수 있는지를 더 우선으로 볼 것 같고, 20평대도 30평대도 각각 다른 장단점을 가지고 있다고 생각했습니다. 다만 같은 투자금이라는 전제라면 20평대가 신혼/영유아 수요가 있더라도 저는 30평대를 우선적으로 볼 것 같습니다. 동구만의 특징보다 30평대 아파트가 가진 본질적인 가치가 더 높다고 생각합니다!
케빈 : 우선은 가격대가 둘 다 저렴한 구간이니 디딤돌(신혼 6억 이하) 같은 정책 대출 쓰기도 좋을 것이고, 그러니 인기가 좋은 30평대가 더 많은 반등을 했다고 생각합니다, 그리고 대전역을 이용하는 특성 상 부부이며 맞벌이가 많을 것이라 생각되기도 하네요 ㅎㅎ</t>
    </r>
  </si>
  <si>
    <t>사실 평형보다 앞단에 있는건 단지의 선호도입니다 그리고 투자적으로 생각하면 투자금까지 넣어서 볼수있어요~ 59와 84의 투자금이 어떻게 되나요~? 저는 만약에 같은 투자금으로 84를 할수있다면 할거같아요~ 그렇지만, 투자금의 차이가 굉장히 크죠? 만약에 sk뷰 84에 2억을 넣는다고 가정해보시면 훨씬 우선순위의 단지들이 앞단에 있을거에요 sk뷰 59에 대략 8천으로 투자한다고 생각하면, 어떨까요 요렇게 생각해보면 엄청 심플해집니다 그럼 8천으로 할수있는 가장좋은 투자처는 어디지~? 그것도 대장을~? 요렇게 가치를 먼저보고 그다음 투자금을보면 우선순위가 올라갈거같아요 (59가 가격 왜곡이 많더라고요!!) 하락장의 특징입니다 ㅎㅎ 좋은가치의 저평가를 쏙쏙 골라살수있는 기회겠네요! ㅎㅎ</t>
  </si>
  <si>
    <t>진담님 단지분석 4분할 장표 키워드에 대한 질문입니다. 
세대수나 학업성취도 등 데이터를 정확히 적지 않고, 
키워드처럼 뭉뚱그려서 적는 게 
어떤 의미를 가지나요? 
(예를 들면 1328세대 인데 1,000세대 라고 적는다던지,
학업성취도 83%인데 80%라고 적는다던지 하는 것들이요)</t>
  </si>
  <si>
    <t xml:space="preserve">뭉뚱그려 보면 오히려 4분할해서 비교할 때 더 직관적으로 나눌 수 있겠다고 생각했는데요, 
신흥Sk뷰와 이스트, 리더스시티를 만드는 장표에서는 거의 다 비슷한 키워드로 나와서 이럴 때에는 어떻게 비교하는 게 좋을까 하는 고민이 들었습니다.  1,300세대정도의 대단지와 4,000세대 정도의 대단지도 키워드로는 같은 키워드로 나오게 될 것 같아서요! 이런 부분이 궁금했습니다. </t>
  </si>
  <si>
    <r>
      <rPr>
        <rFont val="Arial"/>
        <b/>
        <color rgb="FF0000FF"/>
        <sz val="11.0"/>
      </rPr>
      <t xml:space="preserve">가히 </t>
    </r>
    <r>
      <rPr>
        <rFont val="Arial"/>
        <b/>
        <color theme="1"/>
        <sz val="11.0"/>
      </rPr>
      <t>: 앗 MZ님.. 저는 개인적으로 제 업무 특성상 데이터 정확도가 넘나 중요해서 완전 똑같은 걸로 고민했던 적이 있었는데ㅋㅋ 근데 언젠가부터 단지 비교 시, 대충 1000세대 이상 규모의 대단지냐 500세대 규모냐의 등으로 좀 더 큼지막하게 비교를 하다보니, 세세한 숫자에는 크게 연연해하지 않아도 된다는 걸 오히려 배우게 됐던 것 같아요! 여러 카테고리 (세대수, 연식 + 각 입지요소등)에서 비교하며 총체적인 판단을 내리다보니 비교하기 용이하도록 단위를 맞추신 것 같습니다! 그리고 저는 강사님들의 교안이나 방식을 따라하되, 필요하다면 좀 더 추가하기도 합니다. 결국 제 임보는 저를 위한거라 생각해서... / 신흥SK뷰 vs 이스트 vs 리더스는 딱 놓고 봤을 때 연식과 위치가 가장 도드라지게 다를 것 같은데 엠지님은 어떤 키워드 쓰셨을지도 궁금하네용!!
로에 - 저는 각 단지에 선호하는 요소가 얼마나 들어가있을까? 로 크게 생각했습니다! 생활권 전체적으로 선호하는 요소를 더 많이 가진 것을 우선으로 보되 세세한건 그 안에서 추려내서 더 깊게 분석해보면 되지않을까 싶어요! 근데 저도 단지이름 옆에 (연식, 세대수)를 추가로 적긴했습니다ㅎㅎ
케빈 : 엠지님 디테일한 분석 넘 좋네요 ㅎㅎ 하지만 83%인지 80%인지 구분 하는 것은 우리가 경제적 자유를 위해 가는 길에서는 쓸모가 그리 크지 않은 고민일 수 있을것이라 생각합니다 ㅎㅎ 엠지님말씀처럼 뭉뚱그려서 더 편하게 비교해보시죠 ㅎㅎ:)</t>
    </r>
  </si>
  <si>
    <t xml:space="preserve">요건 기준을 정하고 나눈다고 생각해주시면 좋아요 예를들어 우리가 단지임장하고나면 사실 가치가 정말 천차만별로 정리하기 힘들잖아요~ 그럼에도 상, 중, 하 크게 3가지로 나눕니다 
더 비슷하게 생각해주면 , 사람들이 1000세대를 넘으면 좋아한다는 개념으로 기준을 만족하는지를 보고 키워드로만 적어두신거에요. 
사람들의 선호 카드를 많이 갖고있는 단지가 사람들이 제일 좋아할 가능성이 커지는거에요
</t>
  </si>
  <si>
    <t>진담튜터님 단지분석에서 거래량 아실에서 딸 때, 매매,전세,월세 구분없이 하라고 하시는데, 월세를 빼지 않는 이유가 궁금합니다.</t>
  </si>
  <si>
    <t>진담튜터님은 매매전세월세 중 어느선호도로 거주하는지 보는 거라고하시는데, 사실 이해가 안됩니다.  이게 투자에서 어떤 의미를 가지는지 명료하게 정리되지가 않습니다.</t>
  </si>
  <si>
    <r>
      <rPr>
        <rFont val="Arial"/>
        <b/>
        <color rgb="FF0000FF"/>
        <sz val="11.0"/>
      </rPr>
      <t xml:space="preserve">가히 </t>
    </r>
    <r>
      <rPr>
        <rFont val="Arial"/>
        <b/>
        <color theme="1"/>
        <sz val="11.0"/>
      </rPr>
      <t>: 저도 그늘님과 비슷한 생각으로 실거래 차트에서 월세를 자주 빼곤 했었는데, 지난달부터 전수조사할 때 월세 매물수를 같이 보기 시작했습니다! 가장 첫번째로 월세 또한 그 단지에 거주하고 싶어하는 [수요]이기 때문이고, 두번째로는 전세보다 월세가 많은 단지들이 공통된 특징이 있는 것도 같았고, 마지막으로 전세가 워낙 없다보니 월세도 같이 챙겨보게 되었어용! 
케빈 : 요즘처럼 전세가 없는 시장에서는 특히나 의미가 있다고 생각합니다 ~ 월세도 어쨌든 그 아파트에 거주하고 싶은 수요니까요 :)</t>
    </r>
  </si>
  <si>
    <t>요부분도 많이 어려워하시는거같아요~ 저는 전세월세는 결국 실거주자들의 실제선호도라 생각이 들었어요~ 요즘 전세가 귀해서 거래도 많이 안되어서 월세까지 더블체크하면서 보라는 의미로 이해됩니다 . 결국 중요한건 사람들이 좋아하는 선호도, 단지를 그럼에도 들어와서 거주하고싶은지! 본질을 생각해보면 좋을거같아요~ (근데 좀 구축에 비선호단지 소형 이런게 월세가많긴하더라고요) 맞아요, 그런곳일수록 소득수준이 낮은사람이 많이 살아서 그럴수있어요~</t>
  </si>
  <si>
    <t xml:space="preserve">그늘 </t>
  </si>
  <si>
    <t xml:space="preserve">지방투자할 때 조심하라는 이야기하면서 항상 저가치 물건이 있다는 말을 강의에서 들었는데요. 임장하고 이야기하면서 계속 투자 못할 물건은 없다는 말과 상충되는 것 같아 튜터님과 함께 생각을 정리하고 넘어가고 싶습니다. 예를 들어 외곽 구축이나 준구축들은 저는 저가치라고 판단하고 있거든요. 이게 투자 뒷단에라도 있는걸까요? 투자하면 잃을 수 있는 저가치라고 보시나요? </t>
  </si>
  <si>
    <t>저는 지방에서는 저가치 물건을 투자하면 위험하니까 보수적으로 보는 게 맞다고 생각합니다. 물론 뭐든 이건 투자할 건 아니니까 하는 마인드는 옳지 않지만요.</t>
  </si>
  <si>
    <r>
      <rPr>
        <rFont val="Arial"/>
        <b/>
        <color rgb="FF0000FF"/>
        <sz val="11.0"/>
      </rPr>
      <t>가히</t>
    </r>
    <r>
      <rPr>
        <rFont val="Arial"/>
        <b/>
        <color theme="1"/>
        <sz val="11.0"/>
      </rPr>
      <t xml:space="preserve"> : 예전에 인턴 튜터님이 지방에서 연식이 너무 빠지는 건 배제한다고 하셨던 말씀이 기억나는데, 지방에서는 그게 저가치가 아닌가 싶습니다. (정확한 숫자는 찾아봐야하겠지만, 예를 들어 광역시는 25년 이상, 중소도시는 15년 이상 넘은 단지는 투자 범위에서 제외 등으로) 실제로 입지가 정말 탄탄하다면 연식을 뛰어넘기도 하지만 (e.g. 크로바), 지방에서는 그런 곳이 매우 한정적이다보니 그렇게 말씀해주셨다고 생각했어요. 잔쟈니님 교안에서처럼 지방에서는 아파트의 가치에 입지보다 상품성 비중이 높은 경우가 많다보니, 입지도 별론데 상품성(=연식)마저 너무 빠지면 저가치로 보고 저는 투자범위에서 아예 배제할 것 같습니다. (주공2단지, 삼정하이츠 등)
케빈 : 전에 빈쓰튜터님 강의에서 저가치 아파트라고 해서 무조건 가격이 떨어지는 것은 아니라고 하더라고요. 물론 저가치 아파트로도 돈을 벌 수 있지만(투자할 수 있지만) 우리는 동일한 기회비용으로 최선의 선택을 해야하기에 가치비교를 하는 것이라 생각합니다 ~</t>
    </r>
  </si>
  <si>
    <t>저는 일단 내가 경험이 적고, 아직 실력을 쌓아가는 단계라면 모든단지에 투자할수있고 우선순위의 개념으로 갖고 단지를 바라봐주셨으면 좋겠어요 이유는, 편견혹은 습관적으로 정말 투자할수있는 기회를 스스로 놓칠수있기 때문입니다 그러고 이제 경험이나 실력이 어느정도 쌓여서 나만의 생각이 생긴다면, 말씀처럼 저가치를 바라보고 이정도 투자단지는 하지않는다는 투자마지노선을 정할거같아요 강의에서는 혹여 기초반 수강생분들이 코칭도없이 덜컥 사실까봐, 어느정도의 가이드를 드리면서 저가치를 말씀드렸다고 생각됩니다 우리는 배운 투자자이니까, 우선순위만 있을뿐 투자못할 단지는 없다고 모든단지를 바라보고 실력을 쌓으면 좋겠습니다 💛 우리 뽀버즈는 배운대로 행동하면 가치를 잘 아는 투자자가 되실거에요 💛</t>
  </si>
  <si>
    <t>진담튜터님 단지분석중인데요. 단지중 20평대나 30평초반이 주력인 단지들이 꽤 있어서요. 84가 없거나, 몇 세대 안되거나 그런 경우가 있었어요. 처음엔 84기준으로 잡고 해야지 생각했는데, 계속 그런 단지들이 나오니까 고민스럽더라고요. 그래서 단지에서 세대수가 가장 많은 대표 평형으로 해보고 있는데요. 그러니까 또 비교가 어려우려나 싶어 고민스럽습니다. 튜터님의 의견이 궁금합니다.</t>
  </si>
  <si>
    <r>
      <rPr>
        <rFont val="Arial"/>
        <b/>
        <color rgb="FF0000FF"/>
        <sz val="11.0"/>
      </rPr>
      <t xml:space="preserve">가히 </t>
    </r>
    <r>
      <rPr>
        <rFont val="Arial"/>
        <b/>
        <color theme="1"/>
        <sz val="11.0"/>
      </rPr>
      <t>: 저도 그런 단지는 세대수가 가장 많은 평형을 대표로 보는데, 삼코 같은 특수한 경우를 제외하고는 같은 평형끼리 비교해볼 것 같아요!! (59는 59끼리, 74는 74끼리) 대신 입지 가치가 달라서 가격대가 같다면 **어렵겠지만** 함께 비교해볼 것 같습니다. (e.g. 4억대 59 vs 4억대 84)
케빈 : 저도 그늘님처럼 비교하고 있습니다 ㅎㅎ</t>
    </r>
  </si>
  <si>
    <t>평형이 섞이면 아무래도 비교평가할때 어려우실거같아요 저는 84, 59, 낀평형 3가지로 나눠서 분류해서 보았어요 물건대 물건을 비교할때는 요렇게 평형을 맞춰서 골라보시면 좋을거같아요 단 생활권 단지분석을 하시면서 생활권별 가격결정요소, 단지의 선호도 상중하를 체크하고 계시죠~ 그 장표에서 평형을 지우고 어떤단지가 가격결정요소와 선호요소를 많이 갖고있는지 우선으로 생각해보시고 
그 다음에 평형대 평형을 붙이면서 비교해보시면 우선순위가 더 쉽게 정리될거같아요 평형을 지우고 가치대 가치로보는게 어려운 비교평가가 맞아요 ㅜㅜ 최대한 맞출수있게 비교하고, 앞단에 생활권우선순위와 생활권내에서 단지 선호도가 정리되어있으면 조금더 수월하실거같습니다</t>
  </si>
  <si>
    <t>진담님의 4분할 단지분석을 진행하면서 눈에 띄게 이 단지가 이 단지보다 좋은 것을 많이 가졌구나를 알 수 있었습니다. 이 4분할 단지분석을 수도권에 적용하려면 기존에 위치/연식, 학군, 환경, 단지 부분을 교통, 학군, 환경, 연식? 정도로 나눠서 적용해도 될까요?</t>
  </si>
  <si>
    <t>수도권 임보에 적용할 때는 상품성보다는 입지가 중요하니 교통, 학군, 환경 정도가 제일 중요하고 연식은 제일 후순위일것 같습니다</t>
  </si>
  <si>
    <r>
      <rPr>
        <rFont val="Arial"/>
        <b/>
        <color rgb="FF0000FF"/>
        <sz val="11.0"/>
      </rPr>
      <t>가히</t>
    </r>
    <r>
      <rPr>
        <rFont val="Arial"/>
        <b/>
        <color theme="1"/>
        <sz val="11.0"/>
      </rPr>
      <t xml:space="preserve"> : 저는 수도권에서도 연식은 중요하다고 생각합니다!! ㅋㅋ 대신 강남 접근성이라는 위치 가치가 워낙 압도적으로 중요하다보니 교통의 비중을 더 높이되, 연식을 굳이 후순위로 둘 것 같진 않아용.. 강남구보다 서초구 평단가가 높은 이유는 온전히 연식 덕분인 것처럼요..? 
케빈 : 교통, 학군, 환경, 강남직선거리(한강 직선거리) 요 정도이지 않을까요 ㅎㅎ</t>
    </r>
  </si>
  <si>
    <t xml:space="preserve">입지요소에 대한 질문이네요!  수도권과 지방에서는 어떻게 다르게봐야하는지 질문주셨어요~ 너무 좋은 질문입니다 현재는 위치,연식/ 학군/ 환경/ 단지 인데 여기서 위치,연식을 수도권은 교통으로 보면좋을지 질문주셨는데요~ 저는 같은 내용이라고 이해됩니다. 그래서 위치가 곧 강남까지의 거리를 볼거같아요
튜터링데이에서도 말씀드렸듯이 단지나 생활권은 단 한가지 입지요소로 선호도가 결정되지는 않아요 수도권에서도 연식이 선호요소로 작용하는 단지들이 있습니다 그래서 크게, 수도권은 교통이더 중요하고 지방은 연식이더 중요하다는 개념은 맞지만 단지분석시에 단지마다의 입지요소를 볼때는 동일하게 보셔도 됩니다! 
단지분석전에 사전임장보고서에서 입지요소 결론을 내고 넘어간 상황이라 단지는 개별적으로 파악한다고 이해해주시면 더 쉽게 와닿으실거같아요~ </t>
  </si>
  <si>
    <t>전임이 왜 이렇게 어려운가 생각해보면, 제 생각보다 늘 시간을 훨씬 많이 잡아먹는 느낌입니다. 어느 단지를 할지 보고, 또 찾고, 전화하고, 정리하는데 시간을 너무 많이 쓰는데요. 튜터님만의 전임 방식, 가볍게 접근할 수 있는 방법 같은 게 있으실까요?</t>
  </si>
  <si>
    <t>로에 - 그늘님 질문에 너무 공감합니다. 막상 전화하면 떨리지는 않는데 내가 이 단지를 잘 알고 있어야 사장님과 말을 이어갈 수 있다고 생각해서 사전 준비 시간이 오래걸리는 것 같아요ㅜㅜ(+마음의 준비 시간 포함) 저도 튜터님만의 전임 방법이 궁금합니다 ㅎㅎ
케빈 - 저는 전임을 '갯수 채우려고 하다보면' 하기가 싫더라고요. 이걸 또 공유하고 시트만들어야하고.. 저는 이런 벽이 있어서 그냥 길 걷다가, 임장하다가 사장님한테 편하게 물어보고 기록 안 하고 끊어보자 라는 마음으로 하기도 합니다. 개수에 연연하지 않고요 ㅎㅎ 그럼 더 전임다운 전임을 할 수 있더라고요 그렇게 좌르르 하고 지도위에 올려봅니다 ~</t>
  </si>
  <si>
    <t>여러분 전화임장에대한 벽 아직 조금씩은 있으시죠~? 전임 준비 다들 얼마나 걸리세요~? 전임준비 너무 힘드셨을거같아요 ㅜㅜ 여러분 그럼 준비가 오래걸리시는데 전임의 목적은 어떤걸까요~? 왜 하는걸까요~? 전화임장을 잘하게되는 비법이있어요 여러분이 오래걸리고 부대끼는 이유를 생각해보면한번의 통화에 많은걸 얻으려고 노력하셔서 그렇다고 생각되어요  그럴려면내가 시세도 알아야하고 가격도 잘알아야하고 부사님이 질문주시면 대답도 해야할거같은데 임장온거 들키면 곤란한데 준비를 엄청하시다가 에너지를다 써버리는경험 저도 많이했었어요 저는 어떻게 하는지 알려드릴게요 일단 전화임장의 목적은 한번의 통화로 많은걸 알아내는게아니라 일잘러 부사님, 친절한 부사님을 찾으려고 전화합니다 저는 틈새시간에 전임을해요 예를들면 저녁주문하고 음식나오기전에 나가서 한통하고옵니다 5~10분정도요 먼저 부동산에서 전화걸 매물이랑 부사님 캡쳐를해요 그럼 이미지 2장이죠? 요거 나에게 카톡보내기하고 전화겁니다 사장님 00동 00호 보고 전화드려요 요거 물건 있나요~ 나갔나요~ 상태는, 날짜는, 매도사유는 등등 물건에대한거만 물어보면서  우리가 사장님을 면접본다고 생각해보세요 그러고 네 사장님~ 제가 더 알아보고 다시전화드릴게요~ 하고 짧게 메모합니다 특징을 그다음보내놓고  나중에 그 단지 매물임장갈때 제일 친절하고 일잘하는분에게 예약을잡아요 저는그러고 현장에가서 물건에대한걸 많이 여쭤봐요 단지대단지 질문이나 가치질문은 직접얼굴뵙고 물건보면서 선호도,가치를 파악합니다 이렇게하면 기록 이랑 목적까지 달성했죠? 여러분 전임기록 길게주시는거 잘보고있어요. 아마 하시면서 스스로 정리도 많이되고 다른분들에게도 나눠주실거에요 실제 톡방에서 캡쳐2장- 짧은코멘트로 릴레이남기시고 전임시트에 기록잘 챙겨주셔도됩니다 그 벽을 낮추고 빈도를 높이시는게 훨씬 도움될거에요 (질문은 보통 한 전화에 몇개정도 하시나요?）  저는 몇개를 정하지는않고, 물건 상태나 날짜 조건위주로 여쭤보고 파악이되면 통화를 끝냅니다 또 여기서팁은 일부러 전화로 질문하려고 붙잡고 늘어지지않아요! （가히 : 주인분 거주하시나요? 
부사님 : 글쎄 나야 모르지????
가히 : 아.. 네!~~ 감사합니다~~~）이렇게 말씀하시면 면접탈락이잖아요? 네 사장님~ 감사합니다~ 하고 통화 빠르 게 끊으세요 그리고 공유해주세요 여러분 임장보고서에 시세 그룹핑 하셨죠 예를들어 실거주자들이 내가 매물임장간 단지랑 같이보는단지가 있다면 혹은 투자자입장에서 비슷한투자금 단지가 있죠 저는 매물임장가서 시세그룹핑 보고 질문 많이드려요 사장님 a단지랑 b단지랑 같은조건이면 어디가 전세 더 먼저 나가요 사장님 사실 b단지도 투자금 비슷해서 같이보고있는데, 어디가 먼저 전세빠져요? 그렇다면 전임으로 친절한 부사님찾기를 먼저 해서 친절한 부사님께 매물잡으면 됩니다! 킥은 실제 투자자들 혹은 실거주자들이 많이 비교하는 비슷한 선호도의 단지를 같이 물어보는거에요 그럼 a단지가서는 b단지의 단점을, b단지에서는 a단지의 단점을 말해주실거에요 ㅎㅎㅎ 전누잘!전누잘!전누잘! 전화임장 장표 최상단에 투자자비선호 부사님 칸 만들고 취합하고 피하시면 좋을거같아요~</t>
  </si>
  <si>
    <t>튜터님 MBTI가 궁금합니다!!!!!!</t>
  </si>
  <si>
    <t>E.. S..TP?!! ESTJ ??!</t>
  </si>
  <si>
    <t>학생) ENTJ
라니) 그렇게 생각하는 이유는?!ㅋㅋㅋ</t>
  </si>
  <si>
    <t xml:space="preserve">매임할때 선호도 파악은 30평대 위주로 맞춰서 하는게 좋을 거 같은데 실제로 투자로 접근하고 싶은 단지들은 20평대도 많아서 어떻게 자연스럽게 30평대도 보고 20평대도 볼 수 있을지 궁금합니다! </t>
  </si>
  <si>
    <t xml:space="preserve">a. 이번 부동산에서는 30평대만 잡고 다른 부동산에서 20평대를 잡아서 보기
b. 30평대 잡으면서 좀 소액으로 할만한것도 보고있는데 20평대도 보여달라고 해서 보기
이렇게 두 가지 방법을 생각해보았는데 어떤 식으로 보고 계신지 궁금합니다. </t>
  </si>
  <si>
    <t>학생) 사장님 제가 30평대 투자하고 나서 돈 남으면 20평대도 하려고 하는데 같이 보여주세요
가히 : 기왕이면 84 하고 싶은데 59가 가격이 너무 좋은 것 같아요. 사장님 생각은 어떠세요? (사장님 의견 줄줄줄) 그러면 사장님, 59도 같이 볼 수 있을까요? 봐야 알 것 같아요.</t>
  </si>
  <si>
    <t>전세가 낮게 깔린 기존 계약에서 세입자에게 n천만원 높인 금액으로 신규계약하되, 2년치 이자를 선지급한다는 조건으로 계약을 진행한다면 만약 2천만원 올린금액일 때 2천만원에 대해 2년동안 현재 금리로 나눈 금액을 바로 제공하는 걸까요?</t>
  </si>
  <si>
    <t>2천만원에 2년치 4% 금리로 했을때 대략 160만원이고, 이걸 기존 세입자에게 지급하면 된다고 생각하는데 이게 아니라면 세입자가 전세대출 받은 총액의 2년치 이자일지 잘 모르겠습니다</t>
  </si>
  <si>
    <t>케빈 : 학생님 정확하십니다
라니 : 학생님 세입자가 전세대출 받은 총액의 2년치 이사를 줄 필요는 없어요~ 우리가 왜 이렇게 하는지 생각해 보면 답이 나올거 같아요. 보통 세입자가 가져오는 전세 대출의 이자는 투자자가 받는 신용대출보다 금리가 더 낮아요. 그러면 투자자 입장에서는 세입자가 더 높은 전세금을 은행으로 레버리지 받아서 가져오는게 더 좋은거죠~ 
이 플랜은 현재 전세가 없는 시장에서 통할수 있는 전략인 것 같아요 (울산,부산)
대전같은 경우 곧있음 공급이 많고 
대체할 수 있는 전세가 대전 동구보다 더 상급지에 있기 때문에 이 전략보다는 당장 투자금이 더 들더라도 전세를 빨리 빼는 플랜이 더 나아보입니다 :)</t>
  </si>
  <si>
    <t>튜터님 1주차 매임이 끝났습니다. 학생님이랑도 매임을 하면서 이야기 했는데 이미 좋은 생활권과 단지는 정해져 있는듯한 느낌이 자꾸 듭니다 ㅎㅎ(같은 돈이면 신흥sk뷰로 결론이 감) 튜터님은 이럴 때 어떻게 생각하실지 궁금합니다.</t>
  </si>
  <si>
    <t>제대로 보고있는건 맞는것 같은데 자꾸 신흥sk로 결론이 맺어집니다 (이러다 우리 다 똑같은 단지 뽑아오는거 아닐까요 ㅎㅎ)</t>
  </si>
  <si>
    <t>사임제출</t>
  </si>
  <si>
    <t>튜터링데이</t>
  </si>
  <si>
    <t>중임제출</t>
  </si>
  <si>
    <t>최임제출</t>
  </si>
  <si>
    <t>최종 모임</t>
  </si>
  <si>
    <t>구분</t>
  </si>
  <si>
    <t>일(SUN)</t>
  </si>
  <si>
    <t>수(WEN)</t>
  </si>
  <si>
    <t>계획</t>
  </si>
  <si>
    <t>분임</t>
  </si>
  <si>
    <t>단임1</t>
  </si>
  <si>
    <t>튜데</t>
  </si>
  <si>
    <t>매임1</t>
  </si>
  <si>
    <t>단임2</t>
  </si>
  <si>
    <t>매임2</t>
  </si>
  <si>
    <t>매임3</t>
  </si>
  <si>
    <t>도착/출발시간</t>
  </si>
  <si>
    <t>08:03 서대전</t>
  </si>
  <si>
    <t>미정</t>
  </si>
  <si>
    <t>08:03 서대전
19:37 대전역</t>
  </si>
  <si>
    <t>09:34
대전역 도착</t>
  </si>
  <si>
    <t>출발시간
미정</t>
  </si>
  <si>
    <t>대전역 09:02</t>
  </si>
  <si>
    <t>08:07 대전역</t>
  </si>
  <si>
    <t>숙박여부</t>
  </si>
  <si>
    <t>단임</t>
  </si>
  <si>
    <t>필요시</t>
  </si>
  <si>
    <t>매임</t>
  </si>
  <si>
    <t>08:00 대전역</t>
  </si>
  <si>
    <t>9시 대전역</t>
  </si>
  <si>
    <t>대전역9시22분</t>
  </si>
  <si>
    <t>o</t>
  </si>
  <si>
    <t>매임0.5</t>
  </si>
  <si>
    <t>매임 1.5</t>
  </si>
  <si>
    <t>x</t>
  </si>
  <si>
    <t>대전역 15:03</t>
  </si>
  <si>
    <t>?</t>
  </si>
  <si>
    <t>8시 서대전</t>
  </si>
  <si>
    <t>15:48 도착</t>
  </si>
  <si>
    <t>08:47 대전</t>
  </si>
  <si>
    <t>강의</t>
  </si>
  <si>
    <t>4/18 (토)</t>
  </si>
  <si>
    <t>팀</t>
  </si>
  <si>
    <t>가히/르떼</t>
  </si>
  <si>
    <t>케빈/로에</t>
  </si>
  <si>
    <t>데이/그늘</t>
  </si>
  <si>
    <t>라니/학생</t>
  </si>
  <si>
    <t>단지명</t>
  </si>
  <si>
    <t>상세 예약 정보</t>
  </si>
  <si>
    <t>노트</t>
  </si>
  <si>
    <t>예약
확정</t>
  </si>
  <si>
    <t>가서 사장님께 여쭤볼것</t>
  </si>
  <si>
    <t>시간</t>
  </si>
  <si>
    <t>10:00~11:30</t>
  </si>
  <si>
    <t>SK뷰
리더스시티</t>
  </si>
  <si>
    <r>
      <rPr>
        <rFont val="Arial"/>
        <b/>
        <color theme="1"/>
      </rPr>
      <t>[SK뷰]</t>
    </r>
    <r>
      <rPr>
        <rFont val="Arial"/>
        <color theme="1"/>
      </rPr>
      <t xml:space="preserve">
112-304 (59b) 3.8/2.7 
110-2504 (59b) 4.1/3.0 (조합원/뷰굿)
111-3101 (59a) 4.15
106-701 (59a) 4.1
111-903 (59a) 4.02
</t>
    </r>
    <r>
      <rPr>
        <rFont val="Arial"/>
        <b/>
        <color theme="1"/>
      </rPr>
      <t>[리더스]</t>
    </r>
    <r>
      <rPr>
        <rFont val="Arial"/>
        <color theme="1"/>
      </rPr>
      <t xml:space="preserve">
401-601(74b) 4.75
405-704(74a) 4.70
407-18층 (74b) 4.65 (무옵션, 에어컨값 협의 가능)</t>
    </r>
  </si>
  <si>
    <r>
      <rPr>
        <rFont val="Arial"/>
        <b/>
        <color theme="1"/>
      </rPr>
      <t>SK뷰 112-304 지하주차장에서 만나용</t>
    </r>
    <r>
      <rPr>
        <rFont val="Arial"/>
        <color theme="1"/>
      </rPr>
      <t xml:space="preserve">
SK뷰 a/b 선호 비슷,
리더스 A 선호</t>
    </r>
  </si>
  <si>
    <t>10:00~11:00</t>
  </si>
  <si>
    <t>한밭자이</t>
  </si>
  <si>
    <t>104-2503 3.5억 (~27.2 주전가능)
107-1402 3.6억
112-1901 3.6억</t>
  </si>
  <si>
    <t>08:30~</t>
  </si>
  <si>
    <t>이스트1단지</t>
  </si>
  <si>
    <t>24평 107동 고층 3억7천(27/2월 만기)</t>
  </si>
  <si>
    <t>삼정그린코아1</t>
  </si>
  <si>
    <t>16:00-17:00</t>
  </si>
  <si>
    <t>신흥SK뷰</t>
  </si>
  <si>
    <t xml:space="preserve">[1] 104동-5층 전세입자 거주 4.1(4.0) / 3.0
전세만기 올해 6월 -&gt; 지금 내면 전세 맞출 수 있을듯
[2] 111동-31층 4.15 / 전세입자 거주 
전세만기 올해 5월 -&gt; 잔금 3개월로 하고 2달은 매도인부담? </t>
  </si>
  <si>
    <t xml:space="preserve">30평대와 20평대의 수요 
차이
가족단위 많이 살 거 같은데 내부 
20평&gt;30평으로 이동 수요? </t>
  </si>
  <si>
    <t>예약자</t>
  </si>
  <si>
    <t>30평 112동 4층 4억7천(27년 3월 만기)</t>
  </si>
  <si>
    <t>부동산명</t>
  </si>
  <si>
    <t>리더스시티대표</t>
  </si>
  <si>
    <t>엘지공인</t>
  </si>
  <si>
    <t>이스트사랑</t>
  </si>
  <si>
    <t>34평 102동 404호 4억9,500(27년 7월 만기),104동 14층 5억5천(27월 2월 이후 아무때나)</t>
  </si>
  <si>
    <t>010-5388-8266</t>
  </si>
  <si>
    <t>대동이스트OK</t>
  </si>
  <si>
    <t>부동산연락처</t>
  </si>
  <si>
    <t>010-4488-2820</t>
  </si>
  <si>
    <t>010-5450-3301</t>
  </si>
  <si>
    <t xml:space="preserve">110동 30평 4.5억 (2시 20분)
</t>
  </si>
  <si>
    <t>삼정코아행복공인중개</t>
  </si>
  <si>
    <t>010-7547-3636</t>
  </si>
  <si>
    <t>11:00~12:30</t>
  </si>
  <si>
    <t>효촌마을 
스마트뷰</t>
  </si>
  <si>
    <r>
      <rPr>
        <rFont val="Arial"/>
        <color theme="1"/>
      </rPr>
      <t xml:space="preserve">효촌마을 
스마트뷰 </t>
    </r>
    <r>
      <rPr>
        <rFont val="Arial"/>
        <color rgb="FF999999"/>
      </rPr>
      <t xml:space="preserve">106동 고층 3.3억(27.11만기(2.75억))
</t>
    </r>
    <r>
      <rPr>
        <rFont val="Arial"/>
        <color theme="1"/>
      </rPr>
      <t xml:space="preserve">              - 세입자 연락가디리는 중</t>
    </r>
  </si>
  <si>
    <t>11:00~</t>
  </si>
  <si>
    <t>신흥SK 뷰</t>
  </si>
  <si>
    <t>108-23층 74 5.0억 협의입주
103-12층 84 5.7억
103-19층 84 5.8(공실)
111고층 74 전세승계 5.05억(*계속거주원함)(1시)
107-25층 84 5.9억(1시15분)</t>
  </si>
  <si>
    <t>11:30~12:30</t>
  </si>
  <si>
    <t>e편한에코포레</t>
  </si>
  <si>
    <t>학생,라니 각각 금요일 확인후 피드백</t>
  </si>
  <si>
    <t>이스트시티1단지</t>
  </si>
  <si>
    <t xml:space="preserve">3.7 / 2.4 [1.5]
27.01 만기라 잘 안보여줌 
최근 4억 실거래라 이거 진짜 싼거임. 다른 나갈 물건임.
같은동 같은라인 공실로 </t>
  </si>
  <si>
    <t xml:space="preserve">신흥Sk뷰와 비교해서는 
여기는 어떰? 
그냥 가성비 단지임? 
아니면 여기 고수하는 분이 
계심? </t>
  </si>
  <si>
    <t>둥지공인</t>
  </si>
  <si>
    <t>이스트박사</t>
  </si>
  <si>
    <t>010-8321-6833</t>
  </si>
  <si>
    <t>010-6371-5951</t>
  </si>
  <si>
    <t>12:15~13:00</t>
  </si>
  <si>
    <t>이스트시티</t>
  </si>
  <si>
    <t>5개</t>
  </si>
  <si>
    <t>협조적이심.</t>
  </si>
  <si>
    <t>13:00~14:30</t>
  </si>
  <si>
    <t>힐스테이트
가양더와이즈</t>
  </si>
  <si>
    <t>102동 41층 4.9억
외 투자매물 추려서 준비해주신다함 굿굿</t>
  </si>
  <si>
    <t>13:30~</t>
  </si>
  <si>
    <t>휴먼시아1단지+
이스트2단지</t>
  </si>
  <si>
    <t>새들뫼 110 중층 4.3억
이스트 201/고층 4.3억</t>
  </si>
  <si>
    <t>새들뫼,펜타뷰</t>
  </si>
  <si>
    <t>일단 오세요</t>
  </si>
  <si>
    <t>18:00-19:00</t>
  </si>
  <si>
    <t>리더스시티4BL 
/ 5BL</t>
  </si>
  <si>
    <t xml:space="preserve">[1] 4BL 
30A형 - 7층 
주인거주 - 2년채워야 해서 26.08까지 기달
3.2 
[2] 4BL
30B형 - 18층
18층이어도 B보다 A가 구조가 더 좋고 조망이 좋아서 (18층은 뭔가 막혀있어서) [1]번 매물 더 추천. B형이 500 더 싸게 감 </t>
  </si>
  <si>
    <t>4BL A타입이 구조 더 좋고 
7층이어도 18층B형보다 
조망 좋다는데 확인해볼 것.</t>
  </si>
  <si>
    <t>라떼</t>
  </si>
  <si>
    <t>라니 (투넘버)</t>
  </si>
  <si>
    <t>이스트시티공인</t>
  </si>
  <si>
    <t>착한공인</t>
  </si>
  <si>
    <t>새들뫼공인중개</t>
  </si>
  <si>
    <t>펜타뷰114</t>
  </si>
  <si>
    <t>010-7477-0355</t>
  </si>
  <si>
    <t>010-5421-6101</t>
  </si>
  <si>
    <t>010-3270-6200</t>
  </si>
  <si>
    <t>010-5345-3160</t>
  </si>
  <si>
    <t>13:00~14:00</t>
  </si>
  <si>
    <t>새들뫼</t>
  </si>
  <si>
    <t>집주인새들뫼휴먼시아1단지 102동
매매4억 3,000
아파트112C-/84m², 26/26층, 남동향
다들 집만 보고 가서 안사니깐 안보여줄려고 하심. ㅠㅠ</t>
  </si>
  <si>
    <t>중간? 
좀 껄끄러워하심.</t>
  </si>
  <si>
    <t>15:30~17:00</t>
  </si>
  <si>
    <t>꿈에그린
용방마을</t>
  </si>
  <si>
    <t>꿈그 106동 5층 2.6억 (기본, 깔끔)
용방 303동 8층 2.35억 (수리 x)
용방 2.5억 (수리O, 도배는 필요할 수도)</t>
  </si>
  <si>
    <t>어디로 이사 많이 가나요</t>
  </si>
  <si>
    <t>15:00~16:00</t>
  </si>
  <si>
    <t xml:space="preserve">리더스시티4단지
&amp; 5단지
</t>
  </si>
  <si>
    <t>1.
2,
3.
4.
5.</t>
  </si>
  <si>
    <t>이스트1</t>
  </si>
  <si>
    <t>*이스트시티84타입 정리*
1.104-1404호
2.103 동 고층 
주인전세 가능한 매물
3.102-404호 매:4.95억
기전세금3억 27년7월초
아침 9시30분 볼수 있음
그래서 볼수는 없음
30평:111동1401호
26평:108동26층
방문약속했어요
이스트는 이렇게 보여준다고</t>
  </si>
  <si>
    <t>새들뫼사랑공인</t>
  </si>
  <si>
    <t>열린</t>
  </si>
  <si>
    <t>리더스시티공인</t>
  </si>
  <si>
    <t xml:space="preserve">010-3063-3670
</t>
  </si>
  <si>
    <t>010-7275-1941</t>
  </si>
  <si>
    <t>010-6759-9050</t>
  </si>
  <si>
    <t>14:00~15:00</t>
  </si>
  <si>
    <t>어진마을
신흥마을</t>
  </si>
  <si>
    <r>
      <rPr>
        <rFont val="Arial"/>
        <color theme="1"/>
      </rPr>
      <t xml:space="preserve">정리타임 및 식사
</t>
    </r>
    <r>
      <rPr>
        <rFont val="Arial"/>
        <b/>
        <color theme="1"/>
      </rPr>
      <t>&gt;&gt;&gt; 누구 맘대로요????????? ♡^.^♡
&gt;&gt;&gt; 정리는 이동 중에 ~~~  *^.^*
어진 vs 신흥 비교</t>
    </r>
  </si>
  <si>
    <t>부사님 사무실 2시</t>
  </si>
  <si>
    <t>17:00~18:30</t>
  </si>
  <si>
    <t>E편한에코포레</t>
  </si>
  <si>
    <t>117동 저층(4층) 4.2억 / 3억 안고 세만기 (갱신권 완료)
103동 30층 59 / 세 안고 물건 보기 어려움</t>
  </si>
  <si>
    <t>사장님 자꾸 동시진행 안 된다고 입주물건 안 보여줌</t>
  </si>
  <si>
    <t>16:30~17:30</t>
  </si>
  <si>
    <t>e편한세상에코포레</t>
  </si>
  <si>
    <t>위드힐</t>
  </si>
  <si>
    <t>어진마을공인</t>
  </si>
  <si>
    <t>용운E편한</t>
  </si>
  <si>
    <t xml:space="preserve">에코포레합동
(부부)에코포레공인
</t>
  </si>
  <si>
    <t>천동공인중개사</t>
  </si>
  <si>
    <t>010-9784-3360</t>
  </si>
  <si>
    <t>010-3462-1291</t>
  </si>
  <si>
    <t>010-3466-9100</t>
  </si>
  <si>
    <t>010-9429-9177</t>
  </si>
  <si>
    <t>e편한세상
에코포레</t>
  </si>
  <si>
    <t xml:space="preserve">104동 1303호 4.25 / 6월12,13일 만기 더 살길 원함
113동 2502호 4.45 / 12월 만기, 학군 땜에  </t>
  </si>
  <si>
    <t>3시 104동 앞에서</t>
  </si>
  <si>
    <t>18:30~19:30</t>
  </si>
  <si>
    <t>삼정그린코아</t>
  </si>
  <si>
    <t>105동 1403호 4.2억 31평
9층도 있는데 뷰 간섭 같은 가격이지만 덜 좋음 (이건 안 봄)
202동 905 3.6억 29평
203동 16층 3.47억 29평 둘다 팔아야 함</t>
  </si>
  <si>
    <t>사장님 꼬치꼬치 캐물어보셔서 여자친구랑 간다함</t>
  </si>
  <si>
    <t>18:00~19:00</t>
  </si>
  <si>
    <t>판암삼정그린코아
1,2단지</t>
  </si>
  <si>
    <t>1.
2,
3.
4.
5.
6.
7.</t>
  </si>
  <si>
    <t>리더스45 74
SK뷰 59</t>
  </si>
  <si>
    <t>리더스4 59 최근거래되서 전세놓을수있는물건이 없다</t>
  </si>
  <si>
    <t>대청부동산</t>
  </si>
  <si>
    <t>삼정코아행복</t>
  </si>
  <si>
    <t>삼정코아행복공인</t>
  </si>
  <si>
    <t>부동산이즈리더스</t>
  </si>
  <si>
    <t>010-7444-1130</t>
  </si>
  <si>
    <t>16:00~17:00</t>
  </si>
  <si>
    <t>삼정그린코아
1단지</t>
  </si>
  <si>
    <t>29평/ 104-1903 (RR) - 4.0
28평/ 113-1403 - 3.7 (조정 가능)
24평/ 113-301 - 3.4/2.5 (27.10 만기)</t>
  </si>
  <si>
    <t>부동산 사무실 4시</t>
  </si>
  <si>
    <t>은어송코로오하늘채12
은어송하늘채리버뷰</t>
  </si>
  <si>
    <t>학생님 리더스 시간 확인하고 예약 할게요</t>
  </si>
  <si>
    <t>복돼지부동산</t>
  </si>
  <si>
    <t>010-6330-3993</t>
  </si>
  <si>
    <t>17:30~18:30</t>
  </si>
  <si>
    <t>은어송
하늘채리버뷰
(24년식)</t>
  </si>
  <si>
    <t>102동 4.85 천변뷰 
+ 물건 2개 더</t>
  </si>
  <si>
    <t>리버뷰공인중개사사무소</t>
  </si>
  <si>
    <t>리버뷰공인</t>
  </si>
  <si>
    <t>010-3460-6176</t>
  </si>
  <si>
    <t>은어송2단지
코오롱하늘채07</t>
  </si>
  <si>
    <t>기존 예약 취소 → 당일예약</t>
  </si>
  <si>
    <t>9731-4500</t>
  </si>
  <si>
    <t>드랍</t>
  </si>
  <si>
    <t>010-7330-3662</t>
  </si>
  <si>
    <t>새들뫼으뜸</t>
  </si>
  <si>
    <t>4/25 (토)</t>
  </si>
  <si>
    <t>가히/MZ</t>
  </si>
  <si>
    <t>르떼</t>
  </si>
  <si>
    <t>참고사항 + 여쭤볼 것</t>
  </si>
  <si>
    <t>9:30~11:00</t>
  </si>
  <si>
    <t>- 한밭 vs 스맡 vs 아침</t>
  </si>
  <si>
    <t>09:00~10:00</t>
  </si>
  <si>
    <t>신흥SK뷰
(24평 추가)</t>
  </si>
  <si>
    <t>한밭자이
태평동 버드내</t>
  </si>
  <si>
    <t>한밭자이랑 중구 태평동 버드내마을?
한밭자이 3.5억 주인거주 27년 2월 다른곳으로 입주
태평동버드내 3.3 / 2.7  4월만기</t>
  </si>
  <si>
    <t>신흥SK나라공인</t>
  </si>
  <si>
    <t>010-7266-7889</t>
  </si>
  <si>
    <t>11:30~13:00</t>
  </si>
  <si>
    <t>10:30~11:30</t>
  </si>
  <si>
    <t>은어송하늘채리버뷰</t>
  </si>
  <si>
    <t>스마트뷰,아침마을
(실거주)</t>
  </si>
  <si>
    <t>하늘채박사공인</t>
  </si>
  <si>
    <t>13:30~15:00</t>
  </si>
  <si>
    <t>힐스테이트가양더와이즈 (주복)
+
e편한센텀비스타</t>
  </si>
  <si>
    <t>102동 3201호
102동 1501호
102동 고/49층 - 월세
101동 701호
103동 4701호</t>
  </si>
  <si>
    <t>- e편한 입주 영향 
- 힐스 vs e편한 선호 차이
- 분양 아파트 가격 구조</t>
  </si>
  <si>
    <t>11:40~12:50</t>
  </si>
  <si>
    <t xml:space="preserve">은어송2단지하늘채 &amp; 
3단지아이파크 </t>
  </si>
  <si>
    <t>힐스테이트가양
(이편한세상)</t>
  </si>
  <si>
    <t>투자공인</t>
  </si>
  <si>
    <t>코오롱하늘채공인</t>
  </si>
  <si>
    <t>010-3478-5993</t>
  </si>
  <si>
    <t>15:00~16:30</t>
  </si>
  <si>
    <t>아침마을LH</t>
  </si>
  <si>
    <t>116동 6층
116동 18층
102동 13층</t>
  </si>
  <si>
    <t>14:00~15:30</t>
  </si>
  <si>
    <t>14:30~15:30</t>
  </si>
  <si>
    <t>힐스테이트가양더와이즈</t>
  </si>
  <si>
    <t>갤러리아휴리움</t>
  </si>
  <si>
    <t>아침마을114</t>
  </si>
  <si>
    <t>010-9998-8114</t>
  </si>
  <si>
    <t>16:30~18:00</t>
  </si>
  <si>
    <t>고운하이플러스</t>
  </si>
  <si>
    <t>18:00~19:30</t>
  </si>
  <si>
    <t>스마트뷰</t>
  </si>
  <si>
    <t>달성률</t>
  </si>
  <si>
    <t>실적</t>
  </si>
  <si>
    <t>부동산 정보</t>
  </si>
  <si>
    <t>아파트 정보</t>
  </si>
  <si>
    <t>매물 정보</t>
  </si>
  <si>
    <t>일자</t>
  </si>
  <si>
    <t>전화번호</t>
  </si>
  <si>
    <t>매매
매물수</t>
  </si>
  <si>
    <t>전세
매물수</t>
  </si>
  <si>
    <t>입주시기</t>
  </si>
  <si>
    <t>세대수</t>
  </si>
  <si>
    <t>연식</t>
  </si>
  <si>
    <t>동/층/향</t>
  </si>
  <si>
    <t>공급평형</t>
  </si>
  <si>
    <t>매매가</t>
  </si>
  <si>
    <t>전세가</t>
  </si>
  <si>
    <t>매전차</t>
  </si>
  <si>
    <t>평단가</t>
  </si>
  <si>
    <t>전세가율</t>
  </si>
  <si>
    <t>특이사항/전임내용</t>
  </si>
  <si>
    <t>부동산 평가</t>
  </si>
  <si>
    <t>얻은 정보/내생각</t>
  </si>
  <si>
    <t>공유용 양식
(자동 완성)</t>
  </si>
  <si>
    <t>우리 조 총 실적</t>
  </si>
  <si>
    <t>예시</t>
  </si>
  <si>
    <t>OOO</t>
  </si>
  <si>
    <t>2024.01.01.</t>
  </si>
  <si>
    <t>금나무공인중개사사무소</t>
  </si>
  <si>
    <t>02-592-5600,010-2858-1475</t>
  </si>
  <si>
    <t>래미안원베일리</t>
  </si>
  <si>
    <t>116동 14층 남향</t>
  </si>
  <si>
    <t>첫입주, 풀옵션. 24년 2월 28일 협의.</t>
  </si>
  <si>
    <t>친절하고 투자물건에 대해 잘 앎.</t>
  </si>
  <si>
    <t>이번달 목표</t>
  </si>
  <si>
    <t>루시퍼홍#1</t>
  </si>
  <si>
    <t>2026.02.02</t>
  </si>
  <si>
    <t>왜이제왔어공인</t>
  </si>
  <si>
    <t>02-1234-5678</t>
  </si>
  <si>
    <t>🐕편한세상</t>
  </si>
  <si>
    <t>1동 7층 남향</t>
  </si>
  <si>
    <t>집주인거주. 입주일 협의. 특올수리</t>
  </si>
  <si>
    <t>엄청 친절하신 일잘러 사장님</t>
  </si>
  <si>
    <t>1단지는 지주연결이 되어 있는데 2단지는 안되어 있음.
최근 2단지가 6.9억에 거래됐고 아직 실거래는 안올라옴</t>
  </si>
  <si>
    <t>2026.04.01</t>
  </si>
  <si>
    <t>태양공인중개사</t>
  </si>
  <si>
    <t>010-8631-0785</t>
  </si>
  <si>
    <t>-</t>
  </si>
  <si>
    <t xml:space="preserve">단지 특정하지 않고 전세 시세와 전세 매물 추천 요청
현재 전세 시세 3.8-4.0. SK 전세 3.7짜리 2개가 있는데 하나는 에어컨 있고 하나는 에어컨 없는거다. 둘다 천변 보이는쪽이 RR이고 이스트시티는 철길쪽이랑 철길 아닌쪽이랑 전세가도 차이 난다(천만원정도) 현재 전세가 많지 않다. 두개 보고 자녀있으면 이스트시티 선택하는데 SK도 104.105.106 쪽은 학교랑 가깝다
SK가 비싼 이유는 연식 때문이다. 
단지가 대전역에서 걸어서 얼마걸리나? 15분 정도 걸린다. 보통 여기는 둘중에 한명이 KTX 타고 다른곳 (김천구미.동대구,서울) 이용해야 하는 사람들이 중간 합의점으로 찾는 곳이다. </t>
  </si>
  <si>
    <t>친절 일잘러</t>
  </si>
  <si>
    <t>두개 선호요소가 명확하다. 이스트-초품아, SK-연식
매임으로 SK들어왔을때 주변 분위기도 물어 봐야겠다.
이스트는 철길쪽과 철길아닌쪽 전세 최근실거래좀 찾아봐야겠다.</t>
  </si>
  <si>
    <t>2026.4.1.</t>
  </si>
  <si>
    <t>sk진공인중개</t>
  </si>
  <si>
    <t>010-9677-0709</t>
  </si>
  <si>
    <t>신흥SKVIEW</t>
  </si>
  <si>
    <t>103동/고(탑층아님)/남동향</t>
  </si>
  <si>
    <t>투자자컨셉
현재 저층 탑층 제외 가장 저렴한 물건. 
월세입자 5000/100만, 월세입자가 관리 잘했고 따로 인테리어 하신 건 없으심. 
26.12.하순 월세 계약 만료(갱신X) 더 산다고 하시면 협의 해볼 물건임. 
그래도 집을 보여주신다고 함. 
그외 101동 15층 59000원 말씀하시는 데 더 저렴하게 할 수 있을 물건 있음. 분양받아서 주인이 가야하는 물건임. 101동은 뻥뷰. 주인거주중
 조합원 세대 물건(선호)</t>
  </si>
  <si>
    <t>사장님 친절 일잘러느낌</t>
  </si>
  <si>
    <t xml:space="preserve">현재 단지들에 전세가 잘 안나가고 있는 상황임. 3.5억은 생각해야 함. 3.6억 이상으로 나와있으나, 그전에도 3.3-3.5까지 나갔는데, 요즘 전세가 없다보니 살짝 높여 나왔으나 전세 찾는 손님이 없음. 
주변 단지 중에서는 재개발 지역의 대장 아파트라, 가격이 빠지지 않았고 주변 LH, 여기만 브랜드라 관심이 높다. 
20평대에 신혼부부들이 좋아하고, 20평대가 더 선호도가 좋다. 대동역 10분 내 도보 등으로 대전역이 가까워 젊은 사람들의 선호가 높다. 
조합원 세대와 일반분양 세대가 있는데 조합원 선호가 있고, 109동이 제일 로얄동, 다음 109동이 좋고, 108, 109동은 남서향, 101동도 조합원동으로 남동향. </t>
  </si>
  <si>
    <t>2026.4.1..</t>
  </si>
  <si>
    <t>수.</t>
  </si>
  <si>
    <t>위드힐탑</t>
  </si>
  <si>
    <t>042-282-3349</t>
  </si>
  <si>
    <t>리더스시티5BL</t>
  </si>
  <si>
    <t>505동/중/남동</t>
  </si>
  <si>
    <t xml:space="preserve">전세낀 물건, 28000에 들어있고, 내년 27년 1월 30일 만기. 집은 보여주실 수 있다고 함. 에어컨 4대
501동 로얄동 로얄층 전세 28000 물건 있으나 보여주지는 않는다고 하심. 에어컨 3대, 중문, 주방 수납 등 
현재 지금 전세 받는다면 3.2억 정도에서 거래될 수 있으나, 손님이 많지는 않음. 
현재 실거래가 잘 이뤄지지 않아,  거래가가 제대로 나와있지 않고, 주인분들이 원하시는 희망 호가가 올라가있는 경향이 있음. </t>
  </si>
  <si>
    <t>전반적으로 묻는 질문에 답은 하시나, 적극적이진 않으심</t>
  </si>
  <si>
    <t>죄송합니다. 제대로 못물어봤네요~^^</t>
  </si>
  <si>
    <t xml:space="preserve">SK진공인 </t>
  </si>
  <si>
    <t>103동 고/24층 남동향</t>
  </si>
  <si>
    <t>[매물 정보]
- 103동 고/24층 남동향 : 5.6억
- 102, 103동은 조망이 살짝 막힘 (특히 남동), 101동이 앞동에 남서향이 전망 좋은 편인데 5.9억부터
- 다른 매물 추천 : 101동 7층인데 5.9 -&gt; 5.8 가능</t>
  </si>
  <si>
    <t>친절, 일잘러는 아니시지만 손님과 유대감 쌓기 좋을 스타일</t>
  </si>
  <si>
    <t xml:space="preserve">[시세/분위기]
- 현재 전세 고층 3.6 (3/24에 1천 내림) &amp; 저층 3.7
- 부사님 처음에 전세 3.8~3.9 말씀하시다가 3.5가 안전선이라고 말바꾸심
- 전세 문의가 활발하고 빠르게 나가는 편은 아닐 것으로 예상 </t>
  </si>
  <si>
    <t xml:space="preserve">이스트시티공인 </t>
  </si>
  <si>
    <t>109동 고/29층</t>
  </si>
  <si>
    <t>5억 세안고 (3억 미만, 말씀안해주심 ㅠ)
[전세 시세]
- 전세 현재 전세 3.8 &amp; 4.0 &amp; 4.5
- 최근에 3.95에 나간 적이 있어 다들 높게 내놓았지만 3.9 이상은 살짝 저항감있고, 3.5~3.7 사이는 안전선</t>
  </si>
  <si>
    <t xml:space="preserve">일잘러 매물 빠삭 </t>
  </si>
  <si>
    <t>- 자녀 있으면 연식좋은 sk보다 이스트, 코레일 직원들도 이스트 (걸어서 출근), sk와 수요층이 다름
- 이주 수요 있어 전월세 수요 빵빵함
- 대전 신축 입주 있어도 동구와는 크게 관계없어서 (특히 이주수요) 앞으로도 전월세는 유지 혹은 상승할 것이라 생각하심</t>
  </si>
  <si>
    <t>대청에코포레</t>
  </si>
  <si>
    <t>e편한세상 대전 에코포레</t>
  </si>
  <si>
    <t>104동/중/남동향</t>
  </si>
  <si>
    <t xml:space="preserve">급매. 6월 입주, 중문, 인덕션, 남동향에 일조권 좋은 집(동간거리 멀), 엘베 2대, 가격 낮춘 적 있음.  방 4개(알파룸), 세입자님이 6월에 나가기로 정해진 물건. 그래서 가격이 쌈.  다른 이유는 없음. 현재 전세 2.8억이면 나가지만, 전세손님이 많거나 대기자가 있는 상황은 아님. 30평대도 2.8억 전세가 있어서, 2.7억에 내놓으면 나갈 수도(?)있다고 하심. </t>
  </si>
  <si>
    <t>친절하신 편임.</t>
  </si>
  <si>
    <t xml:space="preserve">-단지 내 2세대인 경우 엘베 1, 3 세대인 경우 엘베 2대씩 배치되어 있음. 
-현재 전세 손님이 많지 않음. </t>
  </si>
  <si>
    <t>2026.4.2</t>
  </si>
  <si>
    <t>505동 중층</t>
  </si>
  <si>
    <t>전세낀물건.2.5에 들어있음.전세 시세는 4억은 너무 세고 3.5 정도는 봐야함. 투자는 대부분 59가 아닌 84를 함. 철길동과 철긱아닌동 가격차이가 남. 전세 선호도도 차이나지만 전세금에서 차이가 나는건 아님. 요즘은 전세도 많이 업고 4단지 만기일이 8월이고, 5단지는 내년 2월 만기다.</t>
  </si>
  <si>
    <t>엄청 친절은 아니지만 그래도 묻는말엔 대답 잘해주심.</t>
  </si>
  <si>
    <t>4,5단지 보다도 철길을 기피하는것으로 보아 역과의 거리는 그렇게 중요하진 않은 듯 하다.
판암역이 1호선 마지막 정류장이네.
상가인접동쪽을 더 좋아함.</t>
  </si>
  <si>
    <t>성공부동산24시</t>
  </si>
  <si>
    <t>010-7788-2955</t>
  </si>
  <si>
    <t>84 분양권 문의함. 계약금 5퍼에 잔금 5개월로 보고있다. 신혼부부라면 돈을 조금 더 주더라도 105타입이 전부 남향으로 되어있어서 괜찮다. 84는 서북동북으로 되어있다. 거실기준 103동이 남서고 옆건물에 가려지는 라인은 일단 와서 봐라 (사장님 이걸 알고싶었다구요 ㅠㅠ) 
신혼부부 현재 많이살고있다.</t>
  </si>
  <si>
    <t>큰일났다 사장님 계속 전화주실듯</t>
  </si>
  <si>
    <t>신축 주복을 4억 후반으로 가져가는 것에 메리트는 있지만 더 상위급지인 중구에 4억후반이 있으면 겟할듯 (하늘채스카이앤이 5.3이라 좀더 돈을 더 주고 사더라도 이걸 사는게 맞는것 같기도 하고 이건 봐야 알거같다)</t>
  </si>
  <si>
    <t>부동산이즈리더스시티</t>
  </si>
  <si>
    <t>리더스시티4BL</t>
  </si>
  <si>
    <t xml:space="preserve">저층 물건이었는데 
같은 층에 1세대 뿐이라고 해서 1층이냐고 물어봤더니 2층이라고 하심. 
지형 때문에 이렇게 지어진 동이 몇 개 있다고 하셨음. 
전세가 너무 없어서 내자마자 바로 나간다고 함.
5BL이 4BL보다 더 좋은거냐고 물어봤는데 
그냥 또이또이 이고 호가만 더 세게 내놓은 거라고 함. 
투자자 문의는 많지는 않지만 꾸준함. 
전세 4억 나간거 너무 세지 않냐고 물어봤더니 전세가 너무 없어서 그 정도에 내놔도 나갈 거 같다고 하심. 
아직 입주한 지 2년이 지나지 않아서 다음달까지 기다려보면 좋은 매물 많이 나올 거 같다고 하심. 아직까지 눈치작전중.
대전 상승흐름이 조금씩 오고 있다고 생각하심. 위치 좋고 소위 저평가 단지라고 하심. 
5BL에 5억 850 나간거는 다운계약서 쓴거라고 하심. [사장님의 실토]
4BL에 5억 850 나간거는 다운계약서 쓴거라고는 안했는데 주변 부동산과의 교류가 없이 혼자서만 일해서 절대 말 안해준다고 하지만 그 가격은 절대 아니라고 함. </t>
  </si>
  <si>
    <t>2026.4.3</t>
  </si>
  <si>
    <t>조은</t>
  </si>
  <si>
    <t>010-3734-2280</t>
  </si>
  <si>
    <t>삼정그린코아포레스트</t>
  </si>
  <si>
    <t>115/10층/남서향</t>
  </si>
  <si>
    <t xml:space="preserve">내 놓으신 뒤에 가격을 내려놓으신 물건. 거의 한 달. 주인분 거주 물건. 아직 가보시진 않았지만 투인원 에어컨에 줄눈, led. 
 106/13/남서향 십장산쪽 조망.. 물건 상태는 따님이 살고 계시다고 했는데, 깔끔하다고. 보지는 못하셨다. 
전세가 별로 없다. 전세 손님들은 그래도 매매보다는 전세나 월세가 좀 더 있다. 대기자까지 있진 않다... 지금 있는 전세가 1층이라 안빠지고 있는 것. 가격은 가격은 2.8억.. 정도로.
주인분들이라 날짜는 편하게 협의하여 결정하면 됨. </t>
  </si>
  <si>
    <t>물건이 너무 많나... 기억은 못하시는데, 이해가 안되는 바도 아니긴... 친절하지만, 묻는 말에만 답해주시는 스타일</t>
  </si>
  <si>
    <t xml:space="preserve">101동도 조망은 나오고 103-107 선호도 차이가 
단지내부는 조금 들어가있어 답답할 수 있고, 도로변에서 멀어서 나름.. 나쁘지 않다. </t>
  </si>
  <si>
    <t>042-285-1114, 
010-9490-7442</t>
  </si>
  <si>
    <t>105동/28층/남서향</t>
  </si>
  <si>
    <t>26.10 만기, 월세입자 3,000/100 거주.
집주인이 사정이 생겨서 팔려고 내놨는데 해결이 되었는지 다시 거둔다고 함.</t>
  </si>
  <si>
    <t>선호도 잘 알고 매우 친절하신 편, 투자자들한테 연락만 오고 거래는 안되서 기대는 안한다고 하심..ㅎ</t>
  </si>
  <si>
    <t>문의한 물건보다 조건 좋은데 가격이 괜찮은 물건은?
- 107동 15층(A타입)은 4.65억까지 조율해놨던 물건, 매수자가 중간에 안한다고 해서 남아있는데 4.65까지 조율된다고 함.
- 101동 5층(C타입) 4.55억까지 된다고 함, 4억 5,340만원에 매매, 그래서 4.55억 아래로는 힘들 것 같다고 함, 에어컨 4대, 코팅, 실리콘 등 옵션이 많은 매물, 들어갈 때 2,000 주고 옵션 추가했다고 함. 혼자 살고 계셔서 방 2개는 새거, 컨디션 매우 좋음. 무슨 사유인지는 모르겠는데 급한 분인듯. 
- 101동~104동까지 선호, 그 뒤는 약간의 단절감. 107-108동은 올라가있음.(언덕인듯)
- C타입은 어르신들 선호, A,B타입은 젊은층들이 선호한다고 함. (부사님 개인적인 의견)
- 전세는 3.5억이면 무난히 나감. 전세가 없어서 찾는분들 많고 대기자도 있다고 함. 
- 전세 3.2억, 4.5억 2개가 호가로 나와있는데 3.2억은 왜 낮은지 모르겠음. 부사님이 전세 대기자 있어서 공동중개하려고 문의해보니 공동중개 안하겠다고 하심. 4.5억 전세는 탑층인데 다락방 있어서 비싸게 내놓은거. 부사님 입장에서도 비싼 가격이라고 잘안나갈거라고 함.</t>
  </si>
  <si>
    <t>리더스시티행복한공인</t>
  </si>
  <si>
    <t>010-2790-8675</t>
  </si>
  <si>
    <t>409동 19/23층 남서향</t>
  </si>
  <si>
    <t>[매물 정보]
- 로얄동 로얄층 시에 설치 / 주인 거주
[전세 시세]
- 26.02 전세 4억 실거래 찍혔지만, 부사님 둥절. 원래 3.5에 내놨다가 주인분이 올리셨는데 그게 나갔다고 함
- 전세 4억 "해봐야죠~"의 반응, 자신감 없음
- 전세는 이스트시티/SK뷰와 동일한 수준에 가능할거라고 (현재 4.0~4.5는 호가, 실거래는 3.8~4.0 사이)
- 현재 리더스시티 84 전세 매물이 0개라 문의는 없다고 ..
[다른 추천 매물]
- 502동 14/20층 5.6억 : 선호동
- 501동 고/27층 5.5 (세안고) : 진짜 살 마음 있어야 물건 볼수 있다고
- 5블럭은 아직 2년 되려면 좀 남아서 매물이 적은 편이라 함</t>
  </si>
  <si>
    <t>친절, 공감력 굿
적극성은 덜하지만 의지가 아예없진 않은, 물건 상황도 꽤 잘 아심</t>
  </si>
  <si>
    <t>[단지 정보]
- 리더스시티4블럭 로얄동 : 408, 409동 (84 only, 앞동은 경부선 소음)
- 리더스시티5블럭 로얄동 : 501, 502, 503동 (천동초 &amp; 상권 가깝, 74 &amp; 84 구성)
- A타입 방4개 vs B타입 방 3개 : A타입 선호 (A 중 확장된 집 없고 전부 방 4개로 고정)
- 리더스시티 4블럭 vs 5블럭 : 준공 6개월 차이 &amp; 4 vs 5블럭 선호 차이 크게 없고 비슷하게 바라봄 / 5블럭이 세대수는 많지만 임대 함께 포함
- 5블럭 임대 712세대 10년 분양 전환 
- 이스트시티 vs SK뷰 vs 리더스시티 : 선호 요소에 따라 좌지우지 ~ 이스트 (대전역 가깝), SK뷰 (브랜드), 리더스 (초신축)</t>
  </si>
  <si>
    <t>신흥SK꽃길</t>
  </si>
  <si>
    <t>010-3452-2747</t>
  </si>
  <si>
    <t>신흥sk뷰</t>
  </si>
  <si>
    <t>110동 4층</t>
  </si>
  <si>
    <t>전세입자인데 전세가에 화들짝 놀라 매매도 같이 알아보는 컨셉
112동 18층 전세 3억 전용59
입주 6/12 고정 물건이라 싸다. 다음은 3.2억
전세가 조절가능 ? 요즘 전월세가 귀하다보니 점점점.. 
110동 4층 매매 3.85억 전용59
이 물건이 가격은 가장 괜찮다
로얄은 107-110 동 라인
보문산 보이고 천보이고 뷰 좋음 
그래서 4층이라도 뷰가 나쁘지 않다
RR로 가려면 4.1-4.2억 정도 줘야함</t>
  </si>
  <si>
    <t>친절, 쉬는 날 없음. 일요일도 굳이 원하면 보여주심</t>
  </si>
  <si>
    <t>전세 없다,, 가격 조절 힘들수도</t>
  </si>
  <si>
    <t>010-9767-3823</t>
  </si>
  <si>
    <t>103동 12층</t>
  </si>
  <si>
    <t>SK뷰 103동 12층 전용84 5.7억
천뷰나 101동은 선호해서 6억 넘어가야 한다
이스트 로얄동 101 102 103동
대전역을 이용할거면 이스트가 훨 낫다
이스트가 연식이 빠지지만 대전역 도보로 이용 가능해 가격이 어느 정도 비빈다 
최근에 올라서 철길 소음 있는 곳도 5.5억에 내놨다 그래서 가격이 겹처버림
그래서 사람들은 철길쪽 집 안 봄
이스트는 이제 나이가 좀 들어 도배 정도는 해야한다
동구오실거면 이스트, SK뷰 둘 중 하나 가야한다</t>
  </si>
  <si>
    <t>젊은 남자사장님 (여자사장님 같이 일하시는 듯). 나름 설명 잘 해주심</t>
  </si>
  <si>
    <t>대전역 접근성도 고려 ? 철도공사 직원들 많이거주할 듯 대전에 5억대 대체지가 없으려나</t>
  </si>
  <si>
    <t>새들뫼휴먼시아1단지</t>
  </si>
  <si>
    <t>101동 15층 남동</t>
  </si>
  <si>
    <t>101동 15층 4.25억 남동향
110동 9층 4.3억 남향 이렇게 괜찮음 
101동은 앞동 전망이 괜찮고
3베이 일반 판상형
110동도 동간격 넓어서 나쁘지 않다 
특이한 타입 유럽스타일 호불호 나뉨 (보통 이러면 별로였음)
펜타뷰는 좀 더 가격이 빠진다 
전세 3억짜리 있는데 8월 입주 가능 
펜타뷰는 주변에 뭐가 없다.. 큰길가도 건너야 하고 
SK뷰보다 입지는 새들뫼가 나음 생활 환경도 더 괜찮음 
이스트시티2단지는 비추.. 안 팔려 
임대 섞여있고 철길 있음</t>
  </si>
  <si>
    <t>친절 여사장님</t>
  </si>
  <si>
    <t>워드힐탑</t>
  </si>
  <si>
    <t>507동 고층</t>
  </si>
  <si>
    <t>24평 전세 3억 밑으로 봐야한다. 
전세가 없다보니, 세입자들이 구하러 방문하다가 전세 3억에 고민
507동 고층 집주인 거주, 27년 1월에 매도 하고 싶어함
철도라인 7,8,9,10,11라인 빼고는 괜찮다
대전역 중심과 가까운 것이 대전 동구에서 큰 메리트
5단지가 더 늦게 지어져서 분양가가 더 높게 시작했고, 4단지랑 가격이 같다면 5단지를 선택하는 것이 좋겠다고 말씀하심 아무래도 뷰가 나오면 좋아하는 듯
매물마다 옵션이 다른데 507동 고층 매물은 에어컨 4대, 중문, 인덕션 설치되어 있어, 대전 동구에서 전세 잘빼려면 에어컨 많으면 굿! 그치만 24평 전세 3억은 힘들다</t>
  </si>
  <si>
    <t>워드힐 탑 부동산 차분하게 설명 잘해주심</t>
  </si>
  <si>
    <t>투자자에게 굉장히 호의적이어서 놀랐다. 통화 끊기니까 다시 콜백해주는 부사님의 적극성에 놀랐다. 대전 동구는 돈있으면 진행하기 수월하겠다는 생각이 들었고, 세입자들이 매매가와 얼마 차이나지 않는 전세가에 부담을 느끼고 있어 2.8억으로 전세 세팅해도 1억으로 투자할 수 있겠다는 생각!</t>
  </si>
  <si>
    <t>풍림사랑</t>
  </si>
  <si>
    <t>010-9731-4500</t>
  </si>
  <si>
    <t>106동 중층</t>
  </si>
  <si>
    <t>전세 3.5억에도 나갈 수 있다는 부사님 의견
106동 중층 물건 세입자 5천 100에 들어가있음 매도인이 세입자 내보내려고 하고, 사고 싶다면 공실로 전세 빼게 해줄 수 있다
103동 104동 천변이라 천만원은 더 받을 수 있다고 한다
아무래도 여기가 신축말고는 볼게 없으니 천변 보이면 좋다고 한다
106동 중층 매물 풀옵션이라 전세 뻬기 수월할거다라고 말씀해주심, 냉장고도 옵션으로 들어가있다고! 무엇보다 매도인이 적극적이라고 말씀</t>
  </si>
  <si>
    <t>호쾌하시고 운전중이신데 물건을 그냥 얘기해주심</t>
  </si>
  <si>
    <t>은어송단지에서 멀어진 신축 단지이지만 이 단지도 매도인이 적극적이라 투자하기에 수월할 것 같다는 생각 매도인도 적극적이고, 세입자도 내보내주시고 공실도 가능하다니, 전세빼기 수월할 것 같다는 생각! 대전 동구에서의 킥은 위치, 연식 주변 환경이 정말 중요하다는 것을 한번더 알게 됐다</t>
  </si>
  <si>
    <t>새들뫼으뜸공인</t>
  </si>
  <si>
    <t>새들뫼휴먼시아
1단지</t>
  </si>
  <si>
    <t>102동 /23층 /남서</t>
  </si>
  <si>
    <t xml:space="preserve">-로얄동: 대단지가 아니라서 로얄동이라고 할 것은 없지만, 천변뷰 / 식장산 뷰 선호 (개인 취향이지만, 젊은사람들은 트여있는 천변뷰 선호)
104,105 버스 지하철 가까움
110,111 마트, 신흥초 가까움
-102동 1,2,3,4호 라인만 비확장으로 분양 함 (베란다 있는 것 선호하는 사람들 위함)
-타입: A,B,C 판상형 (기본구조) 선호타입 / D 주방 한쪽으로 있는 타입 : ABC 타입 선호
- 매매: 4.1~4.4억 / 전세 3.5억 (1개 / 26.4월 말)
*매매 1500~2000만원 정도 네고 가능 
-장점 : 동구 내 입지가 좋음, 
교통 좋음 (1호선 대동역 역세권 5분, 대전역 도보 15분,단지 앞 버스정류장 노선 10개, 대전ic 10분, 판암ic 7분)
대동천 조깅, 마트이용편리 (남쪽, 서쪽 출입구에 중형마트 각 1개, 이스트에선 클길을 건너야 함)
초등 준초품아: 남쪽 출입구에서 초등정문까지 50미터, 일부동은 이스트 웬만한 동보다 가까움) 
넓은 거실과 거실방향 개수대, 별도 전실이 있음, 아이 키우기 최고 
10년차 이지만 각종 디지털시스템 잘 갖춰짐 
-단점: 10년차로 연식이 기축. 아쉬운 조경관리, 느린 엘리베이터 
- 새들뫼 34평 vs 이스트시티2단지 31평 
입지는 새들뫼가 좋고 선호도도 더 높음.
이스트2단지는 기차 소음이 있고 동 거의다 있음. 202동은 가장 조용한 동. 
추후 갈아타기 할거면 가성비로 괜찮음. 구조가 4베이로 잘 빠져서 평형 넓어 보이고 학교 가까움. 
이스트시티2단지 : 전세x (3.1~3.2억 정도) 
</t>
  </si>
  <si>
    <t xml:space="preserve">친절도 상. 
단지와 매물에 대한 정보를 잘 알고 계셨고 친절 하심. 
</t>
  </si>
  <si>
    <t xml:space="preserve">- 전임 후 생각: 아이 있는 가족은 연식이 있는 이스트2단지 보다 기축이라도 새들뫼를 먼저 찾는 경향이 있음. 
신흥에서는 연식도 중요한 요소라고 생각했고 새들뫼는 휴먼시아(LH)라서 브랜드에 대한 안좋은 인식이 있지 않을까 했고 이스트2단지가 선호도가 훨씬 좋을거라고 생각했는데, 의외로 새들뫼가 거주민들에게는 선호도가 높다는 것을 확인. 
동구 내에서는 LH단지도 꽤 많아서 사람들이 엄청 안좋게 보지는 않는구나?! 
- 선호도 : 새들뫼 &gt; 이스트2단지 </t>
  </si>
  <si>
    <t xml:space="preserve">천동공인 </t>
  </si>
  <si>
    <t>리더스시티4단지</t>
  </si>
  <si>
    <t xml:space="preserve">409동/중층/남동향 </t>
  </si>
  <si>
    <t xml:space="preserve">- 4단지 8월 입주, 5단지 12월 입주 
- 지금 물건이 없음. 나오면 바로바로 거래가 됨. 물건 좋은 거 나오면 연락 주신다고 함. 
- 4단지 vs 5단지 선호도가 어디가 더 좋은가? 
사장님은 45년 찐 원주민이라고 하셨고 리더스 분양받아서 자녀에게 증여 하심. 
본인은 4단지가 위치가 더 나은 것 같고 이유는 4단지 가깝게 큰 상권이 들어오고 천동중학교 (27.3월) 가까움
초등학교는 4,5단지 거리 비슷. 
단점은 기찻길 가까운 동은 소음. 
선호동 : 408.409동. 소음이 적고 트여있어서 가장 좋아 함. 
5단지도 선호도는 비슷한데 아이가 있으면 산책로가 잘 되어 있어서 5단지도 괜찮음. 
5단지는 공기는 더 좋지만 조망권 동이 없음. 
4,5단지 옵션은 기본은 없고 선택이였음 (시스템에어컨, 환기시스템, 중문, 비데) 
5단지 임대 있는 것에 대해서는 크게 선호도 영향은 아직은 없음 (아직 입주도 안했기에..)
-리더스힐 vs 이스트시티1단지 ??  
리더스힐은 주변 환경이나 학교 등 점점 개선되고 좋아지는 곳이다. 이스트시티는 주변이 번잡스럽다고 한다고.. 
연식도 빠지고 있고 비슷한것 같다고 이야기 하심. 
이스트시티에서 리더스힐로 이사 온 사람도 있다고 함.
</t>
  </si>
  <si>
    <t>친절, 
지역에 대해 잘 아심</t>
  </si>
  <si>
    <t xml:space="preserve">-전임 후 생각: 가장 선호도가 높은 신흥 생활권에서 연식이 빠지고 있는 이스트시티1단지에 거주하는 거주민이 대전역을 선호하는 경향이 강하다고 보여지고 
신흥 SK에 가지 못하거나 대전역 이용이 문제가 되지 않는다면 아이들 키우기 좋은 리더스힐을 차선책으로 생각해 볼 수 있겠구나! 
랜드마크가 리더스힐로 옮겨질 수 있을까 라는 질문을 한다면? 동구에서는 신흥SK뷰의 선호 요소가 훨씬 많기 때문에 그러지는 않을 것이라고 생각 함.  
</t>
  </si>
  <si>
    <t>에코포레부동산</t>
  </si>
  <si>
    <t>010-6825-9100</t>
  </si>
  <si>
    <t>117동 중층</t>
  </si>
  <si>
    <t xml:space="preserve">*실거주 매수로 전화함
RR : 106.107.104.113 (이쪽동을 맨 앞동이라고 함- 사이조망,뚫린동, 학교영구조망)
최근 실거래가 : 4.5-6 / 8 최근에는 4.58까지 계약
RR과 비RR 1천-2천. 매도할때 고려해서라도 RR사는것 추천.
추천물건 
106동 남서향 4.6 15층 
107동 29층 4.55 방3 (방4개 물건 확인필요)
방4vs방3 : 살기 좋은건 방3 알파룸+펜트리 구조 (추가옵션) 조합원 물건 의미 없음
에어컨 대부분 없고 들어오면서 시에+2in1 (드신분들은 안함)
여긴 보통 어떤사람들이 오는가 : 새집 사고싶은데 돈때문에 못 사는 사람들이 단지 찍어서 옴
24평 신혼부부 다수
34평 애기 1-2이상 / 24-&gt;34 갈아타기 많이함.
VS 삼정그린코아 : 전철 빼고는 메리트 1도 없다. 거긴 31평이다. 34평 없다.
학군은 e편한,선호도 높음 (이건 걸러듣겠다)
판암이 저렴한 아파트가 많이 몰려있는 곳이다 보니 선호도가 떨어지는건 맞다 
보통 거래는 신축이어서 투자로 샀다가 2년지나서 주인이 정리하면서 팔고 세입자가 실거주로 눌러앉는 경우가 많다 그리고 여기 실거주 하는 사람들은 팔면 돈 좀더모아서 
유성구나 서구 이런곳으로 많이 간다 
나:SK나 이스트로 가는 사람들은 없어요? 
사장님 : 이스트는 연식이 좀 아쉽다, SK는 구조 봐라
(그래서 구조를 보았습니다..)
sk는 전세 살다가 매수하는 확률은 거의 없음
</t>
  </si>
  <si>
    <t>친절</t>
  </si>
  <si>
    <t xml:space="preserve">전세 매수가도 어쩌면 삼정그린코아보다 여기가 더 붙겠다는 생각을 했다. 어쨌든 연식과 저렴한 금액 (기금대출 대출한도 3억!!!!) 때문에 찍어서 온다. 반면 투자 입장에서는 3억에서 전세가가 드라마틱하게 올라갈 수는 없을것 같긴 하다.
어쨌든 손바뀜이 있는 단지이고  유성구 도안신도시 전세가 떨어지면 수요 뺏길수도 있겠다는 생각을 했다.
</t>
  </si>
  <si>
    <t>104동 중층 4.25</t>
  </si>
  <si>
    <t xml:space="preserve">104동 중층 4.25억 / 수리는 해도 도배 정도만 하면 됨
좋은동 매물은 ? 107동
에어컨 없는거 4.5억 / 있는거 4.59억
시에 있는 집 없는 집 반반,, 없는 집이 조금 더 많은 거 같기도
하다고 함
4베이 단일구조
vs 은어송하늘채리버뷰 
확실히 그쪽이 좀 더 멀긴하다
새 아파트라 좋긴 한데 금방 파실거면 e편한이 나을거다
전세가 많이 없다
</t>
  </si>
  <si>
    <t>친절 약간 귀찮을랑 말랑 하지만 손님 없어서 말씀 잘 해주시는 느낌</t>
  </si>
  <si>
    <t xml:space="preserve"> 확실히 아래로는 더 외곽이라 느끼는 듯</t>
  </si>
  <si>
    <t>리버뷰</t>
  </si>
  <si>
    <t xml:space="preserve">대전역 이용하는 실거주 컨셉
106동 중층 4.8억 A타입
천변뷰 or 식장산뷰 
106동 A타입은 산뷰
천변뷰 or 산뷰 다 좋아한다 취향 차이
A-B타입 똑같다 포베이
C타입 거실 좀 좁다 방이 여러방향이라 좋다 그리고 작은방 하나가 좀 큼
사람들 대전역 많이 다님
VS 에코포레
에코포레보다는 여기가 생활권이 더 좋아요 
</t>
  </si>
  <si>
    <t>친절 여사장님. 쉬는 날 없음 일욜도 나와요</t>
  </si>
  <si>
    <t>좀 더 나은 생활권 외곽 신축 VS 좀 덜 좋은 생활권 덜 외곽 (준)신축. 에코포레 승이었는데 갑자기 또 헷갈리네</t>
  </si>
  <si>
    <t>이편항 6,7,13동 로얄 
환금성 생각하명 이편한
VS하늘채리버뷰 / 거기도 새아파트라 괜찮긴 해도</t>
  </si>
  <si>
    <t>남자 사장님 친절</t>
  </si>
  <si>
    <t>대주</t>
  </si>
  <si>
    <t>010-9670-2388</t>
  </si>
  <si>
    <t>대주파크빌</t>
  </si>
  <si>
    <t>104동 17층</t>
  </si>
  <si>
    <t>요새 30평 전세 2.2억에서 2.3억 정도면 나간다
전세가 없어서 못보여주는 상황
집주인이 살고, 기본집이다, 이사 날짜는 안 정해져있고네고 가능
104동 12층이 특올수리 매매가 3억
102동 21~22층이 뻥뷰라서 로얄
대전성남우미린시티가 27년에 완공되어도 신흥SK뷰에서 안넘어올거라는 부사님의 의견 이유는 전용84가 분양가 5.8억이 너무 비싸다는 의견
25년 5월 이후로 전세 거래가 없는 것은 전세를 내놀지 않아서이다</t>
  </si>
  <si>
    <t>친절 호쾌</t>
  </si>
  <si>
    <t>대전 동구가 참 전세가 부족하다는게 느껴진다 전세 내놓는다는 말에 정말 호의적이고 27년에 들어오는 우미린은 중심에서 넘어오기위해서는 가격대가 낮아지지 않는 이상 힘들겠다는 생각</t>
  </si>
  <si>
    <t>원탑</t>
  </si>
  <si>
    <t>010-7506-8792</t>
  </si>
  <si>
    <t>이편한세상대전에코포레</t>
  </si>
  <si>
    <t>104동 중층</t>
  </si>
  <si>
    <t xml:space="preserve">4.25억 매물은 기본옵션이라 전세 3억은 힘들다 시에 4개 달면 3.2도 가능
전세 수요는 높다 2.8억 매물은 옵션이 마음에 안들어서 나와있는건데 곧 나갈거다
세입자 26년 6월 만기 아니고, 세입자가 나가고 싶은 날짜일뿐 갱신 안썼고, 세입자분 청약으로 인해 이사갈 예정 그래서 매도인도 팔거라 적극적
106, 107, 112, 113동 정도가 로얄동 뒷동은 별로다
뒤편 스타벅스는 대전대 근처에 의료원이 생긴다고 해서 스벅도 들어온건데 공사비가 많이 나와 스벅만 남은 상황 
젊은 신혼부부들이 새아파트 찾다가 이편한 살아보려고 오는 수요가 있다
에어컨 4대와 중문 있으면 무조건 전세 잘 나간다
</t>
  </si>
  <si>
    <t>생각보다 전세를 선택하는 이유가 시에라니 정말 입지가 없는 외곽 신축에서 투자를 위해서는 집 컨디션을 아주 최상으로 만들고 세입자 받을 준비를 해야겠다는 생각</t>
  </si>
  <si>
    <t>102동/4층/남동향</t>
  </si>
  <si>
    <t xml:space="preserve">전세끼고 물건. 3억/ 현 전세는 3억6천-4억선. 지금 전세 높게 나와있지만 희망가다. 최근 110동 3억6천에 거래. 이건 102동이니까 좀 더 받을 수 있다. 서울사는 주인분들이 다주택자라서 처분하시려고 저렴하게 내놓으신 것. 
집 상태는 사장님이 보기에는 크게 건드릴 거 없다 도배정도만 하면 된다. 애들 키우는 분들이 살고 계신다. 이미 갱신된 물건이라 내년 7월 만료다. 안나가고 계속 살고 싶은 마음도 있으신 것 같다. 물어는 봐야 한다. 아이들은 초등,유아 정도 또래. 세입자분들 집 잘 보여주신다. </t>
  </si>
  <si>
    <t>남자사장님, 적극적이심. 다음주에 콜백주신다고까지...</t>
  </si>
  <si>
    <t xml:space="preserve"> 동이 1,2,3동이 로얄동이라서. SK뷰에서 대전역까지는 솔직히 매일 은 못걸어다린다. 이스트 시티에는 10-12분정도 걸림(하도 사람들이 물어봐서 사장님이 직접 걸어보셨다고 함). 
이스트시티에 코레일 많이 사시냐는 질문에, 많이사셔서 소문으로는 철도아파트라고 불린다. 하도 많이 사셔서. 대전역 출퇴근하시는 분들도 많다. </t>
  </si>
  <si>
    <t>신도공인</t>
  </si>
  <si>
    <t>010-5664-0289</t>
  </si>
  <si>
    <t>104동 6층 남향</t>
  </si>
  <si>
    <t>[매물정보] 연세 있는 주인분 급매, 정리하고 지방(더 지방, 시골) 내려가려하신다고. 근저당 있긴 한데 말소 가능한 수준, 부사님이 이 집주인분 물건 여럿(?) 팔아줬어서 3.8보다 더 네고 가능하실 거라함.
[시세] 전세는 2.8 정도 ~ 매물 없으니 높게 해보면 3.0억 / 본 매물 3.8 (네고 가능), 세안은 물건 3.9억, 실입주물 4.0억 / 세낀 매물 전세 2.5~2.6 수준 / 최근 4.0억에 2건 거래돼서 호가를 내리지 않는 편이라고.. 
[분위기] 호가 얘기와는 달리 비밀번호를 맡기는 편이라 함 (= 부사님이 엄청난 일잘러시거나 혹은 집주인들이 빨리 처분하려는 의지가 상당한 것으로 느껴졌음)   24평은 신혼부부 or 1인 가구, 32평은 짐 많은 분들 35-36평은 복층 펜트하우스 5억.</t>
  </si>
  <si>
    <t>무뚝뚝한 것 같은데 엄청 적극적인, 물건 잘꿰고 계심, 일잘러(? 혹은 허세?)
전화끊고 콜백옴, 내가 간만의 연락인듯</t>
  </si>
  <si>
    <t>[단지 정보] 32평은 101동 빼고는 다 괜찮. 101동 3호 라인이 조망이 막혀서 // 24평은 세대수가 많다보니 가격이 좀 더 잘 깎이는 편이라고..
[매매 분위기] 실거주자 위주, 투자자는 왔다가 그냥 갔음, 요즘 뜸함, 전세는 물건이 없어서 문의가 없음</t>
  </si>
  <si>
    <t>양지부동산</t>
  </si>
  <si>
    <t>010-8246-5554</t>
  </si>
  <si>
    <t>아침LH</t>
  </si>
  <si>
    <t>113동 5층 남동향</t>
  </si>
  <si>
    <t xml:space="preserve">은어송보다는 연식 좋고 교통 좋아서 더 선호함
(은어송 쪽 풍림아이원, 아이파크보다도 가격 높아서 물어봄)
Q. 은어송 쪽보다 여기가 더 좋나여? 
A. 은어송은 지금 살고 있으면 괜찮지만 지금 들어가기에는 연식때문에 아침LH가 낫다. 
Q. 전세 잘나가나요? 시세는? 
A. 전세 없어서 기다리는 중, 전세 내면 바로 나간다. 33평 전세 시세는 2.8 
Q. 로얄동은? 
A. 103동, 역에서부터 가까워서라기보다는 앞 뒤 다 트여있어서 103동 선호 
&lt;궁금증&gt;
1. 역과 가까워서 교통 좋다고 자꾸 하시는데 역이 정말 그정도로 선호도에 영향 많이 끼칠까? 
다른 역은 그렇다 쳐도 대전역은 좀 의미 있을지도? 
2. 30평에 매매가 6억 올려놓은 거 있던데 물어보는 거 까먹었다. </t>
  </si>
  <si>
    <t xml:space="preserve">묻는 말에만 대답해주시고 너어무 시크함 </t>
  </si>
  <si>
    <t>원탑공인중개사사무소</t>
  </si>
  <si>
    <t>e편한세상대전에코포레</t>
  </si>
  <si>
    <t>104동 중/33층 남동향 (13층)</t>
  </si>
  <si>
    <t xml:space="preserve">[매물정보]
세입자가 빨리 나가게 돼서 급매, 다만 9월까지 입주 시기는 협의 가능함
에어컨 없어서 3.1~3.4는 어려울 것 같고 보수적으로 3.0 추천
[시세/분위기]
전세 2개 2.8 &amp; 3.0 있던데 안나가는 이유? 입주 날짜가 안맞거나 집주인 사정이 있을 것 (들었는데 까먹으셨다고). 스치는 말로 "그래도 전세는 매매보다 잘되니까"라고  하신걸로 봐서 현재 거래가 활발하다고 보긴 어렵다.
개학 직전에 거래 많았고 지금은 뜸한.. 
</t>
  </si>
  <si>
    <t>단지 타입에 대해선 빠삭하지만 매물 상황에 대해선 잘 모르심</t>
  </si>
  <si>
    <t xml:space="preserve">[얻은 정보]
- 로얄동 : 106, 107, 113 ~ 조망 확보돼서. 104는 좀 가림
- 방3 vs 방4 : 방3은 작은방 확장해서 거실이 엄청 넓은 구조 vs 방4는 알파룸처럼 구성, 보통 펜트리로 사용하신다고. 선호도 비슷하지만, 굳이 따지자면 방4가 더 빨리 빠졌다. (현재 남아있는 매물 방3이 많은 이유) 애기 키우고 하면 짐이 많아서 펜트리를 더 선호
[내생각]
6월에 대전역 e편한센텀비스타, 주복이긴 하지만 400^에 현재 전세 매물 58개 ~ 전세 최저 3.0 부터 3.2~3.4 사이 포진.. 주변 환경이 별로라 애기 키우기엔 꺼려지지만 신축 전세로 저렴하다보니 상대적으로 e편한에코포레가 전세 높게 빼기는 다소 어려울 듯.
잔금 시기를 9월로 미뤄서 입주 마무리된 후가 낫지 않을까,, </t>
  </si>
  <si>
    <t>코오롱하늘채</t>
  </si>
  <si>
    <t>010-5463-2025</t>
  </si>
  <si>
    <t>1차풍림아이원</t>
  </si>
  <si>
    <t>104동/21층/남서향</t>
  </si>
  <si>
    <t xml:space="preserve">사놓고 나중에 들어가겠다는 컨셉)
전세가..2.5억에  도배 정도하면 나갈 것 같음. 전세대기자까지는 없음
전망 앞뒤로 뚫려있, 뒤로 십장산 앞으로는 보문산. 최근에 거래되려다 실패하면서 집주인이 2천 내려놓은 것.
주인분사시는데. 분양받아서 빨리팔고 나가고 싶어하심.
3억1천, 105동 19층(B형)은 6월 세입자만기 급매라는데. B형이라고 추천하지 않으심.  
RR 사둘거면 이게 맞음. </t>
  </si>
  <si>
    <t>친절하심.</t>
  </si>
  <si>
    <t xml:space="preserve">7동 가장 선호동 막힘없는1동 3동 4동 5동 식장산 조망되는 동이 로얄. A구조 선호도 높음. </t>
  </si>
  <si>
    <t>하늘채우리집</t>
  </si>
  <si>
    <t>010-9898-5466</t>
  </si>
  <si>
    <t>은어송코오롱하늘채2차</t>
  </si>
  <si>
    <t>102동/8층/남동향</t>
  </si>
  <si>
    <t xml:space="preserve">B타입 물건. 로얄동물건 중 지금 102동 8층이 제일 상태 좋다. 하지만 3.6억에서 전혀 네고 가능성 없고 그 외 RR은 네고 가능할 것 같다.  전세는 현재2.8억에 나와있으나 2.5-6억이면 바로 나간다. </t>
  </si>
  <si>
    <t xml:space="preserve">사장님 경매도 하시는 분. 아주 적극적이심. </t>
  </si>
  <si>
    <t xml:space="preserve">A형이 귀한 인기구조 이유는 4BAY라서, 하지만 조금 좁아보이는 경향이 있어 그건 와서 봐야 안다. 그리고  101,102동 상가쪽이 로얄동.  들어올 때 드레스룸 옵션이 있어서 드레스룸+방/방크게 두 스타일이있음. 각자 선호도 다름. </t>
  </si>
  <si>
    <t>어진마을공인중개</t>
  </si>
  <si>
    <t>어진마을</t>
  </si>
  <si>
    <t>104동 11층 남동향</t>
  </si>
  <si>
    <t xml:space="preserve">전세 시세 2.5. 전세는 똑같이 찾지만 어진이 먼저 올라갔고 팔렸다. 신흥은 아직 싸다고 생각한다. 낀평형과 34평 전세 나가는건 똑같다. 현재 어진은 물건이 많진 않지만 104동 11층 3.2-&gt;3.1로 할 가능성 있다. 완전 기본이다. </t>
  </si>
  <si>
    <t>적극적</t>
  </si>
  <si>
    <t xml:space="preserve">신흥이 아직 싸다고 생각한다 = 신흥이 덜 팔렸다? 일단 어진은 34평 거래가 됬다. 물건도 많이 없다. 두개 세대수 비교를 좀 해봐야겠다. 그래도 어진&gt;신흥이라고 생각하시는것 같다. 근데 전세놓는건 똑같다. 
여기는 연식이 떨어지기 때문에 둘을 똑같이 놓고 물건상태 보고 접근해야할것같다.  </t>
  </si>
  <si>
    <t>우미린공인</t>
  </si>
  <si>
    <t>042-286-8090,
010-3462-0733</t>
  </si>
  <si>
    <t>가오주공</t>
  </si>
  <si>
    <t>114동 고층</t>
  </si>
  <si>
    <t>재건축 진행 과정 중간 단계까지 왔는데 안맞는 부분있어서 딜레이되고 있음. 이사나가고 하는 단계는 아니라서 시간을 오래가져야 함. 투자로 보고 있다고 하니 부동산 경기가 안좋고 불투명해서 투자를 권하지는 않음. 투자자 거래 요즘 한 건도 없고 문의도 없다고 함. 본인들이야 팔면 되지만 투자 권하지 않음.
Q. 재건축 말고 다른 단지는? - 투자 자체를 보수적으로 봄.</t>
  </si>
  <si>
    <t>투자를 하지말라는 듯이 말씀하셔서 입지 얘기는 꺼내지도 못했다. 다른 부동산과 크로스체크해봐야겠지만 이동네 부동산 시장 분위기가 안좋은건가?</t>
  </si>
  <si>
    <t>042-286-0114,010-5463-2025</t>
  </si>
  <si>
    <t>은어송2단지코오롱하늘채</t>
  </si>
  <si>
    <t>206동 중층</t>
  </si>
  <si>
    <t>[실거주자 컨셉] 세입자 만기 4월, 7월까지 더 살고 나감. 거실만 확장되어있고 수리는 화장실부터 싱크대까지 다 수리해야한다. 206동이 앞동이고 초등학교가 가까워서 좋다. 3단지 아이파크랑 같이 보고 있다고 하니 2단지가 초등학교를 끼고 있어서 더 좋다고 하셨다. 신혼부부들은 신축으로 가지 여기로 안들어온다.</t>
  </si>
  <si>
    <t>2단지가 단지 분위기가 좋아서 젊은 층들이 선호할 것 같았는데 신혼부부가 들어오는 단지는 아니라니 의외였다. 선호도는 확실히 신축인가.</t>
  </si>
  <si>
    <t xml:space="preserve">어진마을공인중개사 </t>
  </si>
  <si>
    <t>106동 고/25층</t>
  </si>
  <si>
    <t>어진 전세는 2.5에 가능
부사님 바쁘셔서 낼 연락주시기로</t>
  </si>
  <si>
    <t>아직 콜백 없지만 (4/9) 문자로 명함은 보내주심</t>
  </si>
  <si>
    <t>n/a</t>
  </si>
  <si>
    <t xml:space="preserve">부동산이즈리더스시티대표공인 </t>
  </si>
  <si>
    <t xml:space="preserve">[매물 정보]
- 주인분 매도 후 전세 거주 희망 (2.5억)
- 매도 사유는 확실히 모르지만 신축 입주는 아닌 것 같다고, 48년생?으로 연세 매우 많으시고 현금 필요하셔서인 것 같다는 부사님 추측
</t>
  </si>
  <si>
    <t>성격 좋으신, 말 많으심 (전세 잘구해주실 느낌)
+ 적극적 (전화 끊고 장문의 문자)</t>
  </si>
  <si>
    <t>[얻은 정보]
- 어진 vs 신흥 : 콕 짚을 순 없는데 그냥 신흥을 좀 안좋게 본다 (거주민 인식). 굳이 꼽자면 신흥은 대각선으로 건너야 함(..??)
- 새들뫼 전세 3.5 가능하냐? 매전차만 놓고 보면 둘이 같은데 그럼 새들뫼가 낫지 않냐? &gt;&gt;&gt; 기간만 충분히 있다면 (=잔금 가능하다면) 3.5에 나갈 수 있다. 전세 워낙 없으니까, 본인이 생각하기에도 투자금 같으면 어진보다 새들뫼가 훨낫다.
- 새들뫼 선호 이유 : 대동역 더블역세권 호재 기대, 대동역 3분컷 &amp; 평수 넓게 잘빠짐 &amp; 어진보다 괜찮은 연식 &amp; 인식/선호도 높은 단지</t>
  </si>
  <si>
    <t>SK뷰, 리더스시티45</t>
  </si>
  <si>
    <t xml:space="preserve">[부사님 피셜]
- 동구는 거쳐가는 아파트, 그렇다보니 59 수요가 상당히 많음 (84는 정말 눌러앉은 동구 지역민 느낌, 59는 거쳐가는 신혼부부들)
→ 투자로 59 추천하는 이유, 다만 이스트는 59가 철길 바로 앞에 있어서 비추..
- 리더스시티 : 가성비 신축, 분양가 쌌었음. 서구/유성구 살던 젊은 사람들이 대출 많이 받아서 많이 들어옴
- 최근 리더스 전세 4억 빠짐 (어느부동산인지 모르심)
- 리더스 vs SK뷰 : 매매가는 당연히 SK뷰가 더 높겠지만, 전세는 비슷할 수 있다 생각 </t>
  </si>
  <si>
    <t>초 적극적 (다음날 SK뷰 급매 연락)
+
솔직, 과한 영업X (리더스 사장님 인데 SK뷰 추천, 공동중개)</t>
  </si>
  <si>
    <t>- 리더스5 10층 5억 다운 계약 (원래 5.5)
- 2026.01 4억 (22층/30일) : 피 안깎고 등기 안친 물건</t>
  </si>
  <si>
    <t>현대아이파크</t>
  </si>
  <si>
    <t>010-5068-7547</t>
  </si>
  <si>
    <t>은어송6단지풍림아이원</t>
  </si>
  <si>
    <t>601동 4층</t>
  </si>
  <si>
    <t>전세는 2.5억이면 나간다
전세 알아보러 오시는 분들 계시긴 하다?
세입자가 4년 넘게 살았고 새아파트로 이사가고 싶어서 언제든 협조 가능하다고 하신다. 어디로 이사갈지는 모른다.
로얄동은 601동, 602동, 603동 뻥뷰라서 좋아한다
여기는 실거주 위주라는 느낌이 드는게, 보통 본인이 살다가 세주고 나가기에, 이렇게 투자하러 여기 오는 것을 이상하게 생각하셨다.
사장님이 이번에 2.4억에 전세거래 한거 아직 신고안하셨다고 한다. 전세가 없어서 안 나가는 것이지 있으면 나갈 거다
도배 장판만 해도 세입자 들어온다. 여기 소득 수준을 알 것 같다. 싱크대 찌그러지지만 않으면 세입자들 들어온다고 한다.</t>
  </si>
  <si>
    <t>투자자 시큰둥</t>
  </si>
  <si>
    <t>은어송 구축 택지는 본인이 거주하다가 나가면서 세를 주는 경우는 있지만 직접 투자하러 오는 경우는 거의 드물다고 한다. 그리고 놀라운 것은 그렇게 올수리 안해도 세입자가 들어온다는 말에 진짜일까? 의문이 들었고 그럼에도 얼마전에 2.4억에 2층 전세 거래가 됐다니 전세가 싸면 충분히 거래가 되긴 하나보다</t>
  </si>
  <si>
    <t>삼정포레스트</t>
  </si>
  <si>
    <t>010-4460-2347</t>
  </si>
  <si>
    <t>삼정그린코아포레스트1단지</t>
  </si>
  <si>
    <t>102동 404호</t>
  </si>
  <si>
    <t>전세 2.5억이면 바로 나간다 2.7억은 장담 못하신다고
전세 손님은 자주 문의가 오는 편이다. 전세 가격만 합리적이라면 전세 놓는 것은 걱정 안하셔도 된다고..
집주인이 파시는 것고, 왜 파는지는 이유는 모르겠으나, 3.35에 네고가 안되는 물건! 부사님께서 이 물건을 팔려고 했던게 느껴졌다. 
101,102,103,104는 출입문에서 멀지만 뷰가 나오고, 105,106,107,108동은 출입문과 가까운 장점이 있다
이 단지는 실거주가 훨씬 많은 단지이나, 전세도 잘 나가는 단지 
전세 3.2억에 안나가는 것은 전세 가격이 세서 그런거 같다. 본인도 거래 하는 편이라고 하시는데 얘기를 안해주셨다
시에 그런거 안해도 전세 잘 나가는 편! 이편한과 매임을 통해 확실히 정해질 듯!</t>
  </si>
  <si>
    <t>판암 삼정그린포레스트가 이편한 에코보다 전세 빼기가 더 수월하겠다는 생각이 들었다. 이편한 에코는 시에 얘기부터 하셨는데 여기는 에어컨 안 달아줘도 나간다는 말씀! 그렇지만 이런거로 선호도를 파악하기는 어렵기에 직접 매임!!! 필요!</t>
  </si>
  <si>
    <t>010-3462-0733</t>
  </si>
  <si>
    <t>은어송5단지우미린</t>
  </si>
  <si>
    <t>하늘채탑공인</t>
  </si>
  <si>
    <t>010-9415-9571</t>
  </si>
  <si>
    <t>매우친절,일잘러 (40분)</t>
  </si>
  <si>
    <t>삼익공인</t>
  </si>
  <si>
    <t>010-8429-6100</t>
  </si>
  <si>
    <t>삼익세라믹</t>
  </si>
  <si>
    <t>105동/11층/남동향</t>
  </si>
  <si>
    <t>대영이편한공인중개사</t>
  </si>
  <si>
    <t>010-2563-9205</t>
  </si>
  <si>
    <t>남대전이편한</t>
  </si>
  <si>
    <t>106동/13층/남향</t>
  </si>
  <si>
    <t>친절 보통</t>
  </si>
  <si>
    <t>삼정포레스트공인중개</t>
  </si>
  <si>
    <t>뷰를볼라면 앞동. 조용하면 가운데동. 집에 머물러 있는 사람들은 전세 시세 2.7 선호도는 평형 2개다 비슷함.  얼른들은 남동 젊은사람은 남서
115.116동을 중간동이라고함
다른부동산에 다시 전화해봐야겠다</t>
  </si>
  <si>
    <t>뚜렷한 선호도가 없이 그냥 취향차이라고 함 사장님 이거 들을려고 전화한건 아닌데
사장님 차분한데 물건 와다다다 나오는 스타일은 아님</t>
  </si>
  <si>
    <t>116동 7층(저)</t>
  </si>
  <si>
    <r>
      <rPr>
        <rFont val="Noto Sans KR"/>
        <color theme="1"/>
      </rPr>
      <t xml:space="preserve">116-702  3.7 702 (세입자)
전세 더 살고 싶은데 세입자 전세대출 연장이 안되서 나가는 거임-&gt;  그럼 전세 세로 맞춰야 겠네요 (O)
</t>
    </r>
    <r>
      <rPr>
        <rFont val="Noto Sans KR"/>
        <b/>
        <color theme="1"/>
      </rPr>
      <t xml:space="preserve">
찾는사람들 신혼부부,나이드신분 골고루. 
IC랑 지하철역이 가깝다.</t>
    </r>
    <r>
      <rPr>
        <rFont val="Noto Sans KR"/>
        <color theme="1"/>
      </rPr>
      <t xml:space="preserve"> 사두는것도 나쁘진 않다. 
116동 도 인기동이다. 적당한걸 싸게 사는것도 나쁘진 않다. 
104-1903 4.0 (주인) 뷰와 층이 좋다.
</t>
    </r>
    <r>
      <rPr>
        <rFont val="Noto Sans KR"/>
        <b/>
        <color theme="1"/>
      </rPr>
      <t>RR 상가 앞동 (104-107)</t>
    </r>
    <r>
      <rPr>
        <rFont val="Noto Sans KR"/>
        <color theme="1"/>
      </rPr>
      <t xml:space="preserve">
원하는 만큼 가격 조정은 가능.
전세 시세 : 최근 층과 동이 좋지 않은 전세가 않았는데 3억에 나감. 
25평도 2.75에 나감. (한참전) 
E편한은 실거주 위주. 외졌다. 삼정은 출퇴근 하는 사람들이 좋아하는 위치다.
2단지보다는 투자보다는 1단지 추천
1단지 24평 전세낀 물건 있음 (사장님 단독물건)</t>
    </r>
  </si>
  <si>
    <t>차분 일잘러 위에 부동산 사장님보다 나음</t>
  </si>
  <si>
    <t>대박사건 전세 시세가 3억이라고? 최근 실거래가도 1층이 2.8을 찍었다. 확실한건 전세가 진짜 씨가 마르긴 했다. 투자적으로도 유의미하게 봐도 되겠다. 일단 집을 보자.</t>
  </si>
  <si>
    <t>펜타뷰
(투넘버)</t>
  </si>
  <si>
    <t>010-5435-3160</t>
  </si>
  <si>
    <t>펜타뷰</t>
  </si>
  <si>
    <t>15층 남서</t>
  </si>
  <si>
    <t>옛날에 이집이 5.5에 샀음.
원래 108동 4호 라인이 비확장인데 (연세드신분때문에 비확장) 이집은 확장되어있음. 
RR 101,108,110 정남향은 없음. 
위치때문에 새들뫼가 더 비싸다. 새들뫼는 초등학교도 있고 대전역이 가까워서. 코레일 직원들이 많이살고 서울출퇴근간다. 서울로도 가는데 부산으로도간다. 
펜타뷰도 대동2구역 분양으로 환경이 더 좋아짐. 
역세권이라서 동구중에선 제일좋은 위치다.
가격이 새들뫼가 2천 정도 (원래도 이정도)</t>
  </si>
  <si>
    <t>사장님 말 많음 사장님 한국부동산원 소속</t>
  </si>
  <si>
    <t>동구가 진짜 거래가 없긴 하나보다. 전화하면 다 친절하다. 새들뫼가 1년 먼저 지어졌는데도 2천이 비싼건 위치 때문이다. 사장님 입에서 위치와 학교가 바로 튀어나왔다. 상승장때도 먼저 올랐다고 하니 이건 그래프 붙여보면서 확인해봐야겠다.</t>
  </si>
  <si>
    <t>스마트뷰대박공인</t>
  </si>
  <si>
    <t>042-635-4545, 
010-5428-4005</t>
  </si>
  <si>
    <t>103동 23층 남동향</t>
  </si>
  <si>
    <t>세입자 거주 7월 만기, 어머니와 아들 거주, 어머니는 일때문에 자주 나가있는다고 함. 
스마트뷰는 바닥이 나무마루임, 해당 매물은 주방쪽 마루 수리 필요, 관리 소홀로 베란다 한쪽 곰팡이 있다, 화장실/싱크대 모두 입주 그대로, 깨끗하게 사용하긴 했는데 사용감은 당연히 있다함.
실거래엔 안찍혔는데 주말에 B타입 전세 2.8억 나감. 동 차이보다는 타입 선호도가 더 큼. A,C타입 선호 B타입은 수리 잘되어있고 괜찮은 매물이 3.7억 정도, A,C타입은 비싼건 4.2억까지 나와있어 가격차이 좀 있음. 
전세 대기자는 없지만 찾는 사람들은 있다.</t>
  </si>
  <si>
    <t xml:space="preserve">친절 </t>
  </si>
  <si>
    <t>신흥SK꽃길공인</t>
  </si>
  <si>
    <t>042-272-1000, 010-3452-2747</t>
  </si>
  <si>
    <t>주공삼성타운</t>
  </si>
  <si>
    <t>201동 4층</t>
  </si>
  <si>
    <t>주인 전세 희망. 재개발 지역에 집 갖고 있는데 거기가 지어지면 들어가려고 하심. (어딘지는 못물어봤네) 당장 2년 뒤에 갈 집은 없고 전세로 계속 거주하길 희망하심. 시세보다 높은 전세 가능. 신흥쪽 부동산이라 매물을 관리 못하고 있었다며 알아보고 다시 연락주심.</t>
  </si>
  <si>
    <t>대영부동산</t>
  </si>
  <si>
    <t>오투그란데</t>
  </si>
  <si>
    <t>110,111이 로얄동이다. E편한이랑 전세가 차이 3천정도남(2.3). 손바뀜은 오투도 괜찮아서 소액으로 갈거면 오투 추천. 이편한 전세 대기자 있다. 지금 전세나와있는거 날짜가 안 맞아서 못감</t>
  </si>
  <si>
    <t>E편한세상에코포레</t>
  </si>
  <si>
    <t>이편항 6,7,13동 로얄 
환금성 생각하명 이편한
거기도 새아파트라 괜찮긴 해도</t>
  </si>
  <si>
    <t>삼익</t>
  </si>
  <si>
    <t>103동 8층 남동</t>
  </si>
  <si>
    <t>실거주자 컨셉
날짜 협의 수리는 안 해도 된다 도배도 안 해도 됨
시스템 에어컨 있는 집은 현재 없다
A타입이 4베이라 선호도가 좋다 103동에 5-6호라인 밖에 없어서 여기 가격대가 높다
B타입은 3베이 판상형 200세대 정도 나쁘지 않다</t>
  </si>
  <si>
    <t>고래등</t>
  </si>
  <si>
    <t>010-6685-0101</t>
  </si>
  <si>
    <t>204동 중층</t>
  </si>
  <si>
    <t>실거주자 컨셉
여기는 주인이 비싸게 내놓음 깔끔하긴 하지만 오래 사신 주인분이라 최신 수리 안 되어있음
203동 27층 정남향 수리중인 물건 추천. 광고 안올라와있고 팔려고 수리하심 3.55억에 한다고 한 사람있었는데 조율 X
211동 2504호도 괜찮음 3.9억 리모델링 최근에 했음
뒤쪽 40평대 몇몇 동은 선호 X 근데 84는 전체적으로 동간 호불호 크지 않다 
1단지 VS 2단지 좀 여유있으면 2단지를 먼저 간다 돈 좀 모자란 신혼부부들이 1단지 옴
33평과 35평 차이도 좀 느껴질거다</t>
  </si>
  <si>
    <t>여 사장님
일 잘하시는 듯 
잘 말해주심</t>
  </si>
  <si>
    <t>가오드림</t>
  </si>
  <si>
    <t>010-3451-8500</t>
  </si>
  <si>
    <t>은어송1단지풍림아이원</t>
  </si>
  <si>
    <t>104동 23층 남향</t>
  </si>
  <si>
    <t>실거주자 컨셉
1단지는 로얄동 보다는 그 물건의 상태차이가 가격을 결정한다
시세 차익을 누리려면 리버뷰나 리더스 신축 가야함</t>
  </si>
  <si>
    <t>남자사장님
단지 내 사장님이 아니고 토지 많이 하시는 사장님이라 빠싹하지 못함</t>
  </si>
  <si>
    <t>크라운</t>
  </si>
  <si>
    <t>010-9285-5115</t>
  </si>
  <si>
    <t>은어송3단지아이파크</t>
  </si>
  <si>
    <t>304동 17층</t>
  </si>
  <si>
    <t>실거주자 컨셉
6단지는 84단일, 3단지는 대형평형
초등학교 가까운 3단지 좋아함
어르신들은 뒤쪽 동 좋아하고
앞라인들 다 로얄 동
나중에 전세주고 나가도 괜찮음</t>
  </si>
  <si>
    <t>여자 사장님
브리핑 잘해주심</t>
  </si>
  <si>
    <t>효성공인</t>
  </si>
  <si>
    <t>010-7524-7712</t>
  </si>
  <si>
    <t xml:space="preserve">실거주컨셉
</t>
  </si>
  <si>
    <t>여자사장님 친절</t>
  </si>
  <si>
    <t>110-112동 까지가 로얄동, 112동의 1,2라인은 도로 소음으로 좋아하지 않음. 단지 내 분위기 좋지만 전세는 잘 나오지도 나가지도 않음. 
101-104동쪽을 선호하지 않아 가격 차이가 항상 5억 이상 벌어짐. 
대전역 접근 가능하긴 하지만, 차없이 가기엔 멀어서  출퇴근 용도로는 의미 없음. 초등학교까지는 괜찮지만 중학교는 여기서 보내기는 아쉽. 
타입에 대한 선호 명확함. A형이 제일 무난하게 인기있음. B형은 젊은이들을 위한 타입이나 구조가 꺾여있어 환기가 어려움. C형도 괜찮은 편. 안방이 넓게 빠져있음. 
(한밭자이 사장님께 현재 집 타입이 안좋아 파는데 고생했다고 했더니 바로 스마트뷰B타입 아니냐고...하셨음..ㅎㅎㅎ)</t>
  </si>
  <si>
    <t>구성스마트공인</t>
  </si>
  <si>
    <t>010-9778-6169</t>
  </si>
  <si>
    <t>101동 17층</t>
  </si>
  <si>
    <r>
      <rPr>
        <rFont val="Noto Sans KR"/>
        <color theme="1"/>
      </rPr>
      <t xml:space="preserve">수리되어있는게 없다. 나온집중에서 한두집정도는 되어있는데 전세 시세는 </t>
    </r>
    <r>
      <rPr>
        <rFont val="Noto Sans KR"/>
        <b/>
        <color theme="1"/>
      </rPr>
      <t>2.75-2.8</t>
    </r>
    <r>
      <rPr>
        <rFont val="Noto Sans KR"/>
        <color theme="1"/>
      </rPr>
      <t xml:space="preserve">
수리된거 3.8 이상 (봄에 3.95에 나감)
b형같은건 저렴한게 있긴한데 a,c 3.5 할만한게 
rr은 천변뷰 a,c &gt;&gt;&gt;b (이건 구조가 이상함)</t>
    </r>
  </si>
  <si>
    <t>뭐 묻는말엔 대답 해주는데..
대전 지금 투자할 시기냐 ㅎㅎ
보수적으로 봐라.
현재는 전세가 없어서 나가긴 나간다.</t>
  </si>
  <si>
    <t>109-112 천변뷰 
112동 1-2호는 대로변 소음있음
수리된물건 3.95까지 찍었는데 지금 3.5-6 정도는 할만한거 없다. 조금더 금액 주더라도 a,c 가 나중에 팔때도 낫다.
소득수준이 그리 높진 않은것 같다. 수리된 물건이 많이 있다고 하진 않는다.
다른물건) 105동 3.6에 내놓은거 분양권이랑 스마트뷰랑 물건 같이 내놨는데 분양권이 정리되서 여기서 눌러살거 같음</t>
  </si>
  <si>
    <t>삼성자이공인</t>
  </si>
  <si>
    <t>010-7627-4247</t>
  </si>
  <si>
    <t>102동4층남동향</t>
  </si>
  <si>
    <t xml:space="preserve">4층이라도 102동 로얄동. 해도 잘 들고
로얄동은 102동과 109동. 앞이 트였고. 둘 다 3-4라인이 좋다. 도롯가 안쪽이고. 
이 물건은 입주 내년 2월 말경.-3월 초 물건. (2억8천 인가 3억 들어있음) </t>
  </si>
  <si>
    <t>수더분하고 편하게말씀해주신다.</t>
  </si>
  <si>
    <t xml:space="preserve">한밭자이가 스마트뷰보다 좋은 이유
-&gt;초등학교 단지내 있고, 평지고, 교통도 더 좋고, 거긴 경사에 LH다. 지하주차장 연결 안 되어있다. 한받자이는 아래 통으로 연결되어 있다. 아파트부지만큼. 지하 1층까지지만 주차 힘들지 않다. 2대든 3대든 주차요금 별도 없다. 그건 주차하기 쉽다는 것.  자이는 LH와 급이 다르다. 그러니까 연식이 아쉬워도 이 값 하는 것!
전세는 잘 나오지도 않고, 자가로 사는 사람이 많고, 나와도 잘 나간다. 지금 있는 전세도 오늘 다 나갔다.
30평과 26평 둘다 선호 좋다. 구조는 똑같고 26평도 화장실 2개고, 둘 다 선호가 있다. </t>
  </si>
  <si>
    <t>효촌마을</t>
  </si>
  <si>
    <t>207동 12층</t>
  </si>
  <si>
    <r>
      <rPr>
        <rFont val="Noto Sans KR"/>
        <color theme="1"/>
      </rPr>
      <t>전세시세 2.5-2.6
스마트뷰 전세시세 2.7-</t>
    </r>
    <r>
      <rPr>
        <rFont val="Noto Sans KR"/>
        <b/>
        <color theme="1"/>
      </rPr>
      <t xml:space="preserve">2.8
</t>
    </r>
    <r>
      <rPr>
        <rFont val="Noto Sans KR"/>
        <color theme="1"/>
      </rPr>
      <t>205동 13층 3.3 거래됨
207동 12층 3.3은 남아있음
RR 206.207
집보고있으니 좀이따통화해요~</t>
    </r>
  </si>
  <si>
    <t>이사장님 일잘러</t>
  </si>
  <si>
    <t>효촌마을 거래가 된다. 누가 거래할까? 실거주가 거래할까? 일단은 가서 보자.</t>
  </si>
  <si>
    <t>103동15층</t>
  </si>
  <si>
    <t xml:space="preserve">[매물 정보]
- 인테리어한지 몇 년 안되서 수리할 곳 없음. 안방 화장실에 바닥 타일 떨어져있는 거 정도 (수리한 타일)
- 27년 신축 입주라서 당장 입주는 어렵다 - 그 시점에 전세 맞추기 어렵지 않겠냐 - 동구는 그렇지 않다. 유성구/서구랑 거리도 멀고 - 아 그러면 혹시 주전은 어떨 거 같냐 - 1년밖에 거주안하는데 왜? 나중에 어떻게 될 줄 알고? 차라리 잔금을 뒤로 - 1년으로 하고 특약에 써두면 되지 않냐 - 계약 기간 안에 나가면 자기 돈으로 임차인 구해줘야하는데 - 그것도 특약에 넣으면 되지 않냐 - 그런데 내 (부사님) 생각에 그렇게까지 해서 팔고 싶어하지 않을 것 같다, 잔금을 뒤로가 제일 깔끔하다 (((부사님께서 잘 모르시는구나))) - 전세는 아까 동구는 영향권이 아니라 얘기하셨는데 왜그러냐? - 동구는 그렇지 않다. - 그러니까 왜 - 네이버 부동산 봤냐 - ㅇㅇ - 전세 있더냐 - 없는데 그건 지금이고, 27년엔 다르지 않냐 - "그러면 내일 지구가 멸망할지도 모르는데 집은 왜사요?" - ^^;; </t>
  </si>
  <si>
    <t>"지구가 멸망할지 모르는데 살거냐" ㅋㅋ T에 아주 빠삭하게 알고 계시진 않지만 진짜 살거라면 협조적으로 도움주실 느낌</t>
  </si>
  <si>
    <r>
      <rPr>
        <rFont val="Noto Sans KR"/>
        <color theme="1"/>
      </rPr>
      <t xml:space="preserve">- 포인트 : 해당 매물은 인테리어 매물
&gt;&gt; 매임 시, 본 매물과 기본 매물 비교 (상태 대비 가격 등)
- 동구는 신축 영향권 밖!
&gt;&gt; 이 부사님도 비슷한 소리 하심
&gt;&gt; </t>
    </r>
    <r>
      <rPr>
        <rFont val="Noto Sans KR"/>
        <color rgb="FFFF0000"/>
      </rPr>
      <t>과거 유성구 도안신도시, 서구 관저, 세종, 청주 공급량 多 당시 영향 확인해보자</t>
    </r>
  </si>
  <si>
    <t>풍림사랑공인중개사사무소</t>
  </si>
  <si>
    <t>104동12층</t>
  </si>
  <si>
    <t>[매물 정보]
- 네부 광고에는 '관리잘되고 깨끗 전세도 가능'이라고 되어 있는데, 광고를 올린 사장님이 해당 물건에 대해 인지하지 못하고 있음
- 물건이 여러개라 코오롱하늘채2단지와 헷갈리시는 듯... 2016년식 하늘채 2차라 누차 말씀드려도 못알아들으심ㅠ
- 해당 매물이 풍림 사장님만 가지고 계셔서 매물 파악 어려움</t>
  </si>
  <si>
    <t>물건은 많은데 잘 알고 계시진 못함 (동네 마당발일지도). 네부는 남자 사장님인데 전화는 여자 부사님. 다만 여러번 콜백하시며 적극성은 확인</t>
  </si>
  <si>
    <t>2026.4.15.</t>
  </si>
  <si>
    <t>이스트박사공인</t>
  </si>
  <si>
    <t>010-6471-5951</t>
  </si>
  <si>
    <t xml:space="preserve">전세수요))
전세가 없었는데 갑자기 몇 개가 나왔다. 36500에 내놓은 게 있는데 안나온다. 학교가 있다보니까 겨울보다는 안 맞춰진다. 4월 말 입주였기 때문에 요 시기에 나오는 사람들이 있긴 하다. 
평수선호도))
30평이 토요일1, 어제1 계약 됐다. 84가 매물이 많다. 신혼부부가 많아서 24평도 많이 거래됐고, 작년에 전세원하는 신혼부부들이 있었는데 전세가 없어서 30평 매매가 작년 가을에 아주 많이 나갔다. 84 매물이 쌓이는 느낌이라 조절 가능할 것. </t>
  </si>
  <si>
    <t>104동 25층</t>
  </si>
  <si>
    <t>주인거주, 내년 2월 다른 아파트 입주 &gt; 주인전세가능 
안쪽동 선호, 전세 2.6-2.7억에서 거래되다가 최근에 전세가 없으니 2.8억에도 거래되고 있음.
130-2층(필로티) 3.9억 - 최신 레모델링
103-1205 - 3.6억/2.6억 세입자 묵시적갱신 - 계속 거주할 의사 O
사장님이 15분동안 거의 강의해주심.. 임장하러 오는거면 세입자 있는 집은 보여기 꺼려진다, 갭투는 다들 보고 사지를 않으니까 집 보여주기 좀 그렇다..부터 시작해서 물건만 보러온다고 될 게 아니라 그 지역 전체분위기를 보고 여기에 투자해도 되겠다고 판단이 들어야한다, 물건을 보고 판단할 시장이 아님, 지방은 부동산이 올라가는 분위기가 아니다, 정책때문에 오르기 쉽지 않다 &gt; 물론 구도심/신도심 차이는 있지만 지방은 갭투자 할 시기가 아니다, 대전은 현재 정체되어 있는 분위기. 자기도 갭투자해봐서 안다, 그래도 뭐 보고 싶다면 집주인 물건 보여줄 수는 있다~~~~~ 네~~~~</t>
  </si>
  <si>
    <t>친절은 하심</t>
  </si>
  <si>
    <t>2026.4.14</t>
  </si>
  <si>
    <t>일잘러인데 시크</t>
  </si>
  <si>
    <t>2026.4.15</t>
  </si>
  <si>
    <t>친절하신데 매물정보 장부 봐야 아심</t>
  </si>
  <si>
    <t>삼정그린코아1단지</t>
  </si>
  <si>
    <t>일잘러, 친절, 적극적</t>
  </si>
  <si>
    <t>34평-18</t>
  </si>
  <si>
    <t>34평-2</t>
  </si>
  <si>
    <t>남동향</t>
  </si>
  <si>
    <t>세안고 2.8에 껴있고 만기 1년 더 남았음. 
탑층이 4.97에 거래되어서 고층 5.0에 매도하기를 희망하심.
급매라 싼 것.
근데 껴있는 게 좀 돈이 많아서 다른 물건 추천.</t>
  </si>
  <si>
    <t>친절하시긴 한데 묻는 거에만 대답해주시는 스타일</t>
  </si>
  <si>
    <t xml:space="preserve">34평 111동 27층 매 5.4 / 전 3.5-3.7 [1.5-1.7]
이거는 공실이라 보여주기 쉬움. 
바로 전세 빼면 투자금도 적게 들어서 추천. 
전세는 현재 단지 내 2개정도밖에 없어서 전세 내면 바로 나갈 것. 34평은 3.5-3.7정도에 내면 좋겠다고 하심. 
지금 나와있는 전세는 4억, 4.5억 짜리 있는데 너무 야망전세라고 생각. 너무 높게 불러서 지금 잘 안나가고 있는 중임.
맞벌이가 많아서 평일에 오면 잘 안보여줄 수 있음 주의. 
아무래도 대전역 근처 동으로 선호 </t>
  </si>
  <si>
    <t>오투제일공인</t>
  </si>
  <si>
    <t>010-5401-3382</t>
  </si>
  <si>
    <t>34평-20</t>
  </si>
  <si>
    <t>34평-0개</t>
  </si>
  <si>
    <t xml:space="preserve">34평 104동 저층(-&gt;9층) 남동향 매 2.7 / 회사 기숙사
[조건]
현재 회사 기숙사로 사용중. 올해 5월이 2년 만기인데 더 쓰고 싶다고 함. (얼마 껴있는지 못물), 실거주도 좀 있다고 함 
전세권설정 안되어 있음. </t>
  </si>
  <si>
    <t xml:space="preserve">묻는 말에 친절하게 대답해주심. 근데 단지가 아쉽다. </t>
  </si>
  <si>
    <t xml:space="preserve">가격이 여기가 넘 저렴해서 다른데로 이사가고 싶어도 잘 못가는 사람들도 많음. 
34평 전세 내면 2~2.1 정도에 내면 잘나갈듯. 
34평보다 43평을 더 찾거나 그러지는 않음. 34평을 더 많이 찾는다. 
비선호 : '소년원' 은 길건너에 있는데 그렇게까지 막 기피하거나 그러지 않고 다들 신경 잘 안쓴다. 
RR : 딱히 있지 않은데 천뷰 좋아하면 110동, 111동. 남서향은 모두 천뷰다. 
</t>
  </si>
  <si>
    <t>천동부동산</t>
  </si>
  <si>
    <t>이분 갈 날짜가 정해져있다. (27년 2월) 여기는 B타입을 제일 좋아한다. 물건 상태는 꺠끗하다. 전세귀해서 전세는 잘 맞춘다.</t>
  </si>
  <si>
    <t xml:space="preserve">사장님..말이좀 많다 근데 지역 이해하는데는 괜찮을 것 같다 </t>
  </si>
  <si>
    <t>아침현대공인중개사</t>
  </si>
  <si>
    <t>010-3062-8207</t>
  </si>
  <si>
    <t>(전화받자마자) 105동 3층 경매물건이냐.  요즘 그거문의많이온다. 
아니다 115동 중층  3.6 보고 전화한거다.
여기는 학교 인접동도 괜찮다. 최근 수리된 3.6-7은 거의다 빠졌다. 지금 남은건 기본만 남았다. 여기 갭투자는 잘 안한다. 다들 실거주 위주이다.
(RR 물어보니 학교 인접동이라고 함)
전세 시세는 2.8이다</t>
  </si>
  <si>
    <t>투자자 정중하게 거절</t>
  </si>
  <si>
    <t>같은 가격이면 위드힐일까? LH일까? 아님 둘다아닐까? 어쨌든 매물 보고 판단하자.</t>
  </si>
  <si>
    <t>세들뫼 전세 3.0-3.2인데 지금 학기 끝나고 나니까 전세 찾는사람 줄었다. 펜타뷰  3.0에 나와있는데 이거 안나간다. 전세 나온지는 한달정도 됬고 층도 괜찮다. 세들뫼는 비확장 선호도 떨어진다. 지금 시세는 확장된게 4.25정도 봐야한다. 펜타뷰는 새들뫼랑 3천정도 차이나는데 전세 시세는 똑같다. 전세 먼저 찾는거는 새들뫼가 맞다. 왜? 위치 때문에</t>
  </si>
  <si>
    <t>투자로 본다고 하니 급격하게 말투가 바뀜</t>
  </si>
  <si>
    <t>대청에코포레공인중개사사무소</t>
  </si>
  <si>
    <t>104동중층</t>
  </si>
  <si>
    <t>[매물정보]
- 세입자 만기 26.06 중순 이사나가야함, 이사 일정 픽스인지 아닌지는 모름 
- 부사님이 "물건 나온지가 얼마 안됐다" 하셨는데, 그 얼마안된 게 [3주]였음.. (응?)
- 오늘 매도자분과 왜케 아무런 연락없냐고 통화하셨다고
[시세/분위기]
- 전세 문의하니, 현재 광고는 3억, 최대 실거래는 3.4억, 가장 최근 거래는 2.8 진짜 빨리 나감~ 너무 범위가 크다
- 3억은 왜 안나감? 7월 입주, 시기가 안맞아
- 3.4억은 왜? 빈집이었고, 원하는 일정대로 들어갈 수 있어서 였다
&gt;&gt; 입주 시기 조율이 가능하도록 협의가 된다면 (매도인이 전세금 반환 후 기간 넉넉하다면) 전세가도 상당히 높게 받을 수 있을 듯</t>
  </si>
  <si>
    <t xml:space="preserve">첨에 사장님 반응 애매하셔서 잘 모르시나 했는데, 임장하러 오시냐 묻고 왜 동구를 투자로 생각하는지 물으셔서 대답했더니 그 다음부터 갑자기 적극적으로 설명 좌르르르 (알고보니 동구에 무슨 투자? 라는 생각하셨다고..)
-
부동산 경력 30년 이상 ~ 재개발재건축 +  지금은 20년 넘게 부동산
-
물건 상황 잘 알고 매도자와도 연락 자주하시는 느낌
근데 동구에 엄청 부정적 ㅎㅎ </t>
  </si>
  <si>
    <t>[얻은 정보]
- 사는 사람 : 조합원 40% 신혼부부 5~60% ~~~ 애들 4-5살까지 키우고 학교갈 때쯤 나가고 또 다른 신혼부부들 들어온다.
- 신혼부부 어디서 왔다가 어디로 가냐? 일단 대전 분양가가 비싼 편. 만약 돈이 있으면 근처 중구, 서구 신축 갈수도 있긴하지만- 분양가 너무 높으면 움직이지 않는다. 신축 전세 24평이 2.8~3.0억.. 금리가 떨어지지 않는 한 사람들이 동구 외부로 나가지 않는다.
- 현재 에코포레가 전세 구하러 왔다가 매매랑 크게 차이나지 않아 매수하는 분들이 많다. 그래서 거래량이 많은 것 
- 에코포레는 6년차, 내부 컨디션 다 비슷하다. 대부분 다 관리 잘한 편이라고. 특수하게 정말 안좋은 집 빼곤 대체로 다 상태 좋다. 
- 동호수 따지는 건 무조건 뷰, 서향, 남동향 이런 특별한 선호 조건 때문이고 그게 없다면 가격 저렴한게 좋다고 (부사님) 생각
[추천 매물]
- 107동 5층 4.55 짜리 ~~ 있긴 한데.. 매도자님 집관리 훌륭하지만 시에 없음, **에코포레는 시에 없는 경우가 더 많음** ((104동과 3천 차이.. 그렇게까진 좀..))
- 113동 25층 세입자 
[부사님 피셜]
- "에코포레는 더 이상 오를 건덕지가 없다."
- 대전 올해 6천세대, 내년 1만 세대 입주다. (Q. 서구, 유성구던데 동구는 괜찮지 않냐) 그렇긴 하다, 동구는 거기 입주들어온다고 매매/전세 빠지거나 그러지 않는다. 그래도 신축 전세 많이 나올텐데 보수적으로 봐야지 않겠냐. 의료원은 말 나온지 15년, 국회의원 공약일뿐, 아~~~무런 움직임 없다.
&gt;&gt; 이 부사님도 서구/유성구의 입주에 동구가 영향을 받지 않을거라 예상하시지만, 전세 세팅엔 더 보수적인 반응 (이게 맞다고 생각. 너무 안일하게 안전할거라 관망하기엔 리스크가 상당히 크다)
- 브랜드 아파트로 매매 거래량 제일 많음. 전세구하러 왔다가 매수.</t>
  </si>
  <si>
    <t>삼정복돼지공인</t>
  </si>
  <si>
    <t>115동 고(22)층</t>
  </si>
  <si>
    <t>[매물정보]
- 상태 괜찮, 고층(22층)이라 뷰도 좋음
- 8년차, 수리가 필요하진 않지만 도배만 해도 새집같다, 근데 짐이 좀 많은
- 구조는 다 똑같은 (4베이, 드레스룸 더 큰)
- vs 31평 : 방/거실 크고
- 과거 계약 직전까지 갔다가, 매수자 상황으로 엎어진 적 있었음</t>
  </si>
  <si>
    <t>라니님 떠올리게 하는 말투, 꼼꼼한 여부사님</t>
  </si>
  <si>
    <t xml:space="preserve">[얻은 정보]
- 29평 vs 31평 : 구조가 확연히 다르다 (가격대도 다름), 부사님 피셜 29평 4베이라 구조만 놓고 봤을 때 29평 스타일을 더 좋아했다고 함
&gt;&gt; 4/15 기준 29평 3.7~4.0억 vs. 31평 4.0~4.6억
&gt;&gt; 4베이가 완전 4베이는 아님,,, </t>
  </si>
  <si>
    <t>조은공인</t>
  </si>
  <si>
    <t>010-7797-2280</t>
  </si>
  <si>
    <t>115동 1003호</t>
  </si>
  <si>
    <t>가히 : 주인분 거주하시나요? 
부사님 : 글쎄 나야 모르지????
가히 : 아.. 네!~~ 감사합니다~~~</t>
  </si>
  <si>
    <t>남부사님
&gt;&gt; 악의는 없지만 거르자..</t>
  </si>
  <si>
    <t>나중에 문자 주심▼
삼정115-1003호 주인거주 .01077972280으로문의해주세요.
***
나쁜 분은 아니시다. 그치만 거르자...</t>
  </si>
  <si>
    <t>삼정그린코아공인</t>
  </si>
  <si>
    <t>010-2732-3176</t>
  </si>
  <si>
    <t>115동 고층</t>
  </si>
  <si>
    <t>[매물정보]
- 도배만 해도 됨
- 특정 날짜 정해진 건 아니고 협의 가능</t>
  </si>
  <si>
    <t>투자로 본다하니 조금 방어적</t>
  </si>
  <si>
    <t xml:space="preserve">[다른 매물 추천]
- "공실 정도?" (투자 밝힌 후 사장님이 방어적인 태도로)
</t>
  </si>
  <si>
    <t>SK나라</t>
  </si>
  <si>
    <t>105동 중층</t>
  </si>
  <si>
    <t xml:space="preserve">요새 전세 24평 기준으로 3억에서 3.2억도 가능
전세 손님 신흥SK는 많다
세입자 갱신권썼고 재계약 여부 미정, 매도 사유 모름
아무래도 신흥SK는 대전역 이용하려는 수요때문에 오기에 정문 가까운게 최고
전세보러 왔다가 매수하시는 분들도 많다
신흥SK는 옵션이 선택 사항이라 집마다 다른데 여기는 시에2개 설치
</t>
  </si>
  <si>
    <t>사장님 엄청 까칠</t>
  </si>
  <si>
    <t>대전 동구에서 대전역이 얼마나 중요한지 알게 됐다. 대전역을 이용해서 출퇴근 하는 사람들이 동구에 상당히 많다 그래서 걸어서 대전역 이용하는게 정말 중요하구나!</t>
  </si>
  <si>
    <t>이스트시티박사</t>
  </si>
  <si>
    <t>010-9244-4895</t>
  </si>
  <si>
    <t>107동 고층</t>
  </si>
  <si>
    <t>이스트1단지 26평 전세 2.9억도 비싸다는 느낌 신흥SK보다는 싸야 한다
20평, 30평 비슷하게 보는 느낌 어디가 더 잘 나간다는 느낌은 없다, 전세손님도 많다는 느낌은 없다
세입자 갱신권 썼고! 27년 만기 매도 사유 모르겠다.
26평은 다 철길따라 배치 30평이 앞동
아무래도 전세 손님이 더 많은 거 같은데 요새는 전세가 비싸서 매수도 물어보는 느낌
얼마전 26평 3.85억에 거래 본인이 한것은 아님
이스트1단지는 따로 옵션 요구하는 세입자는 없다. 전동이 에어컨 옵션으로 안 달려 있음.</t>
  </si>
  <si>
    <t>친절하시나 의욕이 없다</t>
  </si>
  <si>
    <t>대전역이 가지는 힘을 또 느꼈다. 서울 출퇴근으로 대전역 도보로 이용하려는 수요가 있어 신흥SK안되면 이스트1단지 오겠구나</t>
  </si>
  <si>
    <t>2026.04.15.</t>
  </si>
  <si>
    <t>리더스시티</t>
  </si>
  <si>
    <t>리더스시티4블록</t>
  </si>
  <si>
    <t>404동 6층</t>
  </si>
  <si>
    <t>일잘러 부동사님 찾았다
404동 501호 전세 3억 비싸서 2.8억에 본인이 하심
전세 손님 많다 리더스가 이제 대전역 인근에서 연식 제일 좋으니 SK뷰 보고 여기 온다
매도 사유는 모르고 세입자 갱신권 사용 (28년 8월 만기)
401동이 기찻길이 아니라서 로얄동
여기는 대전역 이용하는 분들이 온다 신흥SK봤다가 구조 별로라 연식 좋고 구조 괜찮은 리더스 온다
4단지가 5단지보다 동간이 넓어서 더 괜찮다
4단지 거래는 내가 다한다!
신흥SK뷰는 물건이 복불복! 옵션이 선택사항이라서 세입자들이 물건 볼때마다 고민 많은데 리더스는 에어컨 중문이 되어 있다</t>
  </si>
  <si>
    <t>일잘러 부동산</t>
  </si>
  <si>
    <t>대전역 수요는 확실하고 리더스는 연식과 구조, 옵션으로 신흥SK를 상대하는 것 같다. 리더스 수요도 만만치 않구나!</t>
  </si>
  <si>
    <t>2026.04.16</t>
  </si>
  <si>
    <t>한화꿈에그린</t>
  </si>
  <si>
    <t>106동 5층</t>
  </si>
  <si>
    <t>투자금 5천만원 투자자
한화 꿈에그린보다 용방이 더 전세 잘나간다.
지하철 가깝고 상권 괜찮고 겉보기엔 꿈그가 나아보이지만 용방이 실거주 괜찮고 회전율이 좋음 꿈그도 연식 오래 됐잖아
꿈그 106-5 2.6억 기본 깨끗 깔끔. 
용방 303-8 2.35억 수리 다해야함 씽크대 하긴 했는데 ... 7년? 정도 거주했음 
잔금 되면 편하게 다 보여주겠다
수리 된거 안 된거 비교할 수 있게 준비해드림</t>
  </si>
  <si>
    <t>여자 사장님
친절 + 일잘러
물건 브리핑 바로 나오심</t>
  </si>
  <si>
    <t xml:space="preserve">꿈에그린은 확실히 수요가 떨어진다.
용방이 좀 더 신흥과 가깝기 때문에 임차수요가 더 있는 듯 </t>
  </si>
  <si>
    <t>117동 저층(4층)</t>
  </si>
  <si>
    <t>2026년 12월 만기 갱신권 사용 완료
전세 시세도 3억 정도</t>
  </si>
  <si>
    <t>남자 사장님
여 사장님이랑 일 같이 하시는 듯
5시 확인 중</t>
  </si>
  <si>
    <t>4층 최저가
매도 사유가 궁금스</t>
  </si>
  <si>
    <t>2026.04.16.</t>
  </si>
  <si>
    <t>용방마을</t>
  </si>
  <si>
    <t>010-7979-3620</t>
  </si>
  <si>
    <t>308동 14층</t>
  </si>
  <si>
    <t xml:space="preserve">요새 35평 기준으로 2억이면 전세 나간다
전세 많이 본다 30평대를 더 많이 본다는 느낌보다는 305동은 대룡초를 가까이 보내고, 애들 키우는 수요가 30평대를 많이 찾는다
집주인분이 대전역 우미린 분양돼서 급하다~ 
305, 306동 초등학교 가까이 302, 304동 앞에 평지 313, 314동은 천뷰
실거주자가 많아
한화꿈에그린보다 위치상으로 용방이 낫다 한화꿈그는 주변에 다가구 주택이 많아
매물들이 현재 낡아서 기본적으로 수리를 해야 전세 들어온다
</t>
  </si>
  <si>
    <t>사잘님 친절</t>
  </si>
  <si>
    <t>용방마을에 투자로 들어오는 사람은 거의 없었다. 그냥 여기는 가성비 실거주로, 사는 분들이 오시는 것 같았다. 왜 살아야 하는 질문에 초등학교 가깝다는 말씀뿐!</t>
  </si>
  <si>
    <t>새들뫼사랑</t>
  </si>
  <si>
    <t>010-3063-3670</t>
  </si>
  <si>
    <t>104동 22층</t>
  </si>
  <si>
    <t xml:space="preserve">요새는 34평 전세 3억도 보고 있는데 27년 이후 공급 터지면 2.6억정도 내려갈 것 같다.
전세 펜타뷰 나오긴 했는데 전세 못맞추고 있는 상황 세입자들이 신축을 원함
세입자 갱신권 쓰고 내년에 나감! 27년 공급에 걸림
로얄동이 남향은 109동, 110동
101, 102, 103, 104동 남동향 전망 국, 천변 조망 가능
A타입을 더 선호!
새들뫼는 신축은 가고 싶은데 가격이 비싸고 대전역 이용하면서 넓은 평형 같이 쓰면서 신흥초 쓰고 싶어서 새들뫼 들어온다
펜타뷰는 한밭여중,고로 보내고 싶어하는 엄마들이 선택
근데 펜타뷰보다는 새들뫼!
새들뫼가 훨씬 실거주와 전세자 많이 들어옴
도배, 장판 정도만 해도 전세 들어온다 그리고 젊으신분들은 시에를 원한다!
</t>
  </si>
  <si>
    <t>잔잔하게 친절</t>
  </si>
  <si>
    <t>확실히 새들뫼도 대전역 수요를 받는 것 같다. 대전역을 이용하면서 넓은 평수로 저렴한 가격에 살고 싶어하는 분들이 새들뫼를 사는 것 같다</t>
  </si>
  <si>
    <r>
      <rPr>
        <rFont val="Noto Sans KR"/>
        <color theme="1"/>
      </rPr>
      <t xml:space="preserve">리더스4, 위드힐
위드힐은 투자가치로는 떨어진다. 회전율은 59랑 74가 좋긴하다. </t>
    </r>
    <r>
      <rPr>
        <rFont val="Noto Sans KR"/>
        <b/>
        <color theme="1"/>
      </rPr>
      <t xml:space="preserve">여기 동네에서 84는 투자로 가져가기엔 무겁긴 하다 (아무래도 실거주가 눌러앉는 분위기) 최근 거래는 실거주 위주로 많이 이루어졌다. 호가대로 단지들이 나가고 있고 7월 되면 물건이 나올거다. 대신 잔금을 8월 1일로 맞춰야 한다. 이거 가능하냐
</t>
    </r>
    <r>
      <rPr>
        <rFont val="Noto Sans KR"/>
        <color theme="1"/>
      </rPr>
      <t>74는 A랑 B 있는데 선호도 차이 많이나고 A는 수납이 잘되어있어서 더 선호함. 4.8부터 시작</t>
    </r>
  </si>
  <si>
    <t>사장님 솔직 매임예약 진행</t>
  </si>
  <si>
    <t xml:space="preserve">74B를 싸게 사면? </t>
  </si>
  <si>
    <t>105동 12층</t>
  </si>
  <si>
    <t>친절, 투자자 안받으시려함.</t>
  </si>
  <si>
    <t>102동 41층</t>
  </si>
  <si>
    <t>2026.4.16</t>
  </si>
  <si>
    <t>성보공인중개</t>
  </si>
  <si>
    <t>010-5628-3400</t>
  </si>
  <si>
    <t>2006.01.</t>
  </si>
  <si>
    <t xml:space="preserve">(세입자컨셉) 문의한 104동 11층 2억 2천만 원짜리 전세 매물은 이미 나갔다. 현재 전세 매물이 거의 없으며, 전세 가격은 더 오를 가능성이 있다.102동의 매매 매물은 2억 5천~6천만 원대이며, 106동 2억 7천만 원짜리 매물은 조망권이 좋고 신규 아파트로 이사 가는 주인이 나가서 공실이다. 둔산동 신축으로 이사가셨다고 함. </t>
  </si>
  <si>
    <t>친절하심</t>
  </si>
  <si>
    <t xml:space="preserve">아파트 단지는 초등학교와 가깝고, 버스 정류장이 정문 옆에 있으며(10-15분 간격), 대동전철역까지 10분 정도 소요된다.아파트 단지는 주공 아파트보다 소득 수준이 높은 사람들이 살고, 대형 평수가 많으며, 대흥초등학교로 보내는 학부모들이 많이 거주한다.아파트 단지는 대전역과 고속터미널과 가깝고, 편의시설이 잘 갖춰져 있으며, 20년 된 아파트지만 튼튼하게 지어졌다. 600세대수로 특정 동이 더 좋다고 말하기는 어렵다. 초등학생있으면 101동으로 오솔길이 있어 도로 건너지 않고 간다. 주민 구성은 젊은 사람60%나이든 층이40% </t>
  </si>
  <si>
    <t>편한세상공인중개</t>
  </si>
  <si>
    <t>010-344505600</t>
  </si>
  <si>
    <t>2020.11.</t>
  </si>
  <si>
    <t>109/10/남서</t>
  </si>
  <si>
    <t xml:space="preserve">주인분 거주중.  방 2개 구조. </t>
  </si>
  <si>
    <t xml:space="preserve">말이 아주 빠르심. </t>
  </si>
  <si>
    <t xml:space="preserve">의료원 들어오는 것에 대한 기대가 있어보임. 방이 2개 구조에 대한 비선호가 있음. 109동 3.4억(조정가능, 방3개) 있음. 25평 로얄은 114동이고 3.4억 이상부터 시작함. 뷰가 좋음. 각자의 선호 차이는 있지만 20평대가 잘 나가고 선호가 있는 편임. </t>
  </si>
  <si>
    <t>106동 고층</t>
  </si>
  <si>
    <t>2026.4.17</t>
  </si>
  <si>
    <t xml:space="preserve">OK한숲공인 </t>
  </si>
  <si>
    <t>010-2334-6244</t>
  </si>
  <si>
    <t>한숲</t>
  </si>
  <si>
    <t>115동 9층</t>
  </si>
  <si>
    <t xml:space="preserve">-단지: 용전동 한숲
­-부동산: OK한숲공인 / 친절 하시고 잘 아심 
-매매가 31평: 2.8~3.5억 / 남향은 3.3억 부터, 이하 가격은 다 동향 
- 전세가 2.1억 가능 / 지금 2.2억 하나 있음 
(매물이 오래전 수리 한건데도 전세 없어서 가능)
- 31평에서 남향이 2동 (109, 115동) 밖에 없어서 귀함
- 로얄동: 110~113동 
- 용전초 초코아, 단지 내 학원, 생활상권 있어서 편리 
- 아이들 교육 시키고 싶으면 둔산동 많이 이사가고, 대덕구 송천동 쪽으로 간다고 함
- 누가사나요? 
한남대 교직원, 학생들, 터미널 생기면서 관련 업종자들 (CJ지사, 네슬레 지점, 이마트 근무자, 교회가 많아서 교회 목사님들 사택, IC 가까워서 화물 하시는 분들) </t>
  </si>
  <si>
    <t xml:space="preserve">친절도 보통
매물에 대해 잘 아심
</t>
  </si>
  <si>
    <t>위드힐 탑 공인중개사사무소</t>
  </si>
  <si>
    <t>효동현대
현대(인동)</t>
  </si>
  <si>
    <t>1998.09
1987.06</t>
  </si>
  <si>
    <t>1056
728</t>
  </si>
  <si>
    <t xml:space="preserve">
효동현대 107동15층
현대 109동고층</t>
  </si>
  <si>
    <t>32평
(방3화2)
31평
(방3화1)</t>
  </si>
  <si>
    <t>25000
25500</t>
  </si>
  <si>
    <t>매물에 대해 잘 모르심
- 매물 엄청 많이 가지고 계신데, 살펴보니 아파트 뿐만 아니라 빌라, 다가구, 주택, 상가까지 이것저것 다 하시는 ...
- 파트너로선 별로다
- 네부에는 위드힐탑공인으로, 전화하면 천동리더스시티 탑공인으로 뜸 (업체명 변경하신듯)
현대 109동 고층 남향 
- 10층 물건 / 샷시 포함 올수리, 5년 전 수리
- 109동이 맨 앞동, RR
- 효동현대와 마주보고 있는 쪽을 앞동이라 칭한다</t>
  </si>
  <si>
    <t>매물 잘 모름
★거르기★</t>
  </si>
  <si>
    <t>서울공인중개사사무소</t>
  </si>
  <si>
    <t>010-5451-9304</t>
  </si>
  <si>
    <t>효동현대</t>
  </si>
  <si>
    <t>107동 15층</t>
  </si>
  <si>
    <t>[매물 정보]
- 107동 15층 (2.55) : 기본집 / 수리안된 상태로 전세 1.9~2.0 정도에 뺄 수 있음, 도배는 해줘야함
[다른 물건 추천]
- 107동 저/25층 (3층/ 2.57) : 싱크대/화장실 수리 
- 104동 고/16층 (12층/ 2.80) : 올수리, RR / 2.7까지 가능할 듯, 현재 월세입자 거주중 (26.07.02 만기), 갱신 안썼지만 매도 되면 나간다고. 
&gt;&gt; 수리된거는 전세 2.0에서 잘하면 2.2까지도 가능</t>
  </si>
  <si>
    <t>남부사님
매물 상태/ 매도자 상황 잘알, 친절 차분 
인상도 귀엽, 말투도 귀여우심</t>
  </si>
  <si>
    <t>87년식 인동현대 : 작년에 안전진단 받았는데 너무 튼튼하다고 불합격 받았다함ㅋㅋㅋㅋ
[인동현대 vs 효동현대]
- 인동 : 지하주차장 없음, 화장실 1개
- 효동 : 지하주차장 B2까지, 화장실 2개</t>
  </si>
  <si>
    <t>뉴중앙</t>
  </si>
  <si>
    <t>010-2402-5123</t>
  </si>
  <si>
    <t>청룡</t>
  </si>
  <si>
    <t>10동 3층</t>
  </si>
  <si>
    <t xml:space="preserve">곧 있으면 관처날 듯 하다 
가격은 나쁘지 않다
조합원 기준 평당 1550 예상 중
그렇게 계산해보면 된다 분담금 </t>
  </si>
  <si>
    <t>남자 부사님
귀찮아 하심
그래도 친절하지만 의욕이 없으신 편</t>
  </si>
  <si>
    <t>재건축 전임 어렵다</t>
  </si>
  <si>
    <t>이정도 가격차면 84하는게 낫다. 문의준물건은 3억에 세 2억/월세껴저있다. 나와있는 물건 중에서 집상태 괜찮은건 3.5-3.6 정도이다. 
104동 25층 3.5 정도가 층수도 괜찮고 가격도 괜찮아보인다. 바닥 폴리싱타일 마감해놨다.</t>
  </si>
  <si>
    <t>이 동네에 일잘러 부사님은 없는가 다른데 다시전화해보자</t>
  </si>
  <si>
    <t>전세 2.8이면 새들뫼 3억보다는 좀 떨어진다.. 
집 잘 짓고 자이라서 짱짱한건 알겠는데 이젠 저물어가는듯</t>
  </si>
  <si>
    <t>010-9490-7442</t>
  </si>
  <si>
    <t>은어송2단지하늘채</t>
  </si>
  <si>
    <t>202동 고층</t>
  </si>
  <si>
    <t>111동 중층</t>
  </si>
  <si>
    <t>투자</t>
  </si>
  <si>
    <t>010-8076-2800</t>
  </si>
  <si>
    <t>센텀비스타가 6월부터 전세 풀리면 한밭자이 전세 떨어질듯 
전세 손님은 많은 편이고, 지금 컨디션이 안 좋아서 안나가는 중
27년 2월 집주인 이사 예정, 힐스테이트로 이사, 그 동안 주인 전세 가능
104동이 앞동이라 뻥뷰
전세도 잘나가고 실거주 수요도 많다
스마트뷰가 더 좋아, 더 대단지여서 스마트뷰를 더 선호한다 
도배, 장판 정도면 괜찮다</t>
  </si>
  <si>
    <t>중구 사장님인데 너무 친절</t>
  </si>
  <si>
    <t>센텀비스타가 생기면 한밭자이 전세 수요가 많이 빠질거라고 보고 계신다. 같은 전세금이라면 신축에 살고 싶어하는게 사람 마음이기에, 6월 센텀비스타 전세물량이 퍼지면 한밭자이 더 떨어질 수도 있겠다는 생각! 또한 한밭자이가 스마트뷰에도 밀려, 여기저기서 샌드위치 되는 상황 앞으로도 계속 선호도가 밀릴 것 같다는 느낌?</t>
  </si>
  <si>
    <t>스마트뷰온통</t>
  </si>
  <si>
    <t>010-5169-0109</t>
  </si>
  <si>
    <t>104동 4층</t>
  </si>
  <si>
    <t xml:space="preserve">2.8억에도 전세 거래 된다
전세가 없어서 사람들이 못구하는 상황
세입자 27년 3월 만기 갱신권 안쓰고 있는 상황
로얄동 112동 뻥뷰, A타입을 더 선호
실거주자가 훨씬 많다, 전세는 나오면 신혼부부가 들어오는 편
센텀비스타가 어딘지도 모르셨고, 한밭자이보다는 스마트뷰를 더 선호 한밭자이는 너무 구축이라고 하심
도배, 장판을 해둔 상황인데 이 정도면 충분
</t>
  </si>
  <si>
    <t>확실히 이 대전역 위쪽 라인은 연식이 좀 돼서 전화가 뜸한가보다, 굉장히 친절하시고 언제든 방문 환영이라고 하신다. 여깃 투자자들도 안보고 있는걸까?</t>
  </si>
  <si>
    <t xml:space="preserve">대전역센텀비스타 6월 입주 시작
입주장이다보니 전월세 물량이 많고 금액이 쌈
똑같은 34평인데 이편한전세가 좀 있다 
이편한전세가 3억~부터 나오기 시작해서 급하신 분들은 3억부터 내놓음
이편한세상은 금액이 좀 나가긴 한데 전반적으로 대전이 전월세가 좀 부족하다. 내놓으면 잘 나가겠지만 집주인이랑 협의 하에 잔금을 치루고 
중구) 하늘채 전세금액은 3.8 내놓으면 금방 나감 4억은 나와있기는한데 
힐스가 내년 2월 입주다
전세가 엄청 나올거라 리스크가 있을 듯
버드내는 세입자가 토요일 3시부터 6시까지만 시간이 됨
한밭자이는 이번주는 놀러감 </t>
  </si>
  <si>
    <t>대박친절</t>
  </si>
  <si>
    <t>포레공인중개사</t>
  </si>
  <si>
    <t>010-5403-0559</t>
  </si>
  <si>
    <t>대구중) 남산역화성파크드림</t>
  </si>
  <si>
    <t>101동 12층 동향</t>
  </si>
  <si>
    <r>
      <rPr>
        <rFont val="Noto Sans KR"/>
        <color theme="1"/>
      </rPr>
      <t>최근 3.9에 올렸다가 3.8에 거래됨. 내가 퇴근을해서 물건상황을 제대로 모르겠는데 내일 전화주겠다.</t>
    </r>
    <r>
      <rPr>
        <rFont val="Noto Sans KR"/>
        <b/>
        <color theme="1"/>
      </rPr>
      <t xml:space="preserve"> 전세시세 2.6 가능한가? 충분히 가능하다.
</t>
    </r>
    <r>
      <rPr>
        <rFont val="Noto Sans KR"/>
        <color theme="1"/>
      </rPr>
      <t xml:space="preserve">내일통화하자
</t>
    </r>
  </si>
  <si>
    <t xml:space="preserve">대명그랜드자이 입주장인데 물건 쏟아지는데도 가능하다고? 등기 안나와서 올현금세입자만 받아서 그런가 </t>
  </si>
  <si>
    <t>투자공인중개사</t>
  </si>
  <si>
    <t>힐스테이트가양더와이즈(주복)</t>
  </si>
  <si>
    <t>102동 41/49층 남동향</t>
  </si>
  <si>
    <t>113/84</t>
  </si>
  <si>
    <t>[매물 정보]
- 매도인이 잔금 못쳐서 급매로 내놓은 것
&gt;&gt;&gt; 계속 이자 나가고 있어서 잔금 빨리 원함
- 근데 매수하려는 사람 있어서 4/21 저녁 매수인 &amp; 매도인 만나기로 해서 물건 볼 수 있을지는 미지수
[다른 매물 추천]
- e편한센텀비스타 추천
- e편한 현재 호가 (84only) 
&gt;&gt; 전세 3.0~4.2
&gt;&gt; 매매 4.246~5.5936</t>
  </si>
  <si>
    <t>적극적, 솔직하심, 협조적</t>
  </si>
  <si>
    <t>[내생각]
- 위치상으론 힐스보단 e편한이 훨 좋은데, e편한 입주에도 힐스의 호가가 많이 빠지지 않았다. 아직 2년 되기 전이라 매물이 다 나오지 않은 것도 한몫할 것 같고 (비교적 경쟁 덜한), 내놓은 분들 대부분이 급하지 않아서 그런가? (현재 공실이 꽤 많다) 급한 분은 4.9까지 내렸다. 매임 때 [호가가 여전히 높은 이유]와 [힐스 vs e편한 선호 차이] 알아볼 것
[e편한 브리핑]
- 분양권은 아예 1도 모른다하고 부사님 브리핑 받아보기
- 분양가/ 확장비/ 옵션/ 피 등등 계산 방식 이해하기</t>
  </si>
  <si>
    <t>아침마을114공인</t>
  </si>
  <si>
    <t>113동 고/25층</t>
  </si>
  <si>
    <t>112/84</t>
  </si>
  <si>
    <t>[매물 정보]
- 113-고층 나쁘지 않다, 라는 부사님 반응 
- 왜?  냐는 질문에 대답x 모르는 느낌이 아니라 그냥 귀찮아하는 느낌
[다른 매물 추천]
- 116동 6/19층 남동향 112A 3.7 앞동
- 116동 18/19층 남동향 112A 3.9 앞동 뷰 올리모
- 102동 13/24층 남동향 112B 3.7억 뒷동 공실</t>
  </si>
  <si>
    <t>매물은 많지만 soso, 친절하지도 불친절하지도 않고, 적극적이지도 비협조적이지도 않다.
문자 회신 없음</t>
  </si>
  <si>
    <t>- 타입이 많은데 A-1, A-2, A-3, A-4  등 숫자는 다 차이없고 (실거래에도 같이 올라와있음)
- A &amp; B 판상, C 타워. A vs B (B 발코니 추가)
- 전세는 2.8 정도
- 조금씩 다 수리는 필요하다 &amp; 수리 안된 집이 더 많음
[매임 때]
- 한밭 vs 스맡 vs 아침 비교</t>
  </si>
  <si>
    <r>
      <rPr>
        <rFont val="Arial"/>
        <b/>
        <color theme="1"/>
        <sz val="10.0"/>
      </rPr>
      <t xml:space="preserve">▶함께쓰는 우리들의 단지분석
단지 물건의 상태,날짜는 전임시트에 적고 </t>
    </r>
    <r>
      <rPr>
        <rFont val="Arial"/>
        <b/>
        <color rgb="FF980000"/>
        <sz val="10.0"/>
      </rPr>
      <t>단지의 선호요인,특징, 가치</t>
    </r>
    <r>
      <rPr>
        <rFont val="Arial"/>
        <b/>
        <color theme="1"/>
        <sz val="10.0"/>
      </rPr>
      <t>만 기재해주세요!</t>
    </r>
  </si>
  <si>
    <t>단지
수</t>
  </si>
  <si>
    <t>분석
완료</t>
  </si>
  <si>
    <t>남은
단지</t>
  </si>
  <si>
    <t>단지분석 진행률</t>
  </si>
  <si>
    <t>전화임장내용 / 매물임장 내용
(RR, 생활권 선호도 등의 단지분석에 들어갈만 한  내용)</t>
  </si>
  <si>
    <t>예시 : 107동이 로얄동, 뒷동도 15층 이상이 되면 한강뷰가 나온다. 아이 초등하교 배정때문에 이사를 오는 단지. 
00초등학교를 특히 좋아함.</t>
  </si>
  <si>
    <t>동</t>
  </si>
  <si>
    <t>단지</t>
  </si>
  <si>
    <t>나이</t>
  </si>
  <si>
    <t>전체
 세대수</t>
  </si>
  <si>
    <t>타입</t>
  </si>
  <si>
    <t>공급
 면적</t>
  </si>
  <si>
    <t>면적
 세대수</t>
  </si>
  <si>
    <t>평형</t>
  </si>
  <si>
    <t>전용
 면적</t>
  </si>
  <si>
    <t>계/복</t>
  </si>
  <si>
    <t>방</t>
  </si>
  <si>
    <t>가양동</t>
  </si>
  <si>
    <t>계단식</t>
  </si>
  <si>
    <t>32평은 101동 빼고는 다 괜찮. (101동 3호 라인 조망 막힘) 24평은 매물간 가격 경쟁 있는 편</t>
  </si>
  <si>
    <t>117C, 118B, 119A</t>
  </si>
  <si>
    <t>82B, 82A</t>
  </si>
  <si>
    <t>102C, 102A, 102B</t>
  </si>
  <si>
    <t>108A, 108B</t>
  </si>
  <si>
    <t>99A, 99B-1, 99B-2</t>
  </si>
  <si>
    <t>안방 베란다 넓은 구조, 아침 LH는 모두 확장함, 지하주차장 1층, 114동 1-2라인, 116동 인기동 (뻥뷰, 앞동), 어르신들은 체육관 등 커뮤니티 가까운 앞동 선호</t>
  </si>
  <si>
    <t>112A-3, 112A-1, 112A-2, 112C-2, 112A-4, 112B, 112C-1</t>
  </si>
  <si>
    <t>154A-2, 154B-2, 154A-1, 154B-1</t>
  </si>
  <si>
    <t>힐스테이트가양더와이즈(주상복합)</t>
  </si>
  <si>
    <t>113A, 113B</t>
  </si>
  <si>
    <t>B타입보다 A타입 선호, 가격차이는 크게 없지만 A타입이 먼저 나감.</t>
  </si>
  <si>
    <t>141A, 142B</t>
  </si>
  <si>
    <t>가오동</t>
  </si>
  <si>
    <t>109B, 110A, 114</t>
  </si>
  <si>
    <t>119A, 121B</t>
  </si>
  <si>
    <t>140, 143</t>
  </si>
  <si>
    <t>89A, 89B, 95</t>
  </si>
  <si>
    <t>114B, 114C, 115A</t>
  </si>
  <si>
    <t>주공(210)</t>
  </si>
  <si>
    <t>대성동</t>
  </si>
  <si>
    <t>118C, 118A, 118B</t>
  </si>
  <si>
    <t>A형, C형
있는데 A형 좋아함.</t>
  </si>
  <si>
    <t>신혼부부 수요 거의 없음.</t>
  </si>
  <si>
    <t>103동 5-6호라인 선호 (117A타입 4베이)</t>
  </si>
  <si>
    <t xml:space="preserve">102동 선호
101동은 도로인접해서 
소음 싫어하시는듯
</t>
  </si>
  <si>
    <t>98B, 99A</t>
  </si>
  <si>
    <t>115B, 117A</t>
  </si>
  <si>
    <t>78A</t>
  </si>
  <si>
    <t>상권 접근성이 좋은 101~104동 선호,107-108동은 너무 끝이라 선호하지는 않음.</t>
  </si>
  <si>
    <t>99A</t>
  </si>
  <si>
    <t>109A, 109AT, 110B, 110BT, 111C</t>
  </si>
  <si>
    <t>낭월동</t>
  </si>
  <si>
    <t>남대전e편한세상</t>
  </si>
  <si>
    <t>111A1, 111B1, 112A2, 112B2</t>
  </si>
  <si>
    <t>113, 115, 118</t>
  </si>
  <si>
    <t>편의시설은 E편한에있는데 투자 소액으로 하려면 전세 회전율 때문에 오투그란데도 괜찮다. RR 110,111 뻥뷰</t>
  </si>
  <si>
    <t>신흥동</t>
  </si>
  <si>
    <t>천뷰 호가 6.0
RR 107-110 (보문산,천뷰 4층이어도 괜찮음)</t>
  </si>
  <si>
    <t>20평대 선호도 높음 신혼부부 
조합원 세대와 일반분양 세대가 있는데 조합원 선호가 있고, 109동이 제일 로얄동, 다음 109동이 좋고, 108, 109동은 남서향, 101동도 조합원동으로 남동향 6,7,8동이 학교가까워 좋아함. SK뷰는 다 지하주차장으로다님.
현전세가-59: 2.8억/75 3.2억/ 84: 3.5버겁다.
(신흥SK사장님 굉장히 보수적이신 듯, 협조어려워보임)
101동106동이 30평 뷰가 나옴, 
단지엽으로 육아지원센터생길거라고 하심 조합원동에 가전,엔지니어링스톤, 화장실타일 등 이점이 많았음. A타입이 훨~~씬 좋음</t>
  </si>
  <si>
    <t>80A, 81B</t>
  </si>
  <si>
    <t>대동</t>
  </si>
  <si>
    <t>99, 99-</t>
  </si>
  <si>
    <t>99,</t>
  </si>
  <si>
    <t>새들뫼 선호 이유 : 대동역 더블역세권 호재 기대, 대동역 3분컷 &amp; 평수 넓게 잘빠짐 &amp; 어진보다 괜찮은 연식 &amp; 인식/선호도 높음
로얄동이 남향 109동 110동 / 101, 102, 103, 104동 남동향 전망 굿, 천변 조망 가능 / A타입을 더 선호</t>
  </si>
  <si>
    <t>30평은 106동 25세대만 있어서 실거주로 매매는 거의 나오지 않는다. 34평 타입은 거의 비슷하고 D타입만 주방으로 많이 들어가서 비선호.  102동 1234라인만 비확장이고 전체 나머지 확장</t>
  </si>
  <si>
    <t xml:space="preserve">로얄동이 남향 109동 110동  신축은 가고 싶은데 가격이 비싸고 대전역 이용하면서 넓은 평형 같이 쓰면서 신흥초 쓰고 싶어서 새들뫼 들어온다
101, 102, 103, 104동 남동향 전망 굿, 천변 조망 가능
A타입을 더 선호! </t>
  </si>
  <si>
    <t>112E, 112C, 112C-, 113A, 113D, 113B, 113B-, 113A-</t>
  </si>
  <si>
    <t>157, 157-</t>
  </si>
  <si>
    <t>84A, 84B, 84C</t>
  </si>
  <si>
    <t>101,108,110
펜타뷰랑 새들뫼 2천차이남.
위치 때문에 새들뫼 먼저오름
위치
코레일직원 서울출퇴근
대동2구역분양</t>
  </si>
  <si>
    <t>천변 조망으로</t>
  </si>
  <si>
    <t>111D, 111E, 111B, 111C, 111A, 111B1, 111A1, 111D-1, 111E-1, 111A2, 111A3, 111F</t>
  </si>
  <si>
    <t>펜타뷰는 여중,여고 한밭여중,고로 보내고 싶어하는 엄마들이 선택</t>
  </si>
  <si>
    <t>153A, 153A-1, 153B</t>
  </si>
  <si>
    <t>153C, 153D</t>
  </si>
  <si>
    <t>86A</t>
  </si>
  <si>
    <t xml:space="preserve"> 동이 1,2,3동이 로얄동이라서. SK뷰에서 대전역까지는 솔직히 매일 은 못걸어다린다. 이스트 시티에는 10-12분정도 걸림(하도 사람들이 물어봐서 사장님이 직접 걸어보셨다고 함). 101-3동은 SK 못지 않다.
이스트시티에 코레일 많이 사시냐는 질문에, 많이사셔서 소문으로는 철도아파트라고 불린다. 하도 많이 사셔서. 대전역 출퇴근하시는 분들도 많다.  매임 가서 알게 된 단지 이야기추가)
이스트 1단지는 결론적으로 101-103동이 좋다고 판단했다. 
20평대는 다~ 철도 가까이 있다. (가격차이 없다)
1동은 뷰가 좋고, 3동은 지하철이 가깝다.
내년 공급때 전세가 -3천(사장님 피셜)날 듯.(5천 이상 대비)
1,2,3동은 분양때부터 천 더 받았다. 
</t>
  </si>
  <si>
    <t>100B, 101A</t>
  </si>
  <si>
    <t>113A-1, 113A, 113B</t>
  </si>
  <si>
    <t>이스트시티2단지</t>
  </si>
  <si>
    <t>64A</t>
  </si>
  <si>
    <t>복도식</t>
  </si>
  <si>
    <t xml:space="preserve">굳이 이스트 2단지를 갈 필요가 없죠.' 철길 옆이고, 주차도 힘들고 건설사가 1단지와 다르기 때문에 사람들이 제일 비선호한다. 투자도 실거주도 권하지 않음. 20평대는 복도식에 임대였다가 매매로 풀리는 거라 비선호. </t>
  </si>
  <si>
    <t>73A</t>
  </si>
  <si>
    <t>83A</t>
  </si>
  <si>
    <t>102A, 102A-2, 102C</t>
  </si>
  <si>
    <t>삼성동</t>
  </si>
  <si>
    <t>한밭자이가 스마트뷰보다 좋은 이유
-&gt;초등학교 단지내 있고, 평지고, 교통도 더 좋고, 거긴 경사에 LH다. 지하주차장 연결 안 되어있다. 한받자이는 아래 통으로 연결되어 있다. 아파트부지만큼. 지하 1층까지지만 주차 힘들지 않다. 2대든 3대든 주차요금 별도 없다. 그건 주차하기 쉽다는 것.  자이는 LH와 급이 다르다. 그러니까 연식이 아쉬워도 이 값 하는 것!</t>
  </si>
  <si>
    <t>자이vs스마트뷰vs아침LH 
-스마트뷰,아침LH는 주공이고 자이는 민영이라 사람들이 자이를 더 좋아한다고 함.</t>
  </si>
  <si>
    <t>114, 117</t>
  </si>
  <si>
    <t>성남동</t>
  </si>
  <si>
    <t>석촌주공</t>
  </si>
  <si>
    <t>78B, 78A</t>
  </si>
  <si>
    <t>98B, 98A</t>
  </si>
  <si>
    <t>B타입은 신혼부부가 사지만 매도 생각하면 A.C 로 보는게 좋다. 천뷰 RR</t>
  </si>
  <si>
    <t xml:space="preserve">110-112동 까지가 로얄동, 112동의 1,2라인은 도로 소음으로 좋아하지 않음. 단지 내 분위기 좋지만 전세는 잘 나오지도 나가지도 않음. 
101-104동쪽을 선호하지 않아 가격 차이가 항상 5억 이상 벌어짐. 
대전역 접근 가능하긴 하지만, 차없이 가기엔 멀어서  출퇴근 용도로는 의미 없음. 초등학교까지는 괜찮지만 중학교는 여기서 보내기는 아쉽. 
타입에 대한 선호 명확함. A형이 제일 무난하게 인기있음. B형은 젊은이들을 위한 타입이나 구조가 꺾여있어 환기가 어려움. C형도 괜찮은 편. 안방이 넓게 빠져있음. 
(한밭자이 사장님께 현재 집 타입이 안좋아 파는데 고생했다고 했더니 바로 스마트뷰B타입 아니냐고...하셨음..ㅎㅎㅎ)
지하주차장 연결 안되어있다고하심...11년식인데... </t>
  </si>
  <si>
    <t>B보다 A,C선호 
B는 가격이 그 자리에서 움직이지 않음. 그래도 저렴하니까 그맛에 B사는 사람들도 있다.</t>
  </si>
  <si>
    <t>111A, 111B, 111C</t>
  </si>
  <si>
    <t>148, 151P</t>
  </si>
  <si>
    <t>대로변 206.207
210-201동 단지조망</t>
  </si>
  <si>
    <t>79A, 80B</t>
  </si>
  <si>
    <t>108A</t>
  </si>
  <si>
    <t>109B</t>
  </si>
  <si>
    <t>용운동</t>
  </si>
  <si>
    <t>104동 중층 4.25억 / 수리는 해도 도배 정도만 하면 됨
좋은동 매물은 ? 107동
에어컨 없는거 4.5억 / 있는거 4.59억
시에 있는 집 없는 집 반반,, 없는 집이 조금 더 많은 거 같기도
하다고 함
4베이 단일구조
vs 은어송하늘채리버뷰 
확실히 그쪽이 좀 더 멀긴하다
새 아파트라 좋긴 한데 금방 파실거면 e편한이 나을거다
전세가 많이 없다</t>
  </si>
  <si>
    <t>"-단지 내 2세대인 경우 엘베 1, 3 세대인 경우 엘베 2대씩 배치되어 있음. 
-현재 전세 손님이 많지 않음. "</t>
  </si>
  <si>
    <t>삼정하이츠타운</t>
  </si>
  <si>
    <t>74B, 75A, 75A1</t>
  </si>
  <si>
    <t xml:space="preserve">305, 306동 초등학교 가깝 
302, 304동 평지가 가깝 
313 314동 천뷰  </t>
  </si>
  <si>
    <t xml:space="preserve">                                                                                                                                                                                                                                                                                                                                                                                                                                                                                                                                               </t>
  </si>
  <si>
    <t>313동이 인기동(숲뷰라서 좋아한다고 하는데 어르신들 취향, 젊은 사람들은 앞동 좋아한다고 함), 312동 비선호(주차 멈)</t>
  </si>
  <si>
    <t>84A, 84B</t>
  </si>
  <si>
    <t>89A, 89C, 89B</t>
  </si>
  <si>
    <t>115A, 116C, 116B</t>
  </si>
  <si>
    <t>주공2단지</t>
  </si>
  <si>
    <t>62A, 62B, 64A, 64B</t>
  </si>
  <si>
    <t>용전동</t>
  </si>
  <si>
    <t>신동아</t>
  </si>
  <si>
    <t>78A, 80B</t>
  </si>
  <si>
    <t>104A, 107B</t>
  </si>
  <si>
    <t>인동</t>
  </si>
  <si>
    <t>78A, 79C</t>
  </si>
  <si>
    <t>79B</t>
  </si>
  <si>
    <t>111J, 112A</t>
  </si>
  <si>
    <t>신흥마을</t>
  </si>
  <si>
    <t>79B, 80A</t>
  </si>
  <si>
    <t>현대</t>
  </si>
  <si>
    <t>자양동</t>
  </si>
  <si>
    <t>동아</t>
  </si>
  <si>
    <t>천동</t>
  </si>
  <si>
    <t>79B, 80A, 80C</t>
  </si>
  <si>
    <t xml:space="preserve">로얄동 : 408, 409동 (84 only, 앞동은 경부선 소음)
- A타입 방4개 vs B타입 방 3개 : A타입 선호 (A 중 확장된 집 없고 전부 방 4개로 고정)
</t>
  </si>
  <si>
    <t xml:space="preserve">전세가 너무 없어서 내자마자 바로 나간다고 함. 5BL은 신흥역 지하철역이랑 가깝지만 넘 돌아가서 실제로는 4BL앞에 버스나 자차 노선이 잘 되어 있어 여기가 더 입지가 좋다고 함
5BL이 4BL보다 더 좋은거냐고 물어봤는데 
그냥 또이또이 이고 호가만 더 세게 내놓은 거라고 함. 
아직 입주한 지 2년이 지나지 않아서 다음달까지 기다려보면 좋은 매물 많이 나올 거 같다고 하심. 아직까지 눈치작전중.
5억850은 다운계약서.  5BL은 더 대단지고 입주가 몇개월 늦어 분양가도 높았지만 임대 껴있고 교통이 4BL이 더 좋아서 4BL이 입지가 더 좋고 나중에 4BL이 가격 더 올라갈거라고 지켜보라고(?) 함 </t>
  </si>
  <si>
    <t>98A, 99B</t>
  </si>
  <si>
    <t>111A</t>
  </si>
  <si>
    <t>111B</t>
  </si>
  <si>
    <t>81A, 81B</t>
  </si>
  <si>
    <t>로얄동 : 501, 502, 503동 (천동초 &amp; 상권 가깝, 74 &amp; 84 구성)
임대 712^</t>
  </si>
  <si>
    <t xml:space="preserve">5BL은 더 대단지고 입주가 몇개월 늦어 분양가도 높았지만 임대 껴있고 교통이 4BL이 더 좋아서 4BL이 입지가 더 좋고 나중에 4BL이 가격 더 올라갈거라고 지켜보라고(?) 함 </t>
  </si>
  <si>
    <t>100A, 100B</t>
  </si>
  <si>
    <t>113A</t>
  </si>
  <si>
    <t>113B</t>
  </si>
  <si>
    <t>82A, 82A-1</t>
  </si>
  <si>
    <t>110B, 110C, 111A, 111D, 111A-1, 115E, 118F</t>
  </si>
  <si>
    <t>147A, 147A-1, 152B</t>
  </si>
  <si>
    <t>휴먼시아2단지</t>
  </si>
  <si>
    <t>111C, 111B, 111A</t>
  </si>
  <si>
    <t>판암동</t>
  </si>
  <si>
    <t>81A, 82B</t>
  </si>
  <si>
    <t>삼코는 29평 구조가 좋네요</t>
  </si>
  <si>
    <t>104-107동이 RR임. 신혼부부+나이드신분 골고루, 출퇴근하는 사람들이 좋아하는 위치</t>
  </si>
  <si>
    <t>28평보다 29평 구조가 더 잘빠짐, 1평차이인데 드레스룸이나 거실이 훨씬 넓음. 주로 29평을 선호, 115동 뷰가 젤별로 114, 115동 은 방향이 완전 남서라 비선호, 그다음 116동 비선호 /
앞동 선호 (104-8), 뒷동 잘 안팔림(매도시 힘들 수 있음), 104동 3,4라인, 105동 3호라인, 106-7동 고층 선호 (아래층은 앞이 막힘), 108동은 매물이 잘 안나올 정도로 오래 거주, 선호함</t>
  </si>
  <si>
    <t>94A, 94B</t>
  </si>
  <si>
    <t>삼정그린코아포레스트2단지</t>
  </si>
  <si>
    <t>82A</t>
  </si>
  <si>
    <t>95B, 95A</t>
  </si>
  <si>
    <t>주공1차</t>
  </si>
  <si>
    <t>주공2차</t>
  </si>
  <si>
    <t>주공5차</t>
  </si>
  <si>
    <t>57B</t>
  </si>
  <si>
    <t>58A</t>
  </si>
  <si>
    <t>66A</t>
  </si>
  <si>
    <t>67B</t>
  </si>
  <si>
    <t>주공6차</t>
  </si>
  <si>
    <t>홍도동</t>
  </si>
  <si>
    <t>신동아파밀리에1단지</t>
  </si>
  <si>
    <t>109B, 110C, 111A</t>
  </si>
  <si>
    <t>55B</t>
  </si>
  <si>
    <t>55A</t>
  </si>
  <si>
    <t>61B</t>
  </si>
  <si>
    <t>62A</t>
  </si>
  <si>
    <t>홍도갤러리휴리움</t>
  </si>
  <si>
    <t>71A, 72C, 74B</t>
  </si>
  <si>
    <t>80B, 82A, 87C</t>
  </si>
  <si>
    <t>홍도서우</t>
  </si>
  <si>
    <t>효동</t>
  </si>
  <si>
    <t>77A, 78B</t>
  </si>
  <si>
    <t>103, 106A, 106B, 109A</t>
  </si>
  <si>
    <t>107B, 112</t>
  </si>
  <si>
    <t>123A, 125B, 128</t>
  </si>
  <si>
    <t>최종질문</t>
  </si>
  <si>
    <t>조원들 생각</t>
  </si>
  <si>
    <t>매매/전세
실거래가,
호가</t>
  </si>
  <si>
    <t>예)
매매 실거래 : 8.2
전세 실거래 : 4.3
호가 : 8.0/4.2(14)</t>
  </si>
  <si>
    <t>중개 부동산</t>
  </si>
  <si>
    <t>OO부동산</t>
  </si>
  <si>
    <t>아파트명</t>
  </si>
  <si>
    <t>OO아파트</t>
  </si>
  <si>
    <t>1999년</t>
  </si>
  <si>
    <t>연식(준공일)</t>
  </si>
  <si>
    <t>500세대</t>
  </si>
  <si>
    <t>공급 면적</t>
  </si>
  <si>
    <t>전용 면적</t>
  </si>
  <si>
    <t>공급 평형</t>
  </si>
  <si>
    <t>전용 평형</t>
  </si>
  <si>
    <t>물건 정보</t>
  </si>
  <si>
    <t>구조</t>
  </si>
  <si>
    <t>복도식 방2개</t>
  </si>
  <si>
    <t>동호수</t>
  </si>
  <si>
    <t>105동 1401호</t>
  </si>
  <si>
    <t>방향</t>
  </si>
  <si>
    <t>남향</t>
  </si>
  <si>
    <t>궁금한점</t>
  </si>
  <si>
    <t>궁금한 것</t>
  </si>
  <si>
    <t>단지특징</t>
  </si>
  <si>
    <t>수리 
여부</t>
  </si>
  <si>
    <t>욕실</t>
  </si>
  <si>
    <t>싱크대</t>
  </si>
  <si>
    <t>신발장</t>
  </si>
  <si>
    <t>도배</t>
  </si>
  <si>
    <t>장판</t>
  </si>
  <si>
    <t>샷시</t>
  </si>
  <si>
    <t>타일</t>
  </si>
  <si>
    <t>조명</t>
  </si>
  <si>
    <t>페인트</t>
  </si>
  <si>
    <t>특이사항</t>
  </si>
  <si>
    <t>상황</t>
  </si>
  <si>
    <t>거주자</t>
  </si>
  <si>
    <t>세입자</t>
  </si>
  <si>
    <t>이사 사유</t>
  </si>
  <si>
    <t>큰평형 이사</t>
  </si>
  <si>
    <t>만기일</t>
  </si>
  <si>
    <t>19년 4월말</t>
  </si>
  <si>
    <t>매매잔금전 수리가능</t>
  </si>
  <si>
    <t>가격</t>
  </si>
  <si>
    <t>최초 매매가</t>
  </si>
  <si>
    <t>협의 매매가</t>
  </si>
  <si>
    <t>예상 전세가</t>
  </si>
  <si>
    <t>매매-전세</t>
  </si>
  <si>
    <t>수리비</t>
  </si>
  <si>
    <t>부대비용 (세금+복비)</t>
  </si>
  <si>
    <t>취득세</t>
  </si>
  <si>
    <t>부동산 복비</t>
  </si>
  <si>
    <t>법무 등기비</t>
  </si>
  <si>
    <t>실투자금</t>
  </si>
  <si>
    <t>투자
기준
(만족시 O, 
불만족시X)</t>
  </si>
  <si>
    <t>(저평가) 앞마당 입지비교시 
저평가 여부</t>
  </si>
  <si>
    <t>(원금보전) 전세가율 85%</t>
  </si>
  <si>
    <t>(수익성) 투자금 규모 5천 이하</t>
  </si>
  <si>
    <t>(수익성) 투자금 대비 200% 
수익률 가능여부</t>
  </si>
  <si>
    <t>(환금성) 평형 (15~33평)</t>
  </si>
  <si>
    <t>(환금성) 300세대 이상</t>
  </si>
  <si>
    <t>(환금성) 4층 이상</t>
  </si>
  <si>
    <t>(리스크관리) 주변 장기 공급 물량</t>
  </si>
  <si>
    <t>(리스크관리) 주변 동일평형 전세 물량</t>
  </si>
  <si>
    <t>(리스크관리) 잔금준비여부 
임대난이도</t>
  </si>
  <si>
    <t>(리스크관리) 2년뒤 유동성 준비여부 
전세금 10%</t>
  </si>
  <si>
    <t>입지 평가</t>
  </si>
  <si>
    <t>직장</t>
  </si>
  <si>
    <t>A</t>
  </si>
  <si>
    <t>교통</t>
  </si>
  <si>
    <t>A 
(강남 1시간내)</t>
  </si>
  <si>
    <t>학군</t>
  </si>
  <si>
    <t>C 
(학업성취도 85% 이하)</t>
  </si>
  <si>
    <t>상권</t>
  </si>
  <si>
    <t>C
(백화점/마트없음)</t>
  </si>
  <si>
    <t>공급</t>
  </si>
  <si>
    <t>A 
(3년내 공급 1천세대 이하)</t>
  </si>
  <si>
    <t>호재</t>
  </si>
  <si>
    <t>악재</t>
  </si>
  <si>
    <t>투자 여부 결론</t>
  </si>
  <si>
    <t xml:space="preserve">투자 기준에 만족함.
전세 셋팅 용이할 경우
투자 고려. </t>
  </si>
  <si>
    <t xml:space="preserve">분위기 임장 </t>
  </si>
  <si>
    <t>작성자</t>
  </si>
  <si>
    <t>제목</t>
  </si>
  <si>
    <t>링크</t>
  </si>
  <si>
    <t>매너남</t>
  </si>
  <si>
    <t>비행기타고 임장을 떠나자 -제1편 임장여행지도 만들기</t>
  </si>
  <si>
    <t>https://cafe.naver.com/wecando7/1453246</t>
  </si>
  <si>
    <t>진진z</t>
  </si>
  <si>
    <t xml:space="preserve">새로운 임장지 처음갈때? XXXX를 준비합니다. </t>
  </si>
  <si>
    <t>https://cafe.naver.com/wecando7/2032228</t>
  </si>
  <si>
    <t>최고대빵</t>
  </si>
  <si>
    <t>분위기 임장 마스터하기 (ft.입지지도)</t>
  </si>
  <si>
    <t>https://cafe.naver.com/wecando7/5779102</t>
  </si>
  <si>
    <t>벨지안가나슈</t>
  </si>
  <si>
    <t>세 시간의 기적(feat. 임장 가기 전 무엇을 해야 하나요?</t>
  </si>
  <si>
    <t>https://cafe.naver.com/wecando7/1755452</t>
  </si>
  <si>
    <t>시나브로아들셋</t>
  </si>
  <si>
    <t>분위기 임장을 동료들과 잘 완주하는 법</t>
  </si>
  <si>
    <t>https://cafe.naver.com/wecando7/2856883</t>
  </si>
  <si>
    <t>꿈꾸는밤</t>
  </si>
  <si>
    <t>분위기 임장하며 사람들을 살펴보는 방법</t>
  </si>
  <si>
    <t>https://cafe.naver.com/wecando7/2076042</t>
  </si>
  <si>
    <t>칠리</t>
  </si>
  <si>
    <t>분위기임장 다녀와서 뭘 할지 모르겠다면</t>
  </si>
  <si>
    <t>https://cafe.naver.com/wecando7/3460250</t>
  </si>
  <si>
    <t>권유디</t>
  </si>
  <si>
    <t>분위기 임장 잘 하는 방법</t>
  </si>
  <si>
    <t>https://cafe.naver.com/wecando7/3688654</t>
  </si>
  <si>
    <t>생활권 순위 매기는 방법</t>
  </si>
  <si>
    <t>https://cafe.naver.com/wecando7/3725400</t>
  </si>
  <si>
    <t>다수사</t>
  </si>
  <si>
    <t>[다수사] [임장꿀팁#1탄] 생활권이 뭔가요?</t>
  </si>
  <si>
    <t>https://cafe.naver.com/wecando7/2376666</t>
  </si>
  <si>
    <t>[다수사] [임장꿀팁#2탄] 분위기 임장은 뭔가요?</t>
  </si>
  <si>
    <t>https://cafe.naver.com/wecando7/2549733</t>
  </si>
  <si>
    <t>임장가기전 무엇을 해야하나요(벨지안가나슈 튜터님)-베스트 경험담</t>
  </si>
  <si>
    <t>분위기임장 팁(권유디 튜터님)-베스트 경험담</t>
  </si>
  <si>
    <t>저스틴이버</t>
  </si>
  <si>
    <t>분위기임장후 해야할 일(모의투자를 통한 단지 별 수익률 분석)</t>
  </si>
  <si>
    <t>https://cafe.naver.com/wecando7/2079077</t>
  </si>
  <si>
    <t>김인턴</t>
  </si>
  <si>
    <t>[김인턴] 한달동안 40번의 임장을 하는 이유(feat. 하지 마세요)</t>
  </si>
  <si>
    <t>https://cafe.naver.com/wecando7/2633843</t>
  </si>
  <si>
    <t>너나위</t>
  </si>
  <si>
    <t xml:space="preserve">아는 지역'을 늘린다는 것   </t>
  </si>
  <si>
    <t>https://cafe.naver.com/wecando7/388677</t>
  </si>
  <si>
    <t>임장꿀팁#1탄 생활권이 뭔가요?</t>
  </si>
  <si>
    <t>임장꿀팁#2탄 분위기 임장은 뭔가요?</t>
  </si>
  <si>
    <t>자음과모음</t>
  </si>
  <si>
    <t>[자음과모음] 초보투자자를 위한 임장 잘 하는 법!</t>
  </si>
  <si>
    <t>https://cafe.naver.com/wecando7/1832392</t>
  </si>
  <si>
    <t>짭짭이</t>
  </si>
  <si>
    <t>[짭짭이] 레전드경험담 필사 : 홈마짱짱's 임장하는 법/홍마짱짱</t>
  </si>
  <si>
    <t>https://cafe.naver.com/wecando7/3181152</t>
  </si>
  <si>
    <t>임장 아이템</t>
  </si>
  <si>
    <t>써니써늬</t>
  </si>
  <si>
    <t>이 신발이면 7만보도 문제 없다</t>
  </si>
  <si>
    <t>https://cafe.naver.com/wecando7/1426939</t>
  </si>
  <si>
    <t>샤이니덕</t>
  </si>
  <si>
    <t>임장할 때 무릎이 아프고 허리가 아프고 정강이가 아프신가요?</t>
  </si>
  <si>
    <t>https://cafe.naver.com/wecando7/2084495</t>
  </si>
  <si>
    <t>귤선생뉴뉴</t>
  </si>
  <si>
    <t>물리치료사가 알려주는 테이핑 및 신발</t>
  </si>
  <si>
    <t>https://cafe.naver.com/wecando7/3406033</t>
  </si>
  <si>
    <t>웰뜨</t>
  </si>
  <si>
    <t xml:space="preserve">기본 임장템 &amp; 겨울용 임장템 </t>
  </si>
  <si>
    <t>https://cafe.naver.com/wecando7/3743580</t>
  </si>
  <si>
    <t>쏘쿨</t>
  </si>
  <si>
    <t>겨울 임장 필수 아이템</t>
  </si>
  <si>
    <t>https://cafe.naver.com/wecando7/404516</t>
  </si>
  <si>
    <t>느리더라도꾸준하게</t>
  </si>
  <si>
    <t>소중한 발을 위한 겨울 임장템</t>
  </si>
  <si>
    <t>https://cafe.naver.com/wecando7/3394093</t>
  </si>
  <si>
    <t>조보리</t>
  </si>
  <si>
    <t xml:space="preserve">발가락 물집 임장템 </t>
  </si>
  <si>
    <t>https://cafe.naver.com/wecando7/2262967</t>
  </si>
  <si>
    <t>트렐로</t>
  </si>
  <si>
    <t>무명인</t>
  </si>
  <si>
    <t>[무명인] 단지임장 시 단지 순위 매기는 편리한 앱 (ft.트렐로)</t>
  </si>
  <si>
    <t>https://cafe.naver.com/wecando7/5724975</t>
  </si>
  <si>
    <t>[무명인] 단지임장 활용 어플트렐로(Trello) Part 2. 조원들과 함께 만들어 공유하기</t>
  </si>
  <si>
    <t>https://cafe.naver.com/wecando7/5837732</t>
  </si>
  <si>
    <t>케익교환권</t>
  </si>
  <si>
    <t>트렐로카드 1초만에 촤르륵 만드는 꿀팁! [케익교환권]</t>
  </si>
  <si>
    <t>https://cafe.naver.com/wecando7/6023927</t>
  </si>
  <si>
    <t>오리꽉꽉</t>
  </si>
  <si>
    <t>[오리꽉꽉]트렐로체크리스트 자동 생성되게 하는 방법 (자동화)</t>
  </si>
  <si>
    <t>https://cafe.naver.com/wecando7/6787585</t>
  </si>
  <si>
    <t>도죠메낀</t>
  </si>
  <si>
    <t>[도죠메낀]단지임장필수템 트렐로 카드 리스트 만들 때 원하는 정보를 선택해서 넣자!</t>
  </si>
  <si>
    <t>https://cafe.naver.com/wecando7/7127583</t>
  </si>
  <si>
    <t>곰섬</t>
  </si>
  <si>
    <t>★트렐로 한방 정리</t>
  </si>
  <si>
    <t>https://cafe.naver.com/wecando7/7010901</t>
  </si>
  <si>
    <t>실전반 수강 전 읽어보면 좋은 글</t>
  </si>
  <si>
    <t>주제</t>
  </si>
  <si>
    <t>확인</t>
  </si>
  <si>
    <t>튜터님칼럼</t>
  </si>
  <si>
    <t>실전반을 슬기롭게 보내는 방법 4가지 (실전반 14기)</t>
  </si>
  <si>
    <t>https://cafe.naver.com/wecando7/2002841</t>
  </si>
  <si>
    <t>부자대디</t>
  </si>
  <si>
    <t>실전반이 처음인 분들께</t>
  </si>
  <si>
    <t>https://cafe.naver.com/wecando7/1657626</t>
  </si>
  <si>
    <t>복기</t>
  </si>
  <si>
    <t>유니링</t>
  </si>
  <si>
    <t>월부 2년차, 첫 실전반 한 달을 보내며, 왕초보라면 이것만 알아도 실전반 일정 끄덕없어요!</t>
  </si>
  <si>
    <t>https://cafe.naver.com/wecando7/8106234</t>
  </si>
  <si>
    <t>가자나</t>
  </si>
  <si>
    <t>그래서 도대체 실전/ 지투에서 뭐하는데요? (+디테일까지 모두 알려드립니다.)</t>
  </si>
  <si>
    <t>https://cafe.naver.com/wecando7/7703057</t>
  </si>
  <si>
    <t>왓쯔롱</t>
  </si>
  <si>
    <t>실전반을 수강하면서 한 단계 성장하는 방법 (feat.실전,지투 5번 하다보니 알게 되는 것)</t>
  </si>
  <si>
    <t>https://cafe.naver.com/wecando7/6799753</t>
  </si>
  <si>
    <t>으으음</t>
  </si>
  <si>
    <t>실전반 수강을 앞두신 분들께</t>
  </si>
  <si>
    <t>https://cafe.naver.com/wecando7/7765183</t>
  </si>
  <si>
    <t>집심마니</t>
  </si>
  <si>
    <t>두 번째 실전반을 마치며 (부제, 아쉬울 이유가 있을까)</t>
  </si>
  <si>
    <t>https://cafe.naver.com/wecando7/8278801</t>
  </si>
  <si>
    <t>일안투</t>
  </si>
  <si>
    <t>첫 실전반 한 달의 복기 (믿음과 유리공)</t>
  </si>
  <si>
    <t>https://cafe.naver.com/wecando7/8156714</t>
  </si>
  <si>
    <t>이기부자</t>
  </si>
  <si>
    <t>첫 실전반에서 배운 세가지 (저세상레벨의 튜터님 조장님 조원들을 만나면 생기는 일)</t>
  </si>
  <si>
    <t>https://cafe.naver.com/wecando7/8130775</t>
  </si>
  <si>
    <t>두잇나</t>
  </si>
  <si>
    <t>천금같은 기회인 실전반, 지투반. 한 달 동안 10배 성장한 비결</t>
  </si>
  <si>
    <t>https://cafe.naver.com/wecando7/8113685</t>
  </si>
  <si>
    <t>임장보고서 꿀팁</t>
  </si>
  <si>
    <t>생각 담기</t>
  </si>
  <si>
    <t>peace40</t>
  </si>
  <si>
    <t>임장보고서에 생각 담는 방법</t>
  </si>
  <si>
    <t>https://cafe.naver.com/wecando7/6495264</t>
  </si>
  <si>
    <t>승승앤코</t>
  </si>
  <si>
    <t>투자실력과 임보, 관계 있을까? 생각과 실행이 담긴 임보 쓰기</t>
  </si>
  <si>
    <t>https://cafe.naver.com/wecando7/8578319</t>
  </si>
  <si>
    <t xml:space="preserve">랜드마크 아파트, 어디까지 보시나요? </t>
  </si>
  <si>
    <t>https://cafe.naver.com/wecando7/8305177</t>
  </si>
  <si>
    <t>[으으음 5탄] 임장보고서에 생각 담는 방법</t>
  </si>
  <si>
    <t>https://cafe.naver.com/wecando7/8357765</t>
  </si>
  <si>
    <t>[으으음 6탄] 임장보고서에 생각 담는 방법 - 공급편</t>
  </si>
  <si>
    <t>https://cafe.naver.com/wecando7/8412702</t>
  </si>
  <si>
    <t>사전임보</t>
  </si>
  <si>
    <t>서린이이</t>
  </si>
  <si>
    <t>4일만에 임보쓰는 꿀팁! (인구,교통,직장,환경,학군,공급,도시기본계획 데이터 모음)</t>
  </si>
  <si>
    <t>https://cafe.naver.com/wecando7/7824361</t>
  </si>
  <si>
    <t>우우위</t>
  </si>
  <si>
    <t xml:space="preserve">일주일만에 사전 임장보고서 쓰는 법 </t>
  </si>
  <si>
    <t>https://cafe.naver.com/wecando7/7911202</t>
  </si>
  <si>
    <t>꽃을든둘리</t>
  </si>
  <si>
    <t>사전임장보고서 제출 전, 놓치지 말아야 할 것</t>
  </si>
  <si>
    <t>https://cafe.naver.com/wecando7/8379490</t>
  </si>
  <si>
    <t>피쿠</t>
  </si>
  <si>
    <t xml:space="preserve">D-7 사전임보가 처음이신 분들을 위한 목차별 자료 나눔글 모음 </t>
  </si>
  <si>
    <t>https://cafe.naver.com/wecando7/7777351</t>
  </si>
  <si>
    <t>율솔</t>
  </si>
  <si>
    <t>5일만에 임보쓰는 팁 (feat.전국구 데이터 다 모여라) 인구/직장/학군/환경/공급/시세</t>
  </si>
  <si>
    <t>https://cafe.naver.com/wecando7/3761443</t>
  </si>
  <si>
    <t>지역개요</t>
  </si>
  <si>
    <t>[임뽀시리즈] 지도로 시작해서 지도로 끝나는 지역 분석</t>
  </si>
  <si>
    <t>https://cafe.naver.com/wecando7/4843934</t>
  </si>
  <si>
    <t>택지정보 지도서비스</t>
  </si>
  <si>
    <t>https://map.jigu.go.kr/map.do</t>
  </si>
  <si>
    <t>하겐다즈</t>
  </si>
  <si>
    <t>카카오맵 연식지도 (전국) 2022.01.10.</t>
  </si>
  <si>
    <t>https://cafe.naver.com/wecando7/3728915</t>
  </si>
  <si>
    <t>고조</t>
  </si>
  <si>
    <t>카카오맵 연식/ 세대수 표기 (서울 25개구 전체) 2022.11.23.</t>
  </si>
  <si>
    <t>https://cafe.naver.com/wecando7/7323370</t>
  </si>
  <si>
    <t>인구</t>
  </si>
  <si>
    <t>레이첼이</t>
  </si>
  <si>
    <t>전국 시,도,구별 인구수, 세대수, 연령비율</t>
  </si>
  <si>
    <t>https://cafe.naver.com/wecando7/3671614</t>
  </si>
  <si>
    <t>래몽</t>
  </si>
  <si>
    <t xml:space="preserve">[래몽] 임장보고서 그래프 쉽게 그리는 방법 #1 (인구수, 세대수, 세대당 인구수) </t>
  </si>
  <si>
    <t>https://cafe.naver.com/wecando7/2238077</t>
  </si>
  <si>
    <t>[래몽] 임장보고서 그래프 쉽게 그리는 방법 #2 (동별, 연령별 인구수 그래프)</t>
  </si>
  <si>
    <t>https://cafe.naver.com/wecando7/3076002</t>
  </si>
  <si>
    <t>[래몽] 임장보고서 그래프 쉽게 그리는 방법 #3 (동별, 구별 인구 변화 그래프)</t>
  </si>
  <si>
    <t>https://cafe.naver.com/wecando7/4219490</t>
  </si>
  <si>
    <t>소야소</t>
  </si>
  <si>
    <t xml:space="preserve">임보 1개로 12번을 우려먹기 (임보사골 1탄 : 인구) </t>
  </si>
  <si>
    <t>https://cafe.naver.com/wecando7/4384471</t>
  </si>
  <si>
    <t>강의 끝났는데 뭘 해야하지 이제? (사전임장보고서 중복 부분 미리 써두기)</t>
  </si>
  <si>
    <t>https://cafe.naver.com/wecando7/3626763</t>
  </si>
  <si>
    <t>소득</t>
  </si>
  <si>
    <t>전국, 광역시 10년간 1인당 GRDP &amp; GRNI, 최신 2019년 기준 비율 데이터 및 그래프 총집합</t>
  </si>
  <si>
    <t>https://cafe.naver.com/wecando7/7768660</t>
  </si>
  <si>
    <t>리버티맨</t>
  </si>
  <si>
    <t>빠른 임보를 위한 입지분석 #7_전국 GRDP, GRNI Data (서울, 경기도, 광역시, 지방중소도시)</t>
  </si>
  <si>
    <t>https://cafe.naver.com/wecando7/6018730</t>
  </si>
  <si>
    <t>연나루</t>
  </si>
  <si>
    <t>#2. 경제/소득 : 경제(GRDP), 산업, 소득 총정리(때이때이님, 몽늘님, 다랑다랑이님 양식 활용)</t>
  </si>
  <si>
    <t>https://cafe.naver.com/wecando7/5007023</t>
  </si>
  <si>
    <t>아리팍</t>
  </si>
  <si>
    <t>전국 기초단체별 일자리와 근로소득 기준 (2021년 자료)</t>
  </si>
  <si>
    <t>https://cafe.naver.com/wecando7/7555721</t>
  </si>
  <si>
    <t>프메퍼</t>
  </si>
  <si>
    <t>서울 월평균 가구소득 차트 그리기 (25개구)</t>
  </si>
  <si>
    <t>https://cafe.naver.com/wecando7/4317796</t>
  </si>
  <si>
    <t>수수르</t>
  </si>
  <si>
    <t>임보자료, 도대체 어디서 구하지? [소득 편]</t>
  </si>
  <si>
    <t>https://cafe.naver.com/wecando7/3811158</t>
  </si>
  <si>
    <t>짠야</t>
  </si>
  <si>
    <t>지역별 소득자료 확인하는 방법</t>
  </si>
  <si>
    <t>https://cafe.naver.com/wecando7/6605200</t>
  </si>
  <si>
    <t>초베</t>
  </si>
  <si>
    <t>경기도(시, 구별) 가구당 소득수준 자료</t>
  </si>
  <si>
    <t>https://cafe.naver.com/wecando7/4940894</t>
  </si>
  <si>
    <t>빠른 임보를 위한 입지분석 #5 소득 (구간별) Data (경기도/ 광역시/ 중소도시)</t>
  </si>
  <si>
    <t>https://cafe.naver.com/wecando7/5664146</t>
  </si>
  <si>
    <t xml:space="preserve">사회조사보고서 찾기 힘드셨죠? 찾기 쉽게 모아놓은 글 </t>
  </si>
  <si>
    <t>https://cafe.naver.com/wecando7/1505719</t>
  </si>
  <si>
    <t xml:space="preserve">임보 1개로 12번을 우려먹기 (임보사골 2탄 : 직장) </t>
  </si>
  <si>
    <t>https://cafe.naver.com/wecando7/4413784</t>
  </si>
  <si>
    <t>그린아이</t>
  </si>
  <si>
    <t>[서울] 500인&amp;5천만원 이상 직장(기업) 목록 + 구글맵 + 라벨 (서울)</t>
  </si>
  <si>
    <t>https://cafe.naver.com/wecando7/8623990</t>
  </si>
  <si>
    <t>란별</t>
  </si>
  <si>
    <t>[경기] 500인&amp;5천만원 이상 직장(기업) 목록 + 구글맵 + 라벨 (경기)</t>
  </si>
  <si>
    <t>https://cafe.naver.com/wecando7/8623988</t>
  </si>
  <si>
    <t>썸머제이88</t>
  </si>
  <si>
    <t>[인천] 500인&amp;5천만원 이상 직장(기업) 목록 + 구글맵 + 라벨 (인천)</t>
  </si>
  <si>
    <t>https://cafe.naver.com/wecando7/8623985</t>
  </si>
  <si>
    <t>엔티제이</t>
  </si>
  <si>
    <t>전국 종사자 및 사업체 수 (2020ver) &amp; 근로소득 연말정산 총정리</t>
  </si>
  <si>
    <t>https://cafe.naver.com/wecando7/7875370</t>
  </si>
  <si>
    <t>수면양발</t>
  </si>
  <si>
    <t>전국 직장 데이터 - 종사자수, 사업체수, 500인 이상 사업체수, 근로소득 (주소지/ 원천징수지)</t>
  </si>
  <si>
    <t>https://cafe.naver.com/wecando7/7821123</t>
  </si>
  <si>
    <t>마큉제이</t>
  </si>
  <si>
    <t>수도권 입지 분석! 이제는 어렵지 않아요~ (직장/ 교통/ 학군 편)</t>
  </si>
  <si>
    <t>https://cafe.naver.com/wecando7/4928073</t>
  </si>
  <si>
    <t>제너스</t>
  </si>
  <si>
    <t>서울 직장 지도</t>
  </si>
  <si>
    <t>https://cafe.naver.com/wecando7/8406128</t>
  </si>
  <si>
    <t>몽늘</t>
  </si>
  <si>
    <t>저기.. 제 앞마당 산업단지는 어디에 있나요?</t>
  </si>
  <si>
    <t>https://cafe.naver.com/wecando7/2035054</t>
  </si>
  <si>
    <t>샤인캐슬</t>
  </si>
  <si>
    <t>산업단지의 위상 직관적으로 보는 방법 (파일첨부)</t>
  </si>
  <si>
    <t>https://cafe.naver.com/wecando7/6083586</t>
  </si>
  <si>
    <t>과거대비 직장가치가 높아진 곳 한눈에 보기 (수도권 종사자수 증감비율)</t>
  </si>
  <si>
    <t>https://cafe.naver.com/wecando7/4794216</t>
  </si>
  <si>
    <t>수도권 지하철 승하차 인원</t>
  </si>
  <si>
    <t>https://cafe.naver.com/wecando7/5996127</t>
  </si>
  <si>
    <t>후냥</t>
  </si>
  <si>
    <t>단지별 교통 소요시간 (주행시간 확인)</t>
  </si>
  <si>
    <t>https://cafe.naver.com/wecando7/6912543</t>
  </si>
  <si>
    <t>전국 통근 교통수단 이용비율</t>
  </si>
  <si>
    <t>재제</t>
  </si>
  <si>
    <t>전국 통근 교통수단 이용률/ 이용비율 (시군구)</t>
  </si>
  <si>
    <t>https://cafe.naver.com/wecando7/6048311</t>
  </si>
  <si>
    <t>자실만만</t>
  </si>
  <si>
    <t>2021년 전국 중학교 학업성취도 평가 업데이트 및 분석 (엑셀 원본 자료 공유)</t>
  </si>
  <si>
    <t>https://cafe.naver.com/wecando7/3664565</t>
  </si>
  <si>
    <t>때이때이</t>
  </si>
  <si>
    <t>초등학교 학년별 증감(+과밀학급)</t>
  </si>
  <si>
    <t>https://cafe.naver.com/wecando7/4762499</t>
  </si>
  <si>
    <t>초등학교, 중학교 배정 단지별 확인하기 (학구도 안내 서비스)</t>
  </si>
  <si>
    <t>https://cafe.naver.com/wecando7/4918505</t>
  </si>
  <si>
    <t>2022 서울대 합격 고등학교 순위 + 2020,21 의대 진학 고등학교 순위</t>
  </si>
  <si>
    <t>https://cafe.naver.com/wecando7/5152356</t>
  </si>
  <si>
    <t>환경</t>
  </si>
  <si>
    <t>루팡이될거야</t>
  </si>
  <si>
    <t>[임뽀시리즈 #6] 입지평가 기준, 그것이 알고싶다 (환경/ 공급/ 호재편)</t>
  </si>
  <si>
    <t>https://cafe.naver.com/wecando7/4927352</t>
  </si>
  <si>
    <t>캐논</t>
  </si>
  <si>
    <t>2023년 전국 백화점 수/ 대형마트 수/ 2022년 백화점 매출</t>
  </si>
  <si>
    <t>https://cafe.naver.com/wecando7/7811731</t>
  </si>
  <si>
    <t>통계지리서비스 사이트 활용법 (학원가/ 모텔/ 호프집 등 밀집도 확인)</t>
  </si>
  <si>
    <t>https://cafe.naver.com/wecando7/6698360</t>
  </si>
  <si>
    <t>소도쿠</t>
  </si>
  <si>
    <t>2022년 5대 백화점 매출 순위</t>
  </si>
  <si>
    <t>https://cafe.naver.com/wecando7/7774862</t>
  </si>
  <si>
    <t>릴리쌤</t>
  </si>
  <si>
    <t>입지 지도용 기호(스타벅스, 학교, 병원, 지하철 등)</t>
  </si>
  <si>
    <t>https://cafe.naver.com/wecando7/3028863</t>
  </si>
  <si>
    <t>입지 지도용 기호 2탄(스벅, 아실, 호갱노노)</t>
  </si>
  <si>
    <t>https://cafe.naver.com/wecando7/3729137</t>
  </si>
  <si>
    <t>빈찌</t>
  </si>
  <si>
    <t>임장보고서 환경부분, 사소하고 소소한 팁! 백화점시리즈1탄 (부제 : 백화점이라고 다 같은 백화점이 아니다!)</t>
  </si>
  <si>
    <t>https://cafe.naver.com/wecando7/2554778</t>
  </si>
  <si>
    <t>임장보고서 환경부분, 사소하고 소소한 팁! 백화점시리즈2탄! (부제 : 백화점도 신축이 입지인가?!)</t>
  </si>
  <si>
    <t>https://cafe.naver.com/wecando7/2639058</t>
  </si>
  <si>
    <t>원루트</t>
  </si>
  <si>
    <t>공급캘린더 &amp; 매매/전세지수 그래프 만들기 (23년 2월 기준)</t>
  </si>
  <si>
    <t>https://cafe.naver.com/wecando7/8067241</t>
  </si>
  <si>
    <t>전국 주요도시 미분양 증감에 따른 매매/전세지수 그래프 공유</t>
  </si>
  <si>
    <t>https://cafe.naver.com/wecando7/4171889</t>
  </si>
  <si>
    <t>라즈베리</t>
  </si>
  <si>
    <t xml:space="preserve">전국 공급표 양식 </t>
  </si>
  <si>
    <t>https://cafe.naver.com/wecando7/6123404</t>
  </si>
  <si>
    <t xml:space="preserve">한 눈에 보이는 공급지도 그리기(유용한 임장보고서 '공급' 페이지 만들기) </t>
  </si>
  <si>
    <t>https://cafe.naver.com/wecando7/2133123</t>
  </si>
  <si>
    <t xml:space="preserve">수도권 인허가물량/ 구별 공급/ 구별 매전지수 </t>
  </si>
  <si>
    <t>https://cafe.naver.com/wecando7/6562052</t>
  </si>
  <si>
    <t xml:space="preserve">미분양 증감에 따른 매매/전세지수 그래프 </t>
  </si>
  <si>
    <t>시세분석</t>
  </si>
  <si>
    <t>바람숲</t>
  </si>
  <si>
    <t>임보마스터 - 시세분석의 모든것 (전국평단가 자료, 시세그룹핑 양식 공유)</t>
  </si>
  <si>
    <t>https://cafe.naver.com/wecando7/6752992</t>
  </si>
  <si>
    <t>트레이너가진리</t>
  </si>
  <si>
    <t>KB 시계열 내맘대로 정리하기 (매매 전세 한 번에)</t>
  </si>
  <si>
    <t>https://cafe.naver.com/wecando7/2724346</t>
  </si>
  <si>
    <t>수수박</t>
  </si>
  <si>
    <t>시세분석 1단계, 거래량 및 지수 그래프 (행복추구님 양식 응용)</t>
  </si>
  <si>
    <t>https://cafe.naver.com/wecando7/4980112</t>
  </si>
  <si>
    <t>임보 1개로 12번을 우려먹기 (시세분석 기초편)</t>
  </si>
  <si>
    <t>https://cafe.naver.com/wecando7/4790499</t>
  </si>
  <si>
    <t>임보 1개로 12번을 우려먹기 (시세분석 확장편)</t>
  </si>
  <si>
    <t>https://cafe.naver.com/wecando7/5314062</t>
  </si>
  <si>
    <t>부주낙낙</t>
  </si>
  <si>
    <t>[임뽀시리즈 #7] "시세분석" 문제는 가격이야 (가격흐름/ 시세지도/ 랜드마크/ 시세그룹핑)</t>
  </si>
  <si>
    <t>https://cafe.naver.com/wecando7/4960799</t>
  </si>
  <si>
    <t>단지분석</t>
  </si>
  <si>
    <t>젊은우리</t>
  </si>
  <si>
    <t>단지 정리만 잘해도 얻을 수 있는 깊은 통찰력</t>
  </si>
  <si>
    <t>https://cafe.naver.com/wecando7/6033219</t>
  </si>
  <si>
    <t>[으으음 7탄] 단지분석, 너도 할 수 있음</t>
  </si>
  <si>
    <t>https://cafe.naver.com/wecando7/8495142</t>
  </si>
  <si>
    <t>부자아내제인</t>
  </si>
  <si>
    <t>임장보고서 때문에 KING받는 초보들을 위한 단지정리 작성 팁 (단지정리 양식 공유)</t>
  </si>
  <si>
    <t>https://cafe.naver.com/wecando7/5710362</t>
  </si>
  <si>
    <t>씬나무</t>
  </si>
  <si>
    <t>[임뽀시리즈 #8] 단지 임장 및 단지 상세 분석</t>
  </si>
  <si>
    <t>https://cafe.naver.com/wecando7/5009472</t>
  </si>
  <si>
    <t xml:space="preserve">단지분석이 어려우신가요? 단지장표 작성 시, 단지 수익률 분석하기 </t>
  </si>
  <si>
    <t>https://cafe.naver.com/wecando7/6057999</t>
  </si>
  <si>
    <t xml:space="preserve">한걸음 앞으로 </t>
  </si>
  <si>
    <t>한 생활권을 제대로 파헤치는 임보 작성방법</t>
  </si>
  <si>
    <t>https://cafe.naver.com/wecando7/7379639</t>
  </si>
  <si>
    <t>1등뽑기</t>
  </si>
  <si>
    <t>햇님달님이</t>
  </si>
  <si>
    <t>지금은 1등을 두 개 뽑으셔야 합니다</t>
  </si>
  <si>
    <t>https://cafe.naver.com/wecando7/7936146</t>
  </si>
  <si>
    <t>제대로 된 1등 뽑는 매물임장 단지 선정 햇달!</t>
  </si>
  <si>
    <t>https://cafe.naver.com/wecando7/7090425</t>
  </si>
  <si>
    <t>하락장일수록 1등 뽑을 때 가장 먼저 봐야하는 것</t>
  </si>
  <si>
    <t>https://cafe.naver.com/wecando7/6713909</t>
  </si>
  <si>
    <t>레키</t>
  </si>
  <si>
    <t>임보 결론 어떻게 내나요? 1등뽑기, 원페이지, 모의투자, 시세트래킹, 앞마당정리양식, 나눔글 총취합 (상시 업뎃)</t>
  </si>
  <si>
    <t>https://cafe.naver.com/wecando7/7997056</t>
  </si>
  <si>
    <t>비교평가 너도 할 수 있음 1탄 - 가격고정법</t>
  </si>
  <si>
    <t>https://cafe.naver.com/wecando7/8284975</t>
  </si>
  <si>
    <t>비교평가 너도 할 수 있음 2탄 - 입지고정법</t>
  </si>
  <si>
    <t>https://cafe.naver.com/wecando7/8315526</t>
  </si>
  <si>
    <t>비교평가 저는 이렇게도 합니다!</t>
  </si>
  <si>
    <t>https://cafe.naver.com/wecando7/8117597</t>
  </si>
  <si>
    <t>1등 뽑기 정리 방법 (Top 3 매물 One Page)</t>
  </si>
  <si>
    <t>https://cafe.naver.com/wecando7/8523242</t>
  </si>
  <si>
    <t>레이먼드카버</t>
  </si>
  <si>
    <t>1등 뽑기를 위해 꼭 들어가야 할 단지장표 (최종임보 제출 3일 전인데 단지 정리가 안됐다면)</t>
  </si>
  <si>
    <t>https://cafe.naver.com/wecando7/8014103</t>
  </si>
  <si>
    <t>임장보고서 결론 내는 방법, 앞마당 갯수별로 정리해 드릴게요 (임보 뒷부분 공개)</t>
  </si>
  <si>
    <t>https://cafe.naver.com/wecando7/5974253</t>
  </si>
  <si>
    <t>쑥양맘</t>
  </si>
  <si>
    <t>임장지에서 1등뽑기 (임보에 녹여내기)</t>
  </si>
  <si>
    <t>https://cafe.naver.com/wecando7/6189485</t>
  </si>
  <si>
    <t>자유시간</t>
  </si>
  <si>
    <t>초보자를 위한 임보 1등 뽑기 및 앞마당 One page 양식 공유</t>
  </si>
  <si>
    <t>https://cafe.naver.com/wecando7/6194067</t>
  </si>
  <si>
    <t>탑권</t>
  </si>
  <si>
    <t xml:space="preserve">투자하기 힘든 지역, 이렇게 1등 뽑아보세요 </t>
  </si>
  <si>
    <t>https://cafe.naver.com/wecando7/5984911</t>
  </si>
  <si>
    <t>Jinny Lee</t>
  </si>
  <si>
    <t>[임뽀시리즈 #12] 비교평가, 결론 이상형 월드컵 (수익률분석, 1등 뽑기, 결론)</t>
  </si>
  <si>
    <t>https://cafe.naver.com/wecando7/5108098</t>
  </si>
  <si>
    <t>식빵파파</t>
  </si>
  <si>
    <t>비교할 앞마당이 없는 사람이 1등을 뽑는 방법</t>
  </si>
  <si>
    <t>https://cafe.naver.com/wecando7/6145401</t>
  </si>
  <si>
    <t>임장 꿀팁</t>
  </si>
  <si>
    <t>분임 
아이템</t>
  </si>
  <si>
    <t>단지임장 트렐로 활용법 (자료모음집) 2022.10.24.</t>
  </si>
  <si>
    <t xml:space="preserve">Part1. 단지임장 시 단지 순위 매기는 편리한 앱 (트렐로) </t>
  </si>
  <si>
    <t xml:space="preserve">Part.2 트렐로 조원들과 함께 만들어 공유하기 </t>
  </si>
  <si>
    <t>월부하자</t>
  </si>
  <si>
    <t xml:space="preserve">1탄] 단지임장 이제부턴 실시간 비교하자! (트렐로) </t>
  </si>
  <si>
    <t>https://cafe.naver.com/wecando7/4378259</t>
  </si>
  <si>
    <t>2탄] 트렐로 효과적으로 사용해서 단지임장하기 ver.2</t>
  </si>
  <si>
    <t>https://cafe.naver.com/wecando7/6851665</t>
  </si>
  <si>
    <t>트렐로 체크리스트 자동 생성 (자동화)</t>
  </si>
  <si>
    <t>트렐로 카드 1초만에 촤르륵 만드는 꿀팁!</t>
  </si>
  <si>
    <t>트렐로 시작부터 끝까지 1분만에 완성하기 (카드 생성 자동화)</t>
  </si>
  <si>
    <t>https://cafe.naver.com/wecando7/7691633</t>
  </si>
  <si>
    <t>니나00</t>
  </si>
  <si>
    <t>매물 임장을 처음 시작하는 분들에게</t>
  </si>
  <si>
    <t>https://cafe.naver.com/wecando7/2745811</t>
  </si>
  <si>
    <t>브레이브삼촌</t>
  </si>
  <si>
    <t>부동산 매물 임장의 A부터 Z</t>
  </si>
  <si>
    <t>https://cafe.naver.com/wecando7/3700060</t>
  </si>
  <si>
    <t>왕초보의 매물임장 예약부터 임장까지 A to Z</t>
  </si>
  <si>
    <t>https://cafe.naver.com/wecando7/3109043</t>
  </si>
  <si>
    <t>매물 임장을 잘하기 위한 2가지 비결 [권유디]</t>
  </si>
  <si>
    <t>https://cafe.naver.com/wecando7/3436800</t>
  </si>
  <si>
    <t xml:space="preserve">임보의 하이라이트 "투자매물선정" (feat. 가려진 장막너머엔 뭐가 있을까요?)   </t>
  </si>
  <si>
    <t>https://cafe.naver.com/wecando7/2998951</t>
  </si>
  <si>
    <t>지투9기 1조 모아 한가해보이 니나00) 매물 임장을 처음 시작하는 분들에게,, (feat. 매물 예약부터 정리까지)</t>
  </si>
  <si>
    <t>망구99</t>
  </si>
  <si>
    <t xml:space="preserve">투자범위 벗어나는 임장지, 1등 뽑는 방법   </t>
  </si>
  <si>
    <t>https://cafe.naver.com/wecando7/3125070</t>
  </si>
  <si>
    <t>메로나</t>
  </si>
  <si>
    <t>비교분석 좀더 쉽게 하는 Tip (+'아실' 비교 제대로 사용하기)</t>
  </si>
  <si>
    <t>https://cafe.naver.com/wecando7/4037370</t>
  </si>
  <si>
    <t>몽부내</t>
  </si>
  <si>
    <t>[부린이는 그것이 알고싶다] #1.다음 임장지는 어디로 가야 하나요?[몽부내]</t>
  </si>
  <si>
    <t>https://cafe.naver.com/wecando7/3209807</t>
  </si>
  <si>
    <t xml:space="preserve">아직도 투자결정이 어렵다면 이것만은 꼭 따라해보세요! (스스로 투자결정 하는 방법)   </t>
  </si>
  <si>
    <t>https://cafe.naver.com/wecando7/2947056</t>
  </si>
  <si>
    <t>키묘</t>
  </si>
  <si>
    <t xml:space="preserve">[부린이는 그건이 알고 싶다] #5 매물임장 1등 뽑는 방법   </t>
  </si>
  <si>
    <t>https://cafe.naver.com/wecando7/3481165</t>
  </si>
  <si>
    <t xml:space="preserve">앞마당이 적어도 비교평가할 수 있습니다!(내 앞마당 찐 앞마당 만드는 법)   </t>
  </si>
  <si>
    <t>https://cafe.naver.com/wecando7/3465498</t>
  </si>
  <si>
    <t xml:space="preserve">임장루트 그리기 </t>
  </si>
  <si>
    <t>성실한농부</t>
  </si>
  <si>
    <t>카카오맵에 연식 표기하기 (수도권 연식지도 공유)</t>
  </si>
  <si>
    <t>https://cafe.naver.com/wecando7/3717689</t>
  </si>
  <si>
    <t>커리원</t>
  </si>
  <si>
    <t>카카오맵에 연식/세대수 표기 (50만1)</t>
  </si>
  <si>
    <t>https://cafe.naver.com/wecando7/4548508</t>
  </si>
  <si>
    <t>[고조] 5. 지도캡쳐 끝판왕_임장 루트 쉽게 한번에 캡쳐하기_
Snagit!! ICE는 그만!_임보 같이 써요!</t>
  </si>
  <si>
    <t>https://cafe.naver.com/wecando7/3905379</t>
  </si>
  <si>
    <t>[몽늘] 임장루트 작성 팁#2 분위기 임장 루트짜기!</t>
  </si>
  <si>
    <t>https://cafe.naver.com/wecando7/4192668</t>
  </si>
  <si>
    <t>천하무적 캔디</t>
  </si>
  <si>
    <t>[천하무적 캔디] 초보가 하는 임장 루트 짜는 법</t>
  </si>
  <si>
    <t>https://cafe.naver.com/wecando7/2397912</t>
  </si>
  <si>
    <t>쪼나무</t>
  </si>
  <si>
    <t>[쪼나무] 한장짜리! 확대해도 깨지지않는 지도 만들기(임장루트, 분임지도, 시세지도 활용가능)</t>
  </si>
  <si>
    <t>https://cafe.naver.com/wecando7/3017381</t>
  </si>
  <si>
    <t>핫소스7</t>
  </si>
  <si>
    <t>호갱노노로 임장루트 짜기</t>
  </si>
  <si>
    <t>https://cafe.naver.com/wecando7/3726922</t>
  </si>
  <si>
    <t>공롱롱</t>
  </si>
  <si>
    <t>지도 이어붙이기 너무 힘드셨죠? 이젠 큰 지도로 한번에 받으세요!!</t>
  </si>
  <si>
    <t>https://cafe.naver.com/wecando7/3975763</t>
  </si>
  <si>
    <t>주우이</t>
  </si>
  <si>
    <t>초보자를 위한 "동이 나오는 시세지도" 그리기 팁!!</t>
  </si>
  <si>
    <t>https://cafe.naver.com/wecando7/173831</t>
  </si>
  <si>
    <t>전화임장/ 단지임장/ 매물임장</t>
  </si>
  <si>
    <t>구 분</t>
  </si>
  <si>
    <t>원문</t>
  </si>
  <si>
    <t>아직도 떨리는 3가지 컨셉 전화임장</t>
  </si>
  <si>
    <t>https://cafe.naver.com/wecando7/3047365</t>
  </si>
  <si>
    <t>양파링</t>
  </si>
  <si>
    <t>전화임장 100% 활용법</t>
  </si>
  <si>
    <t>https://cafe.naver.com/wecando7/1605251</t>
  </si>
  <si>
    <t>유부능</t>
  </si>
  <si>
    <t>전화임장 노하우 나누기</t>
  </si>
  <si>
    <t>https://cafe.naver.com/wecando7/1914384</t>
  </si>
  <si>
    <t>페키짱</t>
  </si>
  <si>
    <t>전화임장 어떻게 하나요?</t>
  </si>
  <si>
    <t>https://cafe.naver.com/wecando7/224152</t>
  </si>
  <si>
    <t>평형대별 전화임장법</t>
  </si>
  <si>
    <t>https://cafe.naver.com/wecando7/435917</t>
  </si>
  <si>
    <t>위기로</t>
  </si>
  <si>
    <t>전화임장에 앞서 준비하면 좋은 2가지 도구 소개</t>
  </si>
  <si>
    <t>https://cafe.naver.com/wecando7/3017618</t>
  </si>
  <si>
    <t>아당구</t>
  </si>
  <si>
    <t>전화임장 정리 양식 공유</t>
  </si>
  <si>
    <t>https://cafe.naver.com/wecando7/2577193</t>
  </si>
  <si>
    <t>단지임장</t>
  </si>
  <si>
    <t>단지임장 시 단지 순위 매기는 편리한 앱 (트렐로)</t>
  </si>
  <si>
    <t>간단하게 색으로 한눈에 파악하는 단지임장 체크리스트 양식</t>
  </si>
  <si>
    <t>https://cafe.naver.com/wecando7/3010320</t>
  </si>
  <si>
    <t>하히홍</t>
  </si>
  <si>
    <t>단지 비교 재밌게 하는 방법(With 단지 체크리스트)</t>
  </si>
  <si>
    <t>https://cafe.naver.com/wecando7/3695949</t>
  </si>
  <si>
    <t>렛츠기린</t>
  </si>
  <si>
    <t>30초컷으로 단지임장 사진 정리</t>
  </si>
  <si>
    <t>https://cafe.naver.com/wecando7/3761124</t>
  </si>
  <si>
    <t>지반예</t>
  </si>
  <si>
    <t>단지임장 체크리스트(구글시트)</t>
  </si>
  <si>
    <t>https://docs.google.com/spreadsheets/d/1uymvXhuWtQbSIQGwJVUFkGR7OX2tajOjm17F18KzwBQ/edit?usp=sharing</t>
  </si>
  <si>
    <t>방울도마도</t>
  </si>
  <si>
    <t>단지임장하고 빼먹은 항목 있어서 다시 간 월부인들 모십니다 (체크리스트 양식 나눔)</t>
  </si>
  <si>
    <t>https://cafe.naver.com/wecando7/5692794</t>
  </si>
  <si>
    <t>매물임장</t>
  </si>
  <si>
    <t>임장보고서 팁</t>
  </si>
  <si>
    <t>임보 템플릿 양식</t>
  </si>
  <si>
    <t>싸비</t>
  </si>
  <si>
    <t>[싸비] 임장보고서 PPT 템플릿 양식 (ver. 나부맞 에디션)</t>
  </si>
  <si>
    <t>https://cafe.naver.com/wecando7/5779903</t>
  </si>
  <si>
    <t>케이뱅크</t>
  </si>
  <si>
    <t>임장보고서 PPT 템플릿 공유(with 망구님의 One page 정리페이지</t>
  </si>
  <si>
    <t>https://cafe.naver.com/wecando7/5384304</t>
  </si>
  <si>
    <t>야생화처럼</t>
  </si>
  <si>
    <t>임장보고서 PPT 템플릿 양식</t>
  </si>
  <si>
    <t>https://cafe.naver.com/wecando7/3819132</t>
  </si>
  <si>
    <t>선한 부나영</t>
  </si>
  <si>
    <t>강원도 원주시 임장보고서 (개요~입지평가까지) [임보양식공유]</t>
  </si>
  <si>
    <t>https://cafe.naver.com/wecando7/4856597</t>
  </si>
  <si>
    <t>우지공</t>
  </si>
  <si>
    <t xml:space="preserve">어두운 톤의 임장보고서 템플릿 공유 </t>
  </si>
  <si>
    <t>https://cafe.naver.com/wecando7/6254785</t>
  </si>
  <si>
    <t>임보 전체팁</t>
  </si>
  <si>
    <t>윤솔</t>
  </si>
  <si>
    <t xml:space="preserve">5일만에 임보쓰는 팁 (전국구 데이터 모음) 인구/ 직장/ 학군/ 환경/ 공급/ 시세 </t>
  </si>
  <si>
    <t>레반도프</t>
  </si>
  <si>
    <t>실전준비반 원씽 임장보고서! 이것 보고 Follow me~~</t>
  </si>
  <si>
    <t>https://cafe.naver.com/wecando7/5761658</t>
  </si>
  <si>
    <t>안성댁</t>
  </si>
  <si>
    <t>임보랑 파국전에 만나야하는!!(임보과제팁)</t>
  </si>
  <si>
    <t>https://cafe.naver.com/wecando7/3174977</t>
  </si>
  <si>
    <t>임보과제팁(2탄)</t>
  </si>
  <si>
    <t>https://cafe.naver.com/wecando7/3628388</t>
  </si>
  <si>
    <t>겨울눈꽃</t>
  </si>
  <si>
    <t>초보투자자를 위한 임장보고서 작성 Tip</t>
  </si>
  <si>
    <t>https://cafe.naver.com/wecando7/754436</t>
  </si>
  <si>
    <t>안성댁지연</t>
  </si>
  <si>
    <t>임보랑 파국전에 만나야 하는!! 파일 내려받고 링크타고 편하게 찾자!!</t>
  </si>
  <si>
    <t xml:space="preserve">초보투자자를 위한 임장보고서 작성 Tip   </t>
  </si>
  <si>
    <t>실전18기톡방</t>
  </si>
  <si>
    <t>주변 지역까지 한번에 보는 공급캘린더 &amp; 매매/전세지수 그래프 (22년 6월 기준)</t>
  </si>
  <si>
    <t>https://cafe.naver.com/wecando7/5700682</t>
  </si>
  <si>
    <t xml:space="preserve">공급 그것이 알고싶다   </t>
  </si>
  <si>
    <t>https://cafe.naver.com/wecando7/971045</t>
  </si>
  <si>
    <t>깜오</t>
  </si>
  <si>
    <t>전국지방도시 공급 비교하며 공부하는 그래프</t>
  </si>
  <si>
    <t>https://cafe.naver.com/wecando7/2769524</t>
  </si>
  <si>
    <t>도시형성과정</t>
  </si>
  <si>
    <t>공급 물량을 통해 알아보는 도시형성 과정 (광역시편)</t>
  </si>
  <si>
    <t>https://cafe.naver.com/wecando7/5082314</t>
  </si>
  <si>
    <t>도시기본계획</t>
  </si>
  <si>
    <t>김쌈바</t>
  </si>
  <si>
    <t>도시기본계획 모음집 (수도권+광역시편)</t>
  </si>
  <si>
    <t>https://cafe.naver.com/wecando7/6116090</t>
  </si>
  <si>
    <t>해당 지자체 도시기본계획 PDF (토지이음 사이트)</t>
  </si>
  <si>
    <t>https://www.eum.go.kr/web/in/pd/pdBoardList.jsp</t>
  </si>
  <si>
    <t>서울, 경기도, 전국 광역시 지역 내 재개발 재건축 추진현황 확인하기 (2022.05. ver.)</t>
  </si>
  <si>
    <t>https://cafe.naver.com/wecando7/5579482</t>
  </si>
  <si>
    <t>소득수준
(가구 평균 월소득)</t>
  </si>
  <si>
    <t>트레이너가 진리</t>
  </si>
  <si>
    <t xml:space="preserve">소득자료 KOSIS에서 쉽게 찾는 법 (경상권 소득자료 첨부)   </t>
  </si>
  <si>
    <t>https://cafe.naver.com/wecando7/3226000</t>
  </si>
  <si>
    <t xml:space="preserve">지역비교 분석 자료 엑셀로 만들기 (연령별, 소득)   </t>
  </si>
  <si>
    <t>https://cafe.naver.com/wecando7/627906</t>
  </si>
  <si>
    <t>유진아빠</t>
  </si>
  <si>
    <t xml:space="preserve">[유진아빠] 2020년 근로소득 연말정산 신고 결과, 내 주변 사람들은 얼마나 벌까?   </t>
  </si>
  <si>
    <t>https://cafe.naver.com/wecando7/1794495</t>
  </si>
  <si>
    <t>시세지도</t>
  </si>
  <si>
    <t>니나누</t>
  </si>
  <si>
    <t xml:space="preserve">[1편] 부동산지인 활용 대장아파트 찾기 도즈언~   </t>
  </si>
  <si>
    <t>https://cafe.naver.com/wecando7/1524214</t>
  </si>
  <si>
    <t>돈보라</t>
  </si>
  <si>
    <t>시세지도 [실준 24기 돈보라]시세지도 만드는데 10분이 안걸려? ★극극극초보를 위한 시세지도 만들기 교실 ★ (ver.2)</t>
  </si>
  <si>
    <t>https://cafe.naver.com/wecando7/3715408</t>
  </si>
  <si>
    <t xml:space="preserve">유진아빠 엑셀시세표 양식, 시세지도 양식으로 시세따는 방법 (생초보용) 2탄!! (파일 다운받는 법부터)   </t>
  </si>
  <si>
    <t>https://cafe.naver.com/wecando7/3071083</t>
  </si>
  <si>
    <t>나만의 보물지도 만들기(feat. 시세지도 120% 활용하는 법)[벨지안가나슈]</t>
  </si>
  <si>
    <t>https://cafe.naver.com/wecando7/1894765</t>
  </si>
  <si>
    <t>KB과거시세 그래프 그리기 양식[벨지안가나슈]</t>
  </si>
  <si>
    <t>https://cafe.naver.com/wecando7/2067316</t>
  </si>
  <si>
    <t xml:space="preserve">[서린이이] 대장단지 시세비교 그래프 그리기 (feat. 여러단지 과거 월별시세까지 비교할 수 있는 아주 쉬운 방법)   </t>
  </si>
  <si>
    <t>https://cafe.naver.com/wecando7/3113694</t>
  </si>
  <si>
    <t xml:space="preserve">[유진아빠] 2021년 엑셀시세표 작성 양식 공유 (20.12.19 업데이트 완료)   </t>
  </si>
  <si>
    <t>https://cafe.naver.com/wecando7/1748335</t>
  </si>
  <si>
    <t>졍이</t>
  </si>
  <si>
    <t xml:space="preserve">[졍이] 손목보호하기 2탄 - 시세지도 라벨 이미지 자동화(Feat. 홍춘님 시세라벨 포맷)   </t>
  </si>
  <si>
    <t>https://cafe.naver.com/wecando7/3073386</t>
  </si>
  <si>
    <t>졍이s</t>
  </si>
  <si>
    <t>라벨 이미지 자동화</t>
  </si>
  <si>
    <t>지방광역시&amp;50만 이상도시 동별 인구 그래프 모음 (세대당 인구수 및 연령별 인구수)</t>
  </si>
  <si>
    <t>https://cafe.naver.com/wecando7/6265763</t>
  </si>
  <si>
    <t>사임제출 전날인 오늘, 아직 '인구' 이신가요? (급하신 분들에게)</t>
  </si>
  <si>
    <t>https://cafe.naver.com/wecando7/4349254</t>
  </si>
  <si>
    <t>#5 . 지방광역시 &amp; 50만 이상 도시 동별 인구 그래프 모음 (세대당 인구수 및 연령별 인구수)</t>
  </si>
  <si>
    <t>내꿈찾</t>
  </si>
  <si>
    <t xml:space="preserve">15만이상 중소도시 인구 총정리 </t>
  </si>
  <si>
    <t>https://cafe.naver.com/wecando7/6758032</t>
  </si>
  <si>
    <t>인구이동</t>
  </si>
  <si>
    <t>첫발</t>
  </si>
  <si>
    <t>임보레버리지 시리즈 - 인구이동(01~21년 인구이동 총정리)</t>
  </si>
  <si>
    <t>https://cafe.naver.com/wecando7/5798764</t>
  </si>
  <si>
    <t>입지지도</t>
  </si>
  <si>
    <t xml:space="preserve">[릴리쌤] 입지 지도용 기호(스타벅스, 학교, 병원, 지하철 등) 21.11.17 업데이트   </t>
  </si>
  <si>
    <t>지역분석</t>
  </si>
  <si>
    <t>나무좋아</t>
  </si>
  <si>
    <t xml:space="preserve">지역을 빠르게 알고 싶은가요? 정답은 지도입니다.   </t>
  </si>
  <si>
    <t>https://cafe.naver.com/wecando7/2731157</t>
  </si>
  <si>
    <t>지역비교 분석 자료 엑셀로 만들기(연령별, 소득)</t>
  </si>
  <si>
    <t>방랑미쉘</t>
  </si>
  <si>
    <t xml:space="preserve">지역 분석을 잘하는 법   </t>
  </si>
  <si>
    <t>https://cafe.naver.com/wecando7/619418</t>
  </si>
  <si>
    <t xml:space="preserve">지역 분석을 잘하는 법 (두번째 이야기)   </t>
  </si>
  <si>
    <t>https://cafe.naver.com/wecando7/653626</t>
  </si>
  <si>
    <t xml:space="preserve">인구, 소득, 직장, 공급관련 국가통계자료 모음   </t>
  </si>
  <si>
    <t>https://cafe.naver.com/wecando7/1777462</t>
  </si>
  <si>
    <t>GRDP, 
직장</t>
  </si>
  <si>
    <t>슈퍼래빗13</t>
  </si>
  <si>
    <t>지역생산액(GRDP)자료, 30만 미만 도시 추가 (때이때이님 자료에 data 업데이트)</t>
  </si>
  <si>
    <t>https://cafe.naver.com/wecando7/5911907</t>
  </si>
  <si>
    <t>나멋있음</t>
  </si>
  <si>
    <t>임장보고서양식(A~Z). 전국 10년간 인구,세대수 증감 자료/ 전국 10년간 GRDP,GRNI 자료/ 제5차국토종합계획파일</t>
  </si>
  <si>
    <t>https://cafe.naver.com/wecando7/4717843</t>
  </si>
  <si>
    <t>과거대비 직장가치가 높아진 곳 한눈에 보기 (지방도시 종사자수 증감비율)</t>
  </si>
  <si>
    <t>https://cafe.naver.com/wecando7/6590267</t>
  </si>
  <si>
    <t>서걱서걱서걱</t>
  </si>
  <si>
    <t xml:space="preserve">영양만점 임보맛집 가이드 - 1개 사이트에서 3단계로 3장만 만들어요 </t>
  </si>
  <si>
    <t>https://cafe.naver.com/wecando7/4850500</t>
  </si>
  <si>
    <t>줴러미</t>
  </si>
  <si>
    <t>지방도시 산업대분류별 사업체수/종사자수, 비율</t>
  </si>
  <si>
    <t>https://cafe.naver.com/wecando7/4525080</t>
  </si>
  <si>
    <t xml:space="preserve">[매너남] 산업단지 통계 살펴보기   </t>
  </si>
  <si>
    <t>https://cafe.naver.com/wecando7/1281361</t>
  </si>
  <si>
    <t>[유진아빠] 2020년 근로소득 연말정산 신고 결과, 내 주변 사람들은 얼마나 벌까?</t>
  </si>
  <si>
    <t>[유진아빠] 전국 &amp; 수도권 일자리 지도 - 지역별 일자리의 양과 질을 한눈에</t>
  </si>
  <si>
    <t>https://cafe.naver.com/wecando7/1454946</t>
  </si>
  <si>
    <t>둘아맘</t>
  </si>
  <si>
    <t xml:space="preserve">중학교 학업성취도 순위사이트   </t>
  </si>
  <si>
    <t>https://cafe.naver.com/wecando7/2398877</t>
  </si>
  <si>
    <t xml:space="preserve">지방 학군 (5대광역시, 중소도시포함)   </t>
  </si>
  <si>
    <t>https://cafe.naver.com/wecando7/2108581</t>
  </si>
  <si>
    <t xml:space="preserve">우리 아이 키우기 좋은 지역별 1등 확인(feat. 학군엑셀지도)   </t>
  </si>
  <si>
    <t>https://cafe.naver.com/wecando7/1963694</t>
  </si>
  <si>
    <t>바이타민</t>
  </si>
  <si>
    <t>학군 조사 방법 및 학군지 분석(feat. 대치동의 학원가 형성)</t>
  </si>
  <si>
    <t>https://cafe.naver.com/wecando7/2653733</t>
  </si>
  <si>
    <t>샤샤와함께</t>
  </si>
  <si>
    <t xml:space="preserve">학군: 초등학교 과밀학급 찾아보기(feat. 네이버부동산)   </t>
  </si>
  <si>
    <t>https://cafe.naver.com/wecando7/1399009</t>
  </si>
  <si>
    <t>학군정보, 전국 2021년 특목고 진학정보와 2018년 서울대/KAIST진학정보</t>
  </si>
  <si>
    <t>https://cafe.naver.com/wecando7/2467880</t>
  </si>
  <si>
    <t>캬캬하하김부장</t>
  </si>
  <si>
    <t xml:space="preserve">초등학교 배정 단지 한방에 보기~!(별거없음주의)   </t>
  </si>
  <si>
    <t>https://cafe.naver.com/wecando7/2715459</t>
  </si>
  <si>
    <t>피터파커</t>
  </si>
  <si>
    <t>내 임장지에서 선호도 높은 중학교 찾는 법(초보주의!!!)</t>
  </si>
  <si>
    <t>https://cafe.naver.com/wecando7/2997933</t>
  </si>
  <si>
    <t>[릴리쌤] 입지 지도용 기호(스타벅스, 학교, 병원, 지하철 등) 21.11.17 업데이트</t>
  </si>
  <si>
    <t>[빈찌] 임장보고서 환경부분, 사소하고 소소한 팁! 백화점시리즈1탄 (부제 : 백화점이라고 다 같은 백화점이 아니다!)</t>
  </si>
  <si>
    <t>[빈찌] 임장보고서 환경부분, 사소하고 소소한 팁! 백화점시리즈2탄! (부제 : 백화점도 신축이 입지인가?!)</t>
  </si>
  <si>
    <t xml:space="preserve">2022년 전국 백화점 수/ 대형마트 수/ 2021년 백화점 매출/ 스타벅스 추가 </t>
  </si>
  <si>
    <t>https://cafe.naver.com/wecando7/3686288</t>
  </si>
  <si>
    <t>허니대디</t>
  </si>
  <si>
    <t>백화점 매출 순위(19~21년)</t>
  </si>
  <si>
    <t>https://cafe.naver.com/wecando7/3862923</t>
  </si>
  <si>
    <t xml:space="preserve">전국 통근통학 교통수단 </t>
  </si>
  <si>
    <t>시세 분석</t>
  </si>
  <si>
    <t>광역시시세 매매/전세지수 자동 조정 그래프(서울 부산 대구 인천 대전 울산 광주)</t>
  </si>
  <si>
    <t>https://cafe.naver.com/wecando7/4116762</t>
  </si>
  <si>
    <t>선사임당</t>
  </si>
  <si>
    <t xml:space="preserve">평당가 계산기 </t>
  </si>
  <si>
    <t>https://cafe.naver.com/wecando7/6169470</t>
  </si>
  <si>
    <t>빨간머스탱</t>
  </si>
  <si>
    <t xml:space="preserve">월부 실거래가 인천, 부산, 대구, 대전, 울산, 세종, 제주 </t>
  </si>
  <si>
    <t>https://cafe.naver.com/wecando7/6255283</t>
  </si>
  <si>
    <t>전국 구별 매매평당가, 전세 평당가, 전세가율</t>
  </si>
  <si>
    <t>https://cafe.naver.com/wecando7/5396361</t>
  </si>
  <si>
    <t>서울경기 수도권 1-5군 시/구별 평당가 한눈에 비교하기 (구별 가격 위상 정렬표)</t>
  </si>
  <si>
    <t>https://cafe.naver.com/wecando7/6844999</t>
  </si>
  <si>
    <t>단지 상세분석</t>
  </si>
  <si>
    <t>1등 뽑기</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</si>
</sst>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yyyy. M. d"/>
    <numFmt numFmtId="165" formatCode="d"/>
    <numFmt numFmtId="166" formatCode="m/d"/>
    <numFmt numFmtId="167" formatCode="m&quot;/&quot;d"/>
    <numFmt numFmtId="168" formatCode="_-* #,##0_-;\-* #,##0_-;_-* &quot;-&quot;_-;_-@"/>
    <numFmt numFmtId="169" formatCode="m&quot;. &quot;d"/>
    <numFmt numFmtId="170" formatCode="0.0%"/>
    <numFmt numFmtId="171" formatCode="yyyy. m. d"/>
    <numFmt numFmtId="172" formatCode="#,##0.0"/>
    <numFmt numFmtId="173" formatCode="0&quot;년&quot;"/>
    <numFmt numFmtId="174" formatCode="0&quot;세&quot;&quot;대&quot;"/>
    <numFmt numFmtId="175" formatCode="_-* #,##0.00_-;\-* #,##0.00_-;_-* &quot;-&quot;_-;_-@"/>
    <numFmt numFmtId="176" formatCode="_-* #,##0&quot;평&quot;_-;\-* #,##0&quot;평&quot;_-;_-* &quot;-&quot;&quot;평&quot;_-;_-@&quot;평&quot;"/>
  </numFmts>
  <fonts count="155">
    <font>
      <sz val="10.0"/>
      <color rgb="FF000000"/>
      <name val="Arial"/>
      <scheme val="minor"/>
    </font>
    <font>
      <b/>
      <sz val="16.0"/>
      <color rgb="FF000000"/>
      <name val="Arial"/>
      <scheme val="minor"/>
    </font>
    <font>
      <b/>
      <sz val="10.0"/>
      <color rgb="FF000000"/>
      <name val="Arial"/>
      <scheme val="minor"/>
    </font>
    <font>
      <b/>
      <u/>
      <sz val="10.0"/>
      <color rgb="FF0000FF"/>
    </font>
    <font>
      <b/>
      <sz val="10.0"/>
      <color rgb="FFFFFF00"/>
      <name val="Arial"/>
      <scheme val="minor"/>
    </font>
    <font>
      <b/>
      <sz val="10.0"/>
      <color rgb="FFFFFFFF"/>
      <name val="Arial"/>
      <scheme val="minor"/>
    </font>
    <font>
      <color theme="1"/>
      <name val="Arial"/>
    </font>
    <font>
      <b/>
      <color theme="1"/>
      <name val="Noto Sans KR"/>
    </font>
    <font>
      <b/>
      <color rgb="FFFF0000"/>
      <name val="Noto Sans KR"/>
    </font>
    <font>
      <color rgb="FF000000"/>
      <name val="Arial"/>
    </font>
    <font>
      <b/>
      <color rgb="FFFFFFFF"/>
      <name val="Noto Sans KR"/>
    </font>
    <font>
      <b/>
      <sz val="11.0"/>
      <color rgb="FFFF0000"/>
      <name val="Arial"/>
    </font>
    <font/>
    <font>
      <b/>
      <sz val="9.0"/>
      <color theme="1"/>
      <name val="Arial"/>
    </font>
    <font>
      <b/>
      <sz val="9.0"/>
      <color rgb="FFFF0000"/>
      <name val="Arial"/>
    </font>
    <font>
      <b/>
      <sz val="11.0"/>
      <color theme="1"/>
      <name val="Arial"/>
    </font>
    <font>
      <b/>
      <color theme="1"/>
      <name val="Arial"/>
    </font>
    <font>
      <color theme="1"/>
      <name val="Arial"/>
      <scheme val="minor"/>
    </font>
    <font>
      <sz val="11.0"/>
      <color theme="1"/>
      <name val="Arial"/>
    </font>
    <font>
      <strike/>
      <color theme="1"/>
      <name val="Arial"/>
    </font>
    <font>
      <b/>
      <sz val="12.0"/>
      <color theme="1"/>
      <name val="Arial"/>
      <scheme val="minor"/>
    </font>
    <font>
      <b/>
      <sz val="15.0"/>
      <color theme="1"/>
      <name val="Arial"/>
      <scheme val="minor"/>
    </font>
    <font>
      <b/>
      <sz val="8.0"/>
      <color theme="1"/>
      <name val="Arial"/>
      <scheme val="minor"/>
    </font>
    <font>
      <b/>
      <sz val="11.0"/>
      <color rgb="FFFFFFFF"/>
      <name val="Arial"/>
      <scheme val="minor"/>
    </font>
    <font>
      <sz val="8.0"/>
      <color theme="1"/>
      <name val="Arial"/>
      <scheme val="minor"/>
    </font>
    <font>
      <b/>
      <sz val="11.0"/>
      <color theme="1"/>
      <name val="Arial"/>
      <scheme val="minor"/>
    </font>
    <font>
      <b/>
      <sz val="9.0"/>
      <color theme="1"/>
      <name val="Arial"/>
      <scheme val="minor"/>
    </font>
    <font>
      <b/>
      <sz val="11.0"/>
      <color rgb="FF000000"/>
      <name val="Arial"/>
      <scheme val="minor"/>
    </font>
    <font>
      <b/>
      <sz val="17.0"/>
      <color rgb="FFFFFFFF"/>
      <name val="Arial"/>
      <scheme val="minor"/>
    </font>
    <font>
      <b/>
      <sz val="10.0"/>
      <color theme="1"/>
      <name val="Arial"/>
      <scheme val="minor"/>
    </font>
    <font>
      <b/>
      <sz val="11.0"/>
      <color rgb="FFFF0000"/>
      <name val="Arial"/>
      <scheme val="minor"/>
    </font>
    <font>
      <sz val="11.0"/>
      <color theme="1"/>
      <name val="Arial"/>
      <scheme val="minor"/>
    </font>
    <font>
      <b/>
      <sz val="11.0"/>
      <color rgb="FF0000FF"/>
      <name val="Arial"/>
      <scheme val="minor"/>
    </font>
    <font>
      <b/>
      <sz val="8.0"/>
      <color rgb="FFFFFFFF"/>
      <name val="Arial"/>
    </font>
    <font>
      <b/>
      <sz val="8.0"/>
      <color theme="1"/>
      <name val="Arial"/>
    </font>
    <font>
      <sz val="8.0"/>
      <color theme="1"/>
      <name val="Arial"/>
    </font>
    <font>
      <b/>
      <color rgb="FFFFFFFF"/>
      <name val="Arial"/>
    </font>
    <font>
      <color theme="1"/>
      <name val="Noto Sans KR"/>
    </font>
    <font>
      <b/>
      <sz val="17.0"/>
      <color rgb="FFFFFFFF"/>
      <name val="Arial"/>
    </font>
    <font>
      <b/>
      <sz val="18.0"/>
      <color theme="1"/>
      <name val="Arial"/>
    </font>
    <font>
      <b/>
      <sz val="13.0"/>
      <color rgb="FFFFFFFF"/>
      <name val="Noto Sans KR"/>
    </font>
    <font>
      <b/>
      <sz val="11.0"/>
      <color theme="1"/>
      <name val="Noto Sans KR"/>
    </font>
    <font>
      <b/>
      <sz val="10.0"/>
      <color theme="1"/>
      <name val="Noto Sans KR"/>
    </font>
    <font>
      <sz val="10.0"/>
      <color theme="1"/>
      <name val="Noto Sans KR"/>
    </font>
    <font>
      <b/>
      <sz val="13.0"/>
      <color rgb="FFFFFF00"/>
      <name val="Noto Sans KR"/>
    </font>
    <font>
      <sz val="11.0"/>
      <color rgb="FF000000"/>
      <name val="Noto Sans KR"/>
    </font>
    <font>
      <color rgb="FF000000"/>
      <name val="Noto Sans KR"/>
    </font>
    <font>
      <b/>
      <sz val="12.0"/>
      <color rgb="FF000000"/>
      <name val="Noto Sans KR"/>
    </font>
    <font>
      <b/>
      <sz val="18.0"/>
      <color rgb="FF000000"/>
      <name val="Noto Sans KR"/>
    </font>
    <font>
      <b/>
      <sz val="14.0"/>
      <color rgb="FF000000"/>
      <name val="Noto Sans KR"/>
    </font>
    <font>
      <b/>
      <sz val="15.0"/>
      <color rgb="FF000000"/>
      <name val="Noto Sans KR"/>
    </font>
    <font>
      <color rgb="FFFF0000"/>
      <name val="Noto Sans KR"/>
    </font>
    <font>
      <sz val="11.0"/>
      <color theme="1"/>
      <name val="Noto Sans KR"/>
    </font>
    <font>
      <sz val="10.0"/>
      <color rgb="FF999999"/>
      <name val="Noto Sans KR"/>
    </font>
    <font>
      <sz val="6.0"/>
      <color theme="1"/>
      <name val="Noto Sans KR"/>
    </font>
    <font>
      <color rgb="FF222222"/>
      <name val="NanumGothic"/>
    </font>
    <font>
      <color theme="1"/>
      <name val="함초롬바탕"/>
    </font>
    <font>
      <i/>
      <color theme="1"/>
      <name val="Noto Sans KR"/>
    </font>
    <font>
      <b/>
      <sz val="10.0"/>
      <color theme="1"/>
      <name val="Arial"/>
    </font>
    <font>
      <b/>
      <sz val="14.0"/>
      <color theme="1"/>
      <name val="Arial"/>
    </font>
    <font>
      <b/>
      <sz val="14.0"/>
      <color rgb="FFFF0000"/>
      <name val="Arial"/>
    </font>
    <font>
      <b/>
      <sz val="13.0"/>
      <color theme="1"/>
      <name val="Arial"/>
      <scheme val="minor"/>
    </font>
    <font>
      <b/>
      <sz val="13.0"/>
      <color theme="1"/>
      <name val="Arial"/>
    </font>
    <font>
      <sz val="12.0"/>
      <color rgb="FF000000"/>
      <name val="&quot;맑은 고딕&quot;"/>
    </font>
    <font>
      <sz val="11.0"/>
      <color rgb="FF000000"/>
      <name val="&quot;맑은 고딕&quot;"/>
    </font>
    <font>
      <sz val="11.0"/>
      <color rgb="FF000000"/>
      <name val="Arial"/>
    </font>
    <font>
      <sz val="7.0"/>
      <color rgb="FF000000"/>
      <name val="&quot;맑은 고딕&quot;"/>
    </font>
    <font>
      <sz val="5.0"/>
      <color theme="1"/>
      <name val="Noto Sans KR"/>
    </font>
    <font>
      <sz val="8.0"/>
      <color rgb="FF000000"/>
      <name val="&quot;맑은 고딕&quot;"/>
    </font>
    <font>
      <sz val="10.0"/>
      <color theme="1"/>
      <name val="Arial"/>
      <scheme val="minor"/>
    </font>
    <font>
      <sz val="12.0"/>
      <color theme="1"/>
      <name val="Arial"/>
      <scheme val="minor"/>
    </font>
    <font>
      <sz val="12.0"/>
      <color rgb="FF000000"/>
      <name val="Arial"/>
      <scheme val="minor"/>
    </font>
    <font>
      <b/>
      <sz val="12.0"/>
      <color rgb="FF000000"/>
      <name val="Arial"/>
      <scheme val="minor"/>
    </font>
    <font>
      <b/>
      <sz val="12.0"/>
      <color rgb="FF0000FF"/>
      <name val="Arial"/>
      <scheme val="minor"/>
    </font>
    <font>
      <sz val="12.0"/>
      <color rgb="FF0000FF"/>
      <name val="Arial"/>
      <scheme val="minor"/>
    </font>
    <font>
      <b/>
      <sz val="12.0"/>
      <color rgb="FFFF0000"/>
      <name val="Arial"/>
      <scheme val="minor"/>
    </font>
    <font>
      <sz val="12.0"/>
      <color rgb="FFFF0000"/>
      <name val="Arial"/>
      <scheme val="minor"/>
    </font>
    <font>
      <sz val="14.0"/>
      <color theme="1"/>
      <name val="Arial"/>
      <scheme val="minor"/>
    </font>
    <font>
      <b/>
      <sz val="14.0"/>
      <color theme="1"/>
      <name val="Arial"/>
      <scheme val="minor"/>
    </font>
    <font>
      <b/>
      <sz val="18.0"/>
      <color rgb="FFFFFFFF"/>
      <name val="Malgun Gothic"/>
    </font>
    <font>
      <color theme="1"/>
      <name val="Malgun Gothic"/>
    </font>
    <font>
      <b/>
      <sz val="10.0"/>
      <color theme="1"/>
      <name val="Malgun Gothic"/>
    </font>
    <font>
      <sz val="10.0"/>
      <color theme="1"/>
      <name val="Malgun Gothic"/>
    </font>
    <font>
      <u/>
      <sz val="8.0"/>
      <color rgb="FF1155CC"/>
      <name val="Malgun Gothic"/>
    </font>
    <font>
      <u/>
      <sz val="8.0"/>
      <color rgb="FF1155CC"/>
      <name val="Malgun Gothic"/>
    </font>
    <font>
      <u/>
      <sz val="8.0"/>
      <color rgb="FF1155CC"/>
      <name val="Malgun Gothic"/>
    </font>
    <font>
      <u/>
      <sz val="8.0"/>
      <color rgb="FF0563C1"/>
      <name val="Arial"/>
    </font>
    <font>
      <u/>
      <sz val="8.0"/>
      <color rgb="FF1155CC"/>
    </font>
    <font>
      <u/>
      <sz val="8.0"/>
      <color rgb="FF0563C1"/>
      <name val="Arial"/>
    </font>
    <font>
      <u/>
      <sz val="8.0"/>
      <color rgb="FF1155CC"/>
      <name val="Arial"/>
    </font>
    <font>
      <u/>
      <color rgb="FF0563C1"/>
      <name val="Arial"/>
    </font>
    <font>
      <u/>
      <sz val="8.0"/>
      <color rgb="FF0000FF"/>
      <name val="Malgun Gothic"/>
    </font>
    <font>
      <u/>
      <sz val="8.0"/>
      <color rgb="FF1155CC"/>
    </font>
    <font>
      <u/>
      <sz val="8.0"/>
      <color rgb="FF1155CC"/>
      <name val="Malgun Gothic"/>
    </font>
    <font>
      <u/>
      <sz val="8.0"/>
      <color rgb="FF1155CC"/>
      <name val="Malgun Gothic"/>
    </font>
    <font>
      <u/>
      <sz val="8.0"/>
      <color rgb="FF0000FF"/>
      <name val="Malgun Gothic"/>
    </font>
    <font>
      <u/>
      <sz val="8.0"/>
      <color rgb="FF0000FF"/>
    </font>
    <font>
      <u/>
      <sz val="8.0"/>
      <color rgb="FF1155CC"/>
      <name val="Malgun Gothic"/>
    </font>
    <font>
      <b/>
      <color theme="1"/>
      <name val="Malgun Gothic"/>
    </font>
    <font>
      <u/>
      <color rgb="FF1155CC"/>
      <name val="Arial"/>
    </font>
    <font>
      <u/>
      <color rgb="FF1155CC"/>
      <name val="Arial"/>
    </font>
    <font>
      <u/>
      <color rgb="FF1155CC"/>
      <name val="Arial"/>
    </font>
    <font>
      <u/>
      <color rgb="FF1155CC"/>
      <name val="Arial"/>
    </font>
    <font>
      <u/>
      <color rgb="FF1155CC"/>
      <name val="Arial"/>
    </font>
    <font>
      <u/>
      <color rgb="FF1155CC"/>
      <name val="Malgun Gothic"/>
    </font>
    <font>
      <u/>
      <color rgb="FF0563C1"/>
      <name val="Arial"/>
    </font>
    <font>
      <u/>
      <color rgb="FF0B5394"/>
      <name val="Arial"/>
    </font>
    <font>
      <u/>
      <color rgb="FF0B5394"/>
      <name val="Malgun Gothic"/>
    </font>
    <font>
      <u/>
      <color rgb="FF1155CC"/>
      <name val="Arial"/>
    </font>
    <font>
      <u/>
      <color rgb="FF0563C1"/>
      <name val="Arial"/>
    </font>
    <font>
      <u/>
      <color rgb="FF1155CC"/>
      <name val="Arial"/>
    </font>
    <font>
      <u/>
      <color rgb="FF0563C1"/>
      <name val="Arial"/>
    </font>
    <font>
      <u/>
      <color rgb="FF1155CC"/>
      <name val="Arial"/>
    </font>
    <font>
      <u/>
      <color rgb="FF1155CC"/>
      <name val="Malgun Gothic"/>
    </font>
    <font>
      <u/>
      <color rgb="FF1155CC"/>
      <name val="Arial"/>
    </font>
    <font>
      <u/>
      <color rgb="FF1155CC"/>
      <name val="Malgun Gothic"/>
    </font>
    <font>
      <u/>
      <color rgb="FF1155CC"/>
      <name val="Malgun Gothic"/>
    </font>
    <font>
      <u/>
      <sz val="8.0"/>
      <color rgb="FF1155CC"/>
      <name val="Malgun Gothic"/>
    </font>
    <font>
      <u/>
      <color rgb="FF0000FF"/>
      <name val="Malgun Gothic"/>
    </font>
    <font>
      <u/>
      <color rgb="FF1155CC"/>
      <name val="Malgun Gothic"/>
    </font>
    <font>
      <u/>
      <color rgb="FF1155CC"/>
      <name val="Malgun Gothic"/>
    </font>
    <font>
      <u/>
      <sz val="10.0"/>
      <color rgb="FF1155CC"/>
      <name val="Malgun Gothic"/>
    </font>
    <font>
      <u/>
      <color rgb="FF0563C1"/>
      <name val="Arial"/>
    </font>
    <font>
      <u/>
      <color rgb="FF0563C1"/>
      <name val="Arial"/>
    </font>
    <font>
      <u/>
      <color rgb="FF1155CC"/>
      <name val="Arial"/>
    </font>
    <font>
      <color theme="1"/>
      <name val="&quot;Apple SD Gothic Neo&quot;"/>
    </font>
    <font>
      <u/>
      <sz val="10.0"/>
      <color rgb="FF1155CC"/>
      <name val="Malgun Gothic"/>
    </font>
    <font>
      <u/>
      <sz val="10.0"/>
      <color rgb="FF0000FF"/>
      <name val="Malgun Gothic"/>
    </font>
    <font>
      <u/>
      <sz val="10.0"/>
      <color rgb="FF1155CC"/>
      <name val="Malgun Gothic"/>
    </font>
    <font>
      <sz val="10.0"/>
      <color theme="1"/>
      <name val="&quot;맑은 고딕&quot;"/>
    </font>
    <font>
      <u/>
      <sz val="10.0"/>
      <color rgb="FF1155CC"/>
      <name val="Malgun Gothic"/>
    </font>
    <font>
      <u/>
      <sz val="10.0"/>
      <color rgb="FF1155CC"/>
    </font>
    <font>
      <u/>
      <sz val="10.0"/>
      <color rgb="FF1155CC"/>
    </font>
    <font>
      <u/>
      <color rgb="FF1155CC"/>
      <name val="Arial"/>
    </font>
    <font>
      <u/>
      <color rgb="FF0563C1"/>
      <name val="Arial"/>
    </font>
    <font>
      <b/>
      <u/>
      <color rgb="FF1155CC"/>
      <name val="Arial"/>
    </font>
    <font>
      <u/>
      <color rgb="FF0563C1"/>
      <name val="Arial"/>
    </font>
    <font>
      <u/>
      <color rgb="FF0000FF"/>
      <name val="Arial"/>
    </font>
    <font>
      <u/>
      <color rgb="FF0000FF"/>
      <name val="Arial"/>
    </font>
    <font>
      <b/>
      <u/>
      <color rgb="FF0563C1"/>
      <name val="Arial"/>
    </font>
    <font>
      <u/>
      <color rgb="FF0563C1"/>
      <name val="Arial"/>
    </font>
    <font>
      <u/>
      <color rgb="FF0563C1"/>
      <name val="Arial"/>
    </font>
    <font>
      <u/>
      <color rgb="FF1155CC"/>
      <name val="Arial"/>
    </font>
    <font>
      <b/>
      <u/>
      <color rgb="FF0000FF"/>
      <name val="Arial"/>
    </font>
    <font>
      <b/>
      <u/>
      <color rgb="FF1155CC"/>
      <name val="Arial"/>
    </font>
    <font>
      <u/>
      <color rgb="FF1155CC"/>
      <name val="Arial"/>
    </font>
    <font>
      <u/>
      <color rgb="FF1155CC"/>
      <name val="Arial"/>
    </font>
    <font>
      <u/>
      <color rgb="FF0000FF"/>
      <name val="Arial"/>
    </font>
    <font>
      <b/>
      <u/>
      <color rgb="FF1155CC"/>
      <name val="Arial"/>
    </font>
    <font>
      <u/>
      <color rgb="FF1155CC"/>
      <name val="Arial"/>
    </font>
    <font>
      <u/>
      <color rgb="FF1155CC"/>
      <name val="Arial"/>
    </font>
    <font>
      <u/>
      <color rgb="FF0000FF"/>
      <name val="Malgun Gothic"/>
    </font>
    <font>
      <u/>
      <color rgb="FF0000FF"/>
      <name val="Malgun Gothic"/>
    </font>
    <font>
      <u/>
      <color rgb="FF0000FF"/>
      <name val="Malgun Gothic"/>
    </font>
    <font>
      <b/>
      <u/>
      <color rgb="FF0000FF"/>
      <name val="Malgun Gothic"/>
    </font>
  </fonts>
  <fills count="52">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E06666"/>
        <bgColor rgb="FFE06666"/>
      </patternFill>
    </fill>
    <fill>
      <patternFill patternType="solid">
        <fgColor rgb="FFA4C2F4"/>
        <bgColor rgb="FFA4C2F4"/>
      </patternFill>
    </fill>
    <fill>
      <patternFill patternType="solid">
        <fgColor rgb="FF666666"/>
        <bgColor rgb="FF666666"/>
      </patternFill>
    </fill>
    <fill>
      <patternFill patternType="solid">
        <fgColor rgb="FFC9DAF8"/>
        <bgColor rgb="FFC9DAF8"/>
      </patternFill>
    </fill>
    <fill>
      <patternFill patternType="solid">
        <fgColor rgb="FFD9EAD3"/>
        <bgColor rgb="FFD9EAD3"/>
      </patternFill>
    </fill>
    <fill>
      <patternFill patternType="solid">
        <fgColor rgb="FFD9D2E9"/>
        <bgColor rgb="FFD9D2E9"/>
      </patternFill>
    </fill>
    <fill>
      <patternFill patternType="solid">
        <fgColor rgb="FF93C47D"/>
        <bgColor rgb="FF93C47D"/>
      </patternFill>
    </fill>
    <fill>
      <patternFill patternType="solid">
        <fgColor rgb="FFFFE599"/>
        <bgColor rgb="FFFFE599"/>
      </patternFill>
    </fill>
    <fill>
      <patternFill patternType="solid">
        <fgColor rgb="FFEFEFEF"/>
        <bgColor rgb="FFEFEFEF"/>
      </patternFill>
    </fill>
    <fill>
      <patternFill patternType="solid">
        <fgColor rgb="FFFCE5CD"/>
        <bgColor rgb="FFFCE5CD"/>
      </patternFill>
    </fill>
    <fill>
      <patternFill patternType="solid">
        <fgColor rgb="FF434343"/>
        <bgColor rgb="FF434343"/>
      </patternFill>
    </fill>
    <fill>
      <patternFill patternType="solid">
        <fgColor rgb="FFEA9999"/>
        <bgColor rgb="FFEA9999"/>
      </patternFill>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FFFF00"/>
        <bgColor rgb="FFFFFF00"/>
      </patternFill>
    </fill>
    <fill>
      <patternFill patternType="solid">
        <fgColor rgb="FFB7E1CD"/>
        <bgColor rgb="FFB7E1CD"/>
      </patternFill>
    </fill>
    <fill>
      <patternFill patternType="solid">
        <fgColor rgb="FFF3F3F3"/>
        <bgColor rgb="FFF3F3F3"/>
      </patternFill>
    </fill>
    <fill>
      <patternFill patternType="solid">
        <fgColor rgb="FF0B5394"/>
        <bgColor rgb="FF0B5394"/>
      </patternFill>
    </fill>
    <fill>
      <patternFill patternType="solid">
        <fgColor rgb="FFCCCCCC"/>
        <bgColor rgb="FFCCCCCC"/>
      </patternFill>
    </fill>
    <fill>
      <patternFill patternType="solid">
        <fgColor rgb="FFFF0000"/>
        <bgColor rgb="FFFF0000"/>
      </patternFill>
    </fill>
    <fill>
      <patternFill patternType="solid">
        <fgColor theme="1"/>
        <bgColor theme="1"/>
      </patternFill>
    </fill>
    <fill>
      <patternFill patternType="solid">
        <fgColor rgb="FF38761D"/>
        <bgColor rgb="FF38761D"/>
      </patternFill>
    </fill>
    <fill>
      <patternFill patternType="solid">
        <fgColor rgb="FFCC0000"/>
        <bgColor rgb="FFCC0000"/>
      </patternFill>
    </fill>
    <fill>
      <patternFill patternType="solid">
        <fgColor theme="0"/>
        <bgColor theme="0"/>
      </patternFill>
    </fill>
    <fill>
      <patternFill patternType="solid">
        <fgColor rgb="FFFFD966"/>
        <bgColor rgb="FFFFD966"/>
      </patternFill>
    </fill>
    <fill>
      <patternFill patternType="solid">
        <fgColor rgb="FF9FC5E8"/>
        <bgColor rgb="FF9FC5E8"/>
      </patternFill>
    </fill>
    <fill>
      <patternFill patternType="solid">
        <fgColor rgb="FFDDEBF7"/>
        <bgColor rgb="FFDDEBF7"/>
      </patternFill>
    </fill>
    <fill>
      <patternFill patternType="solid">
        <fgColor rgb="FF6AA84F"/>
        <bgColor rgb="FF6AA84F"/>
      </patternFill>
    </fill>
    <fill>
      <patternFill patternType="solid">
        <fgColor rgb="FF3D85C6"/>
        <bgColor rgb="FF3D85C6"/>
      </patternFill>
    </fill>
    <fill>
      <patternFill patternType="solid">
        <fgColor rgb="FF000000"/>
        <bgColor rgb="FF000000"/>
      </patternFill>
    </fill>
    <fill>
      <patternFill patternType="solid">
        <fgColor rgb="FFFCE4D6"/>
        <bgColor rgb="FFFCE4D6"/>
      </patternFill>
    </fill>
    <fill>
      <patternFill patternType="solid">
        <fgColor rgb="FFE2EFDA"/>
        <bgColor rgb="FFE2EFDA"/>
      </patternFill>
    </fill>
    <fill>
      <patternFill patternType="solid">
        <fgColor rgb="FFDEC8EE"/>
        <bgColor rgb="FFDEC8EE"/>
      </patternFill>
    </fill>
    <fill>
      <patternFill patternType="solid">
        <fgColor rgb="FFD9D9D9"/>
        <bgColor rgb="FFD9D9D9"/>
      </patternFill>
    </fill>
    <fill>
      <patternFill patternType="solid">
        <fgColor rgb="FFFFFFE9"/>
        <bgColor rgb="FFFFFFE9"/>
      </patternFill>
    </fill>
    <fill>
      <patternFill patternType="solid">
        <fgColor rgb="FF57BB8A"/>
        <bgColor rgb="FF57BB8A"/>
      </patternFill>
    </fill>
    <fill>
      <patternFill patternType="solid">
        <fgColor rgb="FF00FFFF"/>
        <bgColor rgb="FF00FFFF"/>
      </patternFill>
    </fill>
    <fill>
      <patternFill patternType="solid">
        <fgColor rgb="FFF4CCCC"/>
        <bgColor rgb="FFF4CCCC"/>
      </patternFill>
    </fill>
    <fill>
      <patternFill patternType="solid">
        <fgColor rgb="FFF2F2F2"/>
        <bgColor rgb="FFF2F2F2"/>
      </patternFill>
    </fill>
    <fill>
      <patternFill patternType="solid">
        <fgColor rgb="FFFEF2CB"/>
        <bgColor rgb="FFFEF2CB"/>
      </patternFill>
    </fill>
    <fill>
      <patternFill patternType="solid">
        <fgColor rgb="FFC5E0B3"/>
        <bgColor rgb="FFC5E0B3"/>
      </patternFill>
    </fill>
    <fill>
      <patternFill patternType="solid">
        <fgColor rgb="FFD6DCE4"/>
        <bgColor rgb="FFD6DCE4"/>
      </patternFill>
    </fill>
    <fill>
      <patternFill patternType="solid">
        <fgColor rgb="FFE2EFD9"/>
        <bgColor rgb="FFE2EFD9"/>
      </patternFill>
    </fill>
    <fill>
      <patternFill patternType="solid">
        <fgColor rgb="FFFBE4D5"/>
        <bgColor rgb="FFFBE4D5"/>
      </patternFill>
    </fill>
    <fill>
      <patternFill patternType="solid">
        <fgColor rgb="FFDEEAF6"/>
        <bgColor rgb="FFDEEAF6"/>
      </patternFill>
    </fill>
    <fill>
      <patternFill patternType="solid">
        <fgColor rgb="FF351C75"/>
        <bgColor rgb="FF351C75"/>
      </patternFill>
    </fill>
    <fill>
      <patternFill patternType="solid">
        <fgColor rgb="FFE6B8AF"/>
        <bgColor rgb="FFE6B8AF"/>
      </patternFill>
    </fill>
  </fills>
  <borders count="35">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border>
    <border>
      <top style="thin">
        <color rgb="FF000000"/>
      </top>
    </border>
    <border>
      <left style="thin">
        <color rgb="FF000000"/>
      </left>
      <right style="thin">
        <color rgb="FF000000"/>
      </right>
      <top style="thin">
        <color rgb="FF000000"/>
      </top>
      <bottom/>
    </border>
    <border>
      <left style="thin">
        <color rgb="FF000000"/>
      </lef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bottom/>
    </border>
    <border>
      <left style="thin">
        <color rgb="FF000000"/>
      </left>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bottom style="hair">
        <color rgb="FF000000"/>
      </bottom>
    </border>
    <border>
      <left style="thin">
        <color rgb="FF000000"/>
      </left>
      <right style="thin">
        <color rgb="FF000000"/>
      </right>
      <bottom style="hair">
        <color rgb="FF000000"/>
      </bottom>
    </border>
    <border>
      <left style="thin">
        <color rgb="FF000000"/>
      </left>
      <right/>
      <top style="hair">
        <color rgb="FF000000"/>
      </top>
      <bottom/>
    </border>
    <border>
      <left style="thin">
        <color rgb="FF000000"/>
      </left>
      <right style="thin">
        <color rgb="FF000000"/>
      </right>
      <top style="hair">
        <color rgb="FF000000"/>
      </top>
      <bottom/>
    </border>
    <border>
      <left style="thin">
        <color rgb="FF000000"/>
      </left>
      <right style="thin">
        <color rgb="FF000000"/>
      </right>
      <top/>
      <bottom style="thin">
        <color rgb="FF000000"/>
      </bottom>
    </border>
    <border>
      <left style="thin">
        <color rgb="FF000000"/>
      </left>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
      <left style="thin">
        <color rgb="FF000000"/>
      </left>
      <right style="thin">
        <color rgb="FF000000"/>
      </right>
      <top style="hair">
        <color rgb="FF000000"/>
      </top>
    </border>
    <border>
      <left style="thin">
        <color rgb="FF000000"/>
      </left>
      <top style="hair">
        <color rgb="FF000000"/>
      </top>
    </border>
  </borders>
  <cellStyleXfs count="1">
    <xf borderId="0" fillId="0" fontId="0" numFmtId="0" applyAlignment="1" applyFont="1"/>
  </cellStyleXfs>
  <cellXfs count="7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shrinkToFit="0" vertical="center" wrapText="1"/>
    </xf>
    <xf borderId="1" fillId="2" fontId="2" numFmtId="164" xfId="0" applyAlignment="1" applyBorder="1" applyFont="1" applyNumberFormat="1">
      <alignment horizontal="center" readingOrder="0" shrinkToFit="0" vertical="center" wrapText="1"/>
    </xf>
    <xf borderId="0" fillId="2" fontId="2" numFmtId="0" xfId="0" applyAlignment="1" applyFont="1">
      <alignment horizontal="center" shrinkToFit="0" vertical="center" wrapText="1"/>
    </xf>
    <xf borderId="0" fillId="2" fontId="3" numFmtId="0" xfId="0" applyAlignment="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4" fontId="2" numFmtId="0" xfId="0" applyAlignment="1" applyBorder="1" applyFill="1" applyFont="1">
      <alignment horizontal="center" shrinkToFit="0" vertical="center" wrapText="1"/>
    </xf>
    <xf borderId="1" fillId="3" fontId="2"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1" fillId="6" fontId="4" numFmtId="0" xfId="0" applyAlignment="1" applyBorder="1" applyFill="1" applyFont="1">
      <alignment horizontal="center" readingOrder="0" shrinkToFit="0" vertical="center" wrapText="1"/>
    </xf>
    <xf borderId="1" fillId="4" fontId="5" numFmtId="165" xfId="0" applyAlignment="1" applyBorder="1" applyFont="1" applyNumberFormat="1">
      <alignment horizontal="center" shrinkToFit="0" vertical="center" wrapText="1"/>
    </xf>
    <xf borderId="1" fillId="6" fontId="5" numFmtId="165" xfId="0" applyAlignment="1" applyBorder="1" applyFont="1" applyNumberFormat="1">
      <alignment horizontal="center" shrinkToFit="0" vertical="center" wrapText="1"/>
    </xf>
    <xf borderId="1" fillId="5" fontId="5" numFmtId="165" xfId="0" applyAlignment="1" applyBorder="1" applyFont="1" applyNumberFormat="1">
      <alignment horizontal="center" shrinkToFit="0" vertical="center" wrapText="1"/>
    </xf>
    <xf borderId="1" fillId="6" fontId="5" numFmtId="0" xfId="0" applyAlignment="1" applyBorder="1" applyFont="1">
      <alignment horizontal="center" readingOrder="0" shrinkToFit="0" vertical="center" wrapText="1"/>
    </xf>
    <xf borderId="1" fillId="0" fontId="6" numFmtId="0" xfId="0" applyBorder="1" applyFont="1"/>
    <xf borderId="1" fillId="0" fontId="6" numFmtId="0" xfId="0" applyBorder="1" applyFont="1"/>
    <xf borderId="1" fillId="7" fontId="7" numFmtId="0" xfId="0" applyAlignment="1" applyBorder="1" applyFill="1" applyFont="1">
      <alignment horizontal="center"/>
    </xf>
    <xf borderId="1" fillId="8" fontId="7" numFmtId="0" xfId="0" applyAlignment="1" applyBorder="1" applyFill="1" applyFont="1">
      <alignment horizontal="center" readingOrder="0"/>
    </xf>
    <xf borderId="1" fillId="6" fontId="5" numFmtId="0" xfId="0" applyAlignment="1" applyBorder="1" applyFont="1">
      <alignment horizontal="center" shrinkToFit="0" vertical="center" wrapText="1"/>
    </xf>
    <xf borderId="1" fillId="9" fontId="7" numFmtId="0" xfId="0" applyAlignment="1" applyBorder="1" applyFill="1" applyFont="1">
      <alignment horizontal="center" readingOrder="0"/>
    </xf>
    <xf borderId="1" fillId="10" fontId="2" numFmtId="0" xfId="0" applyAlignment="1" applyBorder="1" applyFill="1" applyFont="1">
      <alignment horizontal="center" readingOrder="0" shrinkToFit="0" vertical="center" wrapText="1"/>
    </xf>
    <xf borderId="1" fillId="11" fontId="6" numFmtId="0" xfId="0" applyBorder="1" applyFill="1" applyFont="1"/>
    <xf borderId="1" fillId="11" fontId="6" numFmtId="0" xfId="0" applyAlignment="1" applyBorder="1" applyFont="1">
      <alignment readingOrder="0"/>
    </xf>
    <xf borderId="1" fillId="11" fontId="6" numFmtId="0" xfId="0" applyBorder="1" applyFont="1"/>
    <xf borderId="1" fillId="12" fontId="6" numFmtId="0" xfId="0" applyBorder="1" applyFill="1" applyFont="1"/>
    <xf borderId="1" fillId="12" fontId="6" numFmtId="0" xfId="0" applyAlignment="1" applyBorder="1" applyFont="1">
      <alignment readingOrder="0"/>
    </xf>
    <xf borderId="1" fillId="13" fontId="7" numFmtId="0" xfId="0" applyAlignment="1" applyBorder="1" applyFill="1" applyFont="1">
      <alignment horizontal="center"/>
    </xf>
    <xf borderId="1" fillId="9" fontId="7" numFmtId="0" xfId="0" applyAlignment="1" applyBorder="1" applyFont="1">
      <alignment horizontal="center"/>
    </xf>
    <xf borderId="1" fillId="13" fontId="8" numFmtId="0" xfId="0" applyAlignment="1" applyBorder="1" applyFont="1">
      <alignment horizontal="center" readingOrder="0"/>
    </xf>
    <xf borderId="1" fillId="12" fontId="9" numFmtId="0" xfId="0" applyBorder="1" applyFont="1"/>
    <xf borderId="1" fillId="12" fontId="9" numFmtId="0" xfId="0" applyAlignment="1" applyBorder="1" applyFont="1">
      <alignment readingOrder="0"/>
    </xf>
    <xf borderId="1" fillId="13" fontId="7" numFmtId="0" xfId="0" applyAlignment="1" applyBorder="1" applyFont="1">
      <alignment horizontal="center" readingOrder="0"/>
    </xf>
    <xf borderId="1" fillId="7" fontId="7" numFmtId="0" xfId="0" applyAlignment="1" applyBorder="1" applyFont="1">
      <alignment horizontal="center"/>
    </xf>
    <xf borderId="1" fillId="12" fontId="9" numFmtId="0" xfId="0" applyBorder="1" applyFont="1"/>
    <xf borderId="1" fillId="13" fontId="7" numFmtId="0" xfId="0" applyAlignment="1" applyBorder="1" applyFont="1">
      <alignment horizontal="center"/>
    </xf>
    <xf borderId="1" fillId="6" fontId="5" numFmtId="166" xfId="0" applyAlignment="1" applyBorder="1" applyFont="1" applyNumberFormat="1">
      <alignment horizontal="center" readingOrder="0" shrinkToFit="0" vertical="center" wrapText="1"/>
    </xf>
    <xf borderId="1" fillId="8" fontId="7" numFmtId="0" xfId="0" applyAlignment="1" applyBorder="1" applyFont="1">
      <alignment horizontal="center"/>
    </xf>
    <xf borderId="1" fillId="14" fontId="10" numFmtId="0" xfId="0" applyAlignment="1" applyBorder="1" applyFill="1" applyFont="1">
      <alignment horizontal="center"/>
    </xf>
    <xf borderId="0" fillId="6" fontId="5" numFmtId="0" xfId="0" applyAlignment="1" applyFont="1">
      <alignment horizontal="center" readingOrder="0" shrinkToFit="0" vertical="center" wrapText="1"/>
    </xf>
    <xf borderId="0" fillId="12" fontId="9" numFmtId="0" xfId="0" applyFont="1"/>
    <xf borderId="0" fillId="0" fontId="6" numFmtId="0" xfId="0" applyFont="1"/>
    <xf borderId="2" fillId="8" fontId="11" numFmtId="0" xfId="0" applyAlignment="1" applyBorder="1" applyFont="1">
      <alignment horizontal="center"/>
    </xf>
    <xf borderId="3" fillId="0" fontId="12" numFmtId="0" xfId="0" applyBorder="1" applyFont="1"/>
    <xf borderId="4" fillId="0" fontId="12" numFmtId="0" xfId="0" applyBorder="1" applyFont="1"/>
    <xf borderId="0" fillId="0" fontId="6" numFmtId="0" xfId="0" applyAlignment="1" applyFont="1">
      <alignment vertical="bottom"/>
    </xf>
    <xf borderId="5" fillId="2" fontId="6" numFmtId="0" xfId="0" applyAlignment="1" applyBorder="1" applyFont="1">
      <alignment vertical="bottom"/>
    </xf>
    <xf borderId="3" fillId="0" fontId="13" numFmtId="0" xfId="0" applyBorder="1" applyFont="1"/>
    <xf borderId="3" fillId="0" fontId="14" numFmtId="0" xfId="0" applyBorder="1" applyFont="1"/>
    <xf borderId="6" fillId="12" fontId="15" numFmtId="0" xfId="0" applyAlignment="1" applyBorder="1" applyFont="1">
      <alignment horizontal="center"/>
    </xf>
    <xf borderId="6" fillId="12" fontId="15" numFmtId="0" xfId="0" applyAlignment="1" applyBorder="1" applyFont="1">
      <alignment horizontal="center" readingOrder="0" vertical="center"/>
    </xf>
    <xf borderId="1" fillId="15" fontId="15" numFmtId="0" xfId="0" applyAlignment="1" applyBorder="1" applyFill="1" applyFont="1">
      <alignment horizontal="center" shrinkToFit="0" vertical="center" wrapText="1"/>
    </xf>
    <xf borderId="1" fillId="13" fontId="15" numFmtId="0" xfId="0" applyAlignment="1" applyBorder="1" applyFont="1">
      <alignment horizontal="center" readingOrder="0" shrinkToFit="0" vertical="center" wrapText="1"/>
    </xf>
    <xf borderId="1" fillId="3" fontId="16" numFmtId="0" xfId="0" applyAlignment="1" applyBorder="1" applyFont="1">
      <alignment horizontal="center" readingOrder="0" shrinkToFit="0" vertical="center" wrapText="1"/>
    </xf>
    <xf borderId="1" fillId="8" fontId="16" numFmtId="0" xfId="0" applyAlignment="1" applyBorder="1" applyFont="1">
      <alignment horizontal="center" readingOrder="0" shrinkToFit="0" vertical="center" wrapText="1"/>
    </xf>
    <xf borderId="1" fillId="16" fontId="15" numFmtId="0" xfId="0" applyAlignment="1" applyBorder="1" applyFill="1" applyFont="1">
      <alignment horizontal="center" shrinkToFit="0" vertical="center" wrapText="1"/>
    </xf>
    <xf borderId="1" fillId="7" fontId="16" numFmtId="0" xfId="0" applyAlignment="1" applyBorder="1" applyFont="1">
      <alignment horizontal="center" shrinkToFit="0" vertical="center" wrapText="1"/>
    </xf>
    <xf borderId="1" fillId="7" fontId="16" numFmtId="0" xfId="0" applyAlignment="1" applyBorder="1" applyFont="1">
      <alignment horizontal="center" readingOrder="0" shrinkToFit="0" vertical="center" wrapText="1"/>
    </xf>
    <xf borderId="1" fillId="9" fontId="16" numFmtId="0" xfId="0" applyAlignment="1" applyBorder="1" applyFont="1">
      <alignment horizontal="center" readingOrder="0" shrinkToFit="0" vertical="center" wrapText="1"/>
    </xf>
    <xf borderId="1" fillId="17" fontId="15" numFmtId="0" xfId="0" applyAlignment="1" applyBorder="1" applyFill="1" applyFont="1">
      <alignment horizontal="center" readingOrder="0" shrinkToFit="0" vertical="center" wrapText="1"/>
    </xf>
    <xf borderId="0" fillId="0" fontId="6" numFmtId="0" xfId="0" applyAlignment="1" applyFont="1">
      <alignment vertical="center"/>
    </xf>
    <xf borderId="0" fillId="0" fontId="17" numFmtId="0" xfId="0" applyAlignment="1" applyFont="1">
      <alignment vertical="center"/>
    </xf>
    <xf borderId="1" fillId="15" fontId="15" numFmtId="0" xfId="0" applyAlignment="1" applyBorder="1" applyFont="1">
      <alignment horizontal="center" readingOrder="0"/>
    </xf>
    <xf borderId="1" fillId="13" fontId="15" numFmtId="0" xfId="0" applyAlignment="1" applyBorder="1" applyFont="1">
      <alignment horizontal="center" readingOrder="0"/>
    </xf>
    <xf borderId="1" fillId="3" fontId="15" numFmtId="0" xfId="0" applyAlignment="1" applyBorder="1" applyFont="1">
      <alignment horizontal="center" readingOrder="0"/>
    </xf>
    <xf borderId="1" fillId="8" fontId="15" numFmtId="0" xfId="0" applyAlignment="1" applyBorder="1" applyFont="1">
      <alignment horizontal="center" readingOrder="0"/>
    </xf>
    <xf borderId="1" fillId="16" fontId="15" numFmtId="0" xfId="0" applyAlignment="1" applyBorder="1" applyFont="1">
      <alignment horizontal="center"/>
    </xf>
    <xf borderId="1" fillId="7" fontId="15" numFmtId="0" xfId="0" applyAlignment="1" applyBorder="1" applyFont="1">
      <alignment horizontal="center"/>
    </xf>
    <xf borderId="1" fillId="18" fontId="15" numFmtId="0" xfId="0" applyAlignment="1" applyBorder="1" applyFill="1" applyFont="1">
      <alignment horizontal="center"/>
    </xf>
    <xf borderId="1" fillId="9" fontId="15" numFmtId="0" xfId="0" applyAlignment="1" applyBorder="1" applyFont="1">
      <alignment horizontal="center"/>
    </xf>
    <xf borderId="1" fillId="17" fontId="15" numFmtId="0" xfId="0" applyAlignment="1" applyBorder="1" applyFont="1">
      <alignment horizontal="center" readingOrder="0"/>
    </xf>
    <xf borderId="1" fillId="19" fontId="15" numFmtId="0" xfId="0" applyAlignment="1" applyBorder="1" applyFill="1" applyFont="1">
      <alignment horizontal="center"/>
    </xf>
    <xf borderId="1" fillId="20" fontId="11" numFmtId="9" xfId="0" applyAlignment="1" applyBorder="1" applyFill="1" applyFont="1" applyNumberFormat="1">
      <alignment horizontal="center"/>
    </xf>
    <xf borderId="1" fillId="12" fontId="15" numFmtId="0" xfId="0" applyAlignment="1" applyBorder="1" applyFont="1">
      <alignment horizontal="center"/>
    </xf>
    <xf borderId="1" fillId="15" fontId="16" numFmtId="0" xfId="0" applyAlignment="1" applyBorder="1" applyFont="1">
      <alignment horizontal="center"/>
    </xf>
    <xf borderId="1" fillId="13" fontId="16" numFmtId="0" xfId="0" applyAlignment="1" applyBorder="1" applyFont="1">
      <alignment horizontal="center"/>
    </xf>
    <xf borderId="1" fillId="3" fontId="16" numFmtId="0" xfId="0" applyAlignment="1" applyBorder="1" applyFont="1">
      <alignment horizontal="center" readingOrder="0"/>
    </xf>
    <xf borderId="1" fillId="8" fontId="16" numFmtId="0" xfId="0" applyAlignment="1" applyBorder="1" applyFont="1">
      <alignment horizontal="center" readingOrder="0"/>
    </xf>
    <xf borderId="1" fillId="16" fontId="16" numFmtId="0" xfId="0" applyAlignment="1" applyBorder="1" applyFont="1">
      <alignment horizontal="center" readingOrder="0"/>
    </xf>
    <xf borderId="1" fillId="7" fontId="16" numFmtId="0" xfId="0" applyAlignment="1" applyBorder="1" applyFont="1">
      <alignment horizontal="center" readingOrder="0"/>
    </xf>
    <xf borderId="1" fillId="18" fontId="16" numFmtId="0" xfId="0" applyAlignment="1" applyBorder="1" applyFont="1">
      <alignment horizontal="center" readingOrder="0" vertical="bottom"/>
    </xf>
    <xf borderId="1" fillId="9" fontId="16" numFmtId="0" xfId="0" applyAlignment="1" applyBorder="1" applyFont="1">
      <alignment horizontal="center" readingOrder="0"/>
    </xf>
    <xf borderId="1" fillId="17" fontId="16" numFmtId="0" xfId="0" applyAlignment="1" applyBorder="1" applyFont="1">
      <alignment horizontal="center" readingOrder="0"/>
    </xf>
    <xf borderId="7" fillId="12" fontId="18" numFmtId="0" xfId="0" applyAlignment="1" applyBorder="1" applyFont="1">
      <alignment horizontal="center" readingOrder="0"/>
    </xf>
    <xf borderId="1" fillId="12" fontId="18" numFmtId="167" xfId="0" applyAlignment="1" applyBorder="1" applyFont="1" applyNumberFormat="1">
      <alignment horizontal="center" readingOrder="0" vertical="bottom"/>
    </xf>
    <xf borderId="1" fillId="12" fontId="18" numFmtId="0" xfId="0" applyAlignment="1" applyBorder="1" applyFont="1">
      <alignment horizontal="center" vertical="bottom"/>
    </xf>
    <xf borderId="1" fillId="15" fontId="6" numFmtId="0" xfId="0" applyBorder="1" applyFont="1"/>
    <xf borderId="1" fillId="13" fontId="6" numFmtId="0" xfId="0" applyBorder="1" applyFont="1"/>
    <xf borderId="1" fillId="3" fontId="6" numFmtId="0" xfId="0" applyAlignment="1" applyBorder="1" applyFont="1">
      <alignment readingOrder="0"/>
    </xf>
    <xf borderId="1" fillId="8" fontId="6" numFmtId="0" xfId="0" applyAlignment="1" applyBorder="1" applyFont="1">
      <alignment readingOrder="0"/>
    </xf>
    <xf borderId="1" fillId="16" fontId="6" numFmtId="0" xfId="0" applyBorder="1" applyFont="1"/>
    <xf borderId="1" fillId="7" fontId="6" numFmtId="0" xfId="0" applyBorder="1" applyFont="1"/>
    <xf borderId="1" fillId="18" fontId="6" numFmtId="0" xfId="0" applyBorder="1" applyFont="1"/>
    <xf borderId="1" fillId="9" fontId="6" numFmtId="0" xfId="0" applyBorder="1" applyFont="1"/>
    <xf borderId="1" fillId="17" fontId="6" numFmtId="0" xfId="0" applyBorder="1" applyFont="1"/>
    <xf borderId="8" fillId="0" fontId="12" numFmtId="0" xfId="0" applyBorder="1" applyFont="1"/>
    <xf borderId="1" fillId="12" fontId="18" numFmtId="167" xfId="0" applyAlignment="1" applyBorder="1" applyFont="1" applyNumberFormat="1">
      <alignment horizontal="center" vertical="bottom"/>
    </xf>
    <xf borderId="1" fillId="15" fontId="6" numFmtId="0" xfId="0" applyAlignment="1" applyBorder="1" applyFont="1">
      <alignment readingOrder="0"/>
    </xf>
    <xf borderId="1" fillId="3" fontId="6" numFmtId="0" xfId="0" applyBorder="1" applyFont="1"/>
    <xf borderId="1" fillId="8" fontId="6" numFmtId="0" xfId="0" applyBorder="1" applyFont="1"/>
    <xf borderId="0" fillId="18" fontId="6" numFmtId="0" xfId="0" applyAlignment="1" applyFont="1">
      <alignment vertical="bottom"/>
    </xf>
    <xf borderId="1" fillId="7" fontId="6" numFmtId="0" xfId="0" applyAlignment="1" applyBorder="1" applyFont="1">
      <alignment readingOrder="0"/>
    </xf>
    <xf borderId="9" fillId="0" fontId="12" numFmtId="0" xfId="0" applyBorder="1" applyFont="1"/>
    <xf borderId="10" fillId="12" fontId="18" numFmtId="167" xfId="0" applyAlignment="1" applyBorder="1" applyFont="1" applyNumberFormat="1">
      <alignment horizontal="center" vertical="bottom"/>
    </xf>
    <xf borderId="10" fillId="12" fontId="18" numFmtId="0" xfId="0" applyAlignment="1" applyBorder="1" applyFont="1">
      <alignment horizontal="center" vertical="bottom"/>
    </xf>
    <xf borderId="10" fillId="15" fontId="6" numFmtId="0" xfId="0" applyBorder="1" applyFont="1"/>
    <xf borderId="10" fillId="13" fontId="6" numFmtId="0" xfId="0" applyBorder="1" applyFont="1"/>
    <xf borderId="10" fillId="3" fontId="6" numFmtId="0" xfId="0" applyBorder="1" applyFont="1"/>
    <xf borderId="10" fillId="8" fontId="6" numFmtId="0" xfId="0" applyBorder="1" applyFont="1"/>
    <xf borderId="10" fillId="16" fontId="6" numFmtId="0" xfId="0" applyBorder="1" applyFont="1"/>
    <xf borderId="10" fillId="7" fontId="6" numFmtId="0" xfId="0" applyBorder="1" applyFont="1"/>
    <xf borderId="10" fillId="18" fontId="6" numFmtId="0" xfId="0" applyBorder="1" applyFont="1"/>
    <xf borderId="10" fillId="9" fontId="6" numFmtId="0" xfId="0" applyBorder="1" applyFont="1"/>
    <xf borderId="10" fillId="17" fontId="6" numFmtId="0" xfId="0" applyBorder="1" applyFont="1"/>
    <xf borderId="8" fillId="12" fontId="18" numFmtId="0" xfId="0" applyAlignment="1" applyBorder="1" applyFont="1">
      <alignment horizontal="center"/>
    </xf>
    <xf borderId="11" fillId="15" fontId="6" numFmtId="0" xfId="0" applyAlignment="1" applyBorder="1" applyFont="1">
      <alignment readingOrder="0"/>
    </xf>
    <xf borderId="11" fillId="13" fontId="6" numFmtId="0" xfId="0" applyAlignment="1" applyBorder="1" applyFont="1">
      <alignment readingOrder="0"/>
    </xf>
    <xf borderId="11" fillId="3" fontId="6" numFmtId="0" xfId="0" applyAlignment="1" applyBorder="1" applyFont="1">
      <alignment readingOrder="0"/>
    </xf>
    <xf borderId="11" fillId="8" fontId="6" numFmtId="0" xfId="0" applyAlignment="1" applyBorder="1" applyFont="1">
      <alignment readingOrder="0"/>
    </xf>
    <xf borderId="11" fillId="16" fontId="6" numFmtId="0" xfId="0" applyAlignment="1" applyBorder="1" applyFont="1">
      <alignment readingOrder="0"/>
    </xf>
    <xf borderId="11" fillId="7" fontId="6" numFmtId="0" xfId="0" applyBorder="1" applyFont="1"/>
    <xf borderId="11" fillId="18" fontId="6" numFmtId="0" xfId="0" applyAlignment="1" applyBorder="1" applyFont="1">
      <alignment readingOrder="0"/>
    </xf>
    <xf borderId="11" fillId="9" fontId="6" numFmtId="0" xfId="0" applyBorder="1" applyFont="1"/>
    <xf borderId="1" fillId="16" fontId="6" numFmtId="0" xfId="0" applyAlignment="1" applyBorder="1" applyFont="1">
      <alignment readingOrder="0"/>
    </xf>
    <xf borderId="0" fillId="18" fontId="6" numFmtId="0" xfId="0" applyAlignment="1" applyFont="1">
      <alignment readingOrder="0" vertical="bottom"/>
    </xf>
    <xf borderId="1" fillId="9" fontId="6" numFmtId="0" xfId="0" applyAlignment="1" applyBorder="1" applyFont="1">
      <alignment readingOrder="0"/>
    </xf>
    <xf borderId="1" fillId="18" fontId="6" numFmtId="0" xfId="0" applyAlignment="1" applyBorder="1" applyFont="1">
      <alignment readingOrder="0"/>
    </xf>
    <xf borderId="1" fillId="13" fontId="6" numFmtId="0" xfId="0" applyAlignment="1" applyBorder="1" applyFont="1">
      <alignment readingOrder="0"/>
    </xf>
    <xf borderId="10" fillId="15" fontId="6" numFmtId="0" xfId="0" applyAlignment="1" applyBorder="1" applyFont="1">
      <alignment readingOrder="0"/>
    </xf>
    <xf borderId="11" fillId="16" fontId="19" numFmtId="0" xfId="0" applyAlignment="1" applyBorder="1" applyFont="1">
      <alignment readingOrder="0"/>
    </xf>
    <xf borderId="11" fillId="18" fontId="6" numFmtId="0" xfId="0" applyBorder="1" applyFont="1"/>
    <xf borderId="11" fillId="9" fontId="6" numFmtId="0" xfId="0" applyAlignment="1" applyBorder="1" applyFont="1">
      <alignment readingOrder="0"/>
    </xf>
    <xf borderId="11" fillId="17" fontId="6" numFmtId="0" xfId="0" applyBorder="1" applyFont="1"/>
    <xf borderId="1" fillId="17" fontId="6" numFmtId="0" xfId="0" applyAlignment="1" applyBorder="1" applyFont="1">
      <alignment readingOrder="0"/>
    </xf>
    <xf borderId="11" fillId="3" fontId="6" numFmtId="0" xfId="0" applyBorder="1" applyFont="1"/>
    <xf borderId="10" fillId="3" fontId="6" numFmtId="0" xfId="0" applyAlignment="1" applyBorder="1" applyFont="1">
      <alignment readingOrder="0"/>
    </xf>
    <xf borderId="10" fillId="16" fontId="6" numFmtId="0" xfId="0" applyAlignment="1" applyBorder="1" applyFont="1">
      <alignment readingOrder="0"/>
    </xf>
    <xf borderId="10" fillId="17" fontId="6" numFmtId="0" xfId="0" applyAlignment="1" applyBorder="1" applyFont="1">
      <alignment readingOrder="0"/>
    </xf>
    <xf borderId="11" fillId="16" fontId="6" numFmtId="0" xfId="0" applyBorder="1" applyFont="1"/>
    <xf borderId="11" fillId="17" fontId="6" numFmtId="0" xfId="0" applyAlignment="1" applyBorder="1" applyFont="1">
      <alignment readingOrder="0"/>
    </xf>
    <xf borderId="8" fillId="12" fontId="18" numFmtId="0" xfId="0" applyAlignment="1" applyBorder="1" applyFont="1">
      <alignment horizontal="center" readingOrder="0"/>
    </xf>
    <xf borderId="11" fillId="15" fontId="6" numFmtId="0" xfId="0" applyBorder="1" applyFont="1"/>
    <xf borderId="11" fillId="13" fontId="6" numFmtId="0" xfId="0" applyBorder="1" applyFont="1"/>
    <xf borderId="11" fillId="8" fontId="6" numFmtId="0" xfId="0" applyBorder="1" applyFont="1"/>
    <xf borderId="0" fillId="0" fontId="18" numFmtId="0" xfId="0" applyAlignment="1" applyFont="1">
      <alignment horizontal="center" vertical="bottom"/>
    </xf>
    <xf borderId="0" fillId="0" fontId="18" numFmtId="0" xfId="0" applyAlignment="1" applyFont="1">
      <alignment horizontal="right" vertical="bottom"/>
    </xf>
    <xf borderId="5" fillId="2" fontId="18" numFmtId="0" xfId="0" applyAlignment="1" applyBorder="1" applyFont="1">
      <alignment horizontal="center" vertical="bottom"/>
    </xf>
    <xf borderId="0" fillId="21" fontId="20" numFmtId="0" xfId="0" applyAlignment="1" applyFill="1" applyFont="1">
      <alignment horizontal="center" readingOrder="0" shrinkToFit="0" vertical="center" wrapText="1"/>
    </xf>
    <xf borderId="0" fillId="21" fontId="21" numFmtId="0" xfId="0" applyAlignment="1" applyFont="1">
      <alignment horizontal="center" readingOrder="0" shrinkToFit="0" vertical="center" wrapText="1"/>
    </xf>
    <xf borderId="0" fillId="21" fontId="22" numFmtId="0" xfId="0" applyAlignment="1" applyFont="1">
      <alignment horizontal="center" shrinkToFit="0" vertical="center" wrapText="1"/>
    </xf>
    <xf borderId="6" fillId="22" fontId="23" numFmtId="0" xfId="0" applyAlignment="1" applyBorder="1" applyFill="1" applyFont="1">
      <alignment horizontal="center" readingOrder="0" shrinkToFit="0" vertical="center" wrapText="1"/>
    </xf>
    <xf borderId="1" fillId="3" fontId="15" numFmtId="0" xfId="0" applyAlignment="1" applyBorder="1" applyFont="1">
      <alignment horizontal="center" readingOrder="0" shrinkToFit="0" vertical="center" wrapText="1"/>
    </xf>
    <xf borderId="0" fillId="21" fontId="15" numFmtId="0" xfId="0" applyAlignment="1" applyFont="1">
      <alignment horizontal="center" readingOrder="0" shrinkToFit="0" vertical="center" wrapText="1"/>
    </xf>
    <xf borderId="0" fillId="21" fontId="24" numFmtId="0" xfId="0" applyAlignment="1" applyFont="1">
      <alignment horizontal="left" readingOrder="0" shrinkToFit="0" vertical="center" wrapText="1"/>
    </xf>
    <xf borderId="1" fillId="0" fontId="15"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0" fillId="21" fontId="25" numFmtId="0" xfId="0" applyAlignment="1" applyFont="1">
      <alignment horizontal="center" readingOrder="0" shrinkToFit="0" vertical="center" wrapText="1"/>
    </xf>
    <xf borderId="1" fillId="23" fontId="15" numFmtId="0" xfId="0" applyAlignment="1" applyBorder="1" applyFill="1" applyFont="1">
      <alignment horizontal="center" readingOrder="0" shrinkToFit="0" vertical="center" wrapText="1"/>
    </xf>
    <xf borderId="1" fillId="23" fontId="25"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7" fillId="22" fontId="23" numFmtId="0" xfId="0" applyAlignment="1" applyBorder="1" applyFont="1">
      <alignment horizontal="center" readingOrder="0" shrinkToFit="0" vertical="center" wrapText="1"/>
    </xf>
    <xf borderId="1" fillId="22" fontId="23" numFmtId="0" xfId="0" applyAlignment="1" applyBorder="1" applyFont="1">
      <alignment horizontal="center" readingOrder="0" shrinkToFit="0" vertical="center" wrapText="1"/>
    </xf>
    <xf borderId="0" fillId="21" fontId="26" numFmtId="0" xfId="0" applyAlignment="1" applyFont="1">
      <alignment horizontal="center" readingOrder="0" shrinkToFit="0" vertical="center" wrapText="1"/>
    </xf>
    <xf borderId="11" fillId="0" fontId="12" numFmtId="0" xfId="0" applyBorder="1" applyFont="1"/>
    <xf borderId="7" fillId="24" fontId="23" numFmtId="168" xfId="0" applyAlignment="1" applyBorder="1" applyFill="1" applyFont="1" applyNumberFormat="1">
      <alignment horizontal="center" readingOrder="0" shrinkToFit="0" vertical="center" wrapText="1"/>
    </xf>
    <xf borderId="1" fillId="24" fontId="23" numFmtId="168" xfId="0" applyAlignment="1" applyBorder="1" applyFont="1" applyNumberFormat="1">
      <alignment horizontal="center" readingOrder="0" shrinkToFit="0" vertical="center" wrapText="1"/>
    </xf>
    <xf borderId="0" fillId="21" fontId="24" numFmtId="0" xfId="0" applyAlignment="1" applyFont="1">
      <alignment horizontal="left" readingOrder="0" shrinkToFit="0" vertical="center" wrapText="0"/>
    </xf>
    <xf borderId="6" fillId="15" fontId="27" numFmtId="168" xfId="0" applyAlignment="1" applyBorder="1" applyFont="1" applyNumberFormat="1">
      <alignment horizontal="center" readingOrder="0" shrinkToFit="0" vertical="center" wrapText="1"/>
    </xf>
    <xf borderId="1" fillId="0" fontId="15"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0" fontId="27" numFmtId="0" xfId="0" applyAlignment="1" applyBorder="1" applyFont="1">
      <alignment horizontal="center" readingOrder="0" shrinkToFit="0" vertical="center" wrapText="1"/>
    </xf>
    <xf borderId="6" fillId="15" fontId="27" numFmtId="0" xfId="0" applyAlignment="1" applyBorder="1" applyFont="1">
      <alignment horizontal="center" readingOrder="0" shrinkToFit="0" vertical="center" wrapText="1"/>
    </xf>
    <xf borderId="1" fillId="0" fontId="25" numFmtId="0" xfId="0" applyAlignment="1" applyBorder="1" applyFont="1">
      <alignment horizontal="left" readingOrder="0" shrinkToFit="0" vertical="center" wrapText="1"/>
    </xf>
    <xf borderId="0" fillId="21" fontId="27" numFmtId="0" xfId="0" applyAlignment="1" applyFont="1">
      <alignment horizontal="center" readingOrder="0" shrinkToFit="0" vertical="center" wrapText="1"/>
    </xf>
    <xf borderId="0" fillId="21" fontId="15" numFmtId="0" xfId="0" applyAlignment="1" applyFont="1">
      <alignment horizontal="center" shrinkToFit="0" vertical="center" wrapText="1"/>
    </xf>
    <xf borderId="1" fillId="0" fontId="6" numFmtId="0" xfId="0" applyAlignment="1" applyBorder="1" applyFont="1">
      <alignment horizontal="center" vertical="center"/>
    </xf>
    <xf borderId="6" fillId="0" fontId="6" numFmtId="0" xfId="0" applyAlignment="1" applyBorder="1" applyFont="1">
      <alignment shrinkToFit="0" vertical="center" wrapText="1"/>
    </xf>
    <xf borderId="1" fillId="0" fontId="15" numFmtId="0" xfId="0" applyAlignment="1" applyBorder="1" applyFont="1">
      <alignment horizontal="center" readingOrder="0" vertical="center"/>
    </xf>
    <xf borderId="6" fillId="0" fontId="6" numFmtId="0" xfId="0" applyAlignment="1" applyBorder="1" applyFont="1">
      <alignment readingOrder="0" shrinkToFit="0" vertical="center" wrapText="1"/>
    </xf>
    <xf borderId="0" fillId="0" fontId="25" numFmtId="0" xfId="0" applyAlignment="1" applyFont="1">
      <alignment readingOrder="0" vertical="center"/>
    </xf>
    <xf borderId="0" fillId="25" fontId="28" numFmtId="0" xfId="0" applyAlignment="1" applyFill="1" applyFont="1">
      <alignment horizontal="center" readingOrder="0" vertical="center"/>
    </xf>
    <xf borderId="12" fillId="25" fontId="5" numFmtId="0" xfId="0" applyAlignment="1" applyBorder="1" applyFont="1">
      <alignment horizontal="left" readingOrder="0" shrinkToFit="0" vertical="center" wrapText="1"/>
    </xf>
    <xf borderId="12" fillId="0" fontId="12" numFmtId="0" xfId="0" applyBorder="1" applyFont="1"/>
    <xf borderId="13" fillId="0" fontId="12" numFmtId="0" xfId="0" applyBorder="1" applyFont="1"/>
    <xf borderId="0" fillId="0" fontId="25" numFmtId="0" xfId="0" applyAlignment="1" applyFont="1">
      <alignment vertical="center"/>
    </xf>
    <xf borderId="1" fillId="22" fontId="23" numFmtId="0" xfId="0" applyAlignment="1" applyBorder="1" applyFont="1">
      <alignment horizontal="center" readingOrder="0" vertical="center"/>
    </xf>
    <xf borderId="1" fillId="26" fontId="23" numFmtId="0" xfId="0" applyAlignment="1" applyBorder="1" applyFill="1" applyFont="1">
      <alignment horizontal="center" readingOrder="0" shrinkToFit="0" vertical="center" wrapText="1"/>
    </xf>
    <xf borderId="1" fillId="27" fontId="23" numFmtId="0" xfId="0" applyAlignment="1" applyBorder="1" applyFill="1" applyFont="1">
      <alignment horizontal="center" readingOrder="0" shrinkToFit="0" vertical="center" wrapText="1"/>
    </xf>
    <xf borderId="1" fillId="2" fontId="25" numFmtId="0" xfId="0" applyAlignment="1" applyBorder="1" applyFont="1">
      <alignment horizontal="center" readingOrder="0" vertical="center"/>
    </xf>
    <xf borderId="1" fillId="2" fontId="25" numFmtId="0" xfId="0" applyAlignment="1" applyBorder="1" applyFont="1">
      <alignment readingOrder="0" shrinkToFit="0" vertical="center" wrapText="1"/>
    </xf>
    <xf borderId="1" fillId="2" fontId="25" numFmtId="0" xfId="0" applyAlignment="1" applyBorder="1" applyFont="1">
      <alignment horizontal="left" readingOrder="0" shrinkToFit="0" vertical="center" wrapText="1"/>
    </xf>
    <xf borderId="1" fillId="2" fontId="25" numFmtId="0" xfId="0" applyAlignment="1" applyBorder="1" applyFont="1">
      <alignment readingOrder="0" shrinkToFit="0" vertical="center" wrapText="1"/>
    </xf>
    <xf borderId="0" fillId="0" fontId="29" numFmtId="0" xfId="0" applyAlignment="1" applyFont="1">
      <alignment readingOrder="0" shrinkToFit="0" vertical="top" wrapText="1"/>
    </xf>
    <xf borderId="0" fillId="23" fontId="25" numFmtId="0" xfId="0" applyAlignment="1" applyFont="1">
      <alignment vertical="center"/>
    </xf>
    <xf borderId="1" fillId="23" fontId="25" numFmtId="0" xfId="0" applyAlignment="1" applyBorder="1" applyFont="1">
      <alignment horizontal="center" readingOrder="0" vertical="center"/>
    </xf>
    <xf borderId="1" fillId="23" fontId="25" numFmtId="0" xfId="0" applyAlignment="1" applyBorder="1" applyFont="1">
      <alignment readingOrder="0" shrinkToFit="0" vertical="center" wrapText="1"/>
    </xf>
    <xf borderId="1" fillId="23" fontId="30" numFmtId="0" xfId="0" applyAlignment="1" applyBorder="1" applyFont="1">
      <alignment readingOrder="0" shrinkToFit="0" vertical="center" wrapText="1"/>
    </xf>
    <xf borderId="1" fillId="28" fontId="25" numFmtId="0" xfId="0" applyAlignment="1" applyBorder="1" applyFill="1" applyFont="1">
      <alignment horizontal="left" readingOrder="0" shrinkToFit="0" vertical="center" wrapText="1"/>
    </xf>
    <xf borderId="0" fillId="2" fontId="25" numFmtId="0" xfId="0" applyAlignment="1" applyFont="1">
      <alignment readingOrder="0" shrinkToFit="0" vertical="center" wrapText="1"/>
    </xf>
    <xf borderId="0" fillId="0" fontId="31" numFmtId="0" xfId="0" applyAlignment="1" applyFont="1">
      <alignment vertical="center"/>
    </xf>
    <xf borderId="1" fillId="2" fontId="25" numFmtId="0" xfId="0" applyAlignment="1" applyBorder="1" applyFont="1">
      <alignment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1" fillId="0" fontId="25" numFmtId="0" xfId="0" applyAlignment="1" applyBorder="1" applyFont="1">
      <alignment horizontal="center" readingOrder="0" vertical="center"/>
    </xf>
    <xf borderId="1" fillId="0" fontId="25" numFmtId="0" xfId="0" applyAlignment="1" applyBorder="1" applyFont="1">
      <alignment shrinkToFit="0" vertical="center" wrapText="1"/>
    </xf>
    <xf borderId="1" fillId="0" fontId="25" numFmtId="0" xfId="0" applyAlignment="1" applyBorder="1" applyFont="1">
      <alignment horizontal="center" vertical="center"/>
    </xf>
    <xf borderId="0" fillId="0" fontId="25" numFmtId="0" xfId="0" applyAlignment="1" applyFont="1">
      <alignment horizontal="center" vertical="center"/>
    </xf>
    <xf borderId="1" fillId="15" fontId="25" numFmtId="0" xfId="0" applyAlignment="1" applyBorder="1" applyFont="1">
      <alignment horizontal="center" readingOrder="0" vertical="center"/>
    </xf>
    <xf borderId="0" fillId="0" fontId="30" numFmtId="0" xfId="0" applyAlignment="1" applyFont="1">
      <alignment horizontal="center" readingOrder="0" vertical="center"/>
    </xf>
    <xf borderId="7" fillId="23" fontId="25" numFmtId="0" xfId="0" applyAlignment="1" applyBorder="1" applyFont="1">
      <alignment horizontal="center" readingOrder="0" vertical="center"/>
    </xf>
    <xf borderId="1" fillId="23" fontId="32" numFmtId="0" xfId="0" applyAlignment="1" applyBorder="1" applyFont="1">
      <alignment horizontal="center" shrinkToFit="0" vertical="center" wrapText="1"/>
    </xf>
    <xf borderId="1" fillId="23" fontId="30" numFmtId="0" xfId="0" applyAlignment="1" applyBorder="1" applyFont="1">
      <alignment horizontal="center" shrinkToFit="0" vertical="center" wrapText="1"/>
    </xf>
    <xf borderId="1" fillId="23" fontId="25" numFmtId="0" xfId="0" applyAlignment="1" applyBorder="1" applyFont="1">
      <alignment horizontal="center" shrinkToFit="0" vertical="center" wrapText="1"/>
    </xf>
    <xf borderId="1" fillId="23" fontId="27" numFmtId="0" xfId="0" applyAlignment="1" applyBorder="1" applyFont="1">
      <alignment horizontal="center" shrinkToFit="0" vertical="center" wrapText="1"/>
    </xf>
    <xf borderId="1" fillId="23" fontId="32" numFmtId="169" xfId="0" applyAlignment="1" applyBorder="1" applyFont="1" applyNumberFormat="1">
      <alignment horizontal="center" readingOrder="0" shrinkToFit="0" vertical="center" wrapText="1"/>
    </xf>
    <xf borderId="1" fillId="23" fontId="30" numFmtId="169" xfId="0" applyAlignment="1" applyBorder="1" applyFont="1" applyNumberFormat="1">
      <alignment horizontal="center" readingOrder="0" shrinkToFit="0" vertical="center" wrapText="1"/>
    </xf>
    <xf borderId="1" fillId="23" fontId="25" numFmtId="169" xfId="0" applyAlignment="1" applyBorder="1" applyFont="1" applyNumberFormat="1">
      <alignment horizontal="center" readingOrder="0" shrinkToFit="0" vertical="center" wrapText="1"/>
    </xf>
    <xf borderId="7" fillId="3" fontId="25" numFmtId="0" xfId="0" applyAlignment="1" applyBorder="1" applyFont="1">
      <alignment horizontal="center" readingOrder="0" vertical="center"/>
    </xf>
    <xf borderId="1" fillId="29" fontId="25" numFmtId="0" xfId="0" applyAlignment="1" applyBorder="1" applyFill="1" applyFont="1">
      <alignment horizontal="center" readingOrder="0" vertical="center"/>
    </xf>
    <xf borderId="1" fillId="10" fontId="25" numFmtId="0" xfId="0" applyAlignment="1" applyBorder="1" applyFont="1">
      <alignment horizontal="center" readingOrder="0" vertical="center"/>
    </xf>
    <xf borderId="1" fillId="2" fontId="25" numFmtId="0" xfId="0" applyAlignment="1" applyBorder="1" applyFont="1">
      <alignment horizontal="center" vertical="center"/>
    </xf>
    <xf borderId="1" fillId="13" fontId="25" numFmtId="0" xfId="0" applyAlignment="1" applyBorder="1" applyFont="1">
      <alignment horizontal="center" readingOrder="0" vertical="center"/>
    </xf>
    <xf borderId="1" fillId="30" fontId="25" numFmtId="0" xfId="0" applyAlignment="1" applyBorder="1" applyFill="1" applyFont="1">
      <alignment horizontal="center" readingOrder="0" vertical="center"/>
    </xf>
    <xf borderId="1" fillId="18" fontId="25" numFmtId="0" xfId="0" applyAlignment="1" applyBorder="1" applyFont="1">
      <alignment horizontal="center" readingOrder="0" vertical="center"/>
    </xf>
    <xf borderId="1" fillId="18" fontId="25" numFmtId="0" xfId="0" applyAlignment="1" applyBorder="1" applyFont="1">
      <alignment horizontal="left" readingOrder="0" vertical="center"/>
    </xf>
    <xf borderId="1" fillId="13" fontId="25" numFmtId="20" xfId="0" applyAlignment="1" applyBorder="1" applyFont="1" applyNumberFormat="1">
      <alignment horizontal="center" readingOrder="0" vertical="center"/>
    </xf>
    <xf borderId="0" fillId="18" fontId="25" numFmtId="0" xfId="0" applyAlignment="1" applyFont="1">
      <alignment horizontal="center" readingOrder="0"/>
    </xf>
    <xf borderId="7" fillId="3" fontId="25" numFmtId="0" xfId="0" applyAlignment="1" applyBorder="1" applyFont="1">
      <alignment horizontal="center" vertical="center"/>
    </xf>
    <xf borderId="1" fillId="18" fontId="25" numFmtId="0" xfId="0" applyAlignment="1" applyBorder="1" applyFont="1">
      <alignment horizontal="center" vertical="center"/>
    </xf>
    <xf borderId="1" fillId="13" fontId="25" numFmtId="0" xfId="0" applyAlignment="1" applyBorder="1" applyFont="1">
      <alignment horizontal="center" vertical="center"/>
    </xf>
    <xf borderId="1" fillId="31" fontId="25" numFmtId="0" xfId="0" applyAlignment="1" applyBorder="1" applyFill="1" applyFont="1">
      <alignment horizontal="center" readingOrder="0" vertical="center"/>
    </xf>
    <xf borderId="0" fillId="0" fontId="25" numFmtId="0" xfId="0" applyAlignment="1" applyFont="1">
      <alignment horizontal="center" shrinkToFit="0" vertical="center" wrapText="0"/>
    </xf>
    <xf borderId="0" fillId="0" fontId="31" numFmtId="0" xfId="0" applyFont="1"/>
    <xf borderId="0" fillId="0" fontId="18" numFmtId="0" xfId="0" applyFont="1"/>
    <xf borderId="12" fillId="0" fontId="6" numFmtId="0" xfId="0" applyAlignment="1" applyBorder="1" applyFont="1">
      <alignment horizontal="center" vertical="center"/>
    </xf>
    <xf borderId="0" fillId="0" fontId="6" numFmtId="0" xfId="0" applyAlignment="1" applyFont="1">
      <alignment horizontal="center" vertical="center"/>
    </xf>
    <xf borderId="0" fillId="0" fontId="24" numFmtId="0" xfId="0" applyAlignment="1" applyFont="1">
      <alignment vertical="center"/>
    </xf>
    <xf borderId="13" fillId="14" fontId="33" numFmtId="0" xfId="0" applyAlignment="1" applyBorder="1" applyFont="1">
      <alignment horizontal="center" shrinkToFit="0" vertical="center" wrapText="1"/>
    </xf>
    <xf borderId="6" fillId="0" fontId="34" numFmtId="0" xfId="0" applyAlignment="1" applyBorder="1" applyFont="1">
      <alignment horizontal="center" readingOrder="0" shrinkToFit="0" vertical="center" wrapText="1"/>
    </xf>
    <xf borderId="0" fillId="0" fontId="35" numFmtId="0" xfId="0" applyAlignment="1" applyFont="1">
      <alignment vertical="center"/>
    </xf>
    <xf borderId="0" fillId="0" fontId="35" numFmtId="0" xfId="0" applyAlignment="1" applyFont="1">
      <alignment horizontal="center" vertical="center"/>
    </xf>
    <xf borderId="11" fillId="14" fontId="33" numFmtId="0" xfId="0" applyAlignment="1" applyBorder="1" applyFont="1">
      <alignment horizontal="center" shrinkToFit="0" vertical="center" wrapText="1"/>
    </xf>
    <xf borderId="14" fillId="22" fontId="36" numFmtId="0" xfId="0" applyAlignment="1" applyBorder="1" applyFont="1">
      <alignment horizontal="center" shrinkToFit="0" vertical="center" wrapText="1"/>
    </xf>
    <xf borderId="13" fillId="22" fontId="36" numFmtId="0" xfId="0" applyAlignment="1" applyBorder="1" applyFont="1">
      <alignment horizontal="center" shrinkToFit="0" vertical="center" wrapText="1"/>
    </xf>
    <xf borderId="13" fillId="22" fontId="36" numFmtId="0" xfId="0" applyAlignment="1" applyBorder="1" applyFont="1">
      <alignment horizontal="center" readingOrder="0" shrinkToFit="0" vertical="center" wrapText="1"/>
    </xf>
    <xf borderId="0" fillId="0" fontId="36" numFmtId="0" xfId="0" applyAlignment="1" applyFont="1">
      <alignment horizontal="center" readingOrder="0" shrinkToFit="0" vertical="center" wrapText="1"/>
    </xf>
    <xf borderId="11" fillId="32" fontId="36" numFmtId="0" xfId="0" applyAlignment="1" applyBorder="1" applyFill="1" applyFont="1">
      <alignment shrinkToFit="0" vertical="center" wrapText="1"/>
    </xf>
    <xf borderId="13" fillId="0" fontId="16" numFmtId="0" xfId="0" applyAlignment="1" applyBorder="1" applyFont="1">
      <alignment horizontal="center" readingOrder="0" shrinkToFit="0" vertical="center" wrapText="1"/>
    </xf>
    <xf borderId="15" fillId="0" fontId="6" numFmtId="0" xfId="0" applyAlignment="1" applyBorder="1" applyFont="1">
      <alignment horizontal="center" readingOrder="0" shrinkToFit="0" vertical="center" wrapText="1"/>
    </xf>
    <xf borderId="15" fillId="0" fontId="6" numFmtId="0" xfId="0" applyAlignment="1" applyBorder="1" applyFont="1">
      <alignment readingOrder="0" shrinkToFit="0" vertical="center" wrapText="1"/>
    </xf>
    <xf borderId="15" fillId="0" fontId="6" numFmtId="0" xfId="0" applyAlignment="1" applyBorder="1" applyFont="1">
      <alignment horizontal="center" readingOrder="0" vertical="center"/>
    </xf>
    <xf borderId="15" fillId="0" fontId="6" numFmtId="0" xfId="0" applyAlignment="1" applyBorder="1" applyFont="1">
      <alignment readingOrder="0" vertical="center"/>
    </xf>
    <xf borderId="15" fillId="0" fontId="6" numFmtId="0" xfId="0" applyAlignment="1" applyBorder="1" applyFont="1">
      <alignment vertical="center"/>
    </xf>
    <xf borderId="0" fillId="0" fontId="6" numFmtId="0" xfId="0" applyAlignment="1" applyFont="1">
      <alignment horizontal="center" readingOrder="0" vertical="center"/>
    </xf>
    <xf borderId="13" fillId="0" fontId="6" numFmtId="0" xfId="0" applyAlignment="1" applyBorder="1" applyFont="1">
      <alignment horizontal="center" readingOrder="0" vertical="center"/>
    </xf>
    <xf borderId="15" fillId="0" fontId="12" numFmtId="0" xfId="0" applyBorder="1" applyFont="1"/>
    <xf borderId="13" fillId="8" fontId="6" numFmtId="0" xfId="0" applyAlignment="1" applyBorder="1" applyFont="1">
      <alignment horizontal="center" readingOrder="0" vertical="center"/>
    </xf>
    <xf borderId="13" fillId="0" fontId="6" numFmtId="0" xfId="0" applyAlignment="1" applyBorder="1" applyFont="1">
      <alignment horizontal="center" vertical="center"/>
    </xf>
    <xf borderId="13" fillId="0" fontId="6" numFmtId="0" xfId="0" applyAlignment="1" applyBorder="1" applyFont="1">
      <alignment readingOrder="0" vertical="center"/>
    </xf>
    <xf borderId="11" fillId="33" fontId="36" numFmtId="0" xfId="0" applyAlignment="1" applyBorder="1" applyFill="1" applyFont="1">
      <alignment shrinkToFit="0" vertical="center" wrapText="1"/>
    </xf>
    <xf borderId="13" fillId="0" fontId="16" numFmtId="0" xfId="0" applyAlignment="1" applyBorder="1" applyFont="1">
      <alignment horizontal="center" shrinkToFit="0" vertical="center" wrapText="1"/>
    </xf>
    <xf borderId="15" fillId="19" fontId="6" numFmtId="0" xfId="0" applyAlignment="1" applyBorder="1" applyFont="1">
      <alignment horizontal="center" readingOrder="0" vertical="center"/>
    </xf>
    <xf borderId="13" fillId="0" fontId="16" numFmtId="20" xfId="0" applyAlignment="1" applyBorder="1" applyFont="1" applyNumberFormat="1">
      <alignment horizontal="center" readingOrder="0" shrinkToFit="0" vertical="center" wrapText="1"/>
    </xf>
    <xf borderId="0" fillId="0" fontId="6" numFmtId="0" xfId="0" applyAlignment="1" applyFont="1">
      <alignment horizontal="center" readingOrder="0" shrinkToFit="0" vertical="center" wrapText="1"/>
    </xf>
    <xf borderId="15" fillId="0" fontId="6" numFmtId="0" xfId="0" applyAlignment="1" applyBorder="1" applyFont="1">
      <alignment horizontal="center" vertical="center"/>
    </xf>
    <xf borderId="15" fillId="2" fontId="6" numFmtId="0" xfId="0" applyAlignment="1" applyBorder="1" applyFont="1">
      <alignment horizontal="center" readingOrder="0" vertical="center"/>
    </xf>
    <xf borderId="0" fillId="0" fontId="17" numFmtId="0" xfId="0" applyAlignment="1" applyFont="1">
      <alignment readingOrder="0"/>
    </xf>
    <xf borderId="15" fillId="0" fontId="16" numFmtId="0" xfId="0" applyAlignment="1" applyBorder="1" applyFont="1">
      <alignment readingOrder="0" shrinkToFit="0" vertical="center" wrapText="1"/>
    </xf>
    <xf borderId="1" fillId="0" fontId="37" numFmtId="0" xfId="0" applyAlignment="1" applyBorder="1" applyFont="1">
      <alignment horizontal="center" readingOrder="0" shrinkToFit="0" vertical="center" wrapText="1"/>
    </xf>
    <xf borderId="13" fillId="0" fontId="16" numFmtId="0" xfId="0" applyAlignment="1" applyBorder="1" applyFont="1">
      <alignment horizontal="center" vertical="center"/>
    </xf>
    <xf borderId="15" fillId="0" fontId="6" numFmtId="0" xfId="0" applyAlignment="1" applyBorder="1" applyFont="1">
      <alignment shrinkToFit="0" vertical="center" wrapText="1"/>
    </xf>
    <xf borderId="13" fillId="0" fontId="16" numFmtId="0" xfId="0" applyAlignment="1" applyBorder="1" applyFont="1">
      <alignment horizontal="center" readingOrder="0" vertical="center"/>
    </xf>
    <xf borderId="15" fillId="2" fontId="6" numFmtId="0" xfId="0" applyAlignment="1" applyBorder="1" applyFont="1">
      <alignment readingOrder="0" shrinkToFit="0" vertical="center" wrapText="1"/>
    </xf>
    <xf borderId="15" fillId="2" fontId="6" numFmtId="0" xfId="0" applyAlignment="1" applyBorder="1" applyFont="1">
      <alignment vertical="center"/>
    </xf>
    <xf borderId="15" fillId="2" fontId="6" numFmtId="0" xfId="0" applyAlignment="1" applyBorder="1" applyFont="1">
      <alignment horizontal="center" vertical="center"/>
    </xf>
    <xf borderId="13" fillId="0" fontId="6" numFmtId="20" xfId="0" applyAlignment="1" applyBorder="1" applyFont="1" applyNumberFormat="1">
      <alignment horizontal="center" vertical="center"/>
    </xf>
    <xf borderId="15" fillId="0" fontId="6" numFmtId="0" xfId="0" applyAlignment="1" applyBorder="1" applyFont="1">
      <alignment horizontal="center" shrinkToFit="0" vertical="center" wrapText="1"/>
    </xf>
    <xf borderId="15" fillId="2" fontId="6" numFmtId="0" xfId="0" applyAlignment="1" applyBorder="1" applyFont="1">
      <alignment shrinkToFit="0" vertical="center" wrapText="1"/>
    </xf>
    <xf borderId="15" fillId="2" fontId="6" numFmtId="0" xfId="0" applyAlignment="1" applyBorder="1" applyFont="1">
      <alignment readingOrder="0" vertical="center"/>
    </xf>
    <xf borderId="13" fillId="14" fontId="38" numFmtId="0" xfId="0" applyAlignment="1" applyBorder="1" applyFont="1">
      <alignment horizontal="center" shrinkToFit="0" vertical="center" wrapText="1"/>
    </xf>
    <xf borderId="6" fillId="0" fontId="39" numFmtId="0" xfId="0" applyAlignment="1" applyBorder="1" applyFont="1">
      <alignment horizontal="center" readingOrder="0" shrinkToFit="0" vertical="center" wrapText="1"/>
    </xf>
    <xf borderId="11" fillId="14" fontId="38" numFmtId="0" xfId="0" applyAlignment="1" applyBorder="1" applyFont="1">
      <alignment horizontal="center" shrinkToFit="0" vertical="center" wrapText="1"/>
    </xf>
    <xf borderId="15" fillId="28" fontId="6" numFmtId="0" xfId="0" applyAlignment="1" applyBorder="1" applyFont="1">
      <alignment horizontal="center" readingOrder="0" vertical="center"/>
    </xf>
    <xf borderId="13" fillId="8" fontId="6" numFmtId="0" xfId="0" applyAlignment="1" applyBorder="1" applyFont="1">
      <alignment horizontal="center" vertical="center"/>
    </xf>
    <xf borderId="0" fillId="0" fontId="17" numFmtId="0" xfId="0" applyAlignment="1" applyFont="1">
      <alignment horizontal="center" vertical="center"/>
    </xf>
    <xf borderId="0" fillId="0" fontId="37" numFmtId="0" xfId="0" applyAlignment="1" applyFont="1">
      <alignment horizontal="center" vertical="center"/>
    </xf>
    <xf borderId="0" fillId="34" fontId="40" numFmtId="0" xfId="0" applyAlignment="1" applyFill="1" applyFont="1">
      <alignment horizontal="center" readingOrder="0" vertical="center"/>
    </xf>
    <xf borderId="0" fillId="0" fontId="41" numFmtId="0" xfId="0" applyAlignment="1" applyFont="1">
      <alignment horizontal="center" shrinkToFit="0" vertical="center" wrapText="1"/>
    </xf>
    <xf borderId="0" fillId="0" fontId="42" numFmtId="0" xfId="0" applyAlignment="1" applyFont="1">
      <alignment horizontal="center" shrinkToFit="0" vertical="center" wrapText="1"/>
    </xf>
    <xf borderId="0" fillId="0" fontId="43" numFmtId="0" xfId="0" applyAlignment="1" applyFont="1">
      <alignment horizontal="center" vertical="center"/>
    </xf>
    <xf borderId="0" fillId="0" fontId="37" numFmtId="0" xfId="0" applyAlignment="1" applyFont="1">
      <alignment vertical="center"/>
    </xf>
    <xf borderId="0" fillId="0" fontId="37" numFmtId="0" xfId="0" applyFont="1"/>
    <xf borderId="0" fillId="0" fontId="37" numFmtId="0" xfId="0" applyAlignment="1" applyFont="1">
      <alignment readingOrder="0"/>
    </xf>
    <xf borderId="0" fillId="24" fontId="40" numFmtId="0" xfId="0" applyAlignment="1" applyFont="1">
      <alignment horizontal="center" vertical="center"/>
    </xf>
    <xf borderId="0" fillId="34" fontId="44" numFmtId="9" xfId="0" applyAlignment="1" applyFont="1" applyNumberFormat="1">
      <alignment horizontal="center" readingOrder="0" vertical="center"/>
    </xf>
    <xf borderId="7" fillId="35" fontId="37" numFmtId="0" xfId="0" applyAlignment="1" applyBorder="1" applyFill="1" applyFont="1">
      <alignment horizontal="center" vertical="center"/>
    </xf>
    <xf borderId="6" fillId="3" fontId="41" numFmtId="0" xfId="0" applyAlignment="1" applyBorder="1" applyFont="1">
      <alignment horizontal="center" shrinkToFit="0" vertical="center" wrapText="1"/>
    </xf>
    <xf borderId="6" fillId="36" fontId="41" numFmtId="0" xfId="0" applyAlignment="1" applyBorder="1" applyFill="1" applyFont="1">
      <alignment horizontal="center" shrinkToFit="0" vertical="center" wrapText="1"/>
    </xf>
    <xf borderId="1" fillId="36" fontId="43" numFmtId="0" xfId="0" applyAlignment="1" applyBorder="1" applyFont="1">
      <alignment horizontal="center" vertical="center"/>
    </xf>
    <xf borderId="6" fillId="31" fontId="41" numFmtId="0" xfId="0" applyAlignment="1" applyBorder="1" applyFont="1">
      <alignment horizontal="center" shrinkToFit="0" vertical="center" wrapText="1"/>
    </xf>
    <xf borderId="7" fillId="37" fontId="37" numFmtId="0" xfId="0" applyAlignment="1" applyBorder="1" applyFill="1" applyFont="1">
      <alignment vertical="center"/>
    </xf>
    <xf borderId="7" fillId="19" fontId="37" numFmtId="0" xfId="0" applyAlignment="1" applyBorder="1" applyFont="1">
      <alignment vertical="center"/>
    </xf>
    <xf borderId="0" fillId="2" fontId="45" numFmtId="0" xfId="0" applyAlignment="1" applyFont="1">
      <alignment horizontal="center"/>
    </xf>
    <xf borderId="0" fillId="0" fontId="46" numFmtId="0" xfId="0" applyAlignment="1" applyFont="1">
      <alignment shrinkToFit="0" vertical="center" wrapText="0"/>
    </xf>
    <xf borderId="0" fillId="0" fontId="47" numFmtId="0" xfId="0" applyAlignment="1" applyFont="1">
      <alignment horizontal="right" readingOrder="0" shrinkToFit="0" vertical="center" wrapText="0"/>
    </xf>
    <xf borderId="0" fillId="0" fontId="47" numFmtId="0" xfId="0" applyAlignment="1" applyFont="1">
      <alignment horizontal="center" readingOrder="0" shrinkToFit="0" vertical="center" wrapText="0"/>
    </xf>
    <xf borderId="7" fillId="35" fontId="41" numFmtId="0" xfId="0" applyAlignment="1" applyBorder="1" applyFont="1">
      <alignment horizontal="center" shrinkToFit="0" vertical="center" wrapText="1"/>
    </xf>
    <xf borderId="1" fillId="3" fontId="41" numFmtId="0" xfId="0" applyAlignment="1" applyBorder="1" applyFont="1">
      <alignment horizontal="center" shrinkToFit="0" vertical="center" wrapText="1"/>
    </xf>
    <xf borderId="1" fillId="3" fontId="41" numFmtId="0" xfId="0" applyAlignment="1" applyBorder="1" applyFont="1">
      <alignment horizontal="center" readingOrder="0" shrinkToFit="0" vertical="center" wrapText="1"/>
    </xf>
    <xf borderId="1" fillId="36" fontId="41" numFmtId="0" xfId="0" applyAlignment="1" applyBorder="1" applyFont="1">
      <alignment horizontal="center" shrinkToFit="0" vertical="center" wrapText="1"/>
    </xf>
    <xf borderId="1" fillId="31" fontId="41" numFmtId="0" xfId="0" applyAlignment="1" applyBorder="1" applyFont="1">
      <alignment horizontal="center" shrinkToFit="0" vertical="center" wrapText="1"/>
    </xf>
    <xf borderId="7" fillId="37" fontId="41" numFmtId="0" xfId="0" applyAlignment="1" applyBorder="1" applyFont="1">
      <alignment horizontal="center" shrinkToFit="0" vertical="center" wrapText="1"/>
    </xf>
    <xf borderId="7" fillId="37" fontId="41" numFmtId="0" xfId="0" applyAlignment="1" applyBorder="1" applyFont="1">
      <alignment horizontal="center" readingOrder="0" shrinkToFit="0" vertical="center" wrapText="1"/>
    </xf>
    <xf borderId="7" fillId="19" fontId="41" numFmtId="0" xfId="0" applyAlignment="1" applyBorder="1" applyFont="1">
      <alignment horizontal="center" readingOrder="0" shrinkToFit="0" vertical="center" wrapText="1"/>
    </xf>
    <xf borderId="0" fillId="0" fontId="48" numFmtId="0" xfId="0" applyAlignment="1" applyFont="1">
      <alignment horizontal="right" shrinkToFit="0" vertical="center" wrapText="0"/>
    </xf>
    <xf borderId="0" fillId="29" fontId="49" numFmtId="0" xfId="0" applyAlignment="1" applyFont="1">
      <alignment horizontal="center" readingOrder="0" shrinkToFit="0" vertical="center" wrapText="0"/>
    </xf>
    <xf borderId="0" fillId="29" fontId="50" numFmtId="0" xfId="0" applyAlignment="1" applyFont="1">
      <alignment horizontal="center" readingOrder="0" shrinkToFit="0" vertical="center" wrapText="0"/>
    </xf>
    <xf borderId="0" fillId="0" fontId="51" numFmtId="0" xfId="0" applyAlignment="1" applyFont="1">
      <alignment horizontal="left" readingOrder="0" shrinkToFit="0" vertical="center" wrapText="0"/>
    </xf>
    <xf borderId="0" fillId="0" fontId="52" numFmtId="0" xfId="0" applyAlignment="1" applyFont="1">
      <alignment horizontal="center" shrinkToFit="0" vertical="center" wrapText="1"/>
    </xf>
    <xf borderId="1" fillId="38" fontId="43" numFmtId="0" xfId="0" applyAlignment="1" applyBorder="1" applyFill="1" applyFont="1">
      <alignment horizontal="center" shrinkToFit="0" vertical="center" wrapText="1"/>
    </xf>
    <xf borderId="1" fillId="38" fontId="53" numFmtId="1" xfId="0" applyAlignment="1" applyBorder="1" applyFont="1" applyNumberFormat="1">
      <alignment horizontal="center" shrinkToFit="0" vertical="center" wrapText="1"/>
    </xf>
    <xf borderId="1" fillId="38" fontId="43" numFmtId="3" xfId="0" applyAlignment="1" applyBorder="1" applyFont="1" applyNumberFormat="1">
      <alignment horizontal="center" shrinkToFit="0" vertical="center" wrapText="1"/>
    </xf>
    <xf borderId="1" fillId="39" fontId="43" numFmtId="3" xfId="0" applyAlignment="1" applyBorder="1" applyFill="1" applyFont="1" applyNumberFormat="1">
      <alignment horizontal="center" shrinkToFit="0" vertical="center" wrapText="1"/>
    </xf>
    <xf borderId="1" fillId="39" fontId="43" numFmtId="170" xfId="0" applyAlignment="1" applyBorder="1" applyFont="1" applyNumberFormat="1">
      <alignment horizontal="center" shrinkToFit="0" vertical="center" wrapText="1"/>
    </xf>
    <xf borderId="1" fillId="38" fontId="43" numFmtId="0" xfId="0" applyAlignment="1" applyBorder="1" applyFont="1">
      <alignment shrinkToFit="0" vertical="center" wrapText="1"/>
    </xf>
    <xf borderId="1" fillId="38" fontId="43" numFmtId="0" xfId="0" applyAlignment="1" applyBorder="1" applyFont="1">
      <alignment vertical="center"/>
    </xf>
    <xf borderId="1" fillId="38" fontId="54" numFmtId="0" xfId="0" applyAlignment="1" applyBorder="1" applyFont="1">
      <alignment vertical="center"/>
    </xf>
    <xf borderId="7" fillId="40" fontId="48" numFmtId="0" xfId="0" applyAlignment="1" applyBorder="1" applyFill="1" applyFont="1">
      <alignment horizontal="center" readingOrder="0" shrinkToFit="0" vertical="center" wrapText="0"/>
    </xf>
    <xf borderId="0" fillId="0" fontId="48" numFmtId="0" xfId="0" applyAlignment="1" applyFont="1">
      <alignment horizontal="center" readingOrder="0" shrinkToFit="0" vertical="center" wrapText="0"/>
    </xf>
    <xf borderId="1" fillId="0" fontId="43" numFmtId="0" xfId="0" applyAlignment="1" applyBorder="1" applyFont="1">
      <alignment horizontal="center" shrinkToFit="0" vertical="center" wrapText="1"/>
    </xf>
    <xf borderId="1" fillId="0" fontId="53" numFmtId="1" xfId="0" applyAlignment="1" applyBorder="1" applyFont="1" applyNumberFormat="1">
      <alignment horizontal="center" shrinkToFit="0" vertical="center" wrapText="1"/>
    </xf>
    <xf borderId="1" fillId="0" fontId="43" numFmtId="3" xfId="0" applyAlignment="1" applyBorder="1" applyFont="1" applyNumberFormat="1">
      <alignment horizontal="center" shrinkToFit="0" vertical="center" wrapText="1"/>
    </xf>
    <xf borderId="1" fillId="0" fontId="43" numFmtId="0" xfId="0" applyAlignment="1" applyBorder="1" applyFont="1">
      <alignment shrinkToFit="0" vertical="center" wrapText="1"/>
    </xf>
    <xf borderId="1" fillId="2" fontId="54" numFmtId="0" xfId="0" applyAlignment="1" applyBorder="1" applyFont="1">
      <alignment shrinkToFit="0" vertical="center" wrapText="1"/>
    </xf>
    <xf borderId="1" fillId="36" fontId="48" numFmtId="0" xfId="0" applyAlignment="1" applyBorder="1" applyFont="1">
      <alignment horizontal="center" readingOrder="0" shrinkToFit="0" vertical="center" wrapText="0"/>
    </xf>
    <xf borderId="1" fillId="0" fontId="48" numFmtId="0" xfId="0" applyAlignment="1" applyBorder="1" applyFont="1">
      <alignment horizontal="center" readingOrder="0" shrinkToFit="0" vertical="center" wrapText="0"/>
    </xf>
    <xf borderId="1" fillId="39" fontId="48" numFmtId="9" xfId="0" applyAlignment="1" applyBorder="1" applyFont="1" applyNumberFormat="1">
      <alignment horizontal="center" readingOrder="0" shrinkToFit="0" vertical="center" wrapText="0"/>
    </xf>
    <xf borderId="0" fillId="0" fontId="48" numFmtId="9" xfId="0" applyAlignment="1" applyFont="1" applyNumberFormat="1">
      <alignment horizontal="center" readingOrder="0" shrinkToFit="0" vertical="center" wrapText="0"/>
    </xf>
    <xf borderId="1" fillId="0" fontId="52" numFmtId="0" xfId="0" applyAlignment="1" applyBorder="1" applyFont="1">
      <alignment horizontal="center" shrinkToFit="0" vertical="center" wrapText="1"/>
    </xf>
    <xf borderId="1" fillId="0" fontId="37" numFmtId="0" xfId="0" applyAlignment="1" applyBorder="1" applyFont="1">
      <alignment horizontal="center" readingOrder="0" vertical="center"/>
    </xf>
    <xf borderId="1" fillId="0" fontId="37" numFmtId="12" xfId="0" applyAlignment="1" applyBorder="1" applyFont="1" applyNumberFormat="1">
      <alignment horizontal="center" readingOrder="0" vertical="center"/>
    </xf>
    <xf borderId="1" fillId="0" fontId="43" numFmtId="0" xfId="0" applyAlignment="1" applyBorder="1" applyFont="1">
      <alignment horizontal="center" readingOrder="0" vertical="center"/>
    </xf>
    <xf borderId="1" fillId="0" fontId="43" numFmtId="0" xfId="0" applyAlignment="1" applyBorder="1" applyFont="1">
      <alignment horizontal="center" vertical="center"/>
    </xf>
    <xf borderId="1" fillId="0" fontId="37" numFmtId="0" xfId="0" applyAlignment="1" applyBorder="1" applyFont="1">
      <alignment horizontal="center" shrinkToFit="0" vertical="center" wrapText="1"/>
    </xf>
    <xf borderId="1" fillId="0" fontId="37" numFmtId="3" xfId="0" applyAlignment="1" applyBorder="1" applyFont="1" applyNumberFormat="1">
      <alignment horizontal="center" readingOrder="0" vertical="center"/>
    </xf>
    <xf borderId="1" fillId="0" fontId="37" numFmtId="0" xfId="0" applyAlignment="1" applyBorder="1" applyFont="1">
      <alignment readingOrder="0" shrinkToFit="0" vertical="center" wrapText="1"/>
    </xf>
    <xf borderId="0" fillId="2" fontId="45" numFmtId="0" xfId="0" applyAlignment="1" applyFont="1">
      <alignment horizontal="left"/>
    </xf>
    <xf borderId="15" fillId="2" fontId="37" numFmtId="0" xfId="0" applyAlignment="1" applyBorder="1" applyFont="1">
      <alignment horizontal="center" readingOrder="0" vertical="center"/>
    </xf>
    <xf borderId="16" fillId="2" fontId="37" numFmtId="0" xfId="0" applyAlignment="1" applyBorder="1" applyFont="1">
      <alignment horizontal="center" readingOrder="0" vertical="center"/>
    </xf>
    <xf borderId="1" fillId="2" fontId="37" numFmtId="12" xfId="0" applyAlignment="1" applyBorder="1" applyFont="1" applyNumberFormat="1">
      <alignment horizontal="center" readingOrder="0" vertical="center"/>
    </xf>
    <xf borderId="13" fillId="0" fontId="37" numFmtId="0" xfId="0" applyAlignment="1" applyBorder="1" applyFont="1">
      <alignment horizontal="center" readingOrder="0" vertical="center"/>
    </xf>
    <xf borderId="0" fillId="0" fontId="52" numFmtId="0" xfId="0" applyAlignment="1" applyFont="1">
      <alignment horizontal="center" vertical="center"/>
    </xf>
    <xf borderId="1" fillId="0" fontId="37" numFmtId="166" xfId="0" applyAlignment="1" applyBorder="1" applyFont="1" applyNumberFormat="1">
      <alignment horizontal="center" readingOrder="0" vertical="center"/>
    </xf>
    <xf borderId="11" fillId="0" fontId="37" numFmtId="0" xfId="0" applyAlignment="1" applyBorder="1" applyFont="1">
      <alignment readingOrder="0" shrinkToFit="0" vertical="center" wrapText="1"/>
    </xf>
    <xf borderId="1" fillId="0" fontId="37" numFmtId="0" xfId="0" applyAlignment="1" applyBorder="1" applyFont="1">
      <alignment horizontal="center" vertical="center"/>
    </xf>
    <xf borderId="1" fillId="0" fontId="51" numFmtId="3" xfId="0" applyAlignment="1" applyBorder="1" applyFont="1" applyNumberFormat="1">
      <alignment horizontal="center" readingOrder="0" vertical="center"/>
    </xf>
    <xf borderId="0" fillId="2" fontId="45" numFmtId="0" xfId="0" applyFont="1"/>
    <xf borderId="0" fillId="2" fontId="45" numFmtId="0" xfId="0" applyAlignment="1" applyFont="1">
      <alignment shrinkToFit="0" wrapText="0"/>
    </xf>
    <xf borderId="1" fillId="0" fontId="37" numFmtId="171" xfId="0" applyAlignment="1" applyBorder="1" applyFont="1" applyNumberFormat="1">
      <alignment horizontal="center" readingOrder="0" shrinkToFit="0" vertical="center" wrapText="1"/>
    </xf>
    <xf borderId="1" fillId="0" fontId="43" numFmtId="0" xfId="0" applyAlignment="1" applyBorder="1" applyFont="1">
      <alignment horizontal="center" readingOrder="0" shrinkToFit="0" vertical="center" wrapText="1"/>
    </xf>
    <xf borderId="1" fillId="0" fontId="37" numFmtId="3" xfId="0" applyAlignment="1" applyBorder="1" applyFont="1" applyNumberFormat="1">
      <alignment horizontal="center" readingOrder="0" shrinkToFit="0" vertical="center" wrapText="1"/>
    </xf>
    <xf borderId="17" fillId="0" fontId="37" numFmtId="0" xfId="0" applyAlignment="1" applyBorder="1" applyFont="1">
      <alignment horizontal="center" readingOrder="0" shrinkToFit="0" vertical="center" wrapText="1"/>
    </xf>
    <xf borderId="0" fillId="2" fontId="37" numFmtId="0" xfId="0" applyAlignment="1" applyFont="1">
      <alignment horizontal="center" readingOrder="0" shrinkToFit="0" vertical="center" wrapText="1"/>
    </xf>
    <xf borderId="1" fillId="0" fontId="37" numFmtId="166" xfId="0" applyAlignment="1" applyBorder="1" applyFont="1" applyNumberFormat="1">
      <alignment horizontal="center" readingOrder="0" shrinkToFit="0" vertical="center" wrapText="1"/>
    </xf>
    <xf borderId="4" fillId="0" fontId="37" numFmtId="12" xfId="0" applyAlignment="1" applyBorder="1" applyFont="1" applyNumberFormat="1">
      <alignment horizontal="center" readingOrder="0" shrinkToFit="0" vertical="center" wrapText="1"/>
    </xf>
    <xf borderId="1" fillId="24" fontId="37" numFmtId="3"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0" fontId="37" numFmtId="0" xfId="0" applyAlignment="1" applyBorder="1" applyFont="1">
      <alignment shrinkToFit="0" vertical="center" wrapText="1"/>
    </xf>
    <xf borderId="0" fillId="2" fontId="37" numFmtId="0" xfId="0" applyAlignment="1" applyFont="1">
      <alignment readingOrder="0" shrinkToFit="0" vertical="center" wrapText="1"/>
    </xf>
    <xf borderId="0" fillId="2" fontId="45" numFmtId="0" xfId="0" applyAlignment="1" applyFont="1">
      <alignment horizontal="left" shrinkToFit="0" wrapText="0"/>
    </xf>
    <xf borderId="4" fillId="0" fontId="37" numFmtId="0" xfId="0" applyAlignment="1" applyBorder="1" applyFont="1">
      <alignment horizontal="center" readingOrder="0" shrinkToFit="0" vertical="center" wrapText="1"/>
    </xf>
    <xf borderId="4" fillId="0" fontId="43" numFmtId="0" xfId="0" applyAlignment="1" applyBorder="1" applyFont="1">
      <alignment horizontal="center" readingOrder="0" shrinkToFit="0" vertical="center" wrapText="1"/>
    </xf>
    <xf borderId="4" fillId="0" fontId="37" numFmtId="3" xfId="0" applyAlignment="1" applyBorder="1" applyFont="1" applyNumberFormat="1">
      <alignment horizontal="center" readingOrder="0" shrinkToFit="0" vertical="center" wrapText="1"/>
    </xf>
    <xf borderId="4" fillId="0" fontId="37" numFmtId="0" xfId="0" applyAlignment="1" applyBorder="1" applyFont="1">
      <alignment readingOrder="0" shrinkToFit="0" vertical="center" wrapText="1"/>
    </xf>
    <xf borderId="1" fillId="0" fontId="37" numFmtId="3" xfId="0" applyAlignment="1" applyBorder="1" applyFont="1" applyNumberFormat="1">
      <alignment horizontal="center" shrinkToFit="0" vertical="center" wrapText="1"/>
    </xf>
    <xf borderId="1" fillId="0" fontId="52" numFmtId="0" xfId="0" applyAlignment="1" applyBorder="1" applyFont="1">
      <alignment horizontal="center" readingOrder="0" shrinkToFit="0" vertical="center" wrapText="1"/>
    </xf>
    <xf borderId="0" fillId="0" fontId="37" numFmtId="0" xfId="0" applyAlignment="1" applyFont="1">
      <alignment horizontal="center" readingOrder="0" shrinkToFit="0" vertical="center" wrapText="1"/>
    </xf>
    <xf borderId="0" fillId="2" fontId="55" numFmtId="0" xfId="0" applyAlignment="1" applyFont="1">
      <alignment readingOrder="0" vertical="center"/>
    </xf>
    <xf borderId="1" fillId="0" fontId="43" numFmtId="3" xfId="0" applyAlignment="1" applyBorder="1" applyFont="1" applyNumberFormat="1">
      <alignment horizontal="center" readingOrder="0" shrinkToFit="0" vertical="center" wrapText="1"/>
    </xf>
    <xf borderId="15" fillId="2" fontId="37" numFmtId="0" xfId="0" applyAlignment="1" applyBorder="1" applyFont="1">
      <alignment readingOrder="0" shrinkToFit="0" vertical="center" wrapText="1"/>
    </xf>
    <xf borderId="0" fillId="2" fontId="45" numFmtId="0" xfId="0" applyAlignment="1" applyFont="1">
      <alignment horizontal="left" vertical="top"/>
    </xf>
    <xf borderId="4" fillId="2" fontId="43" numFmtId="0" xfId="0" applyAlignment="1" applyBorder="1" applyFont="1">
      <alignment horizontal="center" readingOrder="0" shrinkToFit="0" vertical="center" wrapText="1"/>
    </xf>
    <xf borderId="1" fillId="2" fontId="37" numFmtId="0" xfId="0" applyAlignment="1" applyBorder="1" applyFont="1">
      <alignment horizontal="center" readingOrder="0" shrinkToFit="0" vertical="center" wrapText="1"/>
    </xf>
    <xf borderId="4" fillId="2" fontId="37" numFmtId="0" xfId="0" applyAlignment="1" applyBorder="1" applyFont="1">
      <alignment horizontal="center" readingOrder="0" shrinkToFit="0" vertical="center" wrapText="1"/>
    </xf>
    <xf borderId="1" fillId="0" fontId="37" numFmtId="172" xfId="0" applyAlignment="1" applyBorder="1" applyFont="1" applyNumberFormat="1">
      <alignment horizontal="center" readingOrder="0" shrinkToFit="0" vertical="center" wrapText="1"/>
    </xf>
    <xf borderId="4" fillId="0" fontId="43" numFmtId="0" xfId="0" applyAlignment="1" applyBorder="1" applyFont="1">
      <alignment horizontal="center" shrinkToFit="0" vertical="center" wrapText="1"/>
    </xf>
    <xf borderId="4" fillId="0" fontId="37" numFmtId="0" xfId="0" applyAlignment="1" applyBorder="1" applyFont="1">
      <alignment horizontal="center" shrinkToFit="0" vertical="center" wrapText="1"/>
    </xf>
    <xf borderId="4" fillId="0" fontId="37" numFmtId="3" xfId="0" applyAlignment="1" applyBorder="1" applyFont="1" applyNumberFormat="1">
      <alignment horizontal="center" shrinkToFit="0" vertical="center" wrapText="1"/>
    </xf>
    <xf borderId="4" fillId="0" fontId="37" numFmtId="172" xfId="0" applyAlignment="1" applyBorder="1" applyFont="1" applyNumberFormat="1">
      <alignment horizontal="center" shrinkToFit="0" vertical="center" wrapText="1"/>
    </xf>
    <xf borderId="0" fillId="0" fontId="56" numFmtId="0" xfId="0" applyAlignment="1" applyFont="1">
      <alignment horizontal="left" readingOrder="0" shrinkToFit="0" vertical="center" wrapText="1"/>
    </xf>
    <xf borderId="1" fillId="0" fontId="56" numFmtId="0" xfId="0" applyAlignment="1" applyBorder="1" applyFont="1">
      <alignment readingOrder="0" shrinkToFit="0" vertical="center" wrapText="1"/>
    </xf>
    <xf borderId="4" fillId="0" fontId="37" numFmtId="172" xfId="0" applyAlignment="1" applyBorder="1" applyFont="1" applyNumberFormat="1">
      <alignment horizontal="center" readingOrder="0" shrinkToFit="0" vertical="center" wrapText="1"/>
    </xf>
    <xf borderId="4" fillId="0" fontId="37" numFmtId="0" xfId="0" applyAlignment="1" applyBorder="1" applyFont="1">
      <alignment shrinkToFit="0" vertical="center" wrapText="1"/>
    </xf>
    <xf borderId="0" fillId="2" fontId="55" numFmtId="0" xfId="0" applyAlignment="1" applyFont="1">
      <alignment readingOrder="0"/>
    </xf>
    <xf borderId="13" fillId="0" fontId="37" numFmtId="0" xfId="0" applyAlignment="1" applyBorder="1" applyFont="1">
      <alignment horizontal="center" readingOrder="0" shrinkToFit="0" vertical="center" wrapText="1"/>
    </xf>
    <xf borderId="13" fillId="0" fontId="37" numFmtId="0" xfId="0" applyAlignment="1" applyBorder="1" applyFont="1">
      <alignment horizontal="center" shrinkToFit="0" vertical="center" wrapText="1"/>
    </xf>
    <xf borderId="13" fillId="0" fontId="37" numFmtId="3" xfId="0" applyAlignment="1" applyBorder="1" applyFont="1" applyNumberFormat="1">
      <alignment horizontal="center" readingOrder="0" shrinkToFit="0" vertical="center" wrapText="1"/>
    </xf>
    <xf borderId="13" fillId="0" fontId="7" numFmtId="3" xfId="0" applyAlignment="1" applyBorder="1" applyFont="1" applyNumberFormat="1">
      <alignment horizontal="center" readingOrder="0" shrinkToFit="0" vertical="center" wrapText="1"/>
    </xf>
    <xf borderId="13" fillId="0" fontId="43" numFmtId="0" xfId="0" applyAlignment="1" applyBorder="1" applyFont="1">
      <alignment horizontal="center" readingOrder="0" shrinkToFit="0" vertical="center" wrapText="1"/>
    </xf>
    <xf borderId="1" fillId="2" fontId="37" numFmtId="0" xfId="0" applyAlignment="1" applyBorder="1" applyFont="1">
      <alignment horizontal="center" shrinkToFit="0" vertical="center" wrapText="1"/>
    </xf>
    <xf borderId="13" fillId="0" fontId="43" numFmtId="0" xfId="0" applyAlignment="1" applyBorder="1" applyFont="1">
      <alignment horizontal="center" shrinkToFit="0" vertical="center" wrapText="1"/>
    </xf>
    <xf borderId="13" fillId="0" fontId="37" numFmtId="3" xfId="0" applyAlignment="1" applyBorder="1" applyFont="1" applyNumberFormat="1">
      <alignment horizontal="center" shrinkToFit="0" vertical="center" wrapText="1"/>
    </xf>
    <xf borderId="0" fillId="0" fontId="37" numFmtId="0" xfId="0" applyAlignment="1" applyFont="1">
      <alignment readingOrder="0" shrinkToFit="0" vertical="center" wrapText="1"/>
    </xf>
    <xf borderId="1" fillId="0" fontId="57" numFmtId="0" xfId="0" applyAlignment="1" applyBorder="1" applyFont="1">
      <alignment horizontal="center" readingOrder="0" shrinkToFit="0" vertical="center" wrapText="1"/>
    </xf>
    <xf borderId="1" fillId="39" fontId="43" numFmtId="172" xfId="0" applyAlignment="1" applyBorder="1" applyFont="1" applyNumberFormat="1">
      <alignment horizontal="center" shrinkToFit="0" vertical="center" wrapText="1"/>
    </xf>
    <xf borderId="0" fillId="0" fontId="17" numFmtId="0" xfId="0" applyAlignment="1" applyFont="1">
      <alignment horizontal="center" readingOrder="0" vertical="center"/>
    </xf>
    <xf borderId="0" fillId="0" fontId="56" numFmtId="0" xfId="0" applyAlignment="1" applyFont="1">
      <alignment readingOrder="0" shrinkToFit="0" vertical="center" wrapText="1"/>
    </xf>
    <xf borderId="1" fillId="0" fontId="37" numFmtId="3" xfId="0" applyAlignment="1" applyBorder="1" applyFont="1" applyNumberFormat="1">
      <alignment horizontal="center" vertical="center"/>
    </xf>
    <xf borderId="1" fillId="0" fontId="37" numFmtId="0" xfId="0" applyAlignment="1" applyBorder="1" applyFont="1">
      <alignment vertical="center"/>
    </xf>
    <xf borderId="1" fillId="2" fontId="54" numFmtId="0" xfId="0" applyAlignment="1" applyBorder="1" applyFont="1">
      <alignment vertical="center"/>
    </xf>
    <xf borderId="0" fillId="0" fontId="37" numFmtId="0" xfId="0" applyAlignment="1" applyFont="1">
      <alignment horizontal="center" shrinkToFit="0" vertical="center" wrapText="1"/>
    </xf>
    <xf borderId="0" fillId="0" fontId="37" numFmtId="0" xfId="0" applyAlignment="1" applyFont="1">
      <alignment horizontal="center"/>
    </xf>
    <xf borderId="0" fillId="0" fontId="43" numFmtId="0" xfId="0" applyAlignment="1" applyFont="1">
      <alignment horizontal="center"/>
    </xf>
    <xf borderId="0" fillId="0" fontId="37" numFmtId="0" xfId="0" applyAlignment="1" applyFont="1">
      <alignment horizontal="center" shrinkToFit="0" wrapText="1"/>
    </xf>
    <xf borderId="0" fillId="0" fontId="54" numFmtId="0" xfId="0" applyFont="1"/>
    <xf borderId="0" fillId="0" fontId="46" numFmtId="0" xfId="0" applyAlignment="1" applyFont="1">
      <alignment shrinkToFit="0" vertical="bottom" wrapText="0"/>
    </xf>
    <xf borderId="0" fillId="0" fontId="46" numFmtId="0" xfId="0" applyAlignment="1" applyFont="1">
      <alignment horizontal="center" shrinkToFit="0" vertical="center" wrapText="0"/>
    </xf>
    <xf borderId="0" fillId="41" fontId="58" numFmtId="0" xfId="0" applyAlignment="1" applyFill="1" applyFont="1">
      <alignment horizontal="left" readingOrder="0" shrinkToFit="0" vertical="center" wrapText="1"/>
    </xf>
    <xf borderId="1" fillId="3" fontId="59" numFmtId="0" xfId="0" applyAlignment="1" applyBorder="1" applyFont="1">
      <alignment horizontal="center" readingOrder="0" shrinkToFit="0" vertical="center" wrapText="1"/>
    </xf>
    <xf borderId="1" fillId="0" fontId="59" numFmtId="0" xfId="0" applyAlignment="1" applyBorder="1" applyFont="1">
      <alignment horizontal="center" readingOrder="0" shrinkToFit="0" vertical="center" wrapText="1"/>
    </xf>
    <xf borderId="1" fillId="18" fontId="59" numFmtId="0" xfId="0" applyAlignment="1" applyBorder="1" applyFont="1">
      <alignment horizontal="center" readingOrder="0" shrinkToFit="0" vertical="center" wrapText="1"/>
    </xf>
    <xf borderId="1" fillId="9" fontId="59" numFmtId="0" xfId="0" applyAlignment="1" applyBorder="1" applyFont="1">
      <alignment horizontal="center" readingOrder="0" shrinkToFit="0" vertical="center" wrapText="1"/>
    </xf>
    <xf borderId="1" fillId="0" fontId="59" numFmtId="0" xfId="0" applyAlignment="1" applyBorder="1" applyFont="1">
      <alignment horizontal="center" shrinkToFit="0" vertical="center" wrapText="1"/>
    </xf>
    <xf borderId="6" fillId="42" fontId="59" numFmtId="0" xfId="0" applyAlignment="1" applyBorder="1" applyFill="1" applyFont="1">
      <alignment horizontal="center" shrinkToFit="0" vertical="center" wrapText="1"/>
    </xf>
    <xf borderId="6" fillId="0" fontId="60" numFmtId="9" xfId="0" applyAlignment="1" applyBorder="1" applyFont="1" applyNumberFormat="1">
      <alignment horizontal="center" shrinkToFit="0" vertical="center" wrapText="1"/>
    </xf>
    <xf borderId="0" fillId="0" fontId="17" numFmtId="0" xfId="0" applyAlignment="1" applyFont="1">
      <alignment horizontal="center" shrinkToFit="0" vertical="center" wrapText="1"/>
    </xf>
    <xf borderId="6" fillId="17" fontId="16" numFmtId="0" xfId="0" applyAlignment="1" applyBorder="1" applyFont="1">
      <alignment shrinkToFit="0" vertical="center" wrapText="1"/>
    </xf>
    <xf borderId="0" fillId="3" fontId="58" numFmtId="0" xfId="0" applyAlignment="1" applyFont="1">
      <alignment horizontal="left" readingOrder="0" shrinkToFit="0" vertical="center" wrapText="1"/>
    </xf>
    <xf borderId="0" fillId="0" fontId="31" numFmtId="0" xfId="0" applyAlignment="1" applyFont="1">
      <alignment horizontal="center" shrinkToFit="0" vertical="center" wrapText="1"/>
    </xf>
    <xf borderId="1" fillId="17" fontId="16" numFmtId="0" xfId="0" applyAlignment="1" applyBorder="1" applyFont="1">
      <alignment horizontal="center" shrinkToFit="0" vertical="center" wrapText="1"/>
    </xf>
    <xf borderId="1" fillId="17" fontId="16" numFmtId="0" xfId="0" applyAlignment="1" applyBorder="1" applyFont="1">
      <alignment horizontal="center" readingOrder="0" shrinkToFit="0" vertical="center" wrapText="1"/>
    </xf>
    <xf borderId="1" fillId="37" fontId="61" numFmtId="0" xfId="0" applyAlignment="1" applyBorder="1" applyFont="1">
      <alignment horizontal="center" readingOrder="0" vertical="center"/>
    </xf>
    <xf borderId="1" fillId="37" fontId="62" numFmtId="0" xfId="0" applyAlignment="1" applyBorder="1" applyFont="1">
      <alignment horizontal="center" readingOrder="0" shrinkToFit="0" vertical="center" wrapText="1"/>
    </xf>
    <xf borderId="0" fillId="17" fontId="16" numFmtId="0" xfId="0" applyAlignment="1" applyFont="1">
      <alignment shrinkToFit="0" vertical="center" wrapText="1"/>
    </xf>
    <xf borderId="1" fillId="0" fontId="63" numFmtId="0" xfId="0" applyAlignment="1" applyBorder="1" applyFont="1">
      <alignment horizontal="center" readingOrder="0" shrinkToFit="0" vertical="center" wrapText="1"/>
    </xf>
    <xf borderId="7" fillId="0" fontId="63" numFmtId="0" xfId="0" applyAlignment="1" applyBorder="1" applyFont="1">
      <alignment horizontal="center" readingOrder="0" shrinkToFit="0" vertical="center" wrapText="1"/>
    </xf>
    <xf borderId="7" fillId="0" fontId="64" numFmtId="0" xfId="0" applyAlignment="1" applyBorder="1" applyFont="1">
      <alignment horizontal="left" readingOrder="0" shrinkToFit="0" vertical="top" wrapText="1"/>
    </xf>
    <xf borderId="0" fillId="0" fontId="31" numFmtId="0" xfId="0" applyAlignment="1" applyFont="1">
      <alignment horizontal="left" readingOrder="0" shrinkToFit="0" vertical="center" wrapText="1"/>
    </xf>
    <xf borderId="1" fillId="0" fontId="63" numFmtId="12" xfId="0" applyAlignment="1" applyBorder="1" applyFont="1" applyNumberFormat="1">
      <alignment horizontal="center" readingOrder="0" shrinkToFit="0" vertical="center" wrapText="1"/>
    </xf>
    <xf borderId="0" fillId="0" fontId="18" numFmtId="0" xfId="0" applyAlignment="1" applyFont="1">
      <alignment readingOrder="0" shrinkToFit="0" vertical="center" wrapText="1"/>
    </xf>
    <xf borderId="0" fillId="0" fontId="18" numFmtId="0" xfId="0" applyAlignment="1" applyFont="1">
      <alignment shrinkToFit="0" vertical="center" wrapText="1"/>
    </xf>
    <xf borderId="1" fillId="0" fontId="64" numFmtId="0" xfId="0" applyAlignment="1" applyBorder="1" applyFont="1">
      <alignment horizontal="left" readingOrder="0" shrinkToFit="0" vertical="top" wrapText="1"/>
    </xf>
    <xf borderId="0" fillId="0" fontId="65" numFmtId="0" xfId="0" applyAlignment="1" applyFont="1">
      <alignment horizontal="left" readingOrder="0" shrinkToFit="0" vertical="center" wrapText="1"/>
    </xf>
    <xf borderId="6" fillId="0" fontId="31" numFmtId="0" xfId="0" applyAlignment="1" applyBorder="1" applyFont="1">
      <alignment horizontal="center" readingOrder="0" shrinkToFit="0" vertical="center" wrapText="1"/>
    </xf>
    <xf borderId="0" fillId="0" fontId="64" numFmtId="0" xfId="0" applyAlignment="1" applyFont="1">
      <alignment horizontal="left" readingOrder="0" shrinkToFit="0" vertical="center" wrapText="1"/>
    </xf>
    <xf borderId="0" fillId="0" fontId="64" numFmtId="0" xfId="0" applyAlignment="1" applyFont="1">
      <alignment readingOrder="0" shrinkToFit="0" vertical="center" wrapText="1"/>
    </xf>
    <xf borderId="7" fillId="0" fontId="66" numFmtId="0" xfId="0" applyAlignment="1" applyBorder="1" applyFont="1">
      <alignment horizontal="left" readingOrder="0" shrinkToFit="0" vertical="top" wrapText="1"/>
    </xf>
    <xf borderId="7" fillId="0" fontId="37" numFmtId="0" xfId="0" applyAlignment="1" applyBorder="1" applyFont="1">
      <alignment readingOrder="0" shrinkToFit="0" vertical="center" wrapText="1"/>
    </xf>
    <xf borderId="1" fillId="0" fontId="63" numFmtId="3" xfId="0" applyAlignment="1" applyBorder="1" applyFont="1" applyNumberFormat="1">
      <alignment horizontal="center" readingOrder="0" shrinkToFit="0" vertical="center" wrapText="1"/>
    </xf>
    <xf borderId="0" fillId="0" fontId="31" numFmtId="0" xfId="0" applyAlignment="1" applyFont="1">
      <alignment horizontal="center" readingOrder="0" shrinkToFit="0" vertical="center" wrapText="1"/>
    </xf>
    <xf borderId="8" fillId="0" fontId="64" numFmtId="0" xfId="0" applyAlignment="1" applyBorder="1" applyFont="1">
      <alignment horizontal="left" readingOrder="0" shrinkToFit="0" vertical="top" wrapText="1"/>
    </xf>
    <xf borderId="11" fillId="0" fontId="64" numFmtId="0" xfId="0" applyAlignment="1" applyBorder="1" applyFont="1">
      <alignment horizontal="left" readingOrder="0" shrinkToFit="0" vertical="top" wrapText="1"/>
    </xf>
    <xf quotePrefix="1" borderId="7" fillId="0" fontId="64" numFmtId="0" xfId="0" applyAlignment="1" applyBorder="1" applyFont="1">
      <alignment horizontal="left" readingOrder="0" shrinkToFit="0" vertical="top" wrapText="1"/>
    </xf>
    <xf borderId="7" fillId="0" fontId="67" numFmtId="0" xfId="0" applyAlignment="1" applyBorder="1" applyFont="1">
      <alignment readingOrder="0" shrinkToFit="0" vertical="center" wrapText="1"/>
    </xf>
    <xf borderId="7" fillId="0" fontId="68" numFmtId="0" xfId="0" applyAlignment="1" applyBorder="1" applyFont="1">
      <alignment horizontal="left" readingOrder="0" shrinkToFit="0" vertical="top" wrapText="1"/>
    </xf>
    <xf borderId="1" fillId="24" fontId="23" numFmtId="0" xfId="0" applyAlignment="1" applyBorder="1" applyFont="1">
      <alignment horizontal="center" readingOrder="0" shrinkToFit="0" vertical="center" wrapText="1"/>
    </xf>
    <xf borderId="1" fillId="3" fontId="25" numFmtId="0" xfId="0" applyAlignment="1" applyBorder="1" applyFont="1">
      <alignment horizontal="center" readingOrder="0" shrinkToFit="0" vertical="center" wrapText="1"/>
    </xf>
    <xf borderId="0" fillId="0" fontId="20" numFmtId="0" xfId="0" applyAlignment="1" applyFont="1">
      <alignment horizontal="center" shrinkToFit="0" vertical="center" wrapText="1"/>
    </xf>
    <xf borderId="1" fillId="0" fontId="20" numFmtId="0" xfId="0" applyAlignment="1" applyBorder="1" applyFont="1">
      <alignment horizontal="center" readingOrder="0" shrinkToFit="0" vertical="center" wrapText="1"/>
    </xf>
    <xf borderId="1" fillId="0" fontId="69" numFmtId="0" xfId="0" applyAlignment="1" applyBorder="1" applyFont="1">
      <alignment readingOrder="0" shrinkToFit="0" vertical="center" wrapText="1"/>
    </xf>
    <xf borderId="1" fillId="0" fontId="70" numFmtId="0" xfId="0" applyAlignment="1" applyBorder="1" applyFont="1">
      <alignment horizontal="center" readingOrder="0" shrinkToFit="0" vertical="center" wrapText="1"/>
    </xf>
    <xf borderId="1" fillId="0" fontId="70"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0" fontId="20" numFmtId="166" xfId="0" applyAlignment="1" applyBorder="1" applyFont="1" applyNumberFormat="1">
      <alignment horizontal="center" readingOrder="0" shrinkToFit="0" vertical="center" wrapText="1"/>
    </xf>
    <xf borderId="1" fillId="0" fontId="17" numFmtId="166" xfId="0" applyAlignment="1" applyBorder="1" applyFont="1" applyNumberFormat="1">
      <alignment shrinkToFit="0" vertical="center" wrapText="1"/>
    </xf>
    <xf borderId="1" fillId="0" fontId="17" numFmtId="0" xfId="0" applyAlignment="1" applyBorder="1" applyFont="1">
      <alignment shrinkToFit="0" vertical="center" wrapText="1"/>
    </xf>
    <xf borderId="1" fillId="0" fontId="17" numFmtId="0" xfId="0" applyBorder="1" applyFont="1"/>
    <xf borderId="0" fillId="0" fontId="70" numFmtId="0" xfId="0" applyAlignment="1" applyFont="1">
      <alignment shrinkToFit="0" vertical="center" wrapText="1"/>
    </xf>
    <xf borderId="0" fillId="0" fontId="70" numFmtId="0" xfId="0" applyAlignment="1" applyFont="1">
      <alignment horizontal="center" shrinkToFit="0" vertical="center" wrapText="1"/>
    </xf>
    <xf borderId="0" fillId="0" fontId="70" numFmtId="0" xfId="0" applyAlignment="1" applyFont="1">
      <alignment horizontal="center" readingOrder="0" shrinkToFit="0" vertical="center" wrapText="1"/>
    </xf>
    <xf borderId="18" fillId="43" fontId="70" numFmtId="0" xfId="0" applyAlignment="1" applyBorder="1" applyFill="1" applyFont="1">
      <alignment horizontal="center" shrinkToFit="0" vertical="center" wrapText="1"/>
    </xf>
    <xf borderId="19" fillId="0" fontId="70" numFmtId="0" xfId="0" applyAlignment="1" applyBorder="1" applyFont="1">
      <alignment horizontal="center" shrinkToFit="0" vertical="center" wrapText="1"/>
    </xf>
    <xf borderId="20" fillId="0" fontId="70" numFmtId="0" xfId="0" applyAlignment="1" applyBorder="1" applyFont="1">
      <alignment horizontal="center" shrinkToFit="0" vertical="center" wrapText="1"/>
    </xf>
    <xf borderId="20" fillId="0" fontId="70" numFmtId="0" xfId="0" applyAlignment="1" applyBorder="1" applyFont="1">
      <alignment horizontal="center" readingOrder="0" shrinkToFit="0" vertical="center" wrapText="1"/>
    </xf>
    <xf borderId="21" fillId="43" fontId="70" numFmtId="0" xfId="0" applyAlignment="1" applyBorder="1" applyFont="1">
      <alignment horizontal="center" shrinkToFit="0" vertical="center" wrapText="1"/>
    </xf>
    <xf borderId="22" fillId="44" fontId="70" numFmtId="0" xfId="0" applyAlignment="1" applyBorder="1" applyFill="1" applyFont="1">
      <alignment horizontal="center" shrinkToFit="0" vertical="center" wrapText="1"/>
    </xf>
    <xf borderId="23" fillId="44" fontId="70" numFmtId="12" xfId="0" applyAlignment="1" applyBorder="1" applyFont="1" applyNumberFormat="1">
      <alignment horizontal="center" shrinkToFit="0" vertical="center" wrapText="1"/>
    </xf>
    <xf borderId="23" fillId="3" fontId="71" numFmtId="12" xfId="0" applyAlignment="1" applyBorder="1" applyFont="1" applyNumberFormat="1">
      <alignment horizontal="center" readingOrder="0" shrinkToFit="0" vertical="center" wrapText="1"/>
    </xf>
    <xf borderId="24" fillId="0" fontId="70" numFmtId="0" xfId="0" applyAlignment="1" applyBorder="1" applyFont="1">
      <alignment horizontal="center" shrinkToFit="0" vertical="center" wrapText="1"/>
    </xf>
    <xf borderId="25" fillId="0" fontId="70" numFmtId="0" xfId="0" applyAlignment="1" applyBorder="1" applyFont="1">
      <alignment horizontal="center" shrinkToFit="0" vertical="center" wrapText="1"/>
    </xf>
    <xf borderId="25" fillId="0" fontId="70" numFmtId="173" xfId="0" applyAlignment="1" applyBorder="1" applyFont="1" applyNumberFormat="1">
      <alignment horizontal="center" readingOrder="0" shrinkToFit="0" vertical="center" wrapText="1"/>
    </xf>
    <xf borderId="24" fillId="0" fontId="70" numFmtId="0" xfId="0" applyAlignment="1" applyBorder="1" applyFont="1">
      <alignment horizontal="center" readingOrder="0" shrinkToFit="0" vertical="center" wrapText="1"/>
    </xf>
    <xf borderId="25" fillId="0" fontId="70" numFmtId="174" xfId="0" applyAlignment="1" applyBorder="1" applyFont="1" applyNumberFormat="1">
      <alignment horizontal="center" readingOrder="0" shrinkToFit="0" vertical="center" wrapText="1"/>
    </xf>
    <xf borderId="0" fillId="0" fontId="72" numFmtId="0" xfId="0" applyAlignment="1" applyFont="1">
      <alignment horizontal="center" shrinkToFit="0" vertical="center" wrapText="1"/>
    </xf>
    <xf borderId="21" fillId="43" fontId="20" numFmtId="0" xfId="0" applyAlignment="1" applyBorder="1" applyFont="1">
      <alignment horizontal="center" shrinkToFit="0" vertical="center" wrapText="1"/>
    </xf>
    <xf borderId="22" fillId="44" fontId="72" numFmtId="0" xfId="0" applyAlignment="1" applyBorder="1" applyFont="1">
      <alignment horizontal="center" shrinkToFit="0" vertical="center" wrapText="1"/>
    </xf>
    <xf borderId="23" fillId="44" fontId="72" numFmtId="175" xfId="0" applyAlignment="1" applyBorder="1" applyFont="1" applyNumberFormat="1">
      <alignment horizontal="center" shrinkToFit="0" vertical="center" wrapText="1"/>
    </xf>
    <xf borderId="23" fillId="3" fontId="72" numFmtId="3" xfId="0" applyAlignment="1" applyBorder="1" applyFont="1" applyNumberFormat="1">
      <alignment horizontal="center" readingOrder="0" shrinkToFit="0" vertical="center" wrapText="1"/>
    </xf>
    <xf borderId="26" fillId="44" fontId="72" numFmtId="0" xfId="0" applyAlignment="1" applyBorder="1" applyFont="1">
      <alignment horizontal="center" shrinkToFit="0" vertical="center" wrapText="1"/>
    </xf>
    <xf borderId="27" fillId="44" fontId="72" numFmtId="175" xfId="0" applyAlignment="1" applyBorder="1" applyFont="1" applyNumberFormat="1">
      <alignment horizontal="center" shrinkToFit="0" vertical="center" wrapText="1"/>
    </xf>
    <xf borderId="27" fillId="3" fontId="72" numFmtId="3" xfId="0" applyAlignment="1" applyBorder="1" applyFont="1" applyNumberFormat="1">
      <alignment horizontal="center" readingOrder="0" shrinkToFit="0" vertical="center" wrapText="1"/>
    </xf>
    <xf borderId="0" fillId="0" fontId="71" numFmtId="0" xfId="0" applyAlignment="1" applyFont="1">
      <alignment horizontal="center" shrinkToFit="0" vertical="center" wrapText="1"/>
    </xf>
    <xf borderId="27" fillId="44" fontId="72" numFmtId="168" xfId="0" applyAlignment="1" applyBorder="1" applyFont="1" applyNumberFormat="1">
      <alignment horizontal="center" shrinkToFit="0" vertical="center" wrapText="1"/>
    </xf>
    <xf borderId="27" fillId="3" fontId="72" numFmtId="176" xfId="0" applyAlignment="1" applyBorder="1" applyFont="1" applyNumberFormat="1">
      <alignment horizontal="center" shrinkToFit="0" vertical="center" wrapText="1"/>
    </xf>
    <xf borderId="28" fillId="43" fontId="70" numFmtId="0" xfId="0" applyAlignment="1" applyBorder="1" applyFont="1">
      <alignment horizontal="center" shrinkToFit="0" vertical="center" wrapText="1"/>
    </xf>
    <xf borderId="29" fillId="44" fontId="72" numFmtId="0" xfId="0" applyAlignment="1" applyBorder="1" applyFont="1">
      <alignment horizontal="center" shrinkToFit="0" vertical="center" wrapText="1"/>
    </xf>
    <xf borderId="30" fillId="44" fontId="72" numFmtId="168" xfId="0" applyAlignment="1" applyBorder="1" applyFont="1" applyNumberFormat="1">
      <alignment horizontal="center" shrinkToFit="0" vertical="center" wrapText="1"/>
    </xf>
    <xf borderId="30" fillId="3" fontId="72" numFmtId="176" xfId="0" applyAlignment="1" applyBorder="1" applyFont="1" applyNumberFormat="1">
      <alignment horizontal="center" shrinkToFit="0" vertical="center" wrapText="1"/>
    </xf>
    <xf borderId="7" fillId="43" fontId="71" numFmtId="0" xfId="0" applyAlignment="1" applyBorder="1" applyFont="1">
      <alignment horizontal="center" shrinkToFit="0" vertical="center" wrapText="1"/>
    </xf>
    <xf borderId="31" fillId="0" fontId="70" numFmtId="0" xfId="0" applyAlignment="1" applyBorder="1" applyFont="1">
      <alignment horizontal="center" shrinkToFit="0" vertical="center" wrapText="1"/>
    </xf>
    <xf borderId="23" fillId="0" fontId="70" numFmtId="0" xfId="0" applyAlignment="1" applyBorder="1" applyFont="1">
      <alignment horizontal="center" shrinkToFit="0" vertical="center" wrapText="1"/>
    </xf>
    <xf borderId="23" fillId="0" fontId="70" numFmtId="0" xfId="0" applyAlignment="1" applyBorder="1" applyFont="1">
      <alignment horizontal="center" readingOrder="0" shrinkToFit="0" vertical="center" wrapText="1"/>
    </xf>
    <xf borderId="0" fillId="0" fontId="73" numFmtId="0" xfId="0" applyAlignment="1" applyFont="1">
      <alignment horizontal="center" shrinkToFit="0" vertical="center" wrapText="1"/>
    </xf>
    <xf borderId="22" fillId="44" fontId="73" numFmtId="0" xfId="0" applyAlignment="1" applyBorder="1" applyFont="1">
      <alignment horizontal="center" shrinkToFit="0" vertical="center" wrapText="1"/>
    </xf>
    <xf borderId="23" fillId="44" fontId="73" numFmtId="0" xfId="0" applyAlignment="1" applyBorder="1" applyFont="1">
      <alignment horizontal="center" shrinkToFit="0" vertical="center" wrapText="1"/>
    </xf>
    <xf borderId="23" fillId="3" fontId="73" numFmtId="0" xfId="0" applyAlignment="1" applyBorder="1" applyFont="1">
      <alignment horizontal="center" readingOrder="0" shrinkToFit="0" vertical="center" wrapText="1"/>
    </xf>
    <xf borderId="32" fillId="0" fontId="70" numFmtId="0" xfId="0" applyAlignment="1" applyBorder="1" applyFont="1">
      <alignment horizontal="center" shrinkToFit="0" vertical="center" wrapText="1"/>
    </xf>
    <xf borderId="30" fillId="0" fontId="70" numFmtId="0" xfId="0" applyAlignment="1" applyBorder="1" applyFont="1">
      <alignment horizontal="center" shrinkToFit="0" vertical="center" wrapText="1"/>
    </xf>
    <xf borderId="30" fillId="0" fontId="70" numFmtId="0" xfId="0" applyAlignment="1" applyBorder="1" applyFont="1">
      <alignment horizontal="center" readingOrder="0" shrinkToFit="0" vertical="center" wrapText="1"/>
    </xf>
    <xf borderId="0" fillId="0" fontId="71" numFmtId="0" xfId="0" applyAlignment="1" applyFont="1">
      <alignment shrinkToFit="0" vertical="center" wrapText="1"/>
    </xf>
    <xf borderId="1" fillId="43" fontId="71" numFmtId="0" xfId="0" applyAlignment="1" applyBorder="1" applyFont="1">
      <alignment horizontal="center" readingOrder="0" shrinkToFit="0" vertical="center" wrapText="1"/>
    </xf>
    <xf borderId="32" fillId="0" fontId="70" numFmtId="0" xfId="0" applyAlignment="1" applyBorder="1" applyFont="1">
      <alignment horizontal="center" readingOrder="0" shrinkToFit="0" vertical="center" wrapText="1"/>
    </xf>
    <xf borderId="33" fillId="0" fontId="71" numFmtId="0" xfId="0" applyAlignment="1" applyBorder="1" applyFont="1">
      <alignment horizontal="center" shrinkToFit="0" vertical="center" wrapText="1"/>
    </xf>
    <xf borderId="16" fillId="0" fontId="71" numFmtId="0" xfId="0" applyAlignment="1" applyBorder="1" applyFont="1">
      <alignment horizontal="center" readingOrder="0" shrinkToFit="0" vertical="center" wrapText="1"/>
    </xf>
    <xf borderId="16" fillId="0" fontId="71" numFmtId="0" xfId="0" applyAlignment="1" applyBorder="1" applyFont="1">
      <alignment horizontal="center" shrinkToFit="0" vertical="center" wrapText="1"/>
    </xf>
    <xf borderId="19" fillId="0" fontId="71" numFmtId="0" xfId="0" applyAlignment="1" applyBorder="1" applyFont="1">
      <alignment horizontal="center" shrinkToFit="0" vertical="center" wrapText="1"/>
    </xf>
    <xf borderId="23" fillId="0" fontId="71" numFmtId="0" xfId="0" applyAlignment="1" applyBorder="1" applyFont="1">
      <alignment horizontal="center" readingOrder="0" shrinkToFit="0" vertical="center" wrapText="1"/>
    </xf>
    <xf borderId="23" fillId="0" fontId="71" numFmtId="0" xfId="0" applyAlignment="1" applyBorder="1" applyFont="1">
      <alignment horizontal="center" shrinkToFit="0" vertical="center" wrapText="1"/>
    </xf>
    <xf borderId="31" fillId="0" fontId="71" numFmtId="0" xfId="0" applyAlignment="1" applyBorder="1" applyFont="1">
      <alignment horizontal="center" shrinkToFit="0" vertical="center" wrapText="1"/>
    </xf>
    <xf borderId="34" fillId="0" fontId="71" numFmtId="0" xfId="0" applyAlignment="1" applyBorder="1" applyFont="1">
      <alignment horizontal="center" shrinkToFit="0" vertical="center" wrapText="1"/>
    </xf>
    <xf borderId="33" fillId="0" fontId="71" numFmtId="0" xfId="0" applyAlignment="1" applyBorder="1" applyFont="1">
      <alignment horizontal="center" readingOrder="0" shrinkToFit="0" vertical="center" wrapText="1"/>
    </xf>
    <xf borderId="0" fillId="0" fontId="74" numFmtId="0" xfId="0" applyAlignment="1" applyFont="1">
      <alignment horizontal="center" shrinkToFit="0" vertical="center" wrapText="1"/>
    </xf>
    <xf borderId="23" fillId="0" fontId="74" numFmtId="0" xfId="0" applyAlignment="1" applyBorder="1" applyFont="1">
      <alignment horizontal="center" readingOrder="0" shrinkToFit="0" vertical="center" wrapText="1"/>
    </xf>
    <xf borderId="33" fillId="0" fontId="74" numFmtId="0" xfId="0" applyAlignment="1" applyBorder="1" applyFont="1">
      <alignment horizontal="center" shrinkToFit="0" vertical="center" wrapText="1"/>
    </xf>
    <xf borderId="7" fillId="43" fontId="70" numFmtId="0" xfId="0" applyAlignment="1" applyBorder="1" applyFont="1">
      <alignment horizontal="center" shrinkToFit="0" vertical="center" wrapText="1"/>
    </xf>
    <xf borderId="34" fillId="0" fontId="70" numFmtId="0" xfId="0" applyAlignment="1" applyBorder="1" applyFont="1">
      <alignment horizontal="center" shrinkToFit="0" vertical="center" wrapText="1"/>
    </xf>
    <xf borderId="20" fillId="0" fontId="70" numFmtId="168" xfId="0" applyAlignment="1" applyBorder="1" applyFont="1" applyNumberFormat="1">
      <alignment horizontal="center" shrinkToFit="0" vertical="center" wrapText="1"/>
    </xf>
    <xf borderId="0" fillId="0" fontId="20" numFmtId="0" xfId="0" applyAlignment="1" applyFont="1">
      <alignment shrinkToFit="0" vertical="center" wrapText="1"/>
    </xf>
    <xf borderId="24" fillId="0" fontId="20" numFmtId="0" xfId="0" applyAlignment="1" applyBorder="1" applyFont="1">
      <alignment horizontal="center" shrinkToFit="0" vertical="center" wrapText="1"/>
    </xf>
    <xf borderId="25" fillId="0" fontId="20" numFmtId="168" xfId="0" applyAlignment="1" applyBorder="1" applyFont="1" applyNumberFormat="1">
      <alignment horizontal="center" shrinkToFit="0" vertical="center" wrapText="1"/>
    </xf>
    <xf borderId="25" fillId="0" fontId="20" numFmtId="168" xfId="0" applyAlignment="1" applyBorder="1" applyFont="1" applyNumberFormat="1">
      <alignment horizontal="center" readingOrder="0" shrinkToFit="0" vertical="center" wrapText="1"/>
    </xf>
    <xf borderId="22" fillId="45" fontId="20" numFmtId="0" xfId="0" applyAlignment="1" applyBorder="1" applyFill="1" applyFont="1">
      <alignment horizontal="center" shrinkToFit="0" vertical="center" wrapText="1"/>
    </xf>
    <xf borderId="23" fillId="45" fontId="75" numFmtId="168" xfId="0" applyAlignment="1" applyBorder="1" applyFont="1" applyNumberFormat="1">
      <alignment horizontal="center" shrinkToFit="0" vertical="center" wrapText="1"/>
    </xf>
    <xf borderId="23" fillId="45" fontId="75" numFmtId="168" xfId="0" applyAlignment="1" applyBorder="1" applyFont="1" applyNumberFormat="1">
      <alignment readingOrder="0" shrinkToFit="0" vertical="center" wrapText="1"/>
    </xf>
    <xf borderId="25" fillId="45" fontId="75" numFmtId="168" xfId="0" applyAlignment="1" applyBorder="1" applyFont="1" applyNumberFormat="1">
      <alignment readingOrder="0" shrinkToFit="0" vertical="center" wrapText="1"/>
    </xf>
    <xf borderId="23" fillId="0" fontId="20" numFmtId="168" xfId="0" applyAlignment="1" applyBorder="1" applyFont="1" applyNumberFormat="1">
      <alignment horizontal="center" shrinkToFit="0" vertical="center" wrapText="1"/>
    </xf>
    <xf borderId="23" fillId="0" fontId="20" numFmtId="168" xfId="0" applyAlignment="1" applyBorder="1" applyFont="1" applyNumberFormat="1">
      <alignment shrinkToFit="0" vertical="center" wrapText="1"/>
    </xf>
    <xf borderId="23" fillId="0" fontId="70" numFmtId="9" xfId="0" applyAlignment="1" applyBorder="1" applyFont="1" applyNumberFormat="1">
      <alignment horizontal="center" shrinkToFit="0" vertical="center" wrapText="1"/>
    </xf>
    <xf borderId="23" fillId="0" fontId="70" numFmtId="9" xfId="0" applyAlignment="1" applyBorder="1" applyFont="1" applyNumberFormat="1">
      <alignment shrinkToFit="0" vertical="center" wrapText="1"/>
    </xf>
    <xf borderId="0" fillId="0" fontId="76" numFmtId="0" xfId="0" applyAlignment="1" applyFont="1">
      <alignment shrinkToFit="0" vertical="center" wrapText="1"/>
    </xf>
    <xf borderId="22" fillId="45" fontId="72" numFmtId="0" xfId="0" applyAlignment="1" applyBorder="1" applyFont="1">
      <alignment horizontal="center" shrinkToFit="0" vertical="center" wrapText="1"/>
    </xf>
    <xf borderId="23" fillId="45" fontId="75" numFmtId="168" xfId="0" applyAlignment="1" applyBorder="1" applyFont="1" applyNumberFormat="1">
      <alignment shrinkToFit="0" vertical="center" wrapText="1"/>
    </xf>
    <xf borderId="23" fillId="0" fontId="70" numFmtId="168" xfId="0" applyAlignment="1" applyBorder="1" applyFont="1" applyNumberFormat="1">
      <alignment horizontal="center" shrinkToFit="0" vertical="center" wrapText="1"/>
    </xf>
    <xf borderId="23" fillId="0" fontId="70" numFmtId="168" xfId="0" applyAlignment="1" applyBorder="1" applyFont="1" applyNumberFormat="1">
      <alignment shrinkToFit="0" vertical="center" wrapText="1"/>
    </xf>
    <xf borderId="23" fillId="0" fontId="70" numFmtId="0" xfId="0" applyAlignment="1" applyBorder="1" applyFont="1">
      <alignment horizontal="right" shrinkToFit="0" vertical="center" wrapText="1"/>
    </xf>
    <xf borderId="23" fillId="0" fontId="70" numFmtId="0" xfId="0" applyAlignment="1" applyBorder="1" applyFont="1">
      <alignment shrinkToFit="0" vertical="center" wrapText="1"/>
    </xf>
    <xf borderId="32" fillId="0" fontId="20" numFmtId="0" xfId="0" applyAlignment="1" applyBorder="1" applyFont="1">
      <alignment horizontal="center" shrinkToFit="0" vertical="center" wrapText="1"/>
    </xf>
    <xf borderId="30" fillId="0" fontId="20" numFmtId="168" xfId="0" applyAlignment="1" applyBorder="1" applyFont="1" applyNumberFormat="1">
      <alignment horizontal="center" shrinkToFit="0" vertical="center" wrapText="1"/>
    </xf>
    <xf borderId="30" fillId="0" fontId="20" numFmtId="168" xfId="0" applyAlignment="1" applyBorder="1" applyFont="1" applyNumberFormat="1">
      <alignment shrinkToFit="0" vertical="center" wrapText="1"/>
    </xf>
    <xf borderId="20" fillId="46" fontId="70" numFmtId="0" xfId="0" applyAlignment="1" applyBorder="1" applyFill="1" applyFont="1">
      <alignment horizontal="center" shrinkToFit="0" vertical="center" wrapText="1"/>
    </xf>
    <xf borderId="23" fillId="46" fontId="70" numFmtId="168" xfId="0" applyAlignment="1" applyBorder="1" applyFont="1" applyNumberFormat="1">
      <alignment horizontal="center" shrinkToFit="0" vertical="center" wrapText="1"/>
    </xf>
    <xf borderId="23" fillId="47" fontId="70" numFmtId="0" xfId="0" applyAlignment="1" applyBorder="1" applyFill="1" applyFont="1">
      <alignment horizontal="center" shrinkToFit="0" vertical="center" wrapText="1"/>
    </xf>
    <xf borderId="23" fillId="47" fontId="70" numFmtId="168" xfId="0" applyAlignment="1" applyBorder="1" applyFont="1" applyNumberFormat="1">
      <alignment horizontal="center" shrinkToFit="0" vertical="center" wrapText="1"/>
    </xf>
    <xf borderId="23" fillId="48" fontId="70" numFmtId="0" xfId="0" applyAlignment="1" applyBorder="1" applyFill="1" applyFont="1">
      <alignment horizontal="center" shrinkToFit="0" vertical="center" wrapText="1"/>
    </xf>
    <xf borderId="23" fillId="48" fontId="70" numFmtId="168" xfId="0" applyAlignment="1" applyBorder="1" applyFont="1" applyNumberFormat="1">
      <alignment horizontal="center" shrinkToFit="0" vertical="center" wrapText="1"/>
    </xf>
    <xf borderId="22" fillId="49" fontId="70" numFmtId="0" xfId="0" applyAlignment="1" applyBorder="1" applyFill="1" applyFont="1">
      <alignment horizontal="center" shrinkToFit="0" vertical="center" wrapText="1"/>
    </xf>
    <xf borderId="23" fillId="49" fontId="70" numFmtId="168" xfId="0" applyAlignment="1" applyBorder="1" applyFont="1" applyNumberFormat="1">
      <alignment horizontal="center" shrinkToFit="0" vertical="center" wrapText="1"/>
    </xf>
    <xf borderId="33" fillId="0" fontId="70" numFmtId="0" xfId="0" applyAlignment="1" applyBorder="1" applyFont="1">
      <alignment horizontal="center" shrinkToFit="0" vertical="center" wrapText="1"/>
    </xf>
    <xf borderId="23" fillId="44" fontId="70" numFmtId="168" xfId="0" applyAlignment="1" applyBorder="1" applyFont="1" applyNumberFormat="1">
      <alignment horizontal="center" shrinkToFit="0" vertical="center" wrapText="1"/>
    </xf>
    <xf borderId="8" fillId="0" fontId="70" numFmtId="168" xfId="0" applyAlignment="1" applyBorder="1" applyFont="1" applyNumberFormat="1">
      <alignment horizontal="center" shrinkToFit="0" vertical="center" wrapText="1"/>
    </xf>
    <xf borderId="33" fillId="0" fontId="70" numFmtId="0" xfId="0" applyAlignment="1" applyBorder="1" applyFont="1">
      <alignment horizontal="left" shrinkToFit="0" vertical="center" wrapText="1"/>
    </xf>
    <xf borderId="15" fillId="0" fontId="70" numFmtId="0" xfId="0" applyAlignment="1" applyBorder="1" applyFont="1">
      <alignment shrinkToFit="0" vertical="center" wrapText="1"/>
    </xf>
    <xf borderId="15" fillId="0" fontId="70" numFmtId="0" xfId="0" applyAlignment="1" applyBorder="1" applyFont="1">
      <alignment horizontal="center" shrinkToFit="0" vertical="center" wrapText="1"/>
    </xf>
    <xf borderId="3" fillId="44" fontId="70" numFmtId="0" xfId="0" applyAlignment="1" applyBorder="1" applyFont="1">
      <alignment horizontal="center" shrinkToFit="0" vertical="center" wrapText="1"/>
    </xf>
    <xf borderId="1" fillId="44" fontId="70" numFmtId="0" xfId="0" applyAlignment="1" applyBorder="1" applyFont="1">
      <alignment horizontal="center" shrinkToFit="0" vertical="center" wrapText="1"/>
    </xf>
    <xf borderId="1" fillId="44" fontId="70" numFmtId="0" xfId="0" applyAlignment="1" applyBorder="1" applyFont="1">
      <alignment horizontal="center" readingOrder="0" shrinkToFit="0" vertical="center" wrapText="1"/>
    </xf>
    <xf borderId="0" fillId="0" fontId="77" numFmtId="0" xfId="0" applyAlignment="1" applyFont="1">
      <alignment vertical="center"/>
    </xf>
    <xf borderId="0" fillId="0" fontId="77" numFmtId="0" xfId="0" applyAlignment="1" applyFont="1">
      <alignment horizontal="center" readingOrder="0" vertical="center"/>
    </xf>
    <xf borderId="0" fillId="0" fontId="78" numFmtId="0" xfId="0" applyAlignment="1" applyFont="1">
      <alignment horizontal="center" vertical="center"/>
    </xf>
    <xf borderId="0" fillId="0" fontId="20" numFmtId="0" xfId="0" applyAlignment="1" applyFont="1">
      <alignment horizontal="center" readingOrder="0" shrinkToFit="0" vertical="center" wrapText="1"/>
    </xf>
    <xf borderId="0" fillId="0" fontId="20" numFmtId="166" xfId="0" applyAlignment="1" applyFont="1" applyNumberFormat="1">
      <alignment horizontal="center" readingOrder="0" shrinkToFit="0" vertical="center" wrapText="1"/>
    </xf>
    <xf borderId="0" fillId="0" fontId="17" numFmtId="168" xfId="0" applyFont="1" applyNumberFormat="1"/>
    <xf borderId="0" fillId="50" fontId="79" numFmtId="0" xfId="0" applyAlignment="1" applyFill="1" applyFont="1">
      <alignment horizontal="center" readingOrder="0" shrinkToFit="0" vertical="center" wrapText="0"/>
    </xf>
    <xf borderId="0" fillId="0" fontId="80" numFmtId="0" xfId="0" applyAlignment="1" applyFont="1">
      <alignment vertical="center"/>
    </xf>
    <xf borderId="0" fillId="0" fontId="80" numFmtId="0" xfId="0" applyFont="1"/>
    <xf borderId="1" fillId="7" fontId="81" numFmtId="0" xfId="0" applyAlignment="1" applyBorder="1" applyFont="1">
      <alignment horizontal="center" vertical="center"/>
    </xf>
    <xf borderId="1" fillId="7" fontId="81" numFmtId="0" xfId="0" applyAlignment="1" applyBorder="1" applyFont="1">
      <alignment horizontal="center" shrinkToFit="0" vertical="center" wrapText="1"/>
    </xf>
    <xf borderId="0" fillId="0" fontId="80" numFmtId="0" xfId="0" applyAlignment="1" applyFont="1">
      <alignment vertical="bottom"/>
    </xf>
    <xf borderId="1" fillId="0" fontId="82" numFmtId="0" xfId="0" applyAlignment="1" applyBorder="1" applyFont="1">
      <alignment horizontal="center" readingOrder="0" vertical="center"/>
    </xf>
    <xf borderId="1" fillId="0" fontId="82" numFmtId="0" xfId="0" applyAlignment="1" applyBorder="1" applyFont="1">
      <alignment readingOrder="0" shrinkToFit="0" vertical="center" wrapText="1"/>
    </xf>
    <xf borderId="1" fillId="0" fontId="83" numFmtId="0" xfId="0" applyAlignment="1" applyBorder="1" applyFont="1">
      <alignment readingOrder="0" shrinkToFit="0" vertical="center" wrapText="1"/>
    </xf>
    <xf borderId="1" fillId="0" fontId="84" numFmtId="0" xfId="0" applyAlignment="1" applyBorder="1" applyFont="1">
      <alignment readingOrder="0" shrinkToFit="0" vertical="center" wrapText="1"/>
    </xf>
    <xf borderId="1" fillId="0" fontId="82" numFmtId="0" xfId="0" applyAlignment="1" applyBorder="1" applyFont="1">
      <alignment horizontal="center" vertical="center"/>
    </xf>
    <xf borderId="1" fillId="0" fontId="82" numFmtId="0" xfId="0" applyAlignment="1" applyBorder="1" applyFont="1">
      <alignment shrinkToFit="0" vertical="center" wrapText="1"/>
    </xf>
    <xf borderId="1" fillId="0" fontId="85"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86" numFmtId="0" xfId="0" applyAlignment="1" applyBorder="1" applyFont="1">
      <alignment shrinkToFit="0" vertical="center" wrapText="1"/>
    </xf>
    <xf borderId="1" fillId="0" fontId="87"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88" numFmtId="0" xfId="0" applyAlignment="1" applyBorder="1" applyFont="1">
      <alignment shrinkToFit="0" vertical="center" wrapText="1"/>
    </xf>
    <xf borderId="1" fillId="0" fontId="89" numFmtId="0" xfId="0" applyAlignment="1" applyBorder="1" applyFont="1">
      <alignment shrinkToFit="0" vertical="center" wrapText="1"/>
    </xf>
    <xf borderId="1" fillId="0" fontId="6" numFmtId="0" xfId="0" applyAlignment="1" applyBorder="1" applyFont="1">
      <alignment horizontal="center" shrinkToFit="0" wrapText="1"/>
    </xf>
    <xf borderId="1" fillId="0" fontId="6" numFmtId="0" xfId="0" applyAlignment="1" applyBorder="1" applyFont="1">
      <alignment shrinkToFit="0" wrapText="1"/>
    </xf>
    <xf borderId="1" fillId="0" fontId="90" numFmtId="0" xfId="0" applyAlignment="1" applyBorder="1" applyFont="1">
      <alignment shrinkToFit="0" wrapText="1"/>
    </xf>
    <xf borderId="1" fillId="21" fontId="82" numFmtId="0" xfId="0" applyAlignment="1" applyBorder="1" applyFont="1">
      <alignment horizontal="center" vertical="center"/>
    </xf>
    <xf borderId="1" fillId="21" fontId="82" numFmtId="0" xfId="0" applyAlignment="1" applyBorder="1" applyFont="1">
      <alignment horizontal="center" readingOrder="0" vertical="center"/>
    </xf>
    <xf borderId="1" fillId="21" fontId="82" numFmtId="0" xfId="0" applyAlignment="1" applyBorder="1" applyFont="1">
      <alignment vertical="center"/>
    </xf>
    <xf borderId="1" fillId="21" fontId="91" numFmtId="0" xfId="0" applyAlignment="1" applyBorder="1" applyFont="1">
      <alignment shrinkToFit="0" vertical="center" wrapText="1"/>
    </xf>
    <xf borderId="1" fillId="21" fontId="6" numFmtId="0" xfId="0" applyAlignment="1" applyBorder="1" applyFont="1">
      <alignment horizontal="center" shrinkToFit="0" vertical="center" wrapText="1"/>
    </xf>
    <xf borderId="1" fillId="21" fontId="6" numFmtId="0" xfId="0" applyAlignment="1" applyBorder="1" applyFont="1">
      <alignment shrinkToFit="0" vertical="center" wrapText="1"/>
    </xf>
    <xf borderId="1" fillId="21" fontId="92" numFmtId="0" xfId="0" applyAlignment="1" applyBorder="1" applyFont="1">
      <alignment horizontal="left" shrinkToFit="0" vertical="center" wrapText="1"/>
    </xf>
    <xf borderId="1" fillId="21" fontId="82" numFmtId="0" xfId="0" applyAlignment="1" applyBorder="1" applyFont="1">
      <alignment readingOrder="0" vertical="center"/>
    </xf>
    <xf borderId="1" fillId="21" fontId="93" numFmtId="0" xfId="0" applyAlignment="1" applyBorder="1" applyFont="1">
      <alignment readingOrder="0" shrinkToFit="0" vertical="center" wrapText="1"/>
    </xf>
    <xf borderId="1" fillId="21" fontId="94" numFmtId="0" xfId="0" applyAlignment="1" applyBorder="1" applyFont="1">
      <alignment shrinkToFit="0" vertical="center" wrapText="1"/>
    </xf>
    <xf borderId="1" fillId="21" fontId="95" numFmtId="0" xfId="0" applyAlignment="1" applyBorder="1" applyFont="1">
      <alignment readingOrder="0" shrinkToFit="0" vertical="center" wrapText="1"/>
    </xf>
    <xf borderId="1" fillId="21" fontId="6" numFmtId="0" xfId="0" applyAlignment="1" applyBorder="1" applyFont="1">
      <alignment horizontal="center" readingOrder="0" shrinkToFit="0" vertical="center" wrapText="1"/>
    </xf>
    <xf borderId="1" fillId="21" fontId="6" numFmtId="0" xfId="0" applyAlignment="1" applyBorder="1" applyFont="1">
      <alignment readingOrder="0" shrinkToFit="0" vertical="center" wrapText="1"/>
    </xf>
    <xf borderId="1" fillId="21" fontId="96" numFmtId="0" xfId="0" applyAlignment="1" applyBorder="1" applyFont="1">
      <alignment horizontal="left" readingOrder="0" shrinkToFit="0" vertical="center" wrapText="1"/>
    </xf>
    <xf borderId="1" fillId="21" fontId="97" numFmtId="0" xfId="0" applyAlignment="1" applyBorder="1" applyFont="1">
      <alignment readingOrder="0" shrinkToFit="0" vertical="center" wrapText="1"/>
    </xf>
    <xf borderId="0" fillId="0" fontId="80" numFmtId="0" xfId="0" applyAlignment="1" applyFont="1">
      <alignment shrinkToFit="0" wrapText="1"/>
    </xf>
    <xf borderId="6" fillId="50" fontId="79" numFmtId="0" xfId="0" applyAlignment="1" applyBorder="1" applyFont="1">
      <alignment horizontal="center"/>
    </xf>
    <xf borderId="0" fillId="0" fontId="6" numFmtId="0" xfId="0" applyFont="1"/>
    <xf borderId="0" fillId="0" fontId="6" numFmtId="0" xfId="0" applyFont="1"/>
    <xf borderId="11" fillId="7" fontId="98" numFmtId="0" xfId="0" applyAlignment="1" applyBorder="1" applyFont="1">
      <alignment horizontal="center"/>
    </xf>
    <xf borderId="13" fillId="7" fontId="98" numFmtId="0" xfId="0" applyAlignment="1" applyBorder="1" applyFont="1">
      <alignment horizontal="center"/>
    </xf>
    <xf borderId="13" fillId="7" fontId="98" numFmtId="0" xfId="0" applyAlignment="1" applyBorder="1" applyFont="1">
      <alignment horizontal="center" shrinkToFit="0" wrapText="1"/>
    </xf>
    <xf borderId="8" fillId="42" fontId="16" numFmtId="0" xfId="0" applyAlignment="1" applyBorder="1" applyFont="1">
      <alignment horizontal="center" shrinkToFit="0" wrapText="1"/>
    </xf>
    <xf borderId="13" fillId="12" fontId="16" numFmtId="0" xfId="0" applyAlignment="1" applyBorder="1" applyFont="1">
      <alignment horizontal="center" shrinkToFit="0" wrapText="1"/>
    </xf>
    <xf borderId="13" fillId="12" fontId="16" numFmtId="0" xfId="0" applyAlignment="1" applyBorder="1" applyFont="1">
      <alignment horizontal="center" readingOrder="0" shrinkToFit="0" wrapText="1"/>
    </xf>
    <xf borderId="13" fillId="12" fontId="16" numFmtId="0" xfId="0" applyAlignment="1" applyBorder="1" applyFont="1">
      <alignment shrinkToFit="0" wrapText="1"/>
    </xf>
    <xf borderId="13" fillId="12" fontId="99" numFmtId="0" xfId="0" applyAlignment="1" applyBorder="1" applyFont="1">
      <alignment shrinkToFit="0" wrapText="1"/>
    </xf>
    <xf borderId="13" fillId="0" fontId="16" numFmtId="0" xfId="0" applyAlignment="1" applyBorder="1" applyFont="1">
      <alignment horizontal="center" shrinkToFit="0" wrapText="1"/>
    </xf>
    <xf borderId="13" fillId="0" fontId="16" numFmtId="0" xfId="0" applyAlignment="1" applyBorder="1" applyFont="1">
      <alignment shrinkToFit="0" wrapText="1"/>
    </xf>
    <xf borderId="13" fillId="0" fontId="100" numFmtId="0" xfId="0" applyAlignment="1" applyBorder="1" applyFont="1">
      <alignment shrinkToFit="0" wrapText="1"/>
    </xf>
    <xf borderId="8" fillId="13" fontId="16" numFmtId="0" xfId="0" applyAlignment="1" applyBorder="1" applyFont="1">
      <alignment horizontal="center" shrinkToFit="0" wrapText="1"/>
    </xf>
    <xf borderId="14" fillId="50" fontId="79" numFmtId="0" xfId="0" applyAlignment="1" applyBorder="1" applyFont="1">
      <alignment horizontal="center"/>
    </xf>
    <xf borderId="8" fillId="9" fontId="16" numFmtId="0" xfId="0" applyAlignment="1" applyBorder="1" applyFont="1">
      <alignment horizontal="center" shrinkToFit="0" wrapText="1"/>
    </xf>
    <xf borderId="8" fillId="3" fontId="16" numFmtId="0" xfId="0" applyAlignment="1" applyBorder="1" applyFont="1">
      <alignment horizontal="center" shrinkToFit="0" wrapText="1"/>
    </xf>
    <xf borderId="13" fillId="0" fontId="13" numFmtId="0" xfId="0" applyAlignment="1" applyBorder="1" applyFont="1">
      <alignment horizontal="center" shrinkToFit="0" wrapText="1"/>
    </xf>
    <xf borderId="8" fillId="8" fontId="16" numFmtId="0" xfId="0" applyAlignment="1" applyBorder="1" applyFont="1">
      <alignment horizontal="center" shrinkToFit="0" wrapText="1"/>
    </xf>
    <xf borderId="13" fillId="0" fontId="6" numFmtId="0" xfId="0" applyBorder="1" applyFont="1"/>
    <xf borderId="13" fillId="12" fontId="16" numFmtId="0" xfId="0" applyAlignment="1" applyBorder="1" applyFont="1">
      <alignment horizontal="center"/>
    </xf>
    <xf borderId="13" fillId="0" fontId="16" numFmtId="0" xfId="0" applyAlignment="1" applyBorder="1" applyFont="1">
      <alignment horizontal="center" shrinkToFit="0" wrapText="1"/>
    </xf>
    <xf borderId="13" fillId="19" fontId="16" numFmtId="0" xfId="0" applyAlignment="1" applyBorder="1" applyFont="1">
      <alignment shrinkToFit="0" wrapText="1"/>
    </xf>
    <xf borderId="13" fillId="0" fontId="101" numFmtId="0" xfId="0" applyAlignment="1" applyBorder="1" applyFont="1">
      <alignment shrinkToFit="0" wrapText="1"/>
    </xf>
    <xf borderId="8" fillId="7" fontId="16" numFmtId="0" xfId="0" applyAlignment="1" applyBorder="1" applyFont="1">
      <alignment horizontal="center" shrinkToFit="0" wrapText="1"/>
    </xf>
    <xf borderId="13" fillId="12" fontId="16" numFmtId="0" xfId="0" applyAlignment="1" applyBorder="1" applyFont="1">
      <alignment horizontal="center" shrinkToFit="0" wrapText="1"/>
    </xf>
    <xf borderId="13" fillId="12" fontId="16" numFmtId="0" xfId="0" applyAlignment="1" applyBorder="1" applyFont="1">
      <alignment shrinkToFit="0" wrapText="1"/>
    </xf>
    <xf borderId="13" fillId="12" fontId="102" numFmtId="0" xfId="0" applyAlignment="1" applyBorder="1" applyFont="1">
      <alignment shrinkToFit="0" wrapText="1"/>
    </xf>
    <xf borderId="13" fillId="0" fontId="16" numFmtId="0" xfId="0" applyAlignment="1" applyBorder="1" applyFont="1">
      <alignment horizontal="center" shrinkToFit="0" vertical="bottom" wrapText="1"/>
    </xf>
    <xf borderId="13" fillId="0" fontId="16" numFmtId="0" xfId="0" applyAlignment="1" applyBorder="1" applyFont="1">
      <alignment shrinkToFit="0" vertical="bottom" wrapText="1"/>
    </xf>
    <xf borderId="13" fillId="0" fontId="103" numFmtId="0" xfId="0" applyAlignment="1" applyBorder="1" applyFont="1">
      <alignment shrinkToFit="0" vertical="bottom" wrapText="1"/>
    </xf>
    <xf borderId="8" fillId="9" fontId="16" numFmtId="0" xfId="0" applyAlignment="1" applyBorder="1" applyFont="1">
      <alignment horizontal="center" shrinkToFit="0" wrapText="1"/>
    </xf>
    <xf borderId="13" fillId="0" fontId="16" numFmtId="0" xfId="0" applyAlignment="1" applyBorder="1" applyFont="1">
      <alignment shrinkToFit="0" wrapText="1"/>
    </xf>
    <xf borderId="13" fillId="0" fontId="98" numFmtId="0" xfId="0" applyAlignment="1" applyBorder="1" applyFont="1">
      <alignment horizontal="center"/>
    </xf>
    <xf borderId="13" fillId="0" fontId="98" numFmtId="0" xfId="0" applyAlignment="1" applyBorder="1" applyFont="1">
      <alignment shrinkToFit="0" wrapText="1"/>
    </xf>
    <xf borderId="13" fillId="0" fontId="104" numFmtId="0" xfId="0" applyAlignment="1" applyBorder="1" applyFont="1">
      <alignment shrinkToFit="0" wrapText="1"/>
    </xf>
    <xf borderId="13" fillId="0" fontId="105" numFmtId="0" xfId="0" applyAlignment="1" applyBorder="1" applyFont="1">
      <alignment shrinkToFit="0" wrapText="1"/>
    </xf>
    <xf borderId="8" fillId="17" fontId="16" numFmtId="0" xfId="0" applyAlignment="1" applyBorder="1" applyFont="1">
      <alignment horizontal="center" shrinkToFit="0" wrapText="1"/>
    </xf>
    <xf borderId="13" fillId="12" fontId="16" numFmtId="0" xfId="0" applyAlignment="1" applyBorder="1" applyFont="1">
      <alignment horizontal="center" shrinkToFit="0" vertical="bottom" wrapText="1"/>
    </xf>
    <xf borderId="13" fillId="12" fontId="16" numFmtId="0" xfId="0" applyAlignment="1" applyBorder="1" applyFont="1">
      <alignment shrinkToFit="0" vertical="bottom" wrapText="1"/>
    </xf>
    <xf borderId="13" fillId="12" fontId="106" numFmtId="0" xfId="0" applyAlignment="1" applyBorder="1" applyFont="1">
      <alignment shrinkToFit="0" vertical="bottom" wrapText="1"/>
    </xf>
    <xf borderId="13" fillId="0" fontId="107" numFmtId="0" xfId="0" applyAlignment="1" applyBorder="1" applyFont="1">
      <alignment vertical="bottom"/>
    </xf>
    <xf borderId="8" fillId="3" fontId="16" numFmtId="0" xfId="0" applyAlignment="1" applyBorder="1" applyFont="1">
      <alignment horizontal="center" shrinkToFit="0" wrapText="1"/>
    </xf>
    <xf borderId="13" fillId="12" fontId="108" numFmtId="0" xfId="0" applyAlignment="1" applyBorder="1" applyFont="1">
      <alignment vertical="bottom"/>
    </xf>
    <xf borderId="13" fillId="0" fontId="109" numFmtId="0" xfId="0" applyAlignment="1" applyBorder="1" applyFont="1">
      <alignment shrinkToFit="0" vertical="bottom" wrapText="1"/>
    </xf>
    <xf borderId="13" fillId="0" fontId="110" numFmtId="0" xfId="0" applyAlignment="1" applyBorder="1" applyFont="1">
      <alignment vertical="bottom"/>
    </xf>
    <xf borderId="8" fillId="8" fontId="16" numFmtId="0" xfId="0" applyAlignment="1" applyBorder="1" applyFont="1">
      <alignment horizontal="center" shrinkToFit="0" wrapText="1"/>
    </xf>
    <xf borderId="8" fillId="18" fontId="16" numFmtId="0" xfId="0" applyAlignment="1" applyBorder="1" applyFont="1">
      <alignment horizontal="center" shrinkToFit="0" wrapText="1"/>
    </xf>
    <xf borderId="13" fillId="0" fontId="16" numFmtId="0" xfId="0" applyAlignment="1" applyBorder="1" applyFont="1">
      <alignment horizontal="center" vertical="bottom"/>
    </xf>
    <xf borderId="13" fillId="0" fontId="16" numFmtId="0" xfId="0" applyAlignment="1" applyBorder="1" applyFont="1">
      <alignment vertical="bottom"/>
    </xf>
    <xf borderId="13" fillId="12" fontId="111" numFmtId="0" xfId="0" applyAlignment="1" applyBorder="1" applyFont="1">
      <alignment shrinkToFit="0" vertical="bottom" wrapText="1"/>
    </xf>
    <xf borderId="8" fillId="51" fontId="16" numFmtId="0" xfId="0" applyAlignment="1" applyBorder="1" applyFill="1" applyFont="1">
      <alignment horizontal="center" shrinkToFit="0" wrapText="1"/>
    </xf>
    <xf borderId="13" fillId="12" fontId="112" numFmtId="0" xfId="0" applyAlignment="1" applyBorder="1" applyFont="1">
      <alignment shrinkToFit="0" vertical="bottom" wrapText="1"/>
    </xf>
    <xf borderId="13" fillId="0" fontId="16" numFmtId="0" xfId="0" applyAlignment="1" applyBorder="1" applyFont="1">
      <alignment horizontal="center"/>
    </xf>
    <xf borderId="8" fillId="13" fontId="16" numFmtId="0" xfId="0" applyAlignment="1" applyBorder="1" applyFont="1">
      <alignment horizontal="center" shrinkToFit="0" wrapText="1"/>
    </xf>
    <xf borderId="13" fillId="0" fontId="98" numFmtId="0" xfId="0" applyAlignment="1" applyBorder="1" applyFont="1">
      <alignment horizontal="center" vertical="bottom"/>
    </xf>
    <xf borderId="13" fillId="0" fontId="98" numFmtId="0" xfId="0" applyAlignment="1" applyBorder="1" applyFont="1">
      <alignment shrinkToFit="0" vertical="bottom" wrapText="1"/>
    </xf>
    <xf borderId="13" fillId="0" fontId="113" numFmtId="0" xfId="0" applyAlignment="1" applyBorder="1" applyFont="1">
      <alignment vertical="bottom"/>
    </xf>
    <xf borderId="12" fillId="0" fontId="114" numFmtId="0" xfId="0" applyAlignment="1" applyBorder="1" applyFont="1">
      <alignment vertical="bottom"/>
    </xf>
    <xf borderId="13" fillId="0" fontId="16" numFmtId="0" xfId="0" applyAlignment="1" applyBorder="1" applyFont="1">
      <alignment horizontal="center" readingOrder="0"/>
    </xf>
    <xf borderId="14" fillId="50" fontId="79" numFmtId="0" xfId="0" applyAlignment="1" applyBorder="1" applyFont="1">
      <alignment horizontal="center"/>
    </xf>
    <xf borderId="8" fillId="42" fontId="16" numFmtId="0" xfId="0" applyAlignment="1" applyBorder="1" applyFont="1">
      <alignment horizontal="center" shrinkToFit="0" wrapText="1"/>
    </xf>
    <xf borderId="13" fillId="12" fontId="98" numFmtId="0" xfId="0" applyAlignment="1" applyBorder="1" applyFont="1">
      <alignment horizontal="center"/>
    </xf>
    <xf borderId="13" fillId="12" fontId="16" numFmtId="0" xfId="0" applyAlignment="1" applyBorder="1" applyFont="1">
      <alignment horizontal="center" readingOrder="0"/>
    </xf>
    <xf borderId="13" fillId="12" fontId="98" numFmtId="0" xfId="0" applyAlignment="1" applyBorder="1" applyFont="1">
      <alignment shrinkToFit="0" wrapText="1"/>
    </xf>
    <xf borderId="13" fillId="12" fontId="115" numFmtId="0" xfId="0" applyAlignment="1" applyBorder="1" applyFont="1">
      <alignment shrinkToFit="0" wrapText="1"/>
    </xf>
    <xf borderId="13" fillId="12" fontId="98" numFmtId="0" xfId="0" applyBorder="1" applyFont="1"/>
    <xf borderId="13" fillId="0" fontId="98" numFmtId="0" xfId="0" applyBorder="1" applyFont="1"/>
    <xf borderId="0" fillId="50" fontId="79" numFmtId="0" xfId="0" applyAlignment="1" applyFont="1">
      <alignment horizontal="center"/>
    </xf>
    <xf borderId="1" fillId="7" fontId="98" numFmtId="0" xfId="0" applyAlignment="1" applyBorder="1" applyFont="1">
      <alignment horizontal="center"/>
    </xf>
    <xf borderId="1" fillId="7" fontId="98" numFmtId="0" xfId="0" applyAlignment="1" applyBorder="1" applyFont="1">
      <alignment horizontal="center" shrinkToFit="0" wrapText="1"/>
    </xf>
    <xf borderId="1" fillId="0" fontId="80" numFmtId="0" xfId="0" applyAlignment="1" applyBorder="1" applyFont="1">
      <alignment horizontal="center"/>
    </xf>
    <xf borderId="1" fillId="0" fontId="98" numFmtId="0" xfId="0" applyAlignment="1" applyBorder="1" applyFont="1">
      <alignment shrinkToFit="0" wrapText="1"/>
    </xf>
    <xf borderId="1" fillId="0" fontId="116" numFmtId="0" xfId="0" applyBorder="1" applyFont="1"/>
    <xf borderId="1" fillId="3" fontId="98" numFmtId="0" xfId="0" applyAlignment="1" applyBorder="1" applyFont="1">
      <alignment shrinkToFit="0" wrapText="1"/>
    </xf>
    <xf borderId="1" fillId="0" fontId="117" numFmtId="0" xfId="0" applyAlignment="1" applyBorder="1" applyFont="1">
      <alignment shrinkToFit="0" wrapText="1"/>
    </xf>
    <xf borderId="1" fillId="0" fontId="80" numFmtId="0" xfId="0" applyAlignment="1" applyBorder="1" applyFont="1">
      <alignment shrinkToFit="0" wrapText="1"/>
    </xf>
    <xf borderId="0" fillId="50" fontId="79" numFmtId="0" xfId="0" applyAlignment="1" applyFont="1">
      <alignment horizontal="center" readingOrder="0" vertical="center"/>
    </xf>
    <xf borderId="0" fillId="0" fontId="80" numFmtId="0" xfId="0" applyAlignment="1" applyFont="1">
      <alignment vertical="center"/>
    </xf>
    <xf borderId="1" fillId="7" fontId="98" numFmtId="0" xfId="0" applyAlignment="1" applyBorder="1" applyFont="1">
      <alignment horizontal="center" readingOrder="0" vertical="center"/>
    </xf>
    <xf borderId="1" fillId="7" fontId="98" numFmtId="0" xfId="0" applyAlignment="1" applyBorder="1" applyFont="1">
      <alignment horizontal="center" readingOrder="0" shrinkToFit="0" vertical="center" wrapText="1"/>
    </xf>
    <xf borderId="7" fillId="0" fontId="98" numFmtId="0" xfId="0" applyAlignment="1" applyBorder="1" applyFont="1">
      <alignment horizontal="center" readingOrder="0" vertical="center"/>
    </xf>
    <xf borderId="1" fillId="0" fontId="80" numFmtId="0" xfId="0" applyAlignment="1" applyBorder="1" applyFont="1">
      <alignment horizontal="center" readingOrder="0" vertical="center"/>
    </xf>
    <xf borderId="1" fillId="0" fontId="80" numFmtId="0" xfId="0" applyAlignment="1" applyBorder="1" applyFont="1">
      <alignment readingOrder="0" vertical="center"/>
    </xf>
    <xf borderId="1" fillId="0" fontId="118" numFmtId="0" xfId="0" applyAlignment="1" applyBorder="1" applyFont="1">
      <alignment horizontal="center" readingOrder="0" shrinkToFit="0" vertical="center" wrapText="1"/>
    </xf>
    <xf borderId="1" fillId="0" fontId="119" numFmtId="0" xfId="0" applyAlignment="1" applyBorder="1" applyFont="1">
      <alignment horizontal="center" readingOrder="0" shrinkToFit="0" vertical="center" wrapText="1"/>
    </xf>
    <xf borderId="7" fillId="21" fontId="98" numFmtId="0" xfId="0" applyAlignment="1" applyBorder="1" applyFont="1">
      <alignment horizontal="center" readingOrder="0" vertical="center"/>
    </xf>
    <xf borderId="1" fillId="21" fontId="80" numFmtId="0" xfId="0" applyAlignment="1" applyBorder="1" applyFont="1">
      <alignment horizontal="center" readingOrder="0" vertical="center"/>
    </xf>
    <xf borderId="1" fillId="21" fontId="80" numFmtId="0" xfId="0" applyAlignment="1" applyBorder="1" applyFont="1">
      <alignment readingOrder="0" vertical="center"/>
    </xf>
    <xf borderId="1" fillId="21" fontId="120" numFmtId="0" xfId="0" applyAlignment="1" applyBorder="1" applyFont="1">
      <alignment horizontal="center" readingOrder="0" shrinkToFit="0" vertical="center" wrapText="1"/>
    </xf>
    <xf borderId="1" fillId="21" fontId="82" numFmtId="0" xfId="0" applyAlignment="1" applyBorder="1" applyFont="1">
      <alignment readingOrder="0" shrinkToFit="0" vertical="center" wrapText="1"/>
    </xf>
    <xf borderId="1" fillId="21" fontId="121" numFmtId="0" xfId="0" applyAlignment="1" applyBorder="1" applyFont="1">
      <alignment horizontal="center" readingOrder="0" shrinkToFit="0" vertical="center" wrapText="1"/>
    </xf>
    <xf borderId="1" fillId="0" fontId="122" numFmtId="0" xfId="0" applyAlignment="1" applyBorder="1" applyFont="1">
      <alignment horizontal="center" shrinkToFit="0" vertical="center" wrapText="1"/>
    </xf>
    <xf borderId="1" fillId="0" fontId="123" numFmtId="0" xfId="0" applyAlignment="1" applyBorder="1" applyFont="1">
      <alignment horizontal="center" shrinkToFit="0" vertical="center" wrapText="1"/>
    </xf>
    <xf borderId="1" fillId="0" fontId="124" numFmtId="0" xfId="0" applyAlignment="1" applyBorder="1" applyFont="1">
      <alignment horizontal="center" shrinkToFit="0" vertical="center" wrapText="1"/>
    </xf>
    <xf borderId="0" fillId="0" fontId="80" numFmtId="0" xfId="0" applyAlignment="1" applyFont="1">
      <alignment horizontal="center" vertical="center"/>
    </xf>
    <xf borderId="0" fillId="0" fontId="80" numFmtId="0" xfId="0" applyAlignment="1" applyFont="1">
      <alignment horizontal="center" shrinkToFit="0" vertical="center" wrapText="1"/>
    </xf>
    <xf borderId="1" fillId="7" fontId="81" numFmtId="0" xfId="0" applyAlignment="1" applyBorder="1" applyFont="1">
      <alignment horizontal="center" readingOrder="0" vertical="center"/>
    </xf>
    <xf borderId="7" fillId="0" fontId="16" numFmtId="0" xfId="0" applyAlignment="1" applyBorder="1" applyFont="1">
      <alignment horizontal="center" readingOrder="0" shrinkToFit="0" vertical="center" wrapText="1"/>
    </xf>
    <xf borderId="1" fillId="2" fontId="125" numFmtId="0" xfId="0" applyAlignment="1" applyBorder="1" applyFont="1">
      <alignment readingOrder="0"/>
    </xf>
    <xf borderId="1" fillId="0" fontId="126" numFmtId="0" xfId="0" applyAlignment="1" applyBorder="1" applyFont="1">
      <alignment readingOrder="0" vertical="center"/>
    </xf>
    <xf borderId="1" fillId="2" fontId="6" numFmtId="0" xfId="0" applyAlignment="1" applyBorder="1" applyFont="1">
      <alignment readingOrder="0"/>
    </xf>
    <xf borderId="1" fillId="0" fontId="127" numFmtId="0" xfId="0" applyAlignment="1" applyBorder="1" applyFont="1">
      <alignment readingOrder="0" vertical="center"/>
    </xf>
    <xf borderId="1" fillId="0" fontId="128" numFmtId="0" xfId="0" applyAlignment="1" applyBorder="1" applyFont="1">
      <alignment readingOrder="0" shrinkToFit="0" vertical="center" wrapText="0"/>
    </xf>
    <xf borderId="1" fillId="0" fontId="129" numFmtId="0" xfId="0" applyAlignment="1" applyBorder="1" applyFont="1">
      <alignment readingOrder="0"/>
    </xf>
    <xf borderId="1" fillId="0" fontId="130" numFmtId="0" xfId="0" applyAlignment="1" applyBorder="1" applyFont="1">
      <alignment readingOrder="0" shrinkToFit="0" vertical="center" wrapText="0"/>
    </xf>
    <xf borderId="7" fillId="21" fontId="16" numFmtId="0" xfId="0" applyAlignment="1" applyBorder="1" applyFont="1">
      <alignment horizontal="center" readingOrder="0" shrinkToFit="0" vertical="center" wrapText="1"/>
    </xf>
    <xf borderId="1" fillId="21" fontId="131" numFmtId="0" xfId="0" applyAlignment="1" applyBorder="1" applyFont="1">
      <alignment horizontal="left" readingOrder="0" shrinkToFit="0" vertical="center" wrapText="1"/>
    </xf>
    <xf borderId="1" fillId="21" fontId="6" numFmtId="0" xfId="0" applyAlignment="1" applyBorder="1" applyFont="1">
      <alignment horizontal="center" shrinkToFit="0" vertical="center" wrapText="1"/>
    </xf>
    <xf borderId="1" fillId="21" fontId="6" numFmtId="0" xfId="0" applyAlignment="1" applyBorder="1" applyFont="1">
      <alignment shrinkToFit="0" vertical="center" wrapText="1"/>
    </xf>
    <xf borderId="1" fillId="21" fontId="132" numFmtId="0" xfId="0" applyAlignment="1" applyBorder="1" applyFont="1">
      <alignment horizontal="left" shrinkToFit="0" vertical="center" wrapText="1"/>
    </xf>
    <xf borderId="1" fillId="21" fontId="133" numFmtId="0" xfId="0" applyAlignment="1" applyBorder="1" applyFont="1">
      <alignment shrinkToFit="0" vertical="center" wrapText="1"/>
    </xf>
    <xf borderId="1" fillId="21" fontId="134" numFmtId="0" xfId="0" applyAlignment="1" applyBorder="1" applyFont="1">
      <alignment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readingOrder="0" shrinkToFit="0" vertical="center" wrapText="1"/>
    </xf>
    <xf borderId="1" fillId="0" fontId="135" numFmtId="0" xfId="0" applyAlignment="1" applyBorder="1" applyFont="1">
      <alignment readingOrder="0" shrinkToFit="0" vertical="center" wrapText="1"/>
    </xf>
    <xf borderId="1" fillId="21" fontId="16" numFmtId="0" xfId="0" applyAlignment="1" applyBorder="1" applyFont="1">
      <alignment horizontal="center" readingOrder="0" shrinkToFit="0" vertical="center" wrapText="1"/>
    </xf>
    <xf borderId="1" fillId="21" fontId="16" numFmtId="0" xfId="0" applyAlignment="1" applyBorder="1" applyFont="1">
      <alignment horizontal="center" shrinkToFit="0" vertical="center" wrapText="1"/>
    </xf>
    <xf borderId="1" fillId="21" fontId="16" numFmtId="0" xfId="0" applyAlignment="1" applyBorder="1" applyFont="1">
      <alignment readingOrder="0" shrinkToFit="0" vertical="center" wrapText="1"/>
    </xf>
    <xf borderId="1" fillId="21" fontId="136" numFmtId="0" xfId="0" applyAlignment="1" applyBorder="1" applyFont="1">
      <alignment readingOrder="0" shrinkToFit="0" vertical="center" wrapText="1"/>
    </xf>
    <xf borderId="1" fillId="0" fontId="16" numFmtId="0" xfId="0" applyAlignment="1" applyBorder="1" applyFont="1">
      <alignment horizontal="center" shrinkToFit="0" vertical="center" wrapText="1"/>
    </xf>
    <xf borderId="1" fillId="0" fontId="137" numFmtId="0" xfId="0" applyAlignment="1" applyBorder="1" applyFont="1">
      <alignment readingOrder="0" shrinkToFit="0" vertical="center" wrapText="1"/>
    </xf>
    <xf borderId="1" fillId="21" fontId="138" numFmtId="0" xfId="0" applyAlignment="1" applyBorder="1" applyFont="1">
      <alignment readingOrder="0" shrinkToFit="0" vertical="center" wrapText="1"/>
    </xf>
    <xf borderId="1" fillId="0" fontId="139" numFmtId="0" xfId="0" applyAlignment="1" applyBorder="1" applyFont="1">
      <alignment readingOrder="0" shrinkToFit="0" vertical="center" wrapText="1"/>
    </xf>
    <xf borderId="1" fillId="0" fontId="140" numFmtId="0" xfId="0" applyAlignment="1" applyBorder="1" applyFont="1">
      <alignment shrinkToFit="0" vertical="center" wrapText="1"/>
    </xf>
    <xf borderId="1" fillId="21" fontId="141" numFmtId="0" xfId="0" applyAlignment="1" applyBorder="1" applyFont="1">
      <alignment shrinkToFit="0" vertical="center" wrapText="1"/>
    </xf>
    <xf borderId="1" fillId="21" fontId="142" numFmtId="0" xfId="0" applyAlignment="1" applyBorder="1" applyFont="1">
      <alignment shrinkToFit="0" vertical="center" wrapText="1"/>
    </xf>
    <xf borderId="1" fillId="0" fontId="143" numFmtId="0" xfId="0" applyAlignment="1" applyBorder="1" applyFont="1">
      <alignment readingOrder="0" shrinkToFit="0" vertical="center" wrapText="1"/>
    </xf>
    <xf borderId="1" fillId="21" fontId="144" numFmtId="0" xfId="0" applyAlignment="1" applyBorder="1" applyFont="1">
      <alignment readingOrder="0" shrinkToFit="0" vertical="center" wrapText="1"/>
    </xf>
    <xf borderId="1" fillId="0" fontId="145" numFmtId="0" xfId="0" applyAlignment="1" applyBorder="1" applyFont="1">
      <alignment readingOrder="0" shrinkToFit="0" vertical="center" wrapText="1"/>
    </xf>
    <xf borderId="1" fillId="0" fontId="146" numFmtId="0" xfId="0" applyAlignment="1" applyBorder="1" applyFont="1">
      <alignment readingOrder="0" shrinkToFit="0" vertical="center" wrapText="1"/>
    </xf>
    <xf borderId="1" fillId="0" fontId="147" numFmtId="0" xfId="0" applyAlignment="1" applyBorder="1" applyFont="1">
      <alignment readingOrder="0" shrinkToFit="0" vertical="center" wrapText="1"/>
    </xf>
    <xf borderId="1" fillId="0" fontId="148"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149" numFmtId="0" xfId="0" applyAlignment="1" applyBorder="1" applyFont="1">
      <alignment shrinkToFit="0" vertical="center" wrapText="1"/>
    </xf>
    <xf borderId="1" fillId="21" fontId="16" numFmtId="0" xfId="0" applyAlignment="1" applyBorder="1" applyFont="1">
      <alignment horizontal="center" shrinkToFit="0" vertical="center" wrapText="1"/>
    </xf>
    <xf borderId="1" fillId="21" fontId="150" numFmtId="0" xfId="0" applyAlignment="1" applyBorder="1" applyFont="1">
      <alignment readingOrder="0" shrinkToFit="0" vertical="center" wrapText="1"/>
    </xf>
    <xf borderId="1" fillId="21" fontId="98" numFmtId="0" xfId="0" applyAlignment="1" applyBorder="1" applyFont="1">
      <alignment horizontal="center" readingOrder="0"/>
    </xf>
    <xf borderId="1" fillId="21" fontId="98" numFmtId="0" xfId="0" applyAlignment="1" applyBorder="1" applyFont="1">
      <alignment readingOrder="0" shrinkToFit="0" wrapText="1"/>
    </xf>
    <xf borderId="1" fillId="21" fontId="151" numFmtId="0" xfId="0" applyAlignment="1" applyBorder="1" applyFont="1">
      <alignment readingOrder="0"/>
    </xf>
    <xf borderId="1" fillId="0" fontId="98" numFmtId="0" xfId="0" applyAlignment="1" applyBorder="1" applyFont="1">
      <alignment horizontal="center" readingOrder="0"/>
    </xf>
    <xf borderId="1" fillId="0" fontId="98" numFmtId="0" xfId="0" applyAlignment="1" applyBorder="1" applyFont="1">
      <alignment horizontal="center"/>
    </xf>
    <xf borderId="1" fillId="0" fontId="98" numFmtId="0" xfId="0" applyAlignment="1" applyBorder="1" applyFont="1">
      <alignment readingOrder="0" shrinkToFit="0" wrapText="1"/>
    </xf>
    <xf borderId="1" fillId="0" fontId="152" numFmtId="0" xfId="0" applyAlignment="1" applyBorder="1" applyFont="1">
      <alignment readingOrder="0"/>
    </xf>
    <xf borderId="1" fillId="0" fontId="153" numFmtId="0" xfId="0" applyAlignment="1" applyBorder="1" applyFont="1">
      <alignment readingOrder="0"/>
    </xf>
    <xf borderId="1" fillId="0" fontId="154" numFmtId="0" xfId="0" applyAlignment="1" applyBorder="1" applyFont="1">
      <alignment readingOrder="0"/>
    </xf>
  </cellXfs>
  <cellStyles count="1">
    <cellStyle xfId="0" name="Normal" builtinId="0"/>
  </cellStyles>
  <dxfs count="4">
    <dxf>
      <font/>
      <fill>
        <patternFill patternType="none"/>
      </fill>
      <border/>
    </dxf>
    <dxf>
      <font>
        <color rgb="FF000000"/>
      </font>
      <fill>
        <patternFill patternType="solid">
          <fgColor rgb="FF93C47D"/>
          <bgColor rgb="FF93C47D"/>
        </patternFill>
      </fill>
      <border/>
    </dxf>
    <dxf>
      <font/>
      <fill>
        <patternFill patternType="solid">
          <fgColor rgb="FF3D85C6"/>
          <bgColor rgb="FF3D85C6"/>
        </patternFill>
      </fill>
      <border/>
    </dxf>
    <dxf>
      <font/>
      <fill>
        <patternFill patternType="solid">
          <fgColor rgb="FFF6B26B"/>
          <bgColor rgb="FFF6B26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23</xdr:row>
      <xdr:rowOff>76200</xdr:rowOff>
    </xdr:from>
    <xdr:ext cx="19507200" cy="23717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476250</xdr:colOff>
      <xdr:row>41</xdr:row>
      <xdr:rowOff>219075</xdr:rowOff>
    </xdr:from>
    <xdr:ext cx="19507200" cy="25050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olbuclass.notion.site/28-31a00189764780c59d99c703dbd06c3e?source=copy_link" TargetMode="External"/><Relationship Id="rId2" Type="http://schemas.openxmlformats.org/officeDocument/2006/relationships/hyperlink" Target="https://docs.google.com/spreadsheets/d/1Za74CrTod0LgydiKjNOEokqv8oo9-AS3Kc2IzLefuGU/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cafe.naver.com/wecando7/3181152" TargetMode="External"/><Relationship Id="rId22" Type="http://schemas.openxmlformats.org/officeDocument/2006/relationships/hyperlink" Target="https://cafe.naver.com/wecando7/2084495" TargetMode="External"/><Relationship Id="rId21" Type="http://schemas.openxmlformats.org/officeDocument/2006/relationships/hyperlink" Target="https://cafe.naver.com/wecando7/1426939" TargetMode="External"/><Relationship Id="rId24" Type="http://schemas.openxmlformats.org/officeDocument/2006/relationships/hyperlink" Target="https://cafe.naver.com/wecando7/1426939" TargetMode="External"/><Relationship Id="rId23" Type="http://schemas.openxmlformats.org/officeDocument/2006/relationships/hyperlink" Target="https://cafe.naver.com/wecando7/3406033" TargetMode="External"/><Relationship Id="rId1" Type="http://schemas.openxmlformats.org/officeDocument/2006/relationships/hyperlink" Target="https://cafe.naver.com/wecando7/1453246" TargetMode="External"/><Relationship Id="rId2" Type="http://schemas.openxmlformats.org/officeDocument/2006/relationships/hyperlink" Target="https://cafe.naver.com/wecando7/2032228" TargetMode="External"/><Relationship Id="rId3" Type="http://schemas.openxmlformats.org/officeDocument/2006/relationships/hyperlink" Target="https://cafe.naver.com/wecando7/5779102" TargetMode="External"/><Relationship Id="rId4" Type="http://schemas.openxmlformats.org/officeDocument/2006/relationships/hyperlink" Target="https://cafe.naver.com/wecando7/1755452" TargetMode="External"/><Relationship Id="rId9" Type="http://schemas.openxmlformats.org/officeDocument/2006/relationships/hyperlink" Target="https://cafe.naver.com/wecando7/3688654" TargetMode="External"/><Relationship Id="rId26" Type="http://schemas.openxmlformats.org/officeDocument/2006/relationships/hyperlink" Target="https://cafe.naver.com/wecando7/3394093" TargetMode="External"/><Relationship Id="rId25" Type="http://schemas.openxmlformats.org/officeDocument/2006/relationships/hyperlink" Target="https://m.cafe.naver.com/wecando7/404516" TargetMode="External"/><Relationship Id="rId28" Type="http://schemas.openxmlformats.org/officeDocument/2006/relationships/hyperlink" Target="https://cafe.naver.com/wecando7/1426939" TargetMode="External"/><Relationship Id="rId27" Type="http://schemas.openxmlformats.org/officeDocument/2006/relationships/hyperlink" Target="https://cafe.naver.com/wecando7/2262967" TargetMode="External"/><Relationship Id="rId5" Type="http://schemas.openxmlformats.org/officeDocument/2006/relationships/hyperlink" Target="https://cafe.naver.com/wecando7/2856883" TargetMode="External"/><Relationship Id="rId6" Type="http://schemas.openxmlformats.org/officeDocument/2006/relationships/hyperlink" Target="https://cafe.naver.com/wecando7/2076042" TargetMode="External"/><Relationship Id="rId29" Type="http://schemas.openxmlformats.org/officeDocument/2006/relationships/hyperlink" Target="https://cafe.naver.com/wecando7/5837732" TargetMode="External"/><Relationship Id="rId7" Type="http://schemas.openxmlformats.org/officeDocument/2006/relationships/hyperlink" Target="https://cafe.naver.com/wecando7/3688654" TargetMode="External"/><Relationship Id="rId8" Type="http://schemas.openxmlformats.org/officeDocument/2006/relationships/hyperlink" Target="https://cafe.naver.com/wecando7/3688654" TargetMode="External"/><Relationship Id="rId31" Type="http://schemas.openxmlformats.org/officeDocument/2006/relationships/hyperlink" Target="https://cafe.naver.com/wecando7/6787585" TargetMode="External"/><Relationship Id="rId30" Type="http://schemas.openxmlformats.org/officeDocument/2006/relationships/hyperlink" Target="https://cafe.naver.com/wecando7/6023927" TargetMode="External"/><Relationship Id="rId11" Type="http://schemas.openxmlformats.org/officeDocument/2006/relationships/hyperlink" Target="https://cafe.naver.com/wecando7/2549733" TargetMode="External"/><Relationship Id="rId33" Type="http://schemas.openxmlformats.org/officeDocument/2006/relationships/hyperlink" Target="https://cafe.naver.com/wecando7/7010901" TargetMode="External"/><Relationship Id="rId10" Type="http://schemas.openxmlformats.org/officeDocument/2006/relationships/hyperlink" Target="https://cafe.naver.com/wecando7/2376666" TargetMode="External"/><Relationship Id="rId32" Type="http://schemas.openxmlformats.org/officeDocument/2006/relationships/hyperlink" Target="https://cafe.naver.com/wecando7/7127583" TargetMode="External"/><Relationship Id="rId13" Type="http://schemas.openxmlformats.org/officeDocument/2006/relationships/hyperlink" Target="https://cafe.naver.com/wecando7/3688654" TargetMode="External"/><Relationship Id="rId12" Type="http://schemas.openxmlformats.org/officeDocument/2006/relationships/hyperlink" Target="https://cafe.naver.com/wecando7/1755452" TargetMode="External"/><Relationship Id="rId34" Type="http://schemas.openxmlformats.org/officeDocument/2006/relationships/drawing" Target="../drawings/drawing11.xml"/><Relationship Id="rId15" Type="http://schemas.openxmlformats.org/officeDocument/2006/relationships/hyperlink" Target="https://cafe.naver.com/wecando7/2633843" TargetMode="External"/><Relationship Id="rId14" Type="http://schemas.openxmlformats.org/officeDocument/2006/relationships/hyperlink" Target="https://cafe.naver.com/wecando7/2079077" TargetMode="External"/><Relationship Id="rId17" Type="http://schemas.openxmlformats.org/officeDocument/2006/relationships/hyperlink" Target="https://cafe.naver.com/wecando7/2376666" TargetMode="External"/><Relationship Id="rId16" Type="http://schemas.openxmlformats.org/officeDocument/2006/relationships/hyperlink" Target="https://cafe.naver.com/wecando7/388677" TargetMode="External"/><Relationship Id="rId19" Type="http://schemas.openxmlformats.org/officeDocument/2006/relationships/hyperlink" Target="https://cafe.naver.com/wecando7/1832392" TargetMode="External"/><Relationship Id="rId18" Type="http://schemas.openxmlformats.org/officeDocument/2006/relationships/hyperlink" Target="https://cafe.naver.com/wecando7/2549733"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cafe.naver.com/wecando7/1505719" TargetMode="External"/><Relationship Id="rId42" Type="http://schemas.openxmlformats.org/officeDocument/2006/relationships/hyperlink" Target="https://cafe.naver.com/wecando7/8623990" TargetMode="External"/><Relationship Id="rId41" Type="http://schemas.openxmlformats.org/officeDocument/2006/relationships/hyperlink" Target="https://cafe.naver.com/wecando7/4413784" TargetMode="External"/><Relationship Id="rId44" Type="http://schemas.openxmlformats.org/officeDocument/2006/relationships/hyperlink" Target="https://cafe.naver.com/wecando7/8623985" TargetMode="External"/><Relationship Id="rId43" Type="http://schemas.openxmlformats.org/officeDocument/2006/relationships/hyperlink" Target="https://cafe.naver.com/wecando7/8623988" TargetMode="External"/><Relationship Id="rId46" Type="http://schemas.openxmlformats.org/officeDocument/2006/relationships/hyperlink" Target="https://cafe.naver.com/wecando7/7821123" TargetMode="External"/><Relationship Id="rId45" Type="http://schemas.openxmlformats.org/officeDocument/2006/relationships/hyperlink" Target="https://cafe.naver.com/wecando7/7875370" TargetMode="External"/><Relationship Id="rId107" Type="http://schemas.openxmlformats.org/officeDocument/2006/relationships/hyperlink" Target="https://cafe.naver.com/wecando7/3688654" TargetMode="External"/><Relationship Id="rId106" Type="http://schemas.openxmlformats.org/officeDocument/2006/relationships/hyperlink" Target="https://cafe.naver.com/wecando7/3688654" TargetMode="External"/><Relationship Id="rId105" Type="http://schemas.openxmlformats.org/officeDocument/2006/relationships/hyperlink" Target="https://cafe.naver.com/wecando7/2076042" TargetMode="External"/><Relationship Id="rId104" Type="http://schemas.openxmlformats.org/officeDocument/2006/relationships/hyperlink" Target="https://cafe.naver.com/wecando7/2856883" TargetMode="External"/><Relationship Id="rId109" Type="http://schemas.openxmlformats.org/officeDocument/2006/relationships/hyperlink" Target="https://cafe.naver.com/wecando7/2376666" TargetMode="External"/><Relationship Id="rId108" Type="http://schemas.openxmlformats.org/officeDocument/2006/relationships/hyperlink" Target="https://cafe.naver.com/wecando7/3688654" TargetMode="External"/><Relationship Id="rId48" Type="http://schemas.openxmlformats.org/officeDocument/2006/relationships/hyperlink" Target="https://cafe.naver.com/wecando7/8406128" TargetMode="External"/><Relationship Id="rId47" Type="http://schemas.openxmlformats.org/officeDocument/2006/relationships/hyperlink" Target="https://cafe.naver.com/wecando7/4928073" TargetMode="External"/><Relationship Id="rId49" Type="http://schemas.openxmlformats.org/officeDocument/2006/relationships/hyperlink" Target="https://cafe.naver.com/wecando7/2035054" TargetMode="External"/><Relationship Id="rId103" Type="http://schemas.openxmlformats.org/officeDocument/2006/relationships/hyperlink" Target="https://cafe.naver.com/wecando7/1755452" TargetMode="External"/><Relationship Id="rId102" Type="http://schemas.openxmlformats.org/officeDocument/2006/relationships/hyperlink" Target="https://cafe.naver.com/wecando7/5779102" TargetMode="External"/><Relationship Id="rId101" Type="http://schemas.openxmlformats.org/officeDocument/2006/relationships/hyperlink" Target="https://cafe.naver.com/wecando7/2032228" TargetMode="External"/><Relationship Id="rId100" Type="http://schemas.openxmlformats.org/officeDocument/2006/relationships/hyperlink" Target="https://cafe.naver.com/wecando7/6145401" TargetMode="External"/><Relationship Id="rId31" Type="http://schemas.openxmlformats.org/officeDocument/2006/relationships/hyperlink" Target="https://cafe.naver.com/wecando7/7768660" TargetMode="External"/><Relationship Id="rId30" Type="http://schemas.openxmlformats.org/officeDocument/2006/relationships/hyperlink" Target="https://cafe.naver.com/wecando7/3626763" TargetMode="External"/><Relationship Id="rId33" Type="http://schemas.openxmlformats.org/officeDocument/2006/relationships/hyperlink" Target="https://cafe.naver.com/wecando7/5007023" TargetMode="External"/><Relationship Id="rId32" Type="http://schemas.openxmlformats.org/officeDocument/2006/relationships/hyperlink" Target="https://cafe.naver.com/wecando7/6018730" TargetMode="External"/><Relationship Id="rId35" Type="http://schemas.openxmlformats.org/officeDocument/2006/relationships/hyperlink" Target="https://cafe.naver.com/wecando7/4317796" TargetMode="External"/><Relationship Id="rId34" Type="http://schemas.openxmlformats.org/officeDocument/2006/relationships/hyperlink" Target="https://cafe.naver.com/wecando7/7555721" TargetMode="External"/><Relationship Id="rId37" Type="http://schemas.openxmlformats.org/officeDocument/2006/relationships/hyperlink" Target="https://cafe.naver.com/wecando7/6605200" TargetMode="External"/><Relationship Id="rId36" Type="http://schemas.openxmlformats.org/officeDocument/2006/relationships/hyperlink" Target="https://cafe.naver.com/wecando7/3811158" TargetMode="External"/><Relationship Id="rId39" Type="http://schemas.openxmlformats.org/officeDocument/2006/relationships/hyperlink" Target="https://cafe.naver.com/wecando7/5664146" TargetMode="External"/><Relationship Id="rId38" Type="http://schemas.openxmlformats.org/officeDocument/2006/relationships/hyperlink" Target="https://cafe.naver.com/wecando7/4940894" TargetMode="External"/><Relationship Id="rId20" Type="http://schemas.openxmlformats.org/officeDocument/2006/relationships/hyperlink" Target="https://cafe.naver.com/wecando7/3761443" TargetMode="External"/><Relationship Id="rId22" Type="http://schemas.openxmlformats.org/officeDocument/2006/relationships/hyperlink" Target="https://map.jigu.go.kr/map.do" TargetMode="External"/><Relationship Id="rId21" Type="http://schemas.openxmlformats.org/officeDocument/2006/relationships/hyperlink" Target="https://cafe.naver.com/wecando7/4843934" TargetMode="External"/><Relationship Id="rId24" Type="http://schemas.openxmlformats.org/officeDocument/2006/relationships/hyperlink" Target="https://cafe.naver.com/wecando7/7323370" TargetMode="External"/><Relationship Id="rId23" Type="http://schemas.openxmlformats.org/officeDocument/2006/relationships/hyperlink" Target="https://cafe.naver.com/wecando7/3728915" TargetMode="External"/><Relationship Id="rId129" Type="http://schemas.openxmlformats.org/officeDocument/2006/relationships/hyperlink" Target="https://cafe.naver.com/wecando7/4378259" TargetMode="External"/><Relationship Id="rId128" Type="http://schemas.openxmlformats.org/officeDocument/2006/relationships/hyperlink" Target="https://cafe.naver.com/wecando7/5837732" TargetMode="External"/><Relationship Id="rId127" Type="http://schemas.openxmlformats.org/officeDocument/2006/relationships/hyperlink" Target="https://cafe.naver.com/wecando7/5724975" TargetMode="External"/><Relationship Id="rId126" Type="http://schemas.openxmlformats.org/officeDocument/2006/relationships/hyperlink" Target="https://cafe.naver.com/wecando7/7010901" TargetMode="External"/><Relationship Id="rId26" Type="http://schemas.openxmlformats.org/officeDocument/2006/relationships/hyperlink" Target="https://cafe.naver.com/wecando7/2238077" TargetMode="External"/><Relationship Id="rId121" Type="http://schemas.openxmlformats.org/officeDocument/2006/relationships/hyperlink" Target="https://cafe.naver.com/wecando7/2084495" TargetMode="External"/><Relationship Id="rId25" Type="http://schemas.openxmlformats.org/officeDocument/2006/relationships/hyperlink" Target="https://cafe.naver.com/wecando7/3671614" TargetMode="External"/><Relationship Id="rId120" Type="http://schemas.openxmlformats.org/officeDocument/2006/relationships/hyperlink" Target="https://cafe.naver.com/wecando7/1426939" TargetMode="External"/><Relationship Id="rId28" Type="http://schemas.openxmlformats.org/officeDocument/2006/relationships/hyperlink" Target="https://cafe.naver.com/wecando7/4219490" TargetMode="External"/><Relationship Id="rId27" Type="http://schemas.openxmlformats.org/officeDocument/2006/relationships/hyperlink" Target="https://cafe.naver.com/wecando7/3076002" TargetMode="External"/><Relationship Id="rId125" Type="http://schemas.openxmlformats.org/officeDocument/2006/relationships/hyperlink" Target="https://cafe.naver.com/wecando7/2262967" TargetMode="External"/><Relationship Id="rId29" Type="http://schemas.openxmlformats.org/officeDocument/2006/relationships/hyperlink" Target="https://cafe.naver.com/wecando7/4384471" TargetMode="External"/><Relationship Id="rId124" Type="http://schemas.openxmlformats.org/officeDocument/2006/relationships/hyperlink" Target="https://cafe.naver.com/wecando7/3394093" TargetMode="External"/><Relationship Id="rId123" Type="http://schemas.openxmlformats.org/officeDocument/2006/relationships/hyperlink" Target="https://cafe.naver.com/wecando7/1426939" TargetMode="External"/><Relationship Id="rId122" Type="http://schemas.openxmlformats.org/officeDocument/2006/relationships/hyperlink" Target="https://cafe.naver.com/wecando7/3406033" TargetMode="External"/><Relationship Id="rId95" Type="http://schemas.openxmlformats.org/officeDocument/2006/relationships/hyperlink" Target="https://cafe.naver.com/wecando7/5974253" TargetMode="External"/><Relationship Id="rId94" Type="http://schemas.openxmlformats.org/officeDocument/2006/relationships/hyperlink" Target="https://cafe.naver.com/wecando7/8014103" TargetMode="External"/><Relationship Id="rId97" Type="http://schemas.openxmlformats.org/officeDocument/2006/relationships/hyperlink" Target="https://cafe.naver.com/wecando7/6194067" TargetMode="External"/><Relationship Id="rId96" Type="http://schemas.openxmlformats.org/officeDocument/2006/relationships/hyperlink" Target="https://cafe.naver.com/wecando7/6189485" TargetMode="External"/><Relationship Id="rId11" Type="http://schemas.openxmlformats.org/officeDocument/2006/relationships/hyperlink" Target="https://cafe.naver.com/wecando7/6495264" TargetMode="External"/><Relationship Id="rId99" Type="http://schemas.openxmlformats.org/officeDocument/2006/relationships/hyperlink" Target="https://cafe.naver.com/wecando7/5108098" TargetMode="External"/><Relationship Id="rId10" Type="http://schemas.openxmlformats.org/officeDocument/2006/relationships/hyperlink" Target="https://cafe.naver.com/wecando7/8113685" TargetMode="External"/><Relationship Id="rId98" Type="http://schemas.openxmlformats.org/officeDocument/2006/relationships/hyperlink" Target="https://cafe.naver.com/wecando7/5984911" TargetMode="External"/><Relationship Id="rId13" Type="http://schemas.openxmlformats.org/officeDocument/2006/relationships/hyperlink" Target="https://cafe.naver.com/wecando7/8305177" TargetMode="External"/><Relationship Id="rId12" Type="http://schemas.openxmlformats.org/officeDocument/2006/relationships/hyperlink" Target="https://cafe.naver.com/wecando7/8578319" TargetMode="External"/><Relationship Id="rId91" Type="http://schemas.openxmlformats.org/officeDocument/2006/relationships/hyperlink" Target="https://cafe.naver.com/wecando7/8315526" TargetMode="External"/><Relationship Id="rId90" Type="http://schemas.openxmlformats.org/officeDocument/2006/relationships/hyperlink" Target="https://cafe.naver.com/wecando7/8284975" TargetMode="External"/><Relationship Id="rId93" Type="http://schemas.openxmlformats.org/officeDocument/2006/relationships/hyperlink" Target="https://cafe.naver.com/wecando7/8523242" TargetMode="External"/><Relationship Id="rId92" Type="http://schemas.openxmlformats.org/officeDocument/2006/relationships/hyperlink" Target="https://cafe.naver.com/wecando7/8117597" TargetMode="External"/><Relationship Id="rId118" Type="http://schemas.openxmlformats.org/officeDocument/2006/relationships/hyperlink" Target="https://cafe.naver.com/wecando7/1832392" TargetMode="External"/><Relationship Id="rId117" Type="http://schemas.openxmlformats.org/officeDocument/2006/relationships/hyperlink" Target="https://cafe.naver.com/wecando7/2549733" TargetMode="External"/><Relationship Id="rId116" Type="http://schemas.openxmlformats.org/officeDocument/2006/relationships/hyperlink" Target="https://cafe.naver.com/wecando7/2376666" TargetMode="External"/><Relationship Id="rId115" Type="http://schemas.openxmlformats.org/officeDocument/2006/relationships/hyperlink" Target="https://cafe.naver.com/wecando7/388677" TargetMode="External"/><Relationship Id="rId119" Type="http://schemas.openxmlformats.org/officeDocument/2006/relationships/hyperlink" Target="https://cafe.naver.com/wecando7/3181152" TargetMode="External"/><Relationship Id="rId15" Type="http://schemas.openxmlformats.org/officeDocument/2006/relationships/hyperlink" Target="https://cafe.naver.com/wecando7/8412702" TargetMode="External"/><Relationship Id="rId110" Type="http://schemas.openxmlformats.org/officeDocument/2006/relationships/hyperlink" Target="https://cafe.naver.com/wecando7/2549733" TargetMode="External"/><Relationship Id="rId14" Type="http://schemas.openxmlformats.org/officeDocument/2006/relationships/hyperlink" Target="https://cafe.naver.com/wecando7/8357765" TargetMode="External"/><Relationship Id="rId17" Type="http://schemas.openxmlformats.org/officeDocument/2006/relationships/hyperlink" Target="https://cafe.naver.com/wecando7/7911202" TargetMode="External"/><Relationship Id="rId16" Type="http://schemas.openxmlformats.org/officeDocument/2006/relationships/hyperlink" Target="https://cafe.naver.com/wecando7/7824361" TargetMode="External"/><Relationship Id="rId19" Type="http://schemas.openxmlformats.org/officeDocument/2006/relationships/hyperlink" Target="https://cafe.naver.com/wecando7/7777351" TargetMode="External"/><Relationship Id="rId114" Type="http://schemas.openxmlformats.org/officeDocument/2006/relationships/hyperlink" Target="https://cafe.naver.com/wecando7/2633843" TargetMode="External"/><Relationship Id="rId18" Type="http://schemas.openxmlformats.org/officeDocument/2006/relationships/hyperlink" Target="https://cafe.naver.com/wecando7/8379490" TargetMode="External"/><Relationship Id="rId113" Type="http://schemas.openxmlformats.org/officeDocument/2006/relationships/hyperlink" Target="https://cafe.naver.com/wecando7/2079077" TargetMode="External"/><Relationship Id="rId112" Type="http://schemas.openxmlformats.org/officeDocument/2006/relationships/hyperlink" Target="https://cafe.naver.com/wecando7/3688654" TargetMode="External"/><Relationship Id="rId111" Type="http://schemas.openxmlformats.org/officeDocument/2006/relationships/hyperlink" Target="https://cafe.naver.com/wecando7/1755452" TargetMode="External"/><Relationship Id="rId84" Type="http://schemas.openxmlformats.org/officeDocument/2006/relationships/hyperlink" Target="https://cafe.naver.com/wecando7/6057999" TargetMode="External"/><Relationship Id="rId83" Type="http://schemas.openxmlformats.org/officeDocument/2006/relationships/hyperlink" Target="https://cafe.naver.com/wecando7/5009472" TargetMode="External"/><Relationship Id="rId86" Type="http://schemas.openxmlformats.org/officeDocument/2006/relationships/hyperlink" Target="https://cafe.naver.com/wecando7/7936146" TargetMode="External"/><Relationship Id="rId85" Type="http://schemas.openxmlformats.org/officeDocument/2006/relationships/hyperlink" Target="https://cafe.naver.com/wecando7/7379639" TargetMode="External"/><Relationship Id="rId88" Type="http://schemas.openxmlformats.org/officeDocument/2006/relationships/hyperlink" Target="https://cafe.naver.com/wecando7/6713909" TargetMode="External"/><Relationship Id="rId87" Type="http://schemas.openxmlformats.org/officeDocument/2006/relationships/hyperlink" Target="https://cafe.naver.com/wecando7/7090425" TargetMode="External"/><Relationship Id="rId89" Type="http://schemas.openxmlformats.org/officeDocument/2006/relationships/hyperlink" Target="https://cafe.naver.com/wecando7/7997056" TargetMode="External"/><Relationship Id="rId80" Type="http://schemas.openxmlformats.org/officeDocument/2006/relationships/hyperlink" Target="https://cafe.naver.com/wecando7/6033219" TargetMode="External"/><Relationship Id="rId82" Type="http://schemas.openxmlformats.org/officeDocument/2006/relationships/hyperlink" Target="https://cafe.naver.com/wecando7/5710362" TargetMode="External"/><Relationship Id="rId81" Type="http://schemas.openxmlformats.org/officeDocument/2006/relationships/hyperlink" Target="https://cafe.naver.com/wecando7/8495142" TargetMode="External"/><Relationship Id="rId1" Type="http://schemas.openxmlformats.org/officeDocument/2006/relationships/hyperlink" Target="https://cafe.naver.com/wecando7/2002841" TargetMode="External"/><Relationship Id="rId2" Type="http://schemas.openxmlformats.org/officeDocument/2006/relationships/hyperlink" Target="https://cafe.naver.com/wecando7/1657626" TargetMode="External"/><Relationship Id="rId3" Type="http://schemas.openxmlformats.org/officeDocument/2006/relationships/hyperlink" Target="https://cafe.naver.com/wecando7/8106234" TargetMode="External"/><Relationship Id="rId4" Type="http://schemas.openxmlformats.org/officeDocument/2006/relationships/hyperlink" Target="https://cafe.naver.com/wecando7/7703057" TargetMode="External"/><Relationship Id="rId9" Type="http://schemas.openxmlformats.org/officeDocument/2006/relationships/hyperlink" Target="https://cafe.naver.com/wecando7/8130775" TargetMode="External"/><Relationship Id="rId143" Type="http://schemas.openxmlformats.org/officeDocument/2006/relationships/hyperlink" Target="https://cafe.naver.com/wecando7/2947056" TargetMode="External"/><Relationship Id="rId142" Type="http://schemas.openxmlformats.org/officeDocument/2006/relationships/hyperlink" Target="https://cafe.naver.com/wecando7/3209807" TargetMode="External"/><Relationship Id="rId141" Type="http://schemas.openxmlformats.org/officeDocument/2006/relationships/hyperlink" Target="https://cafe.naver.com/wecando7/4037370" TargetMode="External"/><Relationship Id="rId140" Type="http://schemas.openxmlformats.org/officeDocument/2006/relationships/hyperlink" Target="https://cafe.naver.com/wecando7/3125070" TargetMode="External"/><Relationship Id="rId5" Type="http://schemas.openxmlformats.org/officeDocument/2006/relationships/hyperlink" Target="https://cafe.naver.com/wecando7/6799753" TargetMode="External"/><Relationship Id="rId6" Type="http://schemas.openxmlformats.org/officeDocument/2006/relationships/hyperlink" Target="https://cafe.naver.com/wecando7/7765183" TargetMode="External"/><Relationship Id="rId146" Type="http://schemas.openxmlformats.org/officeDocument/2006/relationships/drawing" Target="../drawings/drawing12.xml"/><Relationship Id="rId7" Type="http://schemas.openxmlformats.org/officeDocument/2006/relationships/hyperlink" Target="https://cafe.naver.com/wecando7/8278801" TargetMode="External"/><Relationship Id="rId145" Type="http://schemas.openxmlformats.org/officeDocument/2006/relationships/hyperlink" Target="https://cafe.naver.com/wecando7/3465498" TargetMode="External"/><Relationship Id="rId8" Type="http://schemas.openxmlformats.org/officeDocument/2006/relationships/hyperlink" Target="https://cafe.naver.com/wecando7/8156714" TargetMode="External"/><Relationship Id="rId144" Type="http://schemas.openxmlformats.org/officeDocument/2006/relationships/hyperlink" Target="https://cafe.naver.com/wecando7/3481165" TargetMode="External"/><Relationship Id="rId73" Type="http://schemas.openxmlformats.org/officeDocument/2006/relationships/hyperlink" Target="https://cafe.naver.com/wecando7/4171889" TargetMode="External"/><Relationship Id="rId72" Type="http://schemas.openxmlformats.org/officeDocument/2006/relationships/hyperlink" Target="https://cafe.naver.com/wecando7/6562052" TargetMode="External"/><Relationship Id="rId75" Type="http://schemas.openxmlformats.org/officeDocument/2006/relationships/hyperlink" Target="https://cafe.naver.com/wecando7/2724346" TargetMode="External"/><Relationship Id="rId74" Type="http://schemas.openxmlformats.org/officeDocument/2006/relationships/hyperlink" Target="https://cafe.naver.com/wecando7/6752992" TargetMode="External"/><Relationship Id="rId77" Type="http://schemas.openxmlformats.org/officeDocument/2006/relationships/hyperlink" Target="https://cafe.naver.com/wecando7/4790499" TargetMode="External"/><Relationship Id="rId76" Type="http://schemas.openxmlformats.org/officeDocument/2006/relationships/hyperlink" Target="https://cafe.naver.com/wecando7/4980112" TargetMode="External"/><Relationship Id="rId79" Type="http://schemas.openxmlformats.org/officeDocument/2006/relationships/hyperlink" Target="https://cafe.naver.com/wecando7/4960799" TargetMode="External"/><Relationship Id="rId78" Type="http://schemas.openxmlformats.org/officeDocument/2006/relationships/hyperlink" Target="https://cafe.naver.com/wecando7/5314062" TargetMode="External"/><Relationship Id="rId71" Type="http://schemas.openxmlformats.org/officeDocument/2006/relationships/hyperlink" Target="https://cafe.naver.com/wecando7/2133123" TargetMode="External"/><Relationship Id="rId70" Type="http://schemas.openxmlformats.org/officeDocument/2006/relationships/hyperlink" Target="https://cafe.naver.com/wecando7/6123404" TargetMode="External"/><Relationship Id="rId139" Type="http://schemas.openxmlformats.org/officeDocument/2006/relationships/hyperlink" Target="https://cafe.naver.com/wecando7/2745811" TargetMode="External"/><Relationship Id="rId138" Type="http://schemas.openxmlformats.org/officeDocument/2006/relationships/hyperlink" Target="https://cafe.naver.com/wecando7/2998951" TargetMode="External"/><Relationship Id="rId137" Type="http://schemas.openxmlformats.org/officeDocument/2006/relationships/hyperlink" Target="https://cafe.naver.com/wecando7/3436800" TargetMode="External"/><Relationship Id="rId132" Type="http://schemas.openxmlformats.org/officeDocument/2006/relationships/hyperlink" Target="https://cafe.naver.com/wecando7/6023927" TargetMode="External"/><Relationship Id="rId131" Type="http://schemas.openxmlformats.org/officeDocument/2006/relationships/hyperlink" Target="https://cafe.naver.com/wecando7/6787585" TargetMode="External"/><Relationship Id="rId130" Type="http://schemas.openxmlformats.org/officeDocument/2006/relationships/hyperlink" Target="https://cafe.naver.com/wecando7/6851665" TargetMode="External"/><Relationship Id="rId136" Type="http://schemas.openxmlformats.org/officeDocument/2006/relationships/hyperlink" Target="https://cafe.naver.com/wecando7/3109043" TargetMode="External"/><Relationship Id="rId135" Type="http://schemas.openxmlformats.org/officeDocument/2006/relationships/hyperlink" Target="https://cafe.naver.com/wecando7/3700060" TargetMode="External"/><Relationship Id="rId134" Type="http://schemas.openxmlformats.org/officeDocument/2006/relationships/hyperlink" Target="https://cafe.naver.com/wecando7/2745811" TargetMode="External"/><Relationship Id="rId133" Type="http://schemas.openxmlformats.org/officeDocument/2006/relationships/hyperlink" Target="https://cafe.naver.com/wecando7/7691633" TargetMode="External"/><Relationship Id="rId62" Type="http://schemas.openxmlformats.org/officeDocument/2006/relationships/hyperlink" Target="https://cafe.naver.com/wecando7/6698360" TargetMode="External"/><Relationship Id="rId61" Type="http://schemas.openxmlformats.org/officeDocument/2006/relationships/hyperlink" Target="https://cafe.naver.com/wecando7/7811731" TargetMode="External"/><Relationship Id="rId64" Type="http://schemas.openxmlformats.org/officeDocument/2006/relationships/hyperlink" Target="https://cafe.naver.com/wecando7/3028863" TargetMode="External"/><Relationship Id="rId63" Type="http://schemas.openxmlformats.org/officeDocument/2006/relationships/hyperlink" Target="https://cafe.naver.com/wecando7/7774862" TargetMode="External"/><Relationship Id="rId66" Type="http://schemas.openxmlformats.org/officeDocument/2006/relationships/hyperlink" Target="https://cafe.naver.com/wecando7/2554778" TargetMode="External"/><Relationship Id="rId65" Type="http://schemas.openxmlformats.org/officeDocument/2006/relationships/hyperlink" Target="https://cafe.naver.com/wecando7/3729137" TargetMode="External"/><Relationship Id="rId68" Type="http://schemas.openxmlformats.org/officeDocument/2006/relationships/hyperlink" Target="https://cafe.naver.com/wecando7/8067241" TargetMode="External"/><Relationship Id="rId67" Type="http://schemas.openxmlformats.org/officeDocument/2006/relationships/hyperlink" Target="https://cafe.naver.com/wecando7/2639058" TargetMode="External"/><Relationship Id="rId60" Type="http://schemas.openxmlformats.org/officeDocument/2006/relationships/hyperlink" Target="https://cafe.naver.com/wecando7/4927352" TargetMode="External"/><Relationship Id="rId69" Type="http://schemas.openxmlformats.org/officeDocument/2006/relationships/hyperlink" Target="https://cafe.naver.com/wecando7/4171889" TargetMode="External"/><Relationship Id="rId51" Type="http://schemas.openxmlformats.org/officeDocument/2006/relationships/hyperlink" Target="https://cafe.naver.com/wecando7/4794216" TargetMode="External"/><Relationship Id="rId50" Type="http://schemas.openxmlformats.org/officeDocument/2006/relationships/hyperlink" Target="https://cafe.naver.com/wecando7/6083586" TargetMode="External"/><Relationship Id="rId53" Type="http://schemas.openxmlformats.org/officeDocument/2006/relationships/hyperlink" Target="https://cafe.naver.com/wecando7/6912543" TargetMode="External"/><Relationship Id="rId52" Type="http://schemas.openxmlformats.org/officeDocument/2006/relationships/hyperlink" Target="https://cafe.naver.com/wecando7/5996127" TargetMode="External"/><Relationship Id="rId55" Type="http://schemas.openxmlformats.org/officeDocument/2006/relationships/hyperlink" Target="https://cafe.naver.com/wecando7/6048311" TargetMode="External"/><Relationship Id="rId54" Type="http://schemas.openxmlformats.org/officeDocument/2006/relationships/hyperlink" Target="https://cafe.naver.com/wecando7/6912543" TargetMode="External"/><Relationship Id="rId57" Type="http://schemas.openxmlformats.org/officeDocument/2006/relationships/hyperlink" Target="https://cafe.naver.com/wecando7/4762499" TargetMode="External"/><Relationship Id="rId56" Type="http://schemas.openxmlformats.org/officeDocument/2006/relationships/hyperlink" Target="https://cafe.naver.com/wecando7/3664565" TargetMode="External"/><Relationship Id="rId59" Type="http://schemas.openxmlformats.org/officeDocument/2006/relationships/hyperlink" Target="https://cafe.naver.com/wecando7/5152356" TargetMode="External"/><Relationship Id="rId58" Type="http://schemas.openxmlformats.org/officeDocument/2006/relationships/hyperlink" Target="https://cafe.naver.com/wecando7/4918505" TargetMode="External"/></Relationships>
</file>

<file path=xl/worksheets/_rels/sheet13.xml.rels><?xml version="1.0" encoding="UTF-8" standalone="yes"?><Relationships xmlns="http://schemas.openxmlformats.org/package/2006/relationships"><Relationship Id="rId10" Type="http://schemas.openxmlformats.org/officeDocument/2006/relationships/drawing" Target="../drawings/drawing13.xml"/><Relationship Id="rId1" Type="http://schemas.openxmlformats.org/officeDocument/2006/relationships/hyperlink" Target="https://cafe.naver.com/wecando7/3717689" TargetMode="External"/><Relationship Id="rId2" Type="http://schemas.openxmlformats.org/officeDocument/2006/relationships/hyperlink" Target="https://cafe.naver.com/wecando7/4548508" TargetMode="External"/><Relationship Id="rId3" Type="http://schemas.openxmlformats.org/officeDocument/2006/relationships/hyperlink" Target="https://cafe.naver.com/wecando7/3905379" TargetMode="External"/><Relationship Id="rId4" Type="http://schemas.openxmlformats.org/officeDocument/2006/relationships/hyperlink" Target="https://cafe.naver.com/wecando7/4192668" TargetMode="External"/><Relationship Id="rId9" Type="http://schemas.openxmlformats.org/officeDocument/2006/relationships/hyperlink" Target="https://cafe.naver.com/wecando7/173831" TargetMode="External"/><Relationship Id="rId5" Type="http://schemas.openxmlformats.org/officeDocument/2006/relationships/hyperlink" Target="https://cafe.naver.com/wecando7/2397912" TargetMode="External"/><Relationship Id="rId6" Type="http://schemas.openxmlformats.org/officeDocument/2006/relationships/hyperlink" Target="https://cafe.naver.com/wecando7/3017381" TargetMode="External"/><Relationship Id="rId7" Type="http://schemas.openxmlformats.org/officeDocument/2006/relationships/hyperlink" Target="https://cafe.naver.com/wecando7/3688654" TargetMode="External"/><Relationship Id="rId8" Type="http://schemas.openxmlformats.org/officeDocument/2006/relationships/hyperlink" Target="https://cafe.naver.com/wecando7/3975763" TargetMode="External"/></Relationships>
</file>

<file path=xl/worksheets/_rels/sheet14.xml.rels><?xml version="1.0" encoding="UTF-8" standalone="yes"?><Relationships xmlns="http://schemas.openxmlformats.org/package/2006/relationships"><Relationship Id="rId20" Type="http://schemas.openxmlformats.org/officeDocument/2006/relationships/hyperlink" Target="https://cafe.naver.com/wecando7/3125070" TargetMode="External"/><Relationship Id="rId22" Type="http://schemas.openxmlformats.org/officeDocument/2006/relationships/hyperlink" Target="https://cafe.naver.com/wecando7/3209807" TargetMode="External"/><Relationship Id="rId21" Type="http://schemas.openxmlformats.org/officeDocument/2006/relationships/hyperlink" Target="https://cafe.naver.com/wecando7/4037370" TargetMode="External"/><Relationship Id="rId24" Type="http://schemas.openxmlformats.org/officeDocument/2006/relationships/hyperlink" Target="https://cafe.naver.com/wecando7/3481165" TargetMode="External"/><Relationship Id="rId23" Type="http://schemas.openxmlformats.org/officeDocument/2006/relationships/hyperlink" Target="https://cafe.naver.com/wecando7/2947056" TargetMode="External"/><Relationship Id="rId26" Type="http://schemas.openxmlformats.org/officeDocument/2006/relationships/drawing" Target="../drawings/drawing14.xml"/><Relationship Id="rId25" Type="http://schemas.openxmlformats.org/officeDocument/2006/relationships/hyperlink" Target="https://cafe.naver.com/wecando7/3465498" TargetMode="External"/><Relationship Id="rId11" Type="http://schemas.openxmlformats.org/officeDocument/2006/relationships/hyperlink" Target="https://cafe.naver.com/wecando7/3761124" TargetMode="External"/><Relationship Id="rId10" Type="http://schemas.openxmlformats.org/officeDocument/2006/relationships/hyperlink" Target="https://cafe.naver.com/wecando7/3695949" TargetMode="External"/><Relationship Id="rId13" Type="http://schemas.openxmlformats.org/officeDocument/2006/relationships/hyperlink" Target="https://cafe.naver.com/wecando7/5692794" TargetMode="External"/><Relationship Id="rId12" Type="http://schemas.openxmlformats.org/officeDocument/2006/relationships/hyperlink" Target="https://docs.google.com/spreadsheets/d/1uymvXhuWtQbSIQGwJVUFkGR7OX2tajOjm17F18KzwBQ/edit?usp=sharing" TargetMode="External"/><Relationship Id="rId15" Type="http://schemas.openxmlformats.org/officeDocument/2006/relationships/hyperlink" Target="https://cafe.naver.com/wecando7/3700060" TargetMode="External"/><Relationship Id="rId14" Type="http://schemas.openxmlformats.org/officeDocument/2006/relationships/hyperlink" Target="https://cafe.naver.com/wecando7/2745811" TargetMode="External"/><Relationship Id="rId17" Type="http://schemas.openxmlformats.org/officeDocument/2006/relationships/hyperlink" Target="https://cafe.naver.com/wecando7/3436800" TargetMode="External"/><Relationship Id="rId16" Type="http://schemas.openxmlformats.org/officeDocument/2006/relationships/hyperlink" Target="https://cafe.naver.com/wecando7/3109043" TargetMode="External"/><Relationship Id="rId19" Type="http://schemas.openxmlformats.org/officeDocument/2006/relationships/hyperlink" Target="https://cafe.naver.com/wecando7/2745811" TargetMode="External"/><Relationship Id="rId18" Type="http://schemas.openxmlformats.org/officeDocument/2006/relationships/hyperlink" Target="https://cafe.naver.com/wecando7/2998951" TargetMode="External"/><Relationship Id="rId1" Type="http://schemas.openxmlformats.org/officeDocument/2006/relationships/hyperlink" Target="https://cafe.naver.com/wecando7/3047365" TargetMode="External"/><Relationship Id="rId2" Type="http://schemas.openxmlformats.org/officeDocument/2006/relationships/hyperlink" Target="https://cafe.naver.com/wecando7/1605251" TargetMode="External"/><Relationship Id="rId3" Type="http://schemas.openxmlformats.org/officeDocument/2006/relationships/hyperlink" Target="https://cafe.naver.com/wecando7/1914384" TargetMode="External"/><Relationship Id="rId4" Type="http://schemas.openxmlformats.org/officeDocument/2006/relationships/hyperlink" Target="https://cafe.naver.com/wecando7/224152" TargetMode="External"/><Relationship Id="rId9" Type="http://schemas.openxmlformats.org/officeDocument/2006/relationships/hyperlink" Target="https://cafe.naver.com/wecando7/3010320" TargetMode="External"/><Relationship Id="rId5" Type="http://schemas.openxmlformats.org/officeDocument/2006/relationships/hyperlink" Target="https://cafe.naver.com/wecando7/435917" TargetMode="External"/><Relationship Id="rId6" Type="http://schemas.openxmlformats.org/officeDocument/2006/relationships/hyperlink" Target="https://cafe.naver.com/wecando7/3017618" TargetMode="External"/><Relationship Id="rId7" Type="http://schemas.openxmlformats.org/officeDocument/2006/relationships/hyperlink" Target="https://cafe.naver.com/wecando7/2577193" TargetMode="External"/><Relationship Id="rId8" Type="http://schemas.openxmlformats.org/officeDocument/2006/relationships/hyperlink" Target="https://cafe.naver.com/wecando7/572497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cafe.naver.com/wecando7/3073386" TargetMode="External"/><Relationship Id="rId42" Type="http://schemas.openxmlformats.org/officeDocument/2006/relationships/hyperlink" Target="https://cafe.naver.com/wecando7/3076002" TargetMode="External"/><Relationship Id="rId41" Type="http://schemas.openxmlformats.org/officeDocument/2006/relationships/hyperlink" Target="https://cafe.naver.com/wecando7/2238077" TargetMode="External"/><Relationship Id="rId44" Type="http://schemas.openxmlformats.org/officeDocument/2006/relationships/hyperlink" Target="https://cafe.naver.com/wecando7/6265763" TargetMode="External"/><Relationship Id="rId43" Type="http://schemas.openxmlformats.org/officeDocument/2006/relationships/hyperlink" Target="https://cafe.naver.com/wecando7/4219490" TargetMode="External"/><Relationship Id="rId46" Type="http://schemas.openxmlformats.org/officeDocument/2006/relationships/hyperlink" Target="https://cafe.naver.com/wecando7/3626763" TargetMode="External"/><Relationship Id="rId45" Type="http://schemas.openxmlformats.org/officeDocument/2006/relationships/hyperlink" Target="https://cafe.naver.com/wecando7/4349254" TargetMode="External"/><Relationship Id="rId104" Type="http://schemas.openxmlformats.org/officeDocument/2006/relationships/drawing" Target="../drawings/drawing15.xml"/><Relationship Id="rId48" Type="http://schemas.openxmlformats.org/officeDocument/2006/relationships/hyperlink" Target="https://cafe.naver.com/wecando7/6265763" TargetMode="External"/><Relationship Id="rId47" Type="http://schemas.openxmlformats.org/officeDocument/2006/relationships/hyperlink" Target="https://cafe.naver.com/wecando7/4384471" TargetMode="External"/><Relationship Id="rId49" Type="http://schemas.openxmlformats.org/officeDocument/2006/relationships/hyperlink" Target="https://cafe.naver.com/wecando7/6758032" TargetMode="External"/><Relationship Id="rId103" Type="http://schemas.openxmlformats.org/officeDocument/2006/relationships/hyperlink" Target="https://cafe.naver.com/wecando7/6145401" TargetMode="External"/><Relationship Id="rId102" Type="http://schemas.openxmlformats.org/officeDocument/2006/relationships/hyperlink" Target="https://cafe.naver.com/wecando7/5108098" TargetMode="External"/><Relationship Id="rId101" Type="http://schemas.openxmlformats.org/officeDocument/2006/relationships/hyperlink" Target="https://cafe.naver.com/wecando7/5984911" TargetMode="External"/><Relationship Id="rId100" Type="http://schemas.openxmlformats.org/officeDocument/2006/relationships/hyperlink" Target="https://cafe.naver.com/wecando7/6194067" TargetMode="External"/><Relationship Id="rId31" Type="http://schemas.openxmlformats.org/officeDocument/2006/relationships/hyperlink" Target="https://cafe.naver.com/wecando7/1794495" TargetMode="External"/><Relationship Id="rId30" Type="http://schemas.openxmlformats.org/officeDocument/2006/relationships/hyperlink" Target="https://cafe.naver.com/wecando7/627906" TargetMode="External"/><Relationship Id="rId33" Type="http://schemas.openxmlformats.org/officeDocument/2006/relationships/hyperlink" Target="https://cafe.naver.com/wecando7/3715408" TargetMode="External"/><Relationship Id="rId32" Type="http://schemas.openxmlformats.org/officeDocument/2006/relationships/hyperlink" Target="https://cafe.naver.com/wecando7/1524214" TargetMode="External"/><Relationship Id="rId35" Type="http://schemas.openxmlformats.org/officeDocument/2006/relationships/hyperlink" Target="https://cafe.naver.com/wecando7/1894765" TargetMode="External"/><Relationship Id="rId34" Type="http://schemas.openxmlformats.org/officeDocument/2006/relationships/hyperlink" Target="https://cafe.naver.com/wecando7/3071083" TargetMode="External"/><Relationship Id="rId37" Type="http://schemas.openxmlformats.org/officeDocument/2006/relationships/hyperlink" Target="https://cafe.naver.com/wecando7/3113694" TargetMode="External"/><Relationship Id="rId36" Type="http://schemas.openxmlformats.org/officeDocument/2006/relationships/hyperlink" Target="https://cafe.naver.com/wecando7/2067316" TargetMode="External"/><Relationship Id="rId39" Type="http://schemas.openxmlformats.org/officeDocument/2006/relationships/hyperlink" Target="https://cafe.naver.com/wecando7/3073386" TargetMode="External"/><Relationship Id="rId38" Type="http://schemas.openxmlformats.org/officeDocument/2006/relationships/hyperlink" Target="https://cafe.naver.com/wecando7/1748335" TargetMode="External"/><Relationship Id="rId20" Type="http://schemas.openxmlformats.org/officeDocument/2006/relationships/hyperlink" Target="https://cafe.naver.com/wecando7/5082314" TargetMode="External"/><Relationship Id="rId22" Type="http://schemas.openxmlformats.org/officeDocument/2006/relationships/hyperlink" Target="https://www.eum.go.kr/web/in/pd/pdBoardList.jsp" TargetMode="External"/><Relationship Id="rId21" Type="http://schemas.openxmlformats.org/officeDocument/2006/relationships/hyperlink" Target="https://cafe.naver.com/wecando7/6116090" TargetMode="External"/><Relationship Id="rId24" Type="http://schemas.openxmlformats.org/officeDocument/2006/relationships/hyperlink" Target="https://cafe.naver.com/wecando7/3811158" TargetMode="External"/><Relationship Id="rId23" Type="http://schemas.openxmlformats.org/officeDocument/2006/relationships/hyperlink" Target="https://cafe.naver.com/wecando7/5579482" TargetMode="External"/><Relationship Id="rId26" Type="http://schemas.openxmlformats.org/officeDocument/2006/relationships/hyperlink" Target="https://cafe.naver.com/wecando7/4940894" TargetMode="External"/><Relationship Id="rId25" Type="http://schemas.openxmlformats.org/officeDocument/2006/relationships/hyperlink" Target="https://cafe.naver.com/wecando7/6605200" TargetMode="External"/><Relationship Id="rId28" Type="http://schemas.openxmlformats.org/officeDocument/2006/relationships/hyperlink" Target="https://cafe.naver.com/wecando7/1505719" TargetMode="External"/><Relationship Id="rId27" Type="http://schemas.openxmlformats.org/officeDocument/2006/relationships/hyperlink" Target="https://cafe.naver.com/wecando7/5664146" TargetMode="External"/><Relationship Id="rId29" Type="http://schemas.openxmlformats.org/officeDocument/2006/relationships/hyperlink" Target="https://cafe.naver.com/wecando7/3226000" TargetMode="External"/><Relationship Id="rId95" Type="http://schemas.openxmlformats.org/officeDocument/2006/relationships/hyperlink" Target="https://cafe.naver.com/wecando7/5396361" TargetMode="External"/><Relationship Id="rId94" Type="http://schemas.openxmlformats.org/officeDocument/2006/relationships/hyperlink" Target="https://cafe.naver.com/wecando7/6255283" TargetMode="External"/><Relationship Id="rId97" Type="http://schemas.openxmlformats.org/officeDocument/2006/relationships/hyperlink" Target="https://cafe.naver.com/wecando7/5710362" TargetMode="External"/><Relationship Id="rId96" Type="http://schemas.openxmlformats.org/officeDocument/2006/relationships/hyperlink" Target="https://cafe.naver.com/wecando7/6844999" TargetMode="External"/><Relationship Id="rId11" Type="http://schemas.openxmlformats.org/officeDocument/2006/relationships/hyperlink" Target="https://cafe.naver.com/wecando7/3174977" TargetMode="External"/><Relationship Id="rId99" Type="http://schemas.openxmlformats.org/officeDocument/2006/relationships/hyperlink" Target="https://cafe.naver.com/wecando7/6057999" TargetMode="External"/><Relationship Id="rId10" Type="http://schemas.openxmlformats.org/officeDocument/2006/relationships/hyperlink" Target="https://cafe.naver.com/wecando7/754436" TargetMode="External"/><Relationship Id="rId98" Type="http://schemas.openxmlformats.org/officeDocument/2006/relationships/hyperlink" Target="https://cafe.naver.com/wecando7/5009472" TargetMode="External"/><Relationship Id="rId13" Type="http://schemas.openxmlformats.org/officeDocument/2006/relationships/hyperlink" Target="https://map.jigu.go.kr/map.do" TargetMode="External"/><Relationship Id="rId12" Type="http://schemas.openxmlformats.org/officeDocument/2006/relationships/hyperlink" Target="https://cafe.naver.com/wecando7/754436" TargetMode="External"/><Relationship Id="rId91" Type="http://schemas.openxmlformats.org/officeDocument/2006/relationships/hyperlink" Target="https://cafe.naver.com/wecando7/4960799" TargetMode="External"/><Relationship Id="rId90" Type="http://schemas.openxmlformats.org/officeDocument/2006/relationships/hyperlink" Target="https://cafe.naver.com/wecando7/5314062" TargetMode="External"/><Relationship Id="rId93" Type="http://schemas.openxmlformats.org/officeDocument/2006/relationships/hyperlink" Target="https://cafe.naver.com/wecando7/6169470" TargetMode="External"/><Relationship Id="rId92" Type="http://schemas.openxmlformats.org/officeDocument/2006/relationships/hyperlink" Target="https://cafe.naver.com/wecando7/4116762" TargetMode="External"/><Relationship Id="rId15" Type="http://schemas.openxmlformats.org/officeDocument/2006/relationships/hyperlink" Target="https://cafe.naver.com/wecando7/5700682" TargetMode="External"/><Relationship Id="rId14" Type="http://schemas.openxmlformats.org/officeDocument/2006/relationships/hyperlink" Target="https://cafe.naver.com/wecando7/4843934" TargetMode="External"/><Relationship Id="rId17" Type="http://schemas.openxmlformats.org/officeDocument/2006/relationships/hyperlink" Target="https://cafe.naver.com/wecando7/971045" TargetMode="External"/><Relationship Id="rId16" Type="http://schemas.openxmlformats.org/officeDocument/2006/relationships/hyperlink" Target="https://cafe.naver.com/wecando7/4171889" TargetMode="External"/><Relationship Id="rId19" Type="http://schemas.openxmlformats.org/officeDocument/2006/relationships/hyperlink" Target="https://cafe.naver.com/wecando7/2133123" TargetMode="External"/><Relationship Id="rId18" Type="http://schemas.openxmlformats.org/officeDocument/2006/relationships/hyperlink" Target="https://cafe.naver.com/wecando7/2769524" TargetMode="External"/><Relationship Id="rId84" Type="http://schemas.openxmlformats.org/officeDocument/2006/relationships/hyperlink" Target="https://cafe.naver.com/wecando7/3862923" TargetMode="External"/><Relationship Id="rId83" Type="http://schemas.openxmlformats.org/officeDocument/2006/relationships/hyperlink" Target="https://cafe.naver.com/wecando7/3686288" TargetMode="External"/><Relationship Id="rId86" Type="http://schemas.openxmlformats.org/officeDocument/2006/relationships/hyperlink" Target="https://cafe.naver.com/wecando7/6752992" TargetMode="External"/><Relationship Id="rId85" Type="http://schemas.openxmlformats.org/officeDocument/2006/relationships/hyperlink" Target="https://cafe.naver.com/wecando7/6048311" TargetMode="External"/><Relationship Id="rId88" Type="http://schemas.openxmlformats.org/officeDocument/2006/relationships/hyperlink" Target="https://cafe.naver.com/wecando7/4980112" TargetMode="External"/><Relationship Id="rId87" Type="http://schemas.openxmlformats.org/officeDocument/2006/relationships/hyperlink" Target="https://cafe.naver.com/wecando7/2724346" TargetMode="External"/><Relationship Id="rId89" Type="http://schemas.openxmlformats.org/officeDocument/2006/relationships/hyperlink" Target="https://cafe.naver.com/wecando7/4790499" TargetMode="External"/><Relationship Id="rId80" Type="http://schemas.openxmlformats.org/officeDocument/2006/relationships/hyperlink" Target="https://cafe.naver.com/wecando7/3028863" TargetMode="External"/><Relationship Id="rId82" Type="http://schemas.openxmlformats.org/officeDocument/2006/relationships/hyperlink" Target="https://cafe.naver.com/wecando7/2639058" TargetMode="External"/><Relationship Id="rId81" Type="http://schemas.openxmlformats.org/officeDocument/2006/relationships/hyperlink" Target="https://cafe.naver.com/wecando7/2554778" TargetMode="External"/><Relationship Id="rId1" Type="http://schemas.openxmlformats.org/officeDocument/2006/relationships/hyperlink" Target="https://cafe.naver.com/wecando7/5779903" TargetMode="External"/><Relationship Id="rId2" Type="http://schemas.openxmlformats.org/officeDocument/2006/relationships/hyperlink" Target="https://cafe.naver.com/wecando7/5384304" TargetMode="External"/><Relationship Id="rId3" Type="http://schemas.openxmlformats.org/officeDocument/2006/relationships/hyperlink" Target="https://cafe.naver.com/wecando7/3819132" TargetMode="External"/><Relationship Id="rId4" Type="http://schemas.openxmlformats.org/officeDocument/2006/relationships/hyperlink" Target="https://cafe.naver.com/wecando7/4856597" TargetMode="External"/><Relationship Id="rId9" Type="http://schemas.openxmlformats.org/officeDocument/2006/relationships/hyperlink" Target="https://cafe.naver.com/wecando7/3628388" TargetMode="External"/><Relationship Id="rId5" Type="http://schemas.openxmlformats.org/officeDocument/2006/relationships/hyperlink" Target="https://cafe.naver.com/wecando7/6254785" TargetMode="External"/><Relationship Id="rId6" Type="http://schemas.openxmlformats.org/officeDocument/2006/relationships/hyperlink" Target="https://cafe.naver.com/wecando7/3761443" TargetMode="External"/><Relationship Id="rId7" Type="http://schemas.openxmlformats.org/officeDocument/2006/relationships/hyperlink" Target="https://cafe.naver.com/wecando7/5761658" TargetMode="External"/><Relationship Id="rId8" Type="http://schemas.openxmlformats.org/officeDocument/2006/relationships/hyperlink" Target="https://cafe.naver.com/wecando7/3174977" TargetMode="External"/><Relationship Id="rId73" Type="http://schemas.openxmlformats.org/officeDocument/2006/relationships/hyperlink" Target="https://cafe.naver.com/wecando7/2108581" TargetMode="External"/><Relationship Id="rId72" Type="http://schemas.openxmlformats.org/officeDocument/2006/relationships/hyperlink" Target="https://cafe.naver.com/wecando7/2398877" TargetMode="External"/><Relationship Id="rId75" Type="http://schemas.openxmlformats.org/officeDocument/2006/relationships/hyperlink" Target="https://cafe.naver.com/wecando7/2653733" TargetMode="External"/><Relationship Id="rId74" Type="http://schemas.openxmlformats.org/officeDocument/2006/relationships/hyperlink" Target="https://cafe.naver.com/wecando7/1963694" TargetMode="External"/><Relationship Id="rId77" Type="http://schemas.openxmlformats.org/officeDocument/2006/relationships/hyperlink" Target="https://cafe.naver.com/wecando7/2467880" TargetMode="External"/><Relationship Id="rId76" Type="http://schemas.openxmlformats.org/officeDocument/2006/relationships/hyperlink" Target="https://cafe.naver.com/wecando7/1399009" TargetMode="External"/><Relationship Id="rId79" Type="http://schemas.openxmlformats.org/officeDocument/2006/relationships/hyperlink" Target="https://cafe.naver.com/wecando7/2997933" TargetMode="External"/><Relationship Id="rId78" Type="http://schemas.openxmlformats.org/officeDocument/2006/relationships/hyperlink" Target="https://cafe.naver.com/wecando7/2715459" TargetMode="External"/><Relationship Id="rId71" Type="http://schemas.openxmlformats.org/officeDocument/2006/relationships/hyperlink" Target="https://cafe.naver.com/wecando7/5152356" TargetMode="External"/><Relationship Id="rId70" Type="http://schemas.openxmlformats.org/officeDocument/2006/relationships/hyperlink" Target="https://cafe.naver.com/wecando7/4762499" TargetMode="External"/><Relationship Id="rId62" Type="http://schemas.openxmlformats.org/officeDocument/2006/relationships/hyperlink" Target="https://cafe.naver.com/wecando7/4717843" TargetMode="External"/><Relationship Id="rId61" Type="http://schemas.openxmlformats.org/officeDocument/2006/relationships/hyperlink" Target="https://cafe.naver.com/wecando7/5007023" TargetMode="External"/><Relationship Id="rId64" Type="http://schemas.openxmlformats.org/officeDocument/2006/relationships/hyperlink" Target="https://cafe.naver.com/wecando7/6590267" TargetMode="External"/><Relationship Id="rId63" Type="http://schemas.openxmlformats.org/officeDocument/2006/relationships/hyperlink" Target="https://cafe.naver.com/wecando7/6083586" TargetMode="External"/><Relationship Id="rId66" Type="http://schemas.openxmlformats.org/officeDocument/2006/relationships/hyperlink" Target="https://cafe.naver.com/wecando7/4525080" TargetMode="External"/><Relationship Id="rId65" Type="http://schemas.openxmlformats.org/officeDocument/2006/relationships/hyperlink" Target="https://cafe.naver.com/wecando7/4850500" TargetMode="External"/><Relationship Id="rId68" Type="http://schemas.openxmlformats.org/officeDocument/2006/relationships/hyperlink" Target="https://cafe.naver.com/wecando7/1794495" TargetMode="External"/><Relationship Id="rId67" Type="http://schemas.openxmlformats.org/officeDocument/2006/relationships/hyperlink" Target="https://cafe.naver.com/wecando7/1281361" TargetMode="External"/><Relationship Id="rId60" Type="http://schemas.openxmlformats.org/officeDocument/2006/relationships/hyperlink" Target="https://cafe.naver.com/wecando7/2035054" TargetMode="External"/><Relationship Id="rId69" Type="http://schemas.openxmlformats.org/officeDocument/2006/relationships/hyperlink" Target="https://cafe.naver.com/wecando7/1454946" TargetMode="External"/><Relationship Id="rId51" Type="http://schemas.openxmlformats.org/officeDocument/2006/relationships/hyperlink" Target="https://cafe.naver.com/wecando7/3028863" TargetMode="External"/><Relationship Id="rId50" Type="http://schemas.openxmlformats.org/officeDocument/2006/relationships/hyperlink" Target="https://cafe.naver.com/wecando7/5798764" TargetMode="External"/><Relationship Id="rId53" Type="http://schemas.openxmlformats.org/officeDocument/2006/relationships/hyperlink" Target="https://cafe.naver.com/wecando7/627906" TargetMode="External"/><Relationship Id="rId52" Type="http://schemas.openxmlformats.org/officeDocument/2006/relationships/hyperlink" Target="https://cafe.naver.com/wecando7/2731157" TargetMode="External"/><Relationship Id="rId55" Type="http://schemas.openxmlformats.org/officeDocument/2006/relationships/hyperlink" Target="https://cafe.naver.com/wecando7/653626" TargetMode="External"/><Relationship Id="rId54" Type="http://schemas.openxmlformats.org/officeDocument/2006/relationships/hyperlink" Target="https://cafe.naver.com/wecando7/619418" TargetMode="External"/><Relationship Id="rId57" Type="http://schemas.openxmlformats.org/officeDocument/2006/relationships/hyperlink" Target="https://cafe.naver.com/wecando7/4413784" TargetMode="External"/><Relationship Id="rId56" Type="http://schemas.openxmlformats.org/officeDocument/2006/relationships/hyperlink" Target="https://cafe.naver.com/wecando7/1777462" TargetMode="External"/><Relationship Id="rId59" Type="http://schemas.openxmlformats.org/officeDocument/2006/relationships/hyperlink" Target="https://cafe.naver.com/wecando7/5911907" TargetMode="External"/><Relationship Id="rId58" Type="http://schemas.openxmlformats.org/officeDocument/2006/relationships/hyperlink" Target="https://cafe.naver.com/wecando7/601873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13"/>
    <col customWidth="1" min="2" max="8" width="18.88"/>
  </cols>
  <sheetData>
    <row r="1">
      <c r="A1" s="1" t="s">
        <v>0</v>
      </c>
    </row>
    <row r="2">
      <c r="A2" s="2" t="s">
        <v>1</v>
      </c>
      <c r="B2" s="3">
        <v>46103.0</v>
      </c>
      <c r="C2" s="4"/>
      <c r="D2" s="4"/>
      <c r="E2" s="4"/>
      <c r="F2" s="4"/>
      <c r="G2" s="5" t="s">
        <v>2</v>
      </c>
      <c r="H2" s="5" t="s">
        <v>3</v>
      </c>
    </row>
    <row r="3">
      <c r="A3" s="4"/>
      <c r="B3" s="4"/>
      <c r="C3" s="4"/>
      <c r="D3" s="4"/>
      <c r="E3" s="4"/>
      <c r="F3" s="4"/>
      <c r="G3" s="4"/>
      <c r="H3" s="4"/>
    </row>
    <row r="4">
      <c r="A4" s="6" t="s">
        <v>4</v>
      </c>
      <c r="B4" s="7" t="s">
        <v>5</v>
      </c>
      <c r="C4" s="8" t="s">
        <v>6</v>
      </c>
      <c r="D4" s="8" t="s">
        <v>7</v>
      </c>
      <c r="E4" s="8" t="s">
        <v>8</v>
      </c>
      <c r="F4" s="8" t="s">
        <v>9</v>
      </c>
      <c r="G4" s="8" t="s">
        <v>10</v>
      </c>
      <c r="H4" s="9" t="s">
        <v>11</v>
      </c>
    </row>
    <row r="5">
      <c r="A5" s="10" t="s">
        <v>12</v>
      </c>
      <c r="B5" s="11">
        <f>B2</f>
        <v>46103</v>
      </c>
      <c r="C5" s="12">
        <f t="shared" ref="C5:H5" si="1">B5+1</f>
        <v>46104</v>
      </c>
      <c r="D5" s="12">
        <f t="shared" si="1"/>
        <v>46105</v>
      </c>
      <c r="E5" s="12">
        <f t="shared" si="1"/>
        <v>46106</v>
      </c>
      <c r="F5" s="12">
        <f t="shared" si="1"/>
        <v>46107</v>
      </c>
      <c r="G5" s="12">
        <f t="shared" si="1"/>
        <v>46108</v>
      </c>
      <c r="H5" s="13">
        <f t="shared" si="1"/>
        <v>46109</v>
      </c>
    </row>
    <row r="6">
      <c r="A6" s="14" t="s">
        <v>13</v>
      </c>
      <c r="B6" s="15"/>
      <c r="C6" s="15"/>
      <c r="D6" s="16"/>
      <c r="E6" s="15"/>
      <c r="F6" s="17" t="s">
        <v>14</v>
      </c>
      <c r="G6" s="18" t="s">
        <v>15</v>
      </c>
      <c r="H6" s="15"/>
    </row>
    <row r="7">
      <c r="A7" s="19"/>
      <c r="B7" s="15"/>
      <c r="C7" s="16"/>
      <c r="D7" s="16"/>
      <c r="E7" s="16"/>
      <c r="F7" s="16"/>
      <c r="G7" s="16"/>
      <c r="H7" s="16"/>
    </row>
    <row r="8">
      <c r="A8" s="19"/>
      <c r="B8" s="15"/>
      <c r="C8" s="15"/>
      <c r="D8" s="16"/>
      <c r="E8" s="16"/>
      <c r="F8" s="16"/>
      <c r="G8" s="16"/>
      <c r="H8" s="16"/>
    </row>
    <row r="9">
      <c r="A9" s="19"/>
      <c r="B9" s="15"/>
      <c r="C9" s="15"/>
      <c r="D9" s="16"/>
      <c r="E9" s="16"/>
      <c r="F9" s="16"/>
      <c r="G9" s="16"/>
      <c r="H9" s="16"/>
    </row>
    <row r="10">
      <c r="A10" s="10" t="s">
        <v>12</v>
      </c>
      <c r="B10" s="11">
        <f>B5+7</f>
        <v>46110</v>
      </c>
      <c r="C10" s="12">
        <f t="shared" ref="C10:H10" si="2">B10+1</f>
        <v>46111</v>
      </c>
      <c r="D10" s="12">
        <f t="shared" si="2"/>
        <v>46112</v>
      </c>
      <c r="E10" s="12">
        <f t="shared" si="2"/>
        <v>46113</v>
      </c>
      <c r="F10" s="12">
        <f t="shared" si="2"/>
        <v>46114</v>
      </c>
      <c r="G10" s="12">
        <f t="shared" si="2"/>
        <v>46115</v>
      </c>
      <c r="H10" s="13">
        <f t="shared" si="2"/>
        <v>46116</v>
      </c>
    </row>
    <row r="11">
      <c r="A11" s="14" t="s">
        <v>13</v>
      </c>
      <c r="B11" s="15"/>
      <c r="C11" s="20" t="s">
        <v>16</v>
      </c>
      <c r="D11" s="18" t="s">
        <v>17</v>
      </c>
      <c r="E11" s="16"/>
      <c r="F11" s="17" t="s">
        <v>18</v>
      </c>
      <c r="G11" s="15"/>
      <c r="H11" s="21" t="s">
        <v>19</v>
      </c>
    </row>
    <row r="12">
      <c r="A12" s="14" t="s">
        <v>20</v>
      </c>
      <c r="B12" s="22"/>
      <c r="C12" s="22"/>
      <c r="D12" s="22"/>
      <c r="E12" s="23" t="s">
        <v>21</v>
      </c>
      <c r="F12" s="23" t="s">
        <v>22</v>
      </c>
      <c r="G12" s="23" t="s">
        <v>23</v>
      </c>
      <c r="H12" s="24"/>
    </row>
    <row r="13">
      <c r="A13" s="14" t="s">
        <v>24</v>
      </c>
      <c r="B13" s="25"/>
      <c r="C13" s="25"/>
      <c r="D13" s="25"/>
      <c r="E13" s="26" t="s">
        <v>25</v>
      </c>
      <c r="F13" s="26" t="s">
        <v>26</v>
      </c>
      <c r="G13" s="26" t="s">
        <v>27</v>
      </c>
      <c r="H13" s="25"/>
    </row>
    <row r="14">
      <c r="A14" s="14" t="s">
        <v>28</v>
      </c>
      <c r="B14" s="25"/>
      <c r="C14" s="25"/>
      <c r="D14" s="25"/>
      <c r="E14" s="26" t="s">
        <v>29</v>
      </c>
      <c r="F14" s="26" t="s">
        <v>30</v>
      </c>
      <c r="G14" s="26" t="s">
        <v>31</v>
      </c>
      <c r="H14" s="25"/>
    </row>
    <row r="15">
      <c r="A15" s="10" t="s">
        <v>12</v>
      </c>
      <c r="B15" s="11">
        <f>B10+7</f>
        <v>46117</v>
      </c>
      <c r="C15" s="12">
        <f t="shared" ref="C15:H15" si="3">B15+1</f>
        <v>46118</v>
      </c>
      <c r="D15" s="12">
        <f t="shared" si="3"/>
        <v>46119</v>
      </c>
      <c r="E15" s="12">
        <f t="shared" si="3"/>
        <v>46120</v>
      </c>
      <c r="F15" s="12">
        <f t="shared" si="3"/>
        <v>46121</v>
      </c>
      <c r="G15" s="12">
        <f t="shared" si="3"/>
        <v>46122</v>
      </c>
      <c r="H15" s="13">
        <f t="shared" si="3"/>
        <v>46123</v>
      </c>
    </row>
    <row r="16">
      <c r="A16" s="14" t="s">
        <v>13</v>
      </c>
      <c r="B16" s="27" t="s">
        <v>32</v>
      </c>
      <c r="C16" s="28" t="s">
        <v>33</v>
      </c>
      <c r="D16" s="16"/>
      <c r="E16" s="15"/>
      <c r="F16" s="29" t="s">
        <v>34</v>
      </c>
      <c r="G16" s="15"/>
      <c r="H16" s="21" t="s">
        <v>35</v>
      </c>
    </row>
    <row r="17">
      <c r="A17" s="14" t="s">
        <v>20</v>
      </c>
      <c r="B17" s="23"/>
      <c r="C17" s="23" t="s">
        <v>36</v>
      </c>
      <c r="D17" s="23" t="s">
        <v>37</v>
      </c>
      <c r="E17" s="23" t="s">
        <v>38</v>
      </c>
      <c r="F17" s="23" t="s">
        <v>39</v>
      </c>
      <c r="G17" s="23" t="s">
        <v>40</v>
      </c>
      <c r="H17" s="22"/>
    </row>
    <row r="18">
      <c r="A18" s="14" t="s">
        <v>24</v>
      </c>
      <c r="C18" s="26" t="s">
        <v>41</v>
      </c>
      <c r="D18" s="26" t="s">
        <v>42</v>
      </c>
      <c r="E18" s="26" t="s">
        <v>43</v>
      </c>
      <c r="F18" s="26" t="s">
        <v>44</v>
      </c>
      <c r="G18" s="26" t="s">
        <v>45</v>
      </c>
      <c r="H18" s="25"/>
    </row>
    <row r="19">
      <c r="A19" s="14" t="s">
        <v>28</v>
      </c>
      <c r="B19" s="30"/>
      <c r="C19" s="31" t="s">
        <v>46</v>
      </c>
      <c r="D19" s="31" t="s">
        <v>47</v>
      </c>
      <c r="E19" s="31" t="s">
        <v>48</v>
      </c>
      <c r="F19" s="31" t="s">
        <v>49</v>
      </c>
      <c r="G19" s="31" t="s">
        <v>50</v>
      </c>
      <c r="H19" s="30"/>
    </row>
    <row r="20">
      <c r="A20" s="10" t="s">
        <v>12</v>
      </c>
      <c r="B20" s="11">
        <f>B15+7</f>
        <v>46124</v>
      </c>
      <c r="C20" s="12">
        <f t="shared" ref="C20:H20" si="4">B20+1</f>
        <v>46125</v>
      </c>
      <c r="D20" s="12">
        <f t="shared" si="4"/>
        <v>46126</v>
      </c>
      <c r="E20" s="12">
        <f t="shared" si="4"/>
        <v>46127</v>
      </c>
      <c r="F20" s="12">
        <f t="shared" si="4"/>
        <v>46128</v>
      </c>
      <c r="G20" s="12">
        <f t="shared" si="4"/>
        <v>46129</v>
      </c>
      <c r="H20" s="13">
        <f t="shared" si="4"/>
        <v>46130</v>
      </c>
    </row>
    <row r="21">
      <c r="A21" s="14" t="s">
        <v>13</v>
      </c>
      <c r="B21" s="32" t="s">
        <v>51</v>
      </c>
      <c r="C21" s="16"/>
      <c r="D21" s="15"/>
      <c r="E21" s="15"/>
      <c r="F21" s="33" t="s">
        <v>52</v>
      </c>
      <c r="G21" s="29" t="s">
        <v>53</v>
      </c>
      <c r="H21" s="21" t="s">
        <v>19</v>
      </c>
    </row>
    <row r="22">
      <c r="A22" s="14" t="s">
        <v>20</v>
      </c>
      <c r="B22" s="23"/>
      <c r="C22" s="23" t="s">
        <v>54</v>
      </c>
      <c r="D22" s="23" t="s">
        <v>21</v>
      </c>
      <c r="E22" s="23" t="s">
        <v>23</v>
      </c>
      <c r="F22" s="23" t="s">
        <v>55</v>
      </c>
      <c r="G22" s="23" t="s">
        <v>36</v>
      </c>
      <c r="H22" s="24"/>
    </row>
    <row r="23">
      <c r="A23" s="14" t="s">
        <v>24</v>
      </c>
      <c r="B23" s="26"/>
      <c r="C23" s="26" t="s">
        <v>56</v>
      </c>
      <c r="D23" s="26" t="s">
        <v>57</v>
      </c>
      <c r="E23" s="26" t="s">
        <v>58</v>
      </c>
      <c r="F23" s="26" t="s">
        <v>59</v>
      </c>
      <c r="G23" s="26" t="s">
        <v>60</v>
      </c>
      <c r="H23" s="25"/>
    </row>
    <row r="24">
      <c r="A24" s="14" t="s">
        <v>28</v>
      </c>
      <c r="B24" s="34"/>
      <c r="C24" s="31" t="s">
        <v>61</v>
      </c>
      <c r="D24" s="31" t="s">
        <v>62</v>
      </c>
      <c r="E24" s="31" t="s">
        <v>63</v>
      </c>
      <c r="F24" s="31" t="s">
        <v>64</v>
      </c>
      <c r="G24" s="31" t="s">
        <v>65</v>
      </c>
      <c r="H24" s="30"/>
    </row>
    <row r="25">
      <c r="A25" s="10" t="s">
        <v>12</v>
      </c>
      <c r="B25" s="11">
        <f>B20+7</f>
        <v>46131</v>
      </c>
      <c r="C25" s="12">
        <f t="shared" ref="C25:H25" si="5">B25+1</f>
        <v>46132</v>
      </c>
      <c r="D25" s="12">
        <f t="shared" si="5"/>
        <v>46133</v>
      </c>
      <c r="E25" s="12">
        <f t="shared" si="5"/>
        <v>46134</v>
      </c>
      <c r="F25" s="12">
        <f t="shared" si="5"/>
        <v>46135</v>
      </c>
      <c r="G25" s="12">
        <f t="shared" si="5"/>
        <v>46136</v>
      </c>
      <c r="H25" s="13">
        <f t="shared" si="5"/>
        <v>46137</v>
      </c>
    </row>
    <row r="26">
      <c r="A26" s="14" t="s">
        <v>13</v>
      </c>
      <c r="B26" s="35" t="s">
        <v>66</v>
      </c>
      <c r="C26" s="28" t="s">
        <v>67</v>
      </c>
      <c r="D26" s="16"/>
      <c r="E26" s="16"/>
      <c r="F26" s="17" t="s">
        <v>68</v>
      </c>
      <c r="G26" s="28" t="s">
        <v>69</v>
      </c>
      <c r="H26" s="29" t="s">
        <v>70</v>
      </c>
    </row>
    <row r="27">
      <c r="A27" s="14" t="s">
        <v>20</v>
      </c>
      <c r="B27" s="22"/>
      <c r="C27" s="23" t="s">
        <v>37</v>
      </c>
      <c r="D27" s="23" t="s">
        <v>38</v>
      </c>
      <c r="E27" s="23" t="s">
        <v>39</v>
      </c>
      <c r="F27" s="23" t="s">
        <v>40</v>
      </c>
      <c r="G27" s="23" t="s">
        <v>54</v>
      </c>
      <c r="H27" s="22"/>
    </row>
    <row r="28">
      <c r="A28" s="14" t="s">
        <v>24</v>
      </c>
      <c r="B28" s="25"/>
      <c r="C28" s="26" t="s">
        <v>71</v>
      </c>
      <c r="D28" s="26" t="s">
        <v>72</v>
      </c>
      <c r="E28" s="26" t="s">
        <v>44</v>
      </c>
      <c r="F28" s="26" t="s">
        <v>45</v>
      </c>
      <c r="G28" s="26" t="s">
        <v>73</v>
      </c>
      <c r="H28" s="25"/>
    </row>
    <row r="29">
      <c r="A29" s="14" t="s">
        <v>28</v>
      </c>
      <c r="B29" s="30"/>
      <c r="C29" s="31" t="s">
        <v>74</v>
      </c>
      <c r="D29" s="31" t="s">
        <v>75</v>
      </c>
      <c r="E29" s="31" t="s">
        <v>76</v>
      </c>
      <c r="F29" s="31" t="s">
        <v>77</v>
      </c>
      <c r="G29" s="31" t="s">
        <v>78</v>
      </c>
      <c r="H29" s="30"/>
    </row>
    <row r="30">
      <c r="A30" s="10" t="s">
        <v>12</v>
      </c>
      <c r="B30" s="11">
        <f>B25+7</f>
        <v>46138</v>
      </c>
      <c r="C30" s="14">
        <v>27.0</v>
      </c>
      <c r="D30" s="14">
        <v>28.0</v>
      </c>
      <c r="E30" s="14">
        <v>29.0</v>
      </c>
      <c r="F30" s="14">
        <v>30.0</v>
      </c>
      <c r="G30" s="36">
        <v>46113.0</v>
      </c>
      <c r="H30" s="13">
        <f>G30+1</f>
        <v>46114</v>
      </c>
    </row>
    <row r="31">
      <c r="A31" s="14" t="s">
        <v>13</v>
      </c>
      <c r="B31" s="35" t="s">
        <v>79</v>
      </c>
      <c r="C31" s="21" t="s">
        <v>80</v>
      </c>
      <c r="D31" s="37"/>
      <c r="E31" s="35" t="s">
        <v>81</v>
      </c>
      <c r="F31" s="38" t="s">
        <v>82</v>
      </c>
      <c r="G31" s="16"/>
      <c r="H31" s="15"/>
    </row>
    <row r="32">
      <c r="A32" s="14" t="s">
        <v>20</v>
      </c>
      <c r="B32" s="24"/>
      <c r="C32" s="23" t="s">
        <v>21</v>
      </c>
      <c r="D32" s="23" t="s">
        <v>23</v>
      </c>
      <c r="E32" s="23" t="s">
        <v>55</v>
      </c>
      <c r="F32" s="23" t="s">
        <v>83</v>
      </c>
      <c r="G32" s="24"/>
      <c r="H32" s="24"/>
    </row>
    <row r="33">
      <c r="A33" s="14" t="s">
        <v>24</v>
      </c>
      <c r="B33" s="25"/>
      <c r="C33" s="26"/>
      <c r="D33" s="25"/>
      <c r="E33" s="25"/>
      <c r="F33" s="25"/>
      <c r="G33" s="25"/>
      <c r="H33" s="25"/>
    </row>
    <row r="34">
      <c r="A34" s="14" t="s">
        <v>28</v>
      </c>
      <c r="B34" s="30"/>
      <c r="C34" s="30"/>
      <c r="D34" s="30"/>
      <c r="E34" s="30"/>
      <c r="F34" s="30"/>
      <c r="G34" s="30"/>
      <c r="H34" s="30"/>
    </row>
    <row r="35">
      <c r="A35" s="39"/>
      <c r="B35" s="40"/>
      <c r="C35" s="40"/>
      <c r="D35" s="40"/>
      <c r="E35" s="40"/>
      <c r="F35" s="40"/>
      <c r="G35" s="40"/>
      <c r="H35" s="40"/>
    </row>
    <row r="36">
      <c r="A36" s="39"/>
      <c r="B36" s="40"/>
      <c r="C36" s="40"/>
      <c r="D36" s="40"/>
      <c r="E36" s="40"/>
      <c r="F36" s="40"/>
      <c r="G36" s="40"/>
      <c r="H36" s="40"/>
    </row>
    <row r="37">
      <c r="A37" s="39"/>
      <c r="B37" s="40"/>
      <c r="C37" s="40"/>
      <c r="D37" s="40"/>
      <c r="E37" s="40"/>
      <c r="F37" s="40"/>
      <c r="G37" s="40"/>
      <c r="H37" s="40"/>
    </row>
    <row r="38">
      <c r="A38" s="39"/>
      <c r="B38" s="40"/>
      <c r="C38" s="40"/>
      <c r="D38" s="40"/>
      <c r="E38" s="40"/>
      <c r="F38" s="40"/>
      <c r="G38" s="40"/>
      <c r="H38" s="40"/>
    </row>
    <row r="39">
      <c r="A39" s="39"/>
      <c r="B39" s="40"/>
      <c r="C39" s="40"/>
      <c r="D39" s="40"/>
      <c r="E39" s="40"/>
      <c r="F39" s="40"/>
      <c r="G39" s="40"/>
      <c r="H39" s="40"/>
    </row>
    <row r="40">
      <c r="A40" s="39"/>
      <c r="B40" s="40"/>
      <c r="C40" s="40"/>
      <c r="D40" s="40"/>
      <c r="E40" s="40"/>
      <c r="F40" s="40"/>
      <c r="G40" s="40"/>
      <c r="H40" s="40"/>
    </row>
    <row r="41">
      <c r="A41" s="39"/>
      <c r="B41" s="40"/>
      <c r="C41" s="40"/>
      <c r="D41" s="40"/>
      <c r="E41" s="40"/>
      <c r="F41" s="40"/>
      <c r="G41" s="40"/>
      <c r="H41" s="40"/>
    </row>
    <row r="42">
      <c r="A42" s="39"/>
      <c r="B42" s="40"/>
      <c r="C42" s="40"/>
      <c r="D42" s="40"/>
      <c r="E42" s="40"/>
      <c r="F42" s="40"/>
      <c r="G42" s="40"/>
      <c r="H42" s="40"/>
    </row>
    <row r="43">
      <c r="A43" s="39"/>
      <c r="B43" s="40"/>
      <c r="C43" s="40"/>
      <c r="D43" s="40"/>
      <c r="E43" s="40"/>
      <c r="F43" s="40"/>
      <c r="G43" s="40"/>
      <c r="H43" s="40"/>
    </row>
    <row r="44">
      <c r="A44" s="39"/>
      <c r="B44" s="40"/>
      <c r="C44" s="40"/>
      <c r="D44" s="40"/>
      <c r="E44" s="40"/>
      <c r="F44" s="40"/>
      <c r="G44" s="40"/>
      <c r="H44" s="40"/>
    </row>
    <row r="45">
      <c r="A45" s="39"/>
      <c r="B45" s="40"/>
      <c r="C45" s="40"/>
      <c r="D45" s="40"/>
      <c r="E45" s="40"/>
      <c r="F45" s="40"/>
      <c r="G45" s="40"/>
      <c r="H45" s="40"/>
    </row>
    <row r="46">
      <c r="A46" s="39"/>
      <c r="B46" s="40"/>
      <c r="C46" s="40"/>
      <c r="D46" s="40"/>
      <c r="E46" s="40"/>
      <c r="F46" s="40"/>
      <c r="G46" s="40"/>
      <c r="H46" s="40"/>
    </row>
    <row r="47">
      <c r="A47" s="39"/>
      <c r="B47" s="40"/>
      <c r="C47" s="40"/>
      <c r="D47" s="40"/>
      <c r="E47" s="40"/>
      <c r="F47" s="40"/>
      <c r="G47" s="40"/>
      <c r="H47" s="40"/>
    </row>
    <row r="48">
      <c r="A48" s="39"/>
      <c r="B48" s="40"/>
      <c r="C48" s="40"/>
      <c r="D48" s="40"/>
      <c r="E48" s="40"/>
      <c r="F48" s="40"/>
      <c r="G48" s="40"/>
      <c r="H48" s="40"/>
    </row>
    <row r="49">
      <c r="A49" s="39"/>
      <c r="B49" s="40"/>
      <c r="C49" s="40"/>
      <c r="D49" s="40"/>
      <c r="E49" s="40"/>
      <c r="F49" s="40"/>
      <c r="G49" s="40"/>
      <c r="H49" s="40"/>
    </row>
    <row r="50">
      <c r="A50" s="39"/>
      <c r="B50" s="40"/>
      <c r="C50" s="40"/>
      <c r="D50" s="40"/>
      <c r="E50" s="40"/>
      <c r="F50" s="40"/>
      <c r="G50" s="40"/>
      <c r="H50" s="40"/>
    </row>
    <row r="51">
      <c r="A51" s="39"/>
      <c r="B51" s="40"/>
      <c r="C51" s="40"/>
      <c r="D51" s="40"/>
      <c r="E51" s="40"/>
      <c r="F51" s="40"/>
      <c r="G51" s="40"/>
      <c r="H51" s="40"/>
    </row>
    <row r="52">
      <c r="A52" s="39"/>
      <c r="B52" s="40"/>
      <c r="C52" s="40"/>
      <c r="D52" s="40"/>
      <c r="E52" s="40"/>
      <c r="F52" s="40"/>
      <c r="G52" s="40"/>
      <c r="H52" s="40"/>
    </row>
    <row r="53">
      <c r="A53" s="39"/>
      <c r="B53" s="40"/>
      <c r="C53" s="40"/>
      <c r="D53" s="40"/>
      <c r="E53" s="40"/>
      <c r="F53" s="40"/>
      <c r="G53" s="40"/>
      <c r="H53" s="40"/>
    </row>
    <row r="54">
      <c r="A54" s="39"/>
      <c r="B54" s="40"/>
      <c r="C54" s="40"/>
      <c r="D54" s="40"/>
      <c r="E54" s="40"/>
      <c r="F54" s="40"/>
      <c r="G54" s="40"/>
      <c r="H54" s="40"/>
    </row>
    <row r="55">
      <c r="A55" s="39"/>
      <c r="B55" s="40"/>
      <c r="C55" s="40"/>
      <c r="D55" s="40"/>
      <c r="E55" s="40"/>
      <c r="F55" s="40"/>
      <c r="G55" s="40"/>
      <c r="H55" s="40"/>
    </row>
    <row r="56">
      <c r="A56" s="39"/>
      <c r="B56" s="40"/>
      <c r="C56" s="40"/>
      <c r="D56" s="40"/>
      <c r="E56" s="40"/>
      <c r="F56" s="40"/>
      <c r="G56" s="40"/>
      <c r="H56" s="40"/>
    </row>
    <row r="57">
      <c r="A57" s="39"/>
      <c r="B57" s="40"/>
      <c r="C57" s="40"/>
      <c r="D57" s="40"/>
      <c r="E57" s="40"/>
      <c r="F57" s="40"/>
      <c r="G57" s="40"/>
      <c r="H57" s="40"/>
    </row>
    <row r="58">
      <c r="A58" s="39"/>
      <c r="B58" s="40"/>
      <c r="C58" s="40"/>
      <c r="D58" s="40"/>
      <c r="E58" s="40"/>
      <c r="F58" s="40"/>
      <c r="G58" s="40"/>
      <c r="H58" s="40"/>
    </row>
    <row r="59">
      <c r="A59" s="39"/>
      <c r="B59" s="40"/>
      <c r="C59" s="40"/>
      <c r="D59" s="40"/>
      <c r="E59" s="40"/>
      <c r="F59" s="40"/>
      <c r="G59" s="40"/>
      <c r="H59" s="40"/>
    </row>
    <row r="60">
      <c r="A60" s="39"/>
      <c r="B60" s="40"/>
      <c r="C60" s="40"/>
      <c r="D60" s="40"/>
      <c r="E60" s="40"/>
      <c r="F60" s="40"/>
      <c r="G60" s="40"/>
      <c r="H60" s="40"/>
    </row>
    <row r="61">
      <c r="A61" s="39"/>
      <c r="B61" s="40"/>
      <c r="C61" s="40"/>
      <c r="D61" s="40"/>
      <c r="E61" s="40"/>
      <c r="F61" s="40"/>
      <c r="G61" s="40"/>
      <c r="H61" s="40"/>
    </row>
    <row r="62">
      <c r="A62" s="39"/>
      <c r="B62" s="40"/>
      <c r="C62" s="40"/>
      <c r="D62" s="40"/>
      <c r="E62" s="40"/>
      <c r="F62" s="40"/>
      <c r="G62" s="40"/>
      <c r="H62" s="40"/>
    </row>
    <row r="63">
      <c r="A63" s="39"/>
      <c r="B63" s="40"/>
      <c r="C63" s="40"/>
      <c r="D63" s="40"/>
      <c r="E63" s="40"/>
      <c r="F63" s="40"/>
      <c r="G63" s="40"/>
      <c r="H63" s="40"/>
    </row>
    <row r="64">
      <c r="A64" s="39"/>
      <c r="B64" s="40"/>
      <c r="C64" s="40"/>
      <c r="D64" s="40"/>
      <c r="E64" s="40"/>
      <c r="F64" s="40"/>
      <c r="G64" s="40"/>
      <c r="H64" s="40"/>
    </row>
    <row r="65">
      <c r="A65" s="39"/>
      <c r="B65" s="40"/>
      <c r="C65" s="40"/>
      <c r="D65" s="40"/>
      <c r="E65" s="40"/>
      <c r="F65" s="40"/>
      <c r="G65" s="40"/>
      <c r="H65" s="40"/>
    </row>
    <row r="66">
      <c r="A66" s="39"/>
      <c r="B66" s="40"/>
      <c r="C66" s="40"/>
      <c r="D66" s="40"/>
      <c r="E66" s="40"/>
      <c r="F66" s="40"/>
      <c r="G66" s="40"/>
      <c r="H66" s="40"/>
    </row>
    <row r="67">
      <c r="A67" s="39"/>
      <c r="B67" s="40"/>
      <c r="C67" s="40"/>
      <c r="D67" s="40"/>
      <c r="E67" s="40"/>
      <c r="F67" s="40"/>
      <c r="G67" s="40"/>
      <c r="H67" s="40"/>
    </row>
    <row r="68">
      <c r="A68" s="39"/>
      <c r="B68" s="40"/>
      <c r="C68" s="40"/>
      <c r="D68" s="40"/>
      <c r="E68" s="40"/>
      <c r="F68" s="40"/>
      <c r="G68" s="40"/>
      <c r="H68" s="40"/>
    </row>
    <row r="69">
      <c r="A69" s="39"/>
      <c r="B69" s="40"/>
      <c r="C69" s="40"/>
      <c r="D69" s="40"/>
      <c r="E69" s="40"/>
      <c r="F69" s="40"/>
      <c r="G69" s="40"/>
      <c r="H69" s="40"/>
    </row>
    <row r="70">
      <c r="A70" s="39"/>
      <c r="B70" s="40"/>
      <c r="C70" s="40"/>
      <c r="D70" s="40"/>
      <c r="E70" s="40"/>
      <c r="F70" s="40"/>
      <c r="G70" s="40"/>
      <c r="H70" s="40"/>
    </row>
    <row r="71">
      <c r="A71" s="39"/>
      <c r="B71" s="40"/>
      <c r="C71" s="40"/>
      <c r="D71" s="40"/>
      <c r="E71" s="40"/>
      <c r="F71" s="40"/>
      <c r="G71" s="40"/>
      <c r="H71" s="40"/>
    </row>
    <row r="72">
      <c r="A72" s="39"/>
      <c r="B72" s="40"/>
      <c r="C72" s="40"/>
      <c r="D72" s="40"/>
      <c r="E72" s="40"/>
      <c r="F72" s="40"/>
      <c r="G72" s="40"/>
      <c r="H72" s="40"/>
    </row>
    <row r="73">
      <c r="A73" s="39"/>
      <c r="B73" s="40"/>
      <c r="C73" s="40"/>
      <c r="D73" s="40"/>
      <c r="E73" s="40"/>
      <c r="F73" s="40"/>
      <c r="G73" s="40"/>
      <c r="H73" s="40"/>
    </row>
    <row r="74">
      <c r="A74" s="39"/>
      <c r="B74" s="40"/>
      <c r="C74" s="40"/>
      <c r="D74" s="40"/>
      <c r="E74" s="40"/>
      <c r="F74" s="40"/>
      <c r="G74" s="40"/>
      <c r="H74" s="40"/>
    </row>
    <row r="75">
      <c r="A75" s="39"/>
      <c r="B75" s="40"/>
      <c r="C75" s="40"/>
      <c r="D75" s="40"/>
      <c r="E75" s="40"/>
      <c r="F75" s="40"/>
      <c r="G75" s="40"/>
      <c r="H75" s="40"/>
    </row>
    <row r="76">
      <c r="A76" s="39"/>
      <c r="B76" s="40"/>
      <c r="C76" s="40"/>
      <c r="D76" s="40"/>
      <c r="E76" s="40"/>
      <c r="F76" s="40"/>
      <c r="G76" s="40"/>
      <c r="H76" s="40"/>
    </row>
    <row r="77">
      <c r="A77" s="39"/>
      <c r="B77" s="40"/>
      <c r="C77" s="40"/>
      <c r="D77" s="40"/>
      <c r="E77" s="40"/>
      <c r="F77" s="40"/>
      <c r="G77" s="40"/>
      <c r="H77" s="40"/>
    </row>
    <row r="78">
      <c r="A78" s="39"/>
      <c r="B78" s="40"/>
      <c r="C78" s="40"/>
      <c r="D78" s="40"/>
      <c r="E78" s="40"/>
      <c r="F78" s="40"/>
      <c r="G78" s="40"/>
      <c r="H78" s="40"/>
    </row>
    <row r="79">
      <c r="A79" s="39"/>
      <c r="B79" s="40"/>
      <c r="C79" s="40"/>
      <c r="D79" s="40"/>
      <c r="E79" s="40"/>
      <c r="F79" s="40"/>
      <c r="G79" s="40"/>
      <c r="H79" s="40"/>
    </row>
    <row r="80">
      <c r="A80" s="39"/>
      <c r="B80" s="40"/>
      <c r="C80" s="40"/>
      <c r="D80" s="40"/>
      <c r="E80" s="40"/>
      <c r="F80" s="40"/>
      <c r="G80" s="40"/>
      <c r="H80" s="40"/>
    </row>
    <row r="81">
      <c r="A81" s="39"/>
      <c r="B81" s="40"/>
      <c r="C81" s="40"/>
      <c r="D81" s="40"/>
      <c r="E81" s="40"/>
      <c r="F81" s="40"/>
      <c r="G81" s="40"/>
      <c r="H81" s="40"/>
    </row>
    <row r="82">
      <c r="A82" s="39"/>
      <c r="B82" s="40"/>
      <c r="C82" s="40"/>
      <c r="D82" s="40"/>
      <c r="E82" s="40"/>
      <c r="F82" s="40"/>
      <c r="G82" s="40"/>
      <c r="H82" s="40"/>
    </row>
    <row r="83">
      <c r="A83" s="39"/>
      <c r="B83" s="40"/>
      <c r="C83" s="40"/>
      <c r="D83" s="40"/>
      <c r="E83" s="40"/>
      <c r="F83" s="40"/>
      <c r="G83" s="40"/>
      <c r="H83" s="40"/>
    </row>
    <row r="84">
      <c r="A84" s="39"/>
      <c r="B84" s="40"/>
      <c r="C84" s="40"/>
      <c r="D84" s="40"/>
      <c r="E84" s="40"/>
      <c r="F84" s="40"/>
      <c r="G84" s="40"/>
      <c r="H84" s="40"/>
    </row>
    <row r="85">
      <c r="A85" s="39"/>
      <c r="B85" s="40"/>
      <c r="C85" s="40"/>
      <c r="D85" s="40"/>
      <c r="E85" s="40"/>
      <c r="F85" s="40"/>
      <c r="G85" s="40"/>
      <c r="H85" s="40"/>
    </row>
    <row r="86">
      <c r="A86" s="39"/>
      <c r="B86" s="40"/>
      <c r="C86" s="40"/>
      <c r="D86" s="40"/>
      <c r="E86" s="40"/>
      <c r="F86" s="40"/>
      <c r="G86" s="40"/>
      <c r="H86" s="40"/>
    </row>
    <row r="87">
      <c r="A87" s="39"/>
      <c r="B87" s="40"/>
      <c r="C87" s="40"/>
      <c r="D87" s="40"/>
      <c r="E87" s="40"/>
      <c r="F87" s="40"/>
      <c r="G87" s="40"/>
      <c r="H87" s="40"/>
    </row>
    <row r="88">
      <c r="A88" s="39"/>
      <c r="B88" s="40"/>
      <c r="C88" s="40"/>
      <c r="D88" s="40"/>
      <c r="E88" s="40"/>
      <c r="F88" s="40"/>
      <c r="G88" s="40"/>
      <c r="H88" s="40"/>
    </row>
    <row r="89">
      <c r="A89" s="39"/>
      <c r="B89" s="40"/>
      <c r="C89" s="40"/>
      <c r="D89" s="40"/>
      <c r="E89" s="40"/>
      <c r="F89" s="40"/>
      <c r="G89" s="40"/>
      <c r="H89" s="40"/>
    </row>
    <row r="90">
      <c r="A90" s="39"/>
      <c r="B90" s="40"/>
      <c r="C90" s="40"/>
      <c r="D90" s="40"/>
      <c r="E90" s="40"/>
      <c r="F90" s="40"/>
      <c r="G90" s="40"/>
      <c r="H90" s="40"/>
    </row>
    <row r="91">
      <c r="A91" s="39"/>
      <c r="B91" s="40"/>
      <c r="C91" s="40"/>
      <c r="D91" s="40"/>
      <c r="E91" s="40"/>
      <c r="F91" s="40"/>
      <c r="G91" s="40"/>
      <c r="H91" s="40"/>
    </row>
    <row r="92">
      <c r="A92" s="39"/>
      <c r="B92" s="40"/>
      <c r="C92" s="40"/>
      <c r="D92" s="40"/>
      <c r="E92" s="40"/>
      <c r="F92" s="40"/>
      <c r="G92" s="40"/>
      <c r="H92" s="40"/>
    </row>
    <row r="93">
      <c r="A93" s="39"/>
      <c r="B93" s="40"/>
      <c r="C93" s="40"/>
      <c r="D93" s="40"/>
      <c r="E93" s="40"/>
      <c r="F93" s="40"/>
      <c r="G93" s="40"/>
      <c r="H93" s="40"/>
    </row>
    <row r="94">
      <c r="A94" s="39"/>
      <c r="B94" s="40"/>
      <c r="C94" s="40"/>
      <c r="D94" s="40"/>
      <c r="E94" s="40"/>
      <c r="F94" s="40"/>
      <c r="G94" s="40"/>
      <c r="H94" s="40"/>
    </row>
    <row r="95">
      <c r="A95" s="39"/>
      <c r="B95" s="40"/>
      <c r="C95" s="40"/>
      <c r="D95" s="40"/>
      <c r="E95" s="40"/>
      <c r="F95" s="40"/>
      <c r="G95" s="40"/>
      <c r="H95" s="40"/>
    </row>
    <row r="96">
      <c r="A96" s="39"/>
      <c r="B96" s="40"/>
      <c r="C96" s="40"/>
      <c r="D96" s="40"/>
      <c r="E96" s="40"/>
      <c r="F96" s="40"/>
      <c r="G96" s="40"/>
      <c r="H96" s="40"/>
    </row>
    <row r="97">
      <c r="A97" s="39"/>
      <c r="B97" s="40"/>
      <c r="C97" s="40"/>
      <c r="D97" s="40"/>
      <c r="E97" s="40"/>
      <c r="F97" s="40"/>
      <c r="G97" s="40"/>
      <c r="H97" s="40"/>
    </row>
    <row r="98">
      <c r="A98" s="39"/>
      <c r="B98" s="40"/>
      <c r="C98" s="40"/>
      <c r="D98" s="40"/>
      <c r="E98" s="40"/>
      <c r="F98" s="40"/>
      <c r="G98" s="40"/>
      <c r="H98" s="40"/>
    </row>
    <row r="99">
      <c r="A99" s="39"/>
      <c r="B99" s="40"/>
      <c r="C99" s="40"/>
      <c r="D99" s="40"/>
      <c r="E99" s="40"/>
      <c r="F99" s="40"/>
      <c r="G99" s="40"/>
      <c r="H99" s="40"/>
    </row>
    <row r="100">
      <c r="A100" s="39"/>
      <c r="B100" s="40"/>
      <c r="C100" s="40"/>
      <c r="D100" s="40"/>
      <c r="E100" s="40"/>
      <c r="F100" s="40"/>
      <c r="G100" s="40"/>
      <c r="H100" s="40"/>
    </row>
    <row r="101">
      <c r="A101" s="39"/>
      <c r="B101" s="40"/>
      <c r="C101" s="40"/>
      <c r="D101" s="40"/>
      <c r="E101" s="40"/>
      <c r="F101" s="40"/>
      <c r="G101" s="40"/>
      <c r="H101" s="40"/>
    </row>
    <row r="102">
      <c r="A102" s="39"/>
      <c r="B102" s="40"/>
      <c r="C102" s="40"/>
      <c r="D102" s="40"/>
      <c r="E102" s="40"/>
      <c r="F102" s="40"/>
      <c r="G102" s="40"/>
      <c r="H102" s="40"/>
    </row>
    <row r="103">
      <c r="A103" s="39"/>
      <c r="B103" s="40"/>
      <c r="C103" s="40"/>
      <c r="D103" s="40"/>
      <c r="E103" s="40"/>
      <c r="F103" s="40"/>
      <c r="G103" s="40"/>
      <c r="H103" s="40"/>
    </row>
    <row r="104">
      <c r="A104" s="39"/>
      <c r="B104" s="40"/>
      <c r="C104" s="40"/>
      <c r="D104" s="40"/>
      <c r="E104" s="40"/>
      <c r="F104" s="40"/>
      <c r="G104" s="40"/>
      <c r="H104" s="40"/>
    </row>
    <row r="105">
      <c r="A105" s="39"/>
      <c r="B105" s="40"/>
      <c r="C105" s="40"/>
      <c r="D105" s="40"/>
      <c r="E105" s="40"/>
      <c r="F105" s="40"/>
      <c r="G105" s="40"/>
      <c r="H105" s="40"/>
    </row>
    <row r="106">
      <c r="A106" s="39"/>
      <c r="B106" s="40"/>
      <c r="C106" s="40"/>
      <c r="D106" s="40"/>
      <c r="E106" s="40"/>
      <c r="F106" s="40"/>
      <c r="G106" s="40"/>
      <c r="H106" s="40"/>
    </row>
    <row r="107">
      <c r="A107" s="39"/>
      <c r="B107" s="40"/>
      <c r="C107" s="40"/>
      <c r="D107" s="40"/>
      <c r="E107" s="40"/>
      <c r="F107" s="40"/>
      <c r="G107" s="40"/>
      <c r="H107" s="40"/>
    </row>
    <row r="108">
      <c r="A108" s="39"/>
      <c r="B108" s="40"/>
      <c r="C108" s="40"/>
      <c r="D108" s="40"/>
      <c r="E108" s="40"/>
      <c r="F108" s="40"/>
      <c r="G108" s="40"/>
      <c r="H108" s="40"/>
    </row>
    <row r="109">
      <c r="A109" s="39"/>
      <c r="B109" s="40"/>
      <c r="C109" s="40"/>
      <c r="D109" s="40"/>
      <c r="E109" s="40"/>
      <c r="F109" s="40"/>
      <c r="G109" s="40"/>
      <c r="H109" s="40"/>
    </row>
    <row r="110">
      <c r="A110" s="39"/>
      <c r="B110" s="40"/>
      <c r="C110" s="40"/>
      <c r="D110" s="40"/>
      <c r="E110" s="40"/>
      <c r="F110" s="40"/>
      <c r="G110" s="40"/>
      <c r="H110" s="40"/>
    </row>
    <row r="111">
      <c r="A111" s="39"/>
      <c r="B111" s="40"/>
      <c r="C111" s="40"/>
      <c r="D111" s="40"/>
      <c r="E111" s="40"/>
      <c r="F111" s="40"/>
      <c r="G111" s="40"/>
      <c r="H111" s="40"/>
    </row>
    <row r="112">
      <c r="A112" s="39"/>
      <c r="B112" s="40"/>
      <c r="C112" s="40"/>
      <c r="D112" s="40"/>
      <c r="E112" s="40"/>
      <c r="F112" s="40"/>
      <c r="G112" s="40"/>
      <c r="H112" s="40"/>
    </row>
    <row r="113">
      <c r="A113" s="39"/>
      <c r="B113" s="40"/>
      <c r="C113" s="40"/>
      <c r="D113" s="40"/>
      <c r="E113" s="40"/>
      <c r="F113" s="40"/>
      <c r="G113" s="40"/>
      <c r="H113" s="40"/>
    </row>
    <row r="114">
      <c r="A114" s="39"/>
      <c r="B114" s="40"/>
      <c r="C114" s="40"/>
      <c r="D114" s="40"/>
      <c r="E114" s="40"/>
      <c r="F114" s="40"/>
      <c r="G114" s="40"/>
      <c r="H114" s="40"/>
    </row>
    <row r="115">
      <c r="A115" s="39"/>
      <c r="B115" s="40"/>
      <c r="C115" s="40"/>
      <c r="D115" s="40"/>
      <c r="E115" s="40"/>
      <c r="F115" s="40"/>
      <c r="G115" s="40"/>
      <c r="H115" s="40"/>
    </row>
    <row r="116">
      <c r="A116" s="39"/>
      <c r="B116" s="40"/>
      <c r="C116" s="40"/>
      <c r="D116" s="40"/>
      <c r="E116" s="40"/>
      <c r="F116" s="40"/>
      <c r="G116" s="40"/>
      <c r="H116" s="40"/>
    </row>
    <row r="117">
      <c r="A117" s="39"/>
      <c r="B117" s="40"/>
      <c r="C117" s="40"/>
      <c r="D117" s="40"/>
      <c r="E117" s="40"/>
      <c r="F117" s="40"/>
      <c r="G117" s="40"/>
      <c r="H117" s="40"/>
    </row>
    <row r="118">
      <c r="A118" s="39"/>
      <c r="B118" s="40"/>
      <c r="C118" s="40"/>
      <c r="D118" s="40"/>
      <c r="E118" s="40"/>
      <c r="F118" s="40"/>
      <c r="G118" s="40"/>
      <c r="H118" s="40"/>
    </row>
    <row r="119">
      <c r="A119" s="39"/>
      <c r="B119" s="40"/>
      <c r="C119" s="40"/>
      <c r="D119" s="40"/>
      <c r="E119" s="40"/>
      <c r="F119" s="40"/>
      <c r="G119" s="40"/>
      <c r="H119" s="40"/>
    </row>
    <row r="120">
      <c r="A120" s="39"/>
      <c r="B120" s="40"/>
      <c r="C120" s="40"/>
      <c r="D120" s="40"/>
      <c r="E120" s="40"/>
      <c r="F120" s="40"/>
      <c r="G120" s="40"/>
      <c r="H120" s="40"/>
    </row>
    <row r="121">
      <c r="A121" s="39"/>
      <c r="B121" s="40"/>
      <c r="C121" s="40"/>
      <c r="D121" s="40"/>
      <c r="E121" s="40"/>
      <c r="F121" s="40"/>
      <c r="G121" s="40"/>
      <c r="H121" s="40"/>
    </row>
    <row r="122">
      <c r="A122" s="39"/>
      <c r="B122" s="40"/>
      <c r="C122" s="40"/>
      <c r="D122" s="40"/>
      <c r="E122" s="40"/>
      <c r="F122" s="40"/>
      <c r="G122" s="40"/>
      <c r="H122" s="40"/>
    </row>
    <row r="123">
      <c r="A123" s="39"/>
      <c r="B123" s="40"/>
      <c r="C123" s="40"/>
      <c r="D123" s="40"/>
      <c r="E123" s="40"/>
      <c r="F123" s="40"/>
      <c r="G123" s="40"/>
      <c r="H123" s="40"/>
    </row>
    <row r="124">
      <c r="A124" s="39"/>
      <c r="B124" s="40"/>
      <c r="C124" s="40"/>
      <c r="D124" s="40"/>
      <c r="E124" s="40"/>
      <c r="F124" s="40"/>
      <c r="G124" s="40"/>
      <c r="H124" s="40"/>
    </row>
    <row r="125">
      <c r="A125" s="39"/>
      <c r="B125" s="40"/>
      <c r="C125" s="40"/>
      <c r="D125" s="40"/>
      <c r="E125" s="40"/>
      <c r="F125" s="40"/>
      <c r="G125" s="40"/>
      <c r="H125" s="40"/>
    </row>
    <row r="126">
      <c r="A126" s="39"/>
      <c r="B126" s="40"/>
      <c r="C126" s="40"/>
      <c r="D126" s="40"/>
      <c r="E126" s="40"/>
      <c r="F126" s="40"/>
      <c r="G126" s="40"/>
      <c r="H126" s="40"/>
    </row>
    <row r="127">
      <c r="A127" s="39"/>
      <c r="B127" s="40"/>
      <c r="C127" s="40"/>
      <c r="D127" s="40"/>
      <c r="E127" s="40"/>
      <c r="F127" s="40"/>
      <c r="G127" s="40"/>
      <c r="H127" s="40"/>
    </row>
    <row r="128">
      <c r="A128" s="39"/>
      <c r="B128" s="40"/>
      <c r="C128" s="40"/>
      <c r="D128" s="40"/>
      <c r="E128" s="40"/>
      <c r="F128" s="40"/>
      <c r="G128" s="40"/>
      <c r="H128" s="40"/>
    </row>
    <row r="129">
      <c r="A129" s="39"/>
      <c r="B129" s="40"/>
      <c r="C129" s="40"/>
      <c r="D129" s="40"/>
      <c r="E129" s="40"/>
      <c r="F129" s="40"/>
      <c r="G129" s="40"/>
      <c r="H129" s="40"/>
    </row>
    <row r="130">
      <c r="A130" s="39"/>
      <c r="B130" s="40"/>
      <c r="C130" s="40"/>
      <c r="D130" s="40"/>
      <c r="E130" s="40"/>
      <c r="F130" s="40"/>
      <c r="G130" s="40"/>
      <c r="H130" s="40"/>
    </row>
    <row r="131">
      <c r="A131" s="39"/>
      <c r="B131" s="40"/>
      <c r="C131" s="40"/>
      <c r="D131" s="40"/>
      <c r="E131" s="40"/>
      <c r="F131" s="40"/>
      <c r="G131" s="40"/>
      <c r="H131" s="40"/>
    </row>
    <row r="132">
      <c r="A132" s="39"/>
      <c r="B132" s="40"/>
      <c r="C132" s="40"/>
      <c r="D132" s="40"/>
      <c r="E132" s="40"/>
      <c r="F132" s="40"/>
      <c r="G132" s="40"/>
      <c r="H132" s="40"/>
    </row>
    <row r="133">
      <c r="A133" s="39"/>
      <c r="B133" s="40"/>
      <c r="C133" s="40"/>
      <c r="D133" s="40"/>
      <c r="E133" s="40"/>
      <c r="F133" s="40"/>
      <c r="G133" s="40"/>
      <c r="H133" s="40"/>
    </row>
    <row r="134">
      <c r="A134" s="39"/>
      <c r="B134" s="40"/>
      <c r="C134" s="40"/>
      <c r="D134" s="40"/>
      <c r="E134" s="40"/>
      <c r="F134" s="40"/>
      <c r="G134" s="40"/>
      <c r="H134" s="40"/>
    </row>
    <row r="135">
      <c r="A135" s="39"/>
      <c r="B135" s="40"/>
      <c r="C135" s="40"/>
      <c r="D135" s="40"/>
      <c r="E135" s="40"/>
      <c r="F135" s="40"/>
      <c r="G135" s="40"/>
      <c r="H135" s="40"/>
    </row>
    <row r="136">
      <c r="A136" s="39"/>
      <c r="B136" s="40"/>
      <c r="C136" s="40"/>
      <c r="D136" s="40"/>
      <c r="E136" s="40"/>
      <c r="F136" s="40"/>
      <c r="G136" s="40"/>
      <c r="H136" s="40"/>
    </row>
    <row r="137">
      <c r="A137" s="39"/>
      <c r="B137" s="40"/>
      <c r="C137" s="40"/>
      <c r="D137" s="40"/>
      <c r="E137" s="40"/>
      <c r="F137" s="40"/>
      <c r="G137" s="40"/>
      <c r="H137" s="40"/>
    </row>
    <row r="138">
      <c r="A138" s="39"/>
      <c r="B138" s="40"/>
      <c r="C138" s="40"/>
      <c r="D138" s="40"/>
      <c r="E138" s="40"/>
      <c r="F138" s="40"/>
      <c r="G138" s="40"/>
      <c r="H138" s="40"/>
    </row>
    <row r="139">
      <c r="A139" s="39"/>
      <c r="B139" s="40"/>
      <c r="C139" s="40"/>
      <c r="D139" s="40"/>
      <c r="E139" s="40"/>
      <c r="F139" s="40"/>
      <c r="G139" s="40"/>
      <c r="H139" s="40"/>
    </row>
    <row r="140">
      <c r="A140" s="39"/>
      <c r="B140" s="40"/>
      <c r="C140" s="40"/>
      <c r="D140" s="40"/>
      <c r="E140" s="40"/>
      <c r="F140" s="40"/>
      <c r="G140" s="40"/>
      <c r="H140" s="40"/>
    </row>
    <row r="141">
      <c r="A141" s="39"/>
      <c r="B141" s="40"/>
      <c r="C141" s="40"/>
      <c r="D141" s="40"/>
      <c r="E141" s="40"/>
      <c r="F141" s="40"/>
      <c r="G141" s="40"/>
      <c r="H141" s="40"/>
    </row>
    <row r="142">
      <c r="A142" s="39"/>
      <c r="B142" s="40"/>
      <c r="C142" s="40"/>
      <c r="D142" s="40"/>
      <c r="E142" s="40"/>
      <c r="F142" s="40"/>
      <c r="G142" s="40"/>
      <c r="H142" s="40"/>
    </row>
    <row r="143">
      <c r="A143" s="39"/>
      <c r="B143" s="40"/>
      <c r="C143" s="40"/>
      <c r="D143" s="40"/>
      <c r="E143" s="40"/>
      <c r="F143" s="40"/>
      <c r="G143" s="40"/>
      <c r="H143" s="40"/>
    </row>
    <row r="144">
      <c r="A144" s="39"/>
      <c r="B144" s="40"/>
      <c r="C144" s="40"/>
      <c r="D144" s="40"/>
      <c r="E144" s="40"/>
      <c r="F144" s="40"/>
      <c r="G144" s="40"/>
      <c r="H144" s="40"/>
    </row>
    <row r="145">
      <c r="A145" s="39"/>
      <c r="B145" s="40"/>
      <c r="C145" s="40"/>
      <c r="D145" s="40"/>
      <c r="E145" s="40"/>
      <c r="F145" s="40"/>
      <c r="G145" s="40"/>
      <c r="H145" s="40"/>
    </row>
    <row r="146">
      <c r="A146" s="39"/>
      <c r="B146" s="40"/>
      <c r="C146" s="40"/>
      <c r="D146" s="40"/>
      <c r="E146" s="40"/>
      <c r="F146" s="40"/>
      <c r="G146" s="40"/>
      <c r="H146" s="40"/>
    </row>
    <row r="147">
      <c r="A147" s="39"/>
      <c r="B147" s="40"/>
      <c r="C147" s="40"/>
      <c r="D147" s="40"/>
      <c r="E147" s="40"/>
      <c r="F147" s="40"/>
      <c r="G147" s="40"/>
      <c r="H147" s="40"/>
    </row>
    <row r="148">
      <c r="A148" s="39"/>
      <c r="B148" s="40"/>
      <c r="C148" s="40"/>
      <c r="D148" s="40"/>
      <c r="E148" s="40"/>
      <c r="F148" s="40"/>
      <c r="G148" s="40"/>
      <c r="H148" s="40"/>
    </row>
    <row r="149">
      <c r="A149" s="39"/>
      <c r="B149" s="40"/>
      <c r="C149" s="40"/>
      <c r="D149" s="40"/>
      <c r="E149" s="40"/>
      <c r="F149" s="40"/>
      <c r="G149" s="40"/>
      <c r="H149" s="40"/>
    </row>
    <row r="150">
      <c r="A150" s="39"/>
      <c r="B150" s="40"/>
      <c r="C150" s="40"/>
      <c r="D150" s="40"/>
      <c r="E150" s="40"/>
      <c r="F150" s="40"/>
      <c r="G150" s="40"/>
      <c r="H150" s="40"/>
    </row>
    <row r="151">
      <c r="A151" s="39"/>
      <c r="B151" s="40"/>
      <c r="C151" s="40"/>
      <c r="D151" s="40"/>
      <c r="E151" s="40"/>
      <c r="F151" s="40"/>
      <c r="G151" s="40"/>
      <c r="H151" s="40"/>
    </row>
    <row r="152">
      <c r="A152" s="39"/>
      <c r="B152" s="40"/>
      <c r="C152" s="40"/>
      <c r="D152" s="40"/>
      <c r="E152" s="40"/>
      <c r="F152" s="40"/>
      <c r="G152" s="40"/>
      <c r="H152" s="40"/>
    </row>
    <row r="153">
      <c r="A153" s="39"/>
      <c r="B153" s="40"/>
      <c r="C153" s="40"/>
      <c r="D153" s="40"/>
      <c r="E153" s="40"/>
      <c r="F153" s="40"/>
      <c r="G153" s="40"/>
      <c r="H153" s="40"/>
    </row>
    <row r="154">
      <c r="A154" s="39"/>
      <c r="B154" s="40"/>
      <c r="C154" s="40"/>
      <c r="D154" s="40"/>
      <c r="E154" s="40"/>
      <c r="F154" s="40"/>
      <c r="G154" s="40"/>
      <c r="H154" s="40"/>
    </row>
    <row r="155">
      <c r="A155" s="39"/>
      <c r="B155" s="40"/>
      <c r="C155" s="40"/>
      <c r="D155" s="40"/>
      <c r="E155" s="40"/>
      <c r="F155" s="40"/>
      <c r="G155" s="40"/>
      <c r="H155" s="40"/>
    </row>
    <row r="156">
      <c r="A156" s="39"/>
      <c r="B156" s="40"/>
      <c r="C156" s="40"/>
      <c r="D156" s="40"/>
      <c r="E156" s="40"/>
      <c r="F156" s="40"/>
      <c r="G156" s="40"/>
      <c r="H156" s="40"/>
    </row>
    <row r="157">
      <c r="A157" s="39"/>
      <c r="B157" s="40"/>
      <c r="C157" s="40"/>
      <c r="D157" s="40"/>
      <c r="E157" s="40"/>
      <c r="F157" s="40"/>
      <c r="G157" s="40"/>
      <c r="H157" s="40"/>
    </row>
    <row r="158">
      <c r="A158" s="39"/>
      <c r="B158" s="40"/>
      <c r="C158" s="40"/>
      <c r="D158" s="40"/>
      <c r="E158" s="40"/>
      <c r="F158" s="40"/>
      <c r="G158" s="40"/>
      <c r="H158" s="40"/>
    </row>
    <row r="159">
      <c r="A159" s="39"/>
      <c r="B159" s="40"/>
      <c r="C159" s="40"/>
      <c r="D159" s="40"/>
      <c r="E159" s="40"/>
      <c r="F159" s="40"/>
      <c r="G159" s="40"/>
      <c r="H159" s="40"/>
    </row>
    <row r="160">
      <c r="A160" s="39"/>
      <c r="B160" s="40"/>
      <c r="C160" s="40"/>
      <c r="D160" s="40"/>
      <c r="E160" s="40"/>
      <c r="F160" s="40"/>
      <c r="G160" s="40"/>
      <c r="H160" s="40"/>
    </row>
    <row r="161">
      <c r="A161" s="39"/>
      <c r="B161" s="40"/>
      <c r="C161" s="40"/>
      <c r="D161" s="40"/>
      <c r="E161" s="40"/>
      <c r="F161" s="40"/>
      <c r="G161" s="40"/>
      <c r="H161" s="40"/>
    </row>
    <row r="162">
      <c r="A162" s="39"/>
      <c r="B162" s="40"/>
      <c r="C162" s="40"/>
      <c r="D162" s="40"/>
      <c r="E162" s="40"/>
      <c r="F162" s="40"/>
      <c r="G162" s="40"/>
      <c r="H162" s="40"/>
    </row>
    <row r="163">
      <c r="A163" s="39"/>
      <c r="B163" s="40"/>
      <c r="C163" s="40"/>
      <c r="D163" s="40"/>
      <c r="E163" s="40"/>
      <c r="F163" s="40"/>
      <c r="G163" s="40"/>
      <c r="H163" s="40"/>
    </row>
    <row r="164">
      <c r="A164" s="39"/>
      <c r="B164" s="40"/>
      <c r="C164" s="40"/>
      <c r="D164" s="40"/>
      <c r="E164" s="40"/>
      <c r="F164" s="40"/>
      <c r="G164" s="40"/>
      <c r="H164" s="40"/>
    </row>
    <row r="165">
      <c r="A165" s="39"/>
      <c r="B165" s="40"/>
      <c r="C165" s="40"/>
      <c r="D165" s="40"/>
      <c r="E165" s="40"/>
      <c r="F165" s="40"/>
      <c r="G165" s="40"/>
      <c r="H165" s="40"/>
    </row>
    <row r="166">
      <c r="A166" s="39"/>
      <c r="B166" s="40"/>
      <c r="C166" s="40"/>
      <c r="D166" s="40"/>
      <c r="E166" s="40"/>
      <c r="F166" s="40"/>
      <c r="G166" s="40"/>
      <c r="H166" s="40"/>
    </row>
    <row r="167">
      <c r="A167" s="39"/>
      <c r="B167" s="40"/>
      <c r="C167" s="40"/>
      <c r="D167" s="40"/>
      <c r="E167" s="40"/>
      <c r="F167" s="40"/>
      <c r="G167" s="40"/>
      <c r="H167" s="40"/>
    </row>
    <row r="168">
      <c r="A168" s="39"/>
      <c r="B168" s="40"/>
      <c r="C168" s="40"/>
      <c r="D168" s="40"/>
      <c r="E168" s="40"/>
      <c r="F168" s="40"/>
      <c r="G168" s="40"/>
      <c r="H168" s="40"/>
    </row>
    <row r="169">
      <c r="A169" s="39"/>
      <c r="B169" s="40"/>
      <c r="C169" s="40"/>
      <c r="D169" s="40"/>
      <c r="E169" s="40"/>
      <c r="F169" s="40"/>
      <c r="G169" s="40"/>
      <c r="H169" s="40"/>
    </row>
    <row r="170">
      <c r="A170" s="39"/>
      <c r="B170" s="40"/>
      <c r="C170" s="40"/>
      <c r="D170" s="40"/>
      <c r="E170" s="40"/>
      <c r="F170" s="40"/>
      <c r="G170" s="40"/>
      <c r="H170" s="40"/>
    </row>
    <row r="171">
      <c r="A171" s="39"/>
      <c r="B171" s="40"/>
      <c r="C171" s="40"/>
      <c r="D171" s="40"/>
      <c r="E171" s="40"/>
      <c r="F171" s="40"/>
      <c r="G171" s="40"/>
      <c r="H171" s="40"/>
    </row>
    <row r="172">
      <c r="A172" s="39"/>
      <c r="B172" s="40"/>
      <c r="C172" s="40"/>
      <c r="D172" s="40"/>
      <c r="E172" s="40"/>
      <c r="F172" s="40"/>
      <c r="G172" s="40"/>
      <c r="H172" s="40"/>
    </row>
    <row r="173">
      <c r="A173" s="39"/>
      <c r="B173" s="40"/>
      <c r="C173" s="40"/>
      <c r="D173" s="40"/>
      <c r="E173" s="40"/>
      <c r="F173" s="40"/>
      <c r="G173" s="40"/>
      <c r="H173" s="40"/>
    </row>
    <row r="174">
      <c r="A174" s="39"/>
      <c r="B174" s="40"/>
      <c r="C174" s="40"/>
      <c r="D174" s="40"/>
      <c r="E174" s="40"/>
      <c r="F174" s="40"/>
      <c r="G174" s="40"/>
      <c r="H174" s="40"/>
    </row>
    <row r="175">
      <c r="A175" s="39"/>
      <c r="B175" s="40"/>
      <c r="C175" s="40"/>
      <c r="D175" s="40"/>
      <c r="E175" s="40"/>
      <c r="F175" s="40"/>
      <c r="G175" s="40"/>
      <c r="H175" s="40"/>
    </row>
    <row r="176">
      <c r="A176" s="39"/>
      <c r="B176" s="40"/>
      <c r="C176" s="40"/>
      <c r="D176" s="40"/>
      <c r="E176" s="40"/>
      <c r="F176" s="40"/>
      <c r="G176" s="40"/>
      <c r="H176" s="40"/>
    </row>
    <row r="177">
      <c r="A177" s="39"/>
      <c r="B177" s="40"/>
      <c r="C177" s="40"/>
      <c r="D177" s="40"/>
      <c r="E177" s="40"/>
      <c r="F177" s="40"/>
      <c r="G177" s="40"/>
      <c r="H177" s="40"/>
    </row>
    <row r="178">
      <c r="A178" s="39"/>
      <c r="B178" s="40"/>
      <c r="C178" s="40"/>
      <c r="D178" s="40"/>
      <c r="E178" s="40"/>
      <c r="F178" s="40"/>
      <c r="G178" s="40"/>
      <c r="H178" s="40"/>
    </row>
    <row r="179">
      <c r="A179" s="39"/>
      <c r="B179" s="40"/>
      <c r="C179" s="40"/>
      <c r="D179" s="40"/>
      <c r="E179" s="40"/>
      <c r="F179" s="40"/>
      <c r="G179" s="40"/>
      <c r="H179" s="40"/>
    </row>
    <row r="180">
      <c r="A180" s="39"/>
      <c r="B180" s="40"/>
      <c r="C180" s="40"/>
      <c r="D180" s="40"/>
      <c r="E180" s="40"/>
      <c r="F180" s="40"/>
      <c r="G180" s="40"/>
      <c r="H180" s="40"/>
    </row>
    <row r="181">
      <c r="A181" s="39"/>
      <c r="B181" s="40"/>
      <c r="C181" s="40"/>
      <c r="D181" s="40"/>
      <c r="E181" s="40"/>
      <c r="F181" s="40"/>
      <c r="G181" s="40"/>
      <c r="H181" s="40"/>
    </row>
    <row r="182">
      <c r="A182" s="39"/>
      <c r="B182" s="40"/>
      <c r="C182" s="40"/>
      <c r="D182" s="40"/>
      <c r="E182" s="40"/>
      <c r="F182" s="40"/>
      <c r="G182" s="40"/>
      <c r="H182" s="40"/>
    </row>
    <row r="183">
      <c r="A183" s="39"/>
      <c r="B183" s="40"/>
      <c r="C183" s="40"/>
      <c r="D183" s="40"/>
      <c r="E183" s="40"/>
      <c r="F183" s="40"/>
      <c r="G183" s="40"/>
      <c r="H183" s="40"/>
    </row>
    <row r="184">
      <c r="A184" s="39"/>
      <c r="B184" s="40"/>
      <c r="C184" s="40"/>
      <c r="D184" s="40"/>
      <c r="E184" s="40"/>
      <c r="F184" s="40"/>
      <c r="G184" s="40"/>
      <c r="H184" s="40"/>
    </row>
    <row r="185">
      <c r="A185" s="39"/>
      <c r="B185" s="40"/>
      <c r="C185" s="40"/>
      <c r="D185" s="40"/>
      <c r="E185" s="40"/>
      <c r="F185" s="40"/>
      <c r="G185" s="40"/>
      <c r="H185" s="40"/>
    </row>
    <row r="186">
      <c r="A186" s="39"/>
      <c r="B186" s="40"/>
      <c r="C186" s="40"/>
      <c r="D186" s="40"/>
      <c r="E186" s="40"/>
      <c r="F186" s="40"/>
      <c r="G186" s="40"/>
      <c r="H186" s="40"/>
    </row>
    <row r="187">
      <c r="A187" s="39"/>
      <c r="B187" s="40"/>
      <c r="C187" s="40"/>
      <c r="D187" s="40"/>
      <c r="E187" s="40"/>
      <c r="F187" s="40"/>
      <c r="G187" s="40"/>
      <c r="H187" s="40"/>
    </row>
    <row r="188">
      <c r="A188" s="39"/>
      <c r="B188" s="40"/>
      <c r="C188" s="40"/>
      <c r="D188" s="40"/>
      <c r="E188" s="40"/>
      <c r="F188" s="40"/>
      <c r="G188" s="40"/>
      <c r="H188" s="40"/>
    </row>
    <row r="189">
      <c r="A189" s="39"/>
      <c r="B189" s="40"/>
      <c r="C189" s="40"/>
      <c r="D189" s="40"/>
      <c r="E189" s="40"/>
      <c r="F189" s="40"/>
      <c r="G189" s="40"/>
      <c r="H189" s="40"/>
    </row>
    <row r="190">
      <c r="A190" s="39"/>
      <c r="B190" s="40"/>
      <c r="C190" s="40"/>
      <c r="D190" s="40"/>
      <c r="E190" s="40"/>
      <c r="F190" s="40"/>
      <c r="G190" s="40"/>
      <c r="H190" s="40"/>
    </row>
    <row r="191">
      <c r="A191" s="39"/>
      <c r="B191" s="40"/>
      <c r="C191" s="40"/>
      <c r="D191" s="40"/>
      <c r="E191" s="40"/>
      <c r="F191" s="40"/>
      <c r="G191" s="40"/>
      <c r="H191" s="40"/>
    </row>
    <row r="192">
      <c r="A192" s="39"/>
      <c r="B192" s="40"/>
      <c r="C192" s="40"/>
      <c r="D192" s="40"/>
      <c r="E192" s="40"/>
      <c r="F192" s="40"/>
      <c r="G192" s="40"/>
      <c r="H192" s="40"/>
    </row>
    <row r="193">
      <c r="A193" s="39"/>
      <c r="B193" s="40"/>
      <c r="C193" s="40"/>
      <c r="D193" s="40"/>
      <c r="E193" s="40"/>
      <c r="F193" s="40"/>
      <c r="G193" s="40"/>
      <c r="H193" s="40"/>
    </row>
    <row r="194">
      <c r="A194" s="39"/>
      <c r="B194" s="40"/>
      <c r="C194" s="40"/>
      <c r="D194" s="40"/>
      <c r="E194" s="40"/>
      <c r="F194" s="40"/>
      <c r="G194" s="40"/>
      <c r="H194" s="40"/>
    </row>
    <row r="195">
      <c r="A195" s="39"/>
      <c r="B195" s="40"/>
      <c r="C195" s="40"/>
      <c r="D195" s="40"/>
      <c r="E195" s="40"/>
      <c r="F195" s="40"/>
      <c r="G195" s="40"/>
      <c r="H195" s="40"/>
    </row>
  </sheetData>
  <mergeCells count="1">
    <mergeCell ref="A1:H1"/>
  </mergeCells>
  <hyperlinks>
    <hyperlink r:id="rId1" ref="G2"/>
    <hyperlink r:id="rId2" ref="H2"/>
  </hyperlinks>
  <printOptions gridLines="1" horizontalCentered="1"/>
  <pageMargins bottom="0.75" footer="0.0" header="0.0" left="0.7" right="0.7"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1"/>
      <c r="C1" s="41"/>
      <c r="D1" s="41"/>
      <c r="E1" s="41"/>
      <c r="F1" s="41"/>
      <c r="G1" s="41"/>
      <c r="H1" s="41"/>
      <c r="I1" s="41"/>
      <c r="J1" s="41"/>
      <c r="K1" s="41"/>
      <c r="L1" s="41"/>
      <c r="M1" s="41"/>
      <c r="N1" s="41"/>
      <c r="O1" s="41"/>
    </row>
    <row r="2">
      <c r="A2" s="42" t="s">
        <v>84</v>
      </c>
      <c r="B2" s="43"/>
      <c r="C2" s="43"/>
      <c r="D2" s="43"/>
      <c r="E2" s="43"/>
      <c r="F2" s="43"/>
      <c r="G2" s="43"/>
      <c r="H2" s="43"/>
      <c r="I2" s="44"/>
      <c r="J2" s="41" t="s">
        <v>85</v>
      </c>
      <c r="K2" s="45"/>
      <c r="L2" s="45"/>
      <c r="M2" s="46"/>
      <c r="N2" s="46"/>
      <c r="O2" s="46"/>
    </row>
    <row r="3">
      <c r="A3" s="47" t="s">
        <v>86</v>
      </c>
      <c r="B3" s="43"/>
      <c r="C3" s="43"/>
      <c r="D3" s="43"/>
      <c r="E3" s="43"/>
      <c r="F3" s="43"/>
      <c r="G3" s="43"/>
      <c r="H3" s="43"/>
      <c r="I3" s="44"/>
      <c r="J3" s="41" t="s">
        <v>87</v>
      </c>
      <c r="K3" s="45"/>
      <c r="L3" s="45"/>
      <c r="M3" s="45"/>
      <c r="N3" s="45"/>
      <c r="O3" s="45"/>
    </row>
    <row r="4">
      <c r="A4" s="47" t="s">
        <v>88</v>
      </c>
      <c r="B4" s="43"/>
      <c r="C4" s="43"/>
      <c r="D4" s="43"/>
      <c r="E4" s="43"/>
      <c r="F4" s="43"/>
      <c r="G4" s="43"/>
      <c r="H4" s="43"/>
      <c r="I4" s="44"/>
      <c r="J4" s="41" t="s">
        <v>89</v>
      </c>
      <c r="K4" s="45"/>
      <c r="L4" s="45"/>
      <c r="M4" s="45"/>
      <c r="N4" s="45"/>
      <c r="O4" s="45"/>
    </row>
    <row r="5">
      <c r="A5" s="47" t="s">
        <v>90</v>
      </c>
      <c r="B5" s="43"/>
      <c r="C5" s="43"/>
      <c r="D5" s="43"/>
      <c r="E5" s="43"/>
      <c r="F5" s="43"/>
      <c r="G5" s="43"/>
      <c r="H5" s="43"/>
      <c r="I5" s="44"/>
      <c r="J5" s="41" t="s">
        <v>91</v>
      </c>
      <c r="K5" s="45"/>
      <c r="L5" s="45"/>
      <c r="M5" s="46"/>
      <c r="N5" s="45"/>
      <c r="O5" s="41"/>
    </row>
    <row r="6">
      <c r="A6" s="48" t="s">
        <v>92</v>
      </c>
      <c r="B6" s="43"/>
      <c r="C6" s="43"/>
      <c r="D6" s="43"/>
      <c r="E6" s="43"/>
      <c r="F6" s="43"/>
      <c r="G6" s="43"/>
      <c r="H6" s="43"/>
      <c r="I6" s="44"/>
      <c r="J6" s="41" t="s">
        <v>93</v>
      </c>
      <c r="K6" s="45"/>
      <c r="L6" s="45"/>
      <c r="M6" s="46"/>
      <c r="N6" s="45"/>
      <c r="O6" s="41"/>
    </row>
    <row r="7">
      <c r="A7" s="41"/>
      <c r="B7" s="41"/>
      <c r="C7" s="46"/>
      <c r="D7" s="45"/>
      <c r="E7" s="45"/>
      <c r="F7" s="45"/>
      <c r="G7" s="45"/>
      <c r="H7" s="45"/>
      <c r="I7" s="45"/>
      <c r="J7" s="41"/>
      <c r="K7" s="45"/>
      <c r="L7" s="45"/>
      <c r="M7" s="46"/>
      <c r="N7" s="45"/>
      <c r="O7" s="41"/>
    </row>
    <row r="8">
      <c r="A8" s="49" t="s">
        <v>94</v>
      </c>
      <c r="B8" s="43"/>
      <c r="C8" s="43"/>
      <c r="D8" s="43"/>
      <c r="E8" s="43"/>
      <c r="F8" s="43"/>
      <c r="G8" s="43"/>
      <c r="H8" s="43"/>
      <c r="I8" s="43"/>
      <c r="J8" s="43"/>
      <c r="K8" s="43"/>
      <c r="L8" s="44"/>
      <c r="M8" s="45"/>
      <c r="N8" s="45"/>
      <c r="O8" s="45"/>
    </row>
    <row r="9">
      <c r="A9" s="50" t="s">
        <v>95</v>
      </c>
      <c r="B9" s="43"/>
      <c r="C9" s="44"/>
      <c r="D9" s="51" t="s">
        <v>96</v>
      </c>
      <c r="E9" s="52" t="s">
        <v>97</v>
      </c>
      <c r="F9" s="53" t="s">
        <v>98</v>
      </c>
      <c r="G9" s="54" t="s">
        <v>99</v>
      </c>
      <c r="H9" s="55" t="s">
        <v>100</v>
      </c>
      <c r="I9" s="56" t="s">
        <v>101</v>
      </c>
      <c r="J9" s="57" t="s">
        <v>102</v>
      </c>
      <c r="K9" s="58" t="s">
        <v>102</v>
      </c>
      <c r="L9" s="59" t="s">
        <v>100</v>
      </c>
      <c r="M9" s="60"/>
      <c r="N9" s="60"/>
      <c r="O9" s="60"/>
      <c r="P9" s="61"/>
      <c r="Q9" s="61"/>
      <c r="R9" s="61"/>
      <c r="S9" s="61"/>
      <c r="T9" s="61"/>
      <c r="U9" s="61"/>
      <c r="V9" s="61"/>
      <c r="W9" s="61"/>
      <c r="X9" s="61"/>
      <c r="Y9" s="61"/>
      <c r="Z9" s="61"/>
    </row>
    <row r="10">
      <c r="A10" s="49" t="s">
        <v>103</v>
      </c>
      <c r="B10" s="43"/>
      <c r="C10" s="44"/>
      <c r="D10" s="62">
        <v>30.0</v>
      </c>
      <c r="E10" s="63">
        <v>19.0</v>
      </c>
      <c r="F10" s="64">
        <v>20.0</v>
      </c>
      <c r="G10" s="65">
        <v>12.0</v>
      </c>
      <c r="H10" s="66">
        <v>20.0</v>
      </c>
      <c r="I10" s="67">
        <v>15.0</v>
      </c>
      <c r="J10" s="68">
        <v>20.0</v>
      </c>
      <c r="K10" s="69">
        <v>20.0</v>
      </c>
      <c r="L10" s="70">
        <v>20.0</v>
      </c>
      <c r="M10" s="45"/>
      <c r="N10" s="45"/>
      <c r="O10" s="45"/>
    </row>
    <row r="11">
      <c r="A11" s="49" t="s">
        <v>104</v>
      </c>
      <c r="B11" s="43"/>
      <c r="C11" s="44"/>
      <c r="D11" s="71">
        <f t="shared" ref="D11:H11" si="1">COUNT(D14:D44)</f>
        <v>15</v>
      </c>
      <c r="E11" s="71">
        <f t="shared" si="1"/>
        <v>11</v>
      </c>
      <c r="F11" s="71">
        <f t="shared" si="1"/>
        <v>14</v>
      </c>
      <c r="G11" s="71">
        <f t="shared" si="1"/>
        <v>5</v>
      </c>
      <c r="H11" s="71">
        <f t="shared" si="1"/>
        <v>4</v>
      </c>
      <c r="I11" s="71">
        <v>12.0</v>
      </c>
      <c r="J11" s="71">
        <f t="shared" ref="J11:L11" si="2">COUNT(J14:J44)</f>
        <v>4</v>
      </c>
      <c r="K11" s="71">
        <f t="shared" si="2"/>
        <v>5</v>
      </c>
      <c r="L11" s="71">
        <f t="shared" si="2"/>
        <v>7</v>
      </c>
      <c r="M11" s="45"/>
      <c r="N11" s="45"/>
      <c r="O11" s="45"/>
    </row>
    <row r="12">
      <c r="A12" s="49" t="s">
        <v>105</v>
      </c>
      <c r="B12" s="43"/>
      <c r="C12" s="44"/>
      <c r="D12" s="72">
        <f t="shared" ref="D12:L12" si="3">D11/D10</f>
        <v>0.5</v>
      </c>
      <c r="E12" s="72">
        <f t="shared" si="3"/>
        <v>0.5789473684</v>
      </c>
      <c r="F12" s="72">
        <f t="shared" si="3"/>
        <v>0.7</v>
      </c>
      <c r="G12" s="72">
        <f t="shared" si="3"/>
        <v>0.4166666667</v>
      </c>
      <c r="H12" s="72">
        <f t="shared" si="3"/>
        <v>0.2</v>
      </c>
      <c r="I12" s="72">
        <f t="shared" si="3"/>
        <v>0.8</v>
      </c>
      <c r="J12" s="72">
        <f t="shared" si="3"/>
        <v>0.2</v>
      </c>
      <c r="K12" s="72">
        <f t="shared" si="3"/>
        <v>0.25</v>
      </c>
      <c r="L12" s="72">
        <f t="shared" si="3"/>
        <v>0.35</v>
      </c>
      <c r="M12" s="45"/>
      <c r="N12" s="45"/>
      <c r="O12" s="45"/>
    </row>
    <row r="13">
      <c r="A13" s="73" t="s">
        <v>106</v>
      </c>
      <c r="B13" s="73" t="s">
        <v>107</v>
      </c>
      <c r="C13" s="73" t="s">
        <v>4</v>
      </c>
      <c r="D13" s="74" t="s">
        <v>23</v>
      </c>
      <c r="E13" s="75" t="s">
        <v>108</v>
      </c>
      <c r="F13" s="76" t="s">
        <v>109</v>
      </c>
      <c r="G13" s="77" t="s">
        <v>55</v>
      </c>
      <c r="H13" s="78" t="s">
        <v>37</v>
      </c>
      <c r="I13" s="79" t="s">
        <v>110</v>
      </c>
      <c r="J13" s="80" t="s">
        <v>21</v>
      </c>
      <c r="K13" s="81" t="s">
        <v>54</v>
      </c>
      <c r="L13" s="82" t="s">
        <v>38</v>
      </c>
      <c r="M13" s="45"/>
      <c r="N13" s="45"/>
      <c r="O13" s="45"/>
    </row>
    <row r="14" hidden="1">
      <c r="A14" s="83" t="s">
        <v>111</v>
      </c>
      <c r="B14" s="84">
        <v>46111.0</v>
      </c>
      <c r="C14" s="85" t="s">
        <v>112</v>
      </c>
      <c r="D14" s="86"/>
      <c r="E14" s="87"/>
      <c r="F14" s="88">
        <v>1.0</v>
      </c>
      <c r="G14" s="89"/>
      <c r="H14" s="90"/>
      <c r="I14" s="91"/>
      <c r="J14" s="92"/>
      <c r="K14" s="93"/>
      <c r="L14" s="94"/>
      <c r="M14" s="45"/>
      <c r="N14" s="45"/>
      <c r="O14" s="45"/>
    </row>
    <row r="15" hidden="1">
      <c r="A15" s="95"/>
      <c r="B15" s="96">
        <f t="shared" ref="B15:B48" si="4">B14+1</f>
        <v>46112</v>
      </c>
      <c r="C15" s="85" t="s">
        <v>113</v>
      </c>
      <c r="D15" s="97">
        <v>1.0</v>
      </c>
      <c r="E15" s="87"/>
      <c r="F15" s="98"/>
      <c r="G15" s="99"/>
      <c r="H15" s="90"/>
      <c r="I15" s="91"/>
      <c r="J15" s="100"/>
      <c r="K15" s="93"/>
      <c r="L15" s="94"/>
      <c r="M15" s="45"/>
      <c r="N15" s="45"/>
      <c r="O15" s="45"/>
    </row>
    <row r="16" hidden="1">
      <c r="A16" s="95"/>
      <c r="B16" s="96">
        <f t="shared" si="4"/>
        <v>46113</v>
      </c>
      <c r="C16" s="85" t="s">
        <v>114</v>
      </c>
      <c r="D16" s="97">
        <v>1.0</v>
      </c>
      <c r="E16" s="87"/>
      <c r="F16" s="88">
        <v>1.0</v>
      </c>
      <c r="G16" s="99"/>
      <c r="H16" s="90"/>
      <c r="I16" s="101">
        <v>2.0</v>
      </c>
      <c r="J16" s="92"/>
      <c r="K16" s="93"/>
      <c r="L16" s="94"/>
      <c r="M16" s="45"/>
      <c r="N16" s="45"/>
      <c r="O16" s="45"/>
    </row>
    <row r="17" hidden="1">
      <c r="A17" s="95"/>
      <c r="B17" s="96">
        <f t="shared" si="4"/>
        <v>46114</v>
      </c>
      <c r="C17" s="85" t="s">
        <v>115</v>
      </c>
      <c r="D17" s="86"/>
      <c r="E17" s="87"/>
      <c r="F17" s="88">
        <v>1.0</v>
      </c>
      <c r="G17" s="89"/>
      <c r="H17" s="90"/>
      <c r="I17" s="101">
        <v>1.0</v>
      </c>
      <c r="J17" s="92"/>
      <c r="K17" s="93"/>
      <c r="L17" s="94"/>
      <c r="M17" s="45"/>
      <c r="N17" s="45"/>
      <c r="O17" s="45"/>
    </row>
    <row r="18" hidden="1">
      <c r="A18" s="95"/>
      <c r="B18" s="96">
        <f t="shared" si="4"/>
        <v>46115</v>
      </c>
      <c r="C18" s="85" t="s">
        <v>116</v>
      </c>
      <c r="D18" s="97">
        <v>1.0</v>
      </c>
      <c r="E18" s="87"/>
      <c r="F18" s="98"/>
      <c r="G18" s="89"/>
      <c r="H18" s="90"/>
      <c r="I18" s="101">
        <v>1.0</v>
      </c>
      <c r="J18" s="92"/>
      <c r="K18" s="93"/>
      <c r="L18" s="94"/>
      <c r="M18" s="45"/>
      <c r="N18" s="45"/>
      <c r="O18" s="45"/>
    </row>
    <row r="19" hidden="1">
      <c r="A19" s="95"/>
      <c r="B19" s="96">
        <f t="shared" si="4"/>
        <v>46116</v>
      </c>
      <c r="C19" s="85" t="s">
        <v>117</v>
      </c>
      <c r="D19" s="86"/>
      <c r="E19" s="87"/>
      <c r="F19" s="98"/>
      <c r="G19" s="99"/>
      <c r="H19" s="90"/>
      <c r="I19" s="91"/>
      <c r="J19" s="92"/>
      <c r="K19" s="93"/>
      <c r="L19" s="94"/>
      <c r="M19" s="45"/>
      <c r="N19" s="45"/>
      <c r="O19" s="45"/>
    </row>
    <row r="20" hidden="1">
      <c r="A20" s="102"/>
      <c r="B20" s="103">
        <f t="shared" si="4"/>
        <v>46117</v>
      </c>
      <c r="C20" s="104" t="s">
        <v>118</v>
      </c>
      <c r="D20" s="105"/>
      <c r="E20" s="106"/>
      <c r="F20" s="107"/>
      <c r="G20" s="108"/>
      <c r="H20" s="109"/>
      <c r="I20" s="110"/>
      <c r="J20" s="111"/>
      <c r="K20" s="112"/>
      <c r="L20" s="113"/>
      <c r="M20" s="45"/>
      <c r="N20" s="45"/>
      <c r="O20" s="45"/>
    </row>
    <row r="21">
      <c r="A21" s="114" t="s">
        <v>119</v>
      </c>
      <c r="B21" s="96">
        <f t="shared" si="4"/>
        <v>46118</v>
      </c>
      <c r="C21" s="85" t="s">
        <v>112</v>
      </c>
      <c r="D21" s="115">
        <v>1.0</v>
      </c>
      <c r="E21" s="116">
        <v>1.0</v>
      </c>
      <c r="F21" s="117">
        <v>1.0</v>
      </c>
      <c r="G21" s="118">
        <v>1.0</v>
      </c>
      <c r="H21" s="119">
        <v>1.0</v>
      </c>
      <c r="I21" s="120"/>
      <c r="J21" s="121">
        <v>1.0</v>
      </c>
      <c r="K21" s="122"/>
      <c r="L21" s="94"/>
      <c r="M21" s="45"/>
      <c r="N21" s="45"/>
      <c r="O21" s="45"/>
    </row>
    <row r="22">
      <c r="A22" s="95"/>
      <c r="B22" s="96">
        <f t="shared" si="4"/>
        <v>46119</v>
      </c>
      <c r="C22" s="85" t="s">
        <v>113</v>
      </c>
      <c r="D22" s="97"/>
      <c r="E22" s="116">
        <v>1.0</v>
      </c>
      <c r="F22" s="88">
        <v>1.0</v>
      </c>
      <c r="G22" s="99"/>
      <c r="H22" s="123" t="s">
        <v>120</v>
      </c>
      <c r="I22" s="101">
        <v>1.0</v>
      </c>
      <c r="J22" s="124">
        <v>1.0</v>
      </c>
      <c r="K22" s="125">
        <v>1.0</v>
      </c>
      <c r="L22" s="94"/>
      <c r="M22" s="45"/>
      <c r="N22" s="45"/>
      <c r="O22" s="45"/>
    </row>
    <row r="23">
      <c r="A23" s="95"/>
      <c r="B23" s="96">
        <f t="shared" si="4"/>
        <v>46120</v>
      </c>
      <c r="C23" s="85" t="s">
        <v>114</v>
      </c>
      <c r="D23" s="97">
        <v>1.0</v>
      </c>
      <c r="E23" s="116">
        <v>1.0</v>
      </c>
      <c r="F23" s="98"/>
      <c r="G23" s="89">
        <v>1.0</v>
      </c>
      <c r="H23" s="123">
        <v>1.0</v>
      </c>
      <c r="I23" s="101">
        <v>1.0</v>
      </c>
      <c r="J23" s="126">
        <v>1.0</v>
      </c>
      <c r="K23" s="125">
        <v>1.0</v>
      </c>
      <c r="L23" s="94"/>
      <c r="M23" s="45"/>
      <c r="N23" s="45"/>
      <c r="O23" s="45"/>
    </row>
    <row r="24">
      <c r="A24" s="95"/>
      <c r="B24" s="96">
        <f t="shared" si="4"/>
        <v>46121</v>
      </c>
      <c r="C24" s="85" t="s">
        <v>115</v>
      </c>
      <c r="D24" s="97">
        <v>1.0</v>
      </c>
      <c r="E24" s="116">
        <v>1.0</v>
      </c>
      <c r="F24" s="88">
        <v>1.0</v>
      </c>
      <c r="G24" s="99"/>
      <c r="H24" s="90"/>
      <c r="I24" s="91"/>
      <c r="J24" s="92"/>
      <c r="K24" s="125">
        <v>1.0</v>
      </c>
      <c r="L24" s="94"/>
      <c r="M24" s="45"/>
      <c r="N24" s="45"/>
      <c r="O24" s="45"/>
    </row>
    <row r="25">
      <c r="A25" s="95"/>
      <c r="B25" s="96">
        <f t="shared" si="4"/>
        <v>46122</v>
      </c>
      <c r="C25" s="85" t="s">
        <v>116</v>
      </c>
      <c r="D25" s="97">
        <v>1.0</v>
      </c>
      <c r="E25" s="127">
        <v>1.0</v>
      </c>
      <c r="F25" s="88">
        <v>1.0</v>
      </c>
      <c r="G25" s="99"/>
      <c r="H25" s="123">
        <v>1.0</v>
      </c>
      <c r="I25" s="91"/>
      <c r="J25" s="92"/>
      <c r="K25" s="125">
        <v>1.0</v>
      </c>
      <c r="L25" s="94"/>
      <c r="M25" s="45"/>
      <c r="N25" s="45"/>
      <c r="O25" s="45"/>
    </row>
    <row r="26">
      <c r="A26" s="95"/>
      <c r="B26" s="96">
        <f t="shared" si="4"/>
        <v>46123</v>
      </c>
      <c r="C26" s="85" t="s">
        <v>117</v>
      </c>
      <c r="D26" s="97">
        <v>1.0</v>
      </c>
      <c r="E26" s="87"/>
      <c r="F26" s="98"/>
      <c r="G26" s="99"/>
      <c r="H26" s="90"/>
      <c r="I26" s="91"/>
      <c r="J26" s="92"/>
      <c r="K26" s="93"/>
      <c r="L26" s="94"/>
      <c r="M26" s="45"/>
      <c r="N26" s="45"/>
      <c r="O26" s="45"/>
    </row>
    <row r="27">
      <c r="A27" s="102"/>
      <c r="B27" s="103">
        <f t="shared" si="4"/>
        <v>46124</v>
      </c>
      <c r="C27" s="104" t="s">
        <v>118</v>
      </c>
      <c r="D27" s="128">
        <v>1.0</v>
      </c>
      <c r="E27" s="106"/>
      <c r="F27" s="107"/>
      <c r="G27" s="108"/>
      <c r="H27" s="109"/>
      <c r="I27" s="110"/>
      <c r="J27" s="111"/>
      <c r="K27" s="112"/>
      <c r="L27" s="113"/>
      <c r="M27" s="45"/>
      <c r="N27" s="45"/>
      <c r="O27" s="45"/>
    </row>
    <row r="28">
      <c r="A28" s="114" t="s">
        <v>121</v>
      </c>
      <c r="B28" s="96">
        <f t="shared" si="4"/>
        <v>46125</v>
      </c>
      <c r="C28" s="85" t="s">
        <v>112</v>
      </c>
      <c r="D28" s="115">
        <v>1.0</v>
      </c>
      <c r="E28" s="116">
        <v>1.0</v>
      </c>
      <c r="F28" s="117">
        <v>1.0</v>
      </c>
      <c r="G28" s="118">
        <v>1.0</v>
      </c>
      <c r="H28" s="129" t="s">
        <v>122</v>
      </c>
      <c r="I28" s="120"/>
      <c r="J28" s="130"/>
      <c r="K28" s="131"/>
      <c r="L28" s="132"/>
      <c r="M28" s="45"/>
      <c r="N28" s="45"/>
      <c r="O28" s="45"/>
    </row>
    <row r="29">
      <c r="A29" s="95"/>
      <c r="B29" s="96">
        <f t="shared" si="4"/>
        <v>46126</v>
      </c>
      <c r="C29" s="85" t="s">
        <v>113</v>
      </c>
      <c r="D29" s="97">
        <v>1.0</v>
      </c>
      <c r="E29" s="127">
        <v>1.0</v>
      </c>
      <c r="F29" s="117">
        <v>1.0</v>
      </c>
      <c r="G29" s="99"/>
      <c r="H29" s="123">
        <v>1.0</v>
      </c>
      <c r="I29" s="101">
        <v>1.0</v>
      </c>
      <c r="J29" s="126">
        <v>1.0</v>
      </c>
      <c r="K29" s="125">
        <v>1.0</v>
      </c>
      <c r="L29" s="133">
        <v>1.0</v>
      </c>
      <c r="M29" s="45"/>
      <c r="N29" s="45"/>
      <c r="O29" s="45"/>
    </row>
    <row r="30">
      <c r="A30" s="95"/>
      <c r="B30" s="96">
        <f t="shared" si="4"/>
        <v>46127</v>
      </c>
      <c r="C30" s="85" t="s">
        <v>114</v>
      </c>
      <c r="D30" s="97">
        <v>1.0</v>
      </c>
      <c r="E30" s="127">
        <v>1.0</v>
      </c>
      <c r="F30" s="117">
        <v>1.0</v>
      </c>
      <c r="G30" s="89">
        <v>1.0</v>
      </c>
      <c r="H30" s="123" t="s">
        <v>123</v>
      </c>
      <c r="I30" s="101">
        <v>1.0</v>
      </c>
      <c r="J30" s="100"/>
      <c r="K30" s="93"/>
      <c r="L30" s="133">
        <v>1.0</v>
      </c>
      <c r="M30" s="45"/>
      <c r="N30" s="45"/>
      <c r="O30" s="45"/>
    </row>
    <row r="31">
      <c r="A31" s="95"/>
      <c r="B31" s="96">
        <f t="shared" si="4"/>
        <v>46128</v>
      </c>
      <c r="C31" s="85" t="s">
        <v>115</v>
      </c>
      <c r="D31" s="97">
        <v>1.0</v>
      </c>
      <c r="E31" s="127">
        <v>1.0</v>
      </c>
      <c r="F31" s="117">
        <v>1.0</v>
      </c>
      <c r="G31" s="99"/>
      <c r="H31" s="90"/>
      <c r="I31" s="91"/>
      <c r="J31" s="92"/>
      <c r="K31" s="93"/>
      <c r="L31" s="133">
        <v>1.0</v>
      </c>
      <c r="M31" s="45"/>
      <c r="N31" s="45"/>
      <c r="O31" s="45"/>
    </row>
    <row r="32">
      <c r="A32" s="95"/>
      <c r="B32" s="96">
        <f t="shared" si="4"/>
        <v>46129</v>
      </c>
      <c r="C32" s="85" t="s">
        <v>116</v>
      </c>
      <c r="D32" s="86"/>
      <c r="E32" s="127">
        <v>1.0</v>
      </c>
      <c r="F32" s="134"/>
      <c r="G32" s="99"/>
      <c r="H32" s="123" t="s">
        <v>124</v>
      </c>
      <c r="I32" s="91"/>
      <c r="J32" s="92"/>
      <c r="K32" s="93"/>
      <c r="L32" s="133">
        <v>1.0</v>
      </c>
      <c r="M32" s="45"/>
      <c r="N32" s="45"/>
      <c r="O32" s="45"/>
    </row>
    <row r="33">
      <c r="A33" s="95"/>
      <c r="B33" s="96">
        <f t="shared" si="4"/>
        <v>46130</v>
      </c>
      <c r="C33" s="85" t="s">
        <v>117</v>
      </c>
      <c r="D33" s="86"/>
      <c r="E33" s="87"/>
      <c r="F33" s="98"/>
      <c r="G33" s="99"/>
      <c r="H33" s="90"/>
      <c r="I33" s="91"/>
      <c r="J33" s="92"/>
      <c r="K33" s="93"/>
      <c r="L33" s="133">
        <v>1.0</v>
      </c>
      <c r="M33" s="45"/>
      <c r="N33" s="45"/>
      <c r="O33" s="45"/>
    </row>
    <row r="34">
      <c r="A34" s="102"/>
      <c r="B34" s="103">
        <f t="shared" si="4"/>
        <v>46131</v>
      </c>
      <c r="C34" s="104" t="s">
        <v>118</v>
      </c>
      <c r="D34" s="105"/>
      <c r="E34" s="106"/>
      <c r="F34" s="135">
        <v>1.0</v>
      </c>
      <c r="G34" s="108"/>
      <c r="H34" s="136" t="s">
        <v>125</v>
      </c>
      <c r="I34" s="110"/>
      <c r="J34" s="111"/>
      <c r="K34" s="112"/>
      <c r="L34" s="137">
        <v>1.0</v>
      </c>
      <c r="M34" s="45"/>
      <c r="N34" s="45"/>
      <c r="O34" s="45"/>
    </row>
    <row r="35">
      <c r="A35" s="114" t="s">
        <v>126</v>
      </c>
      <c r="B35" s="96">
        <f t="shared" si="4"/>
        <v>46132</v>
      </c>
      <c r="C35" s="85" t="s">
        <v>112</v>
      </c>
      <c r="D35" s="115">
        <v>1.0</v>
      </c>
      <c r="E35" s="116">
        <v>1.0</v>
      </c>
      <c r="F35" s="117">
        <v>1.0</v>
      </c>
      <c r="G35" s="118">
        <v>1.0</v>
      </c>
      <c r="H35" s="138"/>
      <c r="I35" s="120"/>
      <c r="J35" s="130"/>
      <c r="K35" s="122"/>
      <c r="L35" s="139">
        <v>1.0</v>
      </c>
      <c r="M35" s="45"/>
      <c r="N35" s="45"/>
      <c r="O35" s="45"/>
    </row>
    <row r="36">
      <c r="A36" s="95"/>
      <c r="B36" s="96">
        <f t="shared" si="4"/>
        <v>46133</v>
      </c>
      <c r="C36" s="85" t="s">
        <v>113</v>
      </c>
      <c r="D36" s="97">
        <v>1.0</v>
      </c>
      <c r="E36" s="87"/>
      <c r="F36" s="88">
        <v>1.0</v>
      </c>
      <c r="G36" s="99"/>
      <c r="H36" s="90"/>
      <c r="I36" s="91"/>
      <c r="J36" s="100"/>
      <c r="K36" s="93"/>
      <c r="L36" s="94"/>
      <c r="M36" s="45"/>
      <c r="N36" s="45"/>
      <c r="O36" s="45"/>
    </row>
    <row r="37">
      <c r="A37" s="95"/>
      <c r="B37" s="96">
        <f t="shared" si="4"/>
        <v>46134</v>
      </c>
      <c r="C37" s="85" t="s">
        <v>114</v>
      </c>
      <c r="D37" s="86"/>
      <c r="E37" s="87"/>
      <c r="F37" s="98"/>
      <c r="G37" s="99"/>
      <c r="H37" s="90"/>
      <c r="I37" s="91"/>
      <c r="J37" s="92"/>
      <c r="K37" s="93"/>
      <c r="L37" s="94"/>
      <c r="M37" s="45"/>
      <c r="N37" s="45"/>
      <c r="O37" s="45"/>
    </row>
    <row r="38">
      <c r="A38" s="95"/>
      <c r="B38" s="96">
        <f t="shared" si="4"/>
        <v>46135</v>
      </c>
      <c r="C38" s="85" t="s">
        <v>115</v>
      </c>
      <c r="D38" s="86"/>
      <c r="E38" s="87"/>
      <c r="F38" s="98"/>
      <c r="G38" s="99"/>
      <c r="H38" s="90"/>
      <c r="I38" s="91"/>
      <c r="J38" s="92"/>
      <c r="K38" s="93"/>
      <c r="L38" s="94"/>
      <c r="M38" s="45"/>
      <c r="N38" s="45"/>
      <c r="O38" s="45"/>
    </row>
    <row r="39">
      <c r="A39" s="95"/>
      <c r="B39" s="96">
        <f t="shared" si="4"/>
        <v>46136</v>
      </c>
      <c r="C39" s="85" t="s">
        <v>116</v>
      </c>
      <c r="D39" s="86"/>
      <c r="E39" s="87"/>
      <c r="F39" s="98"/>
      <c r="G39" s="99"/>
      <c r="H39" s="90"/>
      <c r="I39" s="91"/>
      <c r="J39" s="92"/>
      <c r="K39" s="93"/>
      <c r="L39" s="94"/>
      <c r="M39" s="45"/>
      <c r="N39" s="45"/>
      <c r="O39" s="45"/>
    </row>
    <row r="40">
      <c r="A40" s="95"/>
      <c r="B40" s="96">
        <f t="shared" si="4"/>
        <v>46137</v>
      </c>
      <c r="C40" s="85" t="s">
        <v>117</v>
      </c>
      <c r="D40" s="86"/>
      <c r="E40" s="87"/>
      <c r="F40" s="98"/>
      <c r="G40" s="99"/>
      <c r="H40" s="90"/>
      <c r="I40" s="91"/>
      <c r="J40" s="92"/>
      <c r="K40" s="93"/>
      <c r="L40" s="94"/>
      <c r="M40" s="45"/>
      <c r="N40" s="45"/>
      <c r="O40" s="45"/>
    </row>
    <row r="41">
      <c r="A41" s="102"/>
      <c r="B41" s="103">
        <f t="shared" si="4"/>
        <v>46138</v>
      </c>
      <c r="C41" s="104" t="s">
        <v>118</v>
      </c>
      <c r="D41" s="105"/>
      <c r="E41" s="106"/>
      <c r="F41" s="107"/>
      <c r="G41" s="108"/>
      <c r="H41" s="109"/>
      <c r="I41" s="110"/>
      <c r="J41" s="111"/>
      <c r="K41" s="112"/>
      <c r="L41" s="113"/>
      <c r="M41" s="45"/>
      <c r="N41" s="45"/>
      <c r="O41" s="45"/>
    </row>
    <row r="42">
      <c r="A42" s="140" t="s">
        <v>127</v>
      </c>
      <c r="B42" s="96">
        <f t="shared" si="4"/>
        <v>46139</v>
      </c>
      <c r="C42" s="85" t="s">
        <v>112</v>
      </c>
      <c r="D42" s="141"/>
      <c r="E42" s="142"/>
      <c r="F42" s="134"/>
      <c r="G42" s="143"/>
      <c r="H42" s="138"/>
      <c r="I42" s="120"/>
      <c r="J42" s="130"/>
      <c r="K42" s="122"/>
      <c r="L42" s="132"/>
      <c r="M42" s="45"/>
      <c r="N42" s="45"/>
      <c r="O42" s="45"/>
    </row>
    <row r="43">
      <c r="A43" s="95"/>
      <c r="B43" s="96">
        <f t="shared" si="4"/>
        <v>46140</v>
      </c>
      <c r="C43" s="85" t="s">
        <v>113</v>
      </c>
      <c r="D43" s="86"/>
      <c r="E43" s="87"/>
      <c r="F43" s="98"/>
      <c r="G43" s="99"/>
      <c r="H43" s="90"/>
      <c r="I43" s="91"/>
      <c r="J43" s="100"/>
      <c r="K43" s="93"/>
      <c r="L43" s="94"/>
      <c r="M43" s="45"/>
      <c r="N43" s="45"/>
      <c r="O43" s="45"/>
    </row>
    <row r="44">
      <c r="A44" s="95"/>
      <c r="B44" s="96">
        <f t="shared" si="4"/>
        <v>46141</v>
      </c>
      <c r="C44" s="85" t="s">
        <v>114</v>
      </c>
      <c r="D44" s="86"/>
      <c r="E44" s="87"/>
      <c r="F44" s="98"/>
      <c r="G44" s="99"/>
      <c r="H44" s="90"/>
      <c r="I44" s="91"/>
      <c r="J44" s="92"/>
      <c r="K44" s="93"/>
      <c r="L44" s="94"/>
      <c r="M44" s="45"/>
      <c r="N44" s="45"/>
      <c r="O44" s="45"/>
    </row>
    <row r="45">
      <c r="A45" s="95"/>
      <c r="B45" s="96">
        <f t="shared" si="4"/>
        <v>46142</v>
      </c>
      <c r="C45" s="85" t="s">
        <v>115</v>
      </c>
      <c r="D45" s="86"/>
      <c r="E45" s="87"/>
      <c r="F45" s="98"/>
      <c r="G45" s="99"/>
      <c r="H45" s="90"/>
      <c r="I45" s="91"/>
      <c r="J45" s="92"/>
      <c r="K45" s="93"/>
      <c r="L45" s="94"/>
      <c r="M45" s="45"/>
      <c r="N45" s="45"/>
      <c r="O45" s="45"/>
    </row>
    <row r="46">
      <c r="A46" s="95"/>
      <c r="B46" s="96">
        <f t="shared" si="4"/>
        <v>46143</v>
      </c>
      <c r="C46" s="85" t="s">
        <v>116</v>
      </c>
      <c r="D46" s="86"/>
      <c r="E46" s="87"/>
      <c r="F46" s="98"/>
      <c r="G46" s="99"/>
      <c r="H46" s="90"/>
      <c r="I46" s="91"/>
      <c r="J46" s="92"/>
      <c r="K46" s="93"/>
      <c r="L46" s="94"/>
      <c r="M46" s="45"/>
      <c r="N46" s="45"/>
      <c r="O46" s="45"/>
    </row>
    <row r="47">
      <c r="A47" s="95"/>
      <c r="B47" s="96">
        <f t="shared" si="4"/>
        <v>46144</v>
      </c>
      <c r="C47" s="85" t="s">
        <v>117</v>
      </c>
      <c r="D47" s="86"/>
      <c r="E47" s="87"/>
      <c r="F47" s="98"/>
      <c r="G47" s="99"/>
      <c r="H47" s="90"/>
      <c r="I47" s="91"/>
      <c r="J47" s="92"/>
      <c r="K47" s="93"/>
      <c r="L47" s="94"/>
      <c r="M47" s="45"/>
      <c r="N47" s="45"/>
      <c r="O47" s="45"/>
    </row>
    <row r="48">
      <c r="A48" s="102"/>
      <c r="B48" s="103">
        <f t="shared" si="4"/>
        <v>46145</v>
      </c>
      <c r="C48" s="104" t="s">
        <v>118</v>
      </c>
      <c r="D48" s="105"/>
      <c r="E48" s="106"/>
      <c r="F48" s="107"/>
      <c r="G48" s="108"/>
      <c r="H48" s="109"/>
      <c r="I48" s="110"/>
      <c r="J48" s="111"/>
      <c r="K48" s="112"/>
      <c r="L48" s="113"/>
      <c r="M48" s="45"/>
      <c r="N48" s="45"/>
      <c r="O48" s="45"/>
    </row>
    <row r="49">
      <c r="A49" s="45"/>
      <c r="B49" s="144" t="s">
        <v>128</v>
      </c>
      <c r="C49" s="45"/>
      <c r="D49" s="145">
        <f t="shared" ref="D49:L49" si="5">sum(D14:D20)</f>
        <v>3</v>
      </c>
      <c r="E49" s="145">
        <f t="shared" si="5"/>
        <v>0</v>
      </c>
      <c r="F49" s="145">
        <f t="shared" si="5"/>
        <v>3</v>
      </c>
      <c r="G49" s="145">
        <f t="shared" si="5"/>
        <v>0</v>
      </c>
      <c r="H49" s="145">
        <f t="shared" si="5"/>
        <v>0</v>
      </c>
      <c r="I49" s="145">
        <f t="shared" si="5"/>
        <v>4</v>
      </c>
      <c r="J49" s="145">
        <f t="shared" si="5"/>
        <v>0</v>
      </c>
      <c r="K49" s="145">
        <f t="shared" si="5"/>
        <v>0</v>
      </c>
      <c r="L49" s="145">
        <f t="shared" si="5"/>
        <v>0</v>
      </c>
      <c r="M49" s="45"/>
      <c r="N49" s="45"/>
      <c r="O49" s="45"/>
    </row>
    <row r="50">
      <c r="A50" s="45"/>
      <c r="B50" s="146" t="s">
        <v>129</v>
      </c>
      <c r="C50" s="46"/>
      <c r="D50" s="145">
        <f t="shared" ref="D50:L50" si="6">sum(D21:D27)</f>
        <v>6</v>
      </c>
      <c r="E50" s="145">
        <f t="shared" si="6"/>
        <v>5</v>
      </c>
      <c r="F50" s="145">
        <f t="shared" si="6"/>
        <v>4</v>
      </c>
      <c r="G50" s="145">
        <f t="shared" si="6"/>
        <v>2</v>
      </c>
      <c r="H50" s="145">
        <f t="shared" si="6"/>
        <v>3</v>
      </c>
      <c r="I50" s="145">
        <f t="shared" si="6"/>
        <v>2</v>
      </c>
      <c r="J50" s="145">
        <f t="shared" si="6"/>
        <v>3</v>
      </c>
      <c r="K50" s="145">
        <f t="shared" si="6"/>
        <v>4</v>
      </c>
      <c r="L50" s="145">
        <f t="shared" si="6"/>
        <v>0</v>
      </c>
      <c r="M50" s="45"/>
      <c r="N50" s="45"/>
      <c r="O50" s="45"/>
    </row>
    <row r="51">
      <c r="A51" s="45"/>
      <c r="B51" s="146" t="s">
        <v>130</v>
      </c>
      <c r="C51" s="46"/>
      <c r="D51" s="145">
        <f t="shared" ref="D51:L51" si="7">sum(D28:D34)</f>
        <v>4</v>
      </c>
      <c r="E51" s="145">
        <f t="shared" si="7"/>
        <v>5</v>
      </c>
      <c r="F51" s="145">
        <f t="shared" si="7"/>
        <v>5</v>
      </c>
      <c r="G51" s="145">
        <f t="shared" si="7"/>
        <v>2</v>
      </c>
      <c r="H51" s="145">
        <f t="shared" si="7"/>
        <v>1</v>
      </c>
      <c r="I51" s="145">
        <f t="shared" si="7"/>
        <v>2</v>
      </c>
      <c r="J51" s="145">
        <f t="shared" si="7"/>
        <v>1</v>
      </c>
      <c r="K51" s="145">
        <f t="shared" si="7"/>
        <v>1</v>
      </c>
      <c r="L51" s="145">
        <f t="shared" si="7"/>
        <v>6</v>
      </c>
      <c r="M51" s="45"/>
      <c r="N51" s="45"/>
      <c r="O51" s="45"/>
    </row>
    <row r="52">
      <c r="A52" s="45"/>
      <c r="B52" s="146" t="s">
        <v>131</v>
      </c>
      <c r="C52" s="46"/>
      <c r="D52" s="145">
        <f t="shared" ref="D52:L52" si="8">sum(D35:D41)</f>
        <v>2</v>
      </c>
      <c r="E52" s="145">
        <f t="shared" si="8"/>
        <v>1</v>
      </c>
      <c r="F52" s="145">
        <f t="shared" si="8"/>
        <v>2</v>
      </c>
      <c r="G52" s="145">
        <f t="shared" si="8"/>
        <v>1</v>
      </c>
      <c r="H52" s="145">
        <f t="shared" si="8"/>
        <v>0</v>
      </c>
      <c r="I52" s="145">
        <f t="shared" si="8"/>
        <v>0</v>
      </c>
      <c r="J52" s="145">
        <f t="shared" si="8"/>
        <v>0</v>
      </c>
      <c r="K52" s="145">
        <f t="shared" si="8"/>
        <v>0</v>
      </c>
      <c r="L52" s="145">
        <f t="shared" si="8"/>
        <v>1</v>
      </c>
      <c r="M52" s="45"/>
      <c r="N52" s="45"/>
      <c r="O52" s="45"/>
    </row>
    <row r="53">
      <c r="A53" s="45"/>
      <c r="B53" s="146" t="s">
        <v>132</v>
      </c>
      <c r="C53" s="46"/>
      <c r="D53" s="145">
        <f t="shared" ref="D53:L53" si="9">sum(D42:D43)</f>
        <v>0</v>
      </c>
      <c r="E53" s="145">
        <f t="shared" si="9"/>
        <v>0</v>
      </c>
      <c r="F53" s="145">
        <f t="shared" si="9"/>
        <v>0</v>
      </c>
      <c r="G53" s="145">
        <f t="shared" si="9"/>
        <v>0</v>
      </c>
      <c r="H53" s="145">
        <f t="shared" si="9"/>
        <v>0</v>
      </c>
      <c r="I53" s="145">
        <f t="shared" si="9"/>
        <v>0</v>
      </c>
      <c r="J53" s="145">
        <f t="shared" si="9"/>
        <v>0</v>
      </c>
      <c r="K53" s="145">
        <f t="shared" si="9"/>
        <v>0</v>
      </c>
      <c r="L53" s="145">
        <f t="shared" si="9"/>
        <v>0</v>
      </c>
      <c r="M53" s="45"/>
      <c r="N53" s="45"/>
      <c r="O53" s="45"/>
    </row>
    <row r="54">
      <c r="A54" s="45"/>
      <c r="B54" s="45"/>
      <c r="C54" s="45"/>
      <c r="D54" s="45"/>
      <c r="E54" s="45"/>
      <c r="F54" s="45"/>
      <c r="G54" s="45"/>
      <c r="H54" s="45"/>
      <c r="I54" s="45"/>
      <c r="J54" s="45"/>
      <c r="K54" s="45"/>
      <c r="L54" s="45"/>
      <c r="M54" s="45"/>
      <c r="N54" s="45"/>
      <c r="O54" s="45"/>
    </row>
    <row r="55">
      <c r="A55" s="45"/>
      <c r="B55" s="45"/>
      <c r="C55" s="45"/>
      <c r="D55" s="45"/>
      <c r="E55" s="45"/>
      <c r="F55" s="45"/>
      <c r="G55" s="45"/>
      <c r="H55" s="45"/>
      <c r="I55" s="45"/>
      <c r="J55" s="45"/>
      <c r="K55" s="45"/>
      <c r="L55" s="45"/>
      <c r="M55" s="45"/>
      <c r="N55" s="45"/>
      <c r="O55" s="45"/>
    </row>
    <row r="56">
      <c r="A56" s="45"/>
      <c r="B56" s="45"/>
      <c r="C56" s="45"/>
      <c r="D56" s="45"/>
      <c r="E56" s="45"/>
      <c r="F56" s="45"/>
      <c r="G56" s="45"/>
      <c r="H56" s="45"/>
      <c r="I56" s="45"/>
      <c r="J56" s="45"/>
      <c r="K56" s="45"/>
      <c r="L56" s="45"/>
      <c r="M56" s="45"/>
      <c r="N56" s="45"/>
      <c r="O56" s="45"/>
    </row>
    <row r="57">
      <c r="A57" s="45"/>
      <c r="B57" s="45"/>
      <c r="C57" s="45"/>
      <c r="D57" s="45"/>
      <c r="E57" s="45"/>
      <c r="F57" s="45"/>
      <c r="G57" s="45"/>
      <c r="H57" s="45"/>
      <c r="I57" s="45"/>
      <c r="J57" s="45"/>
      <c r="K57" s="45"/>
      <c r="L57" s="45"/>
      <c r="M57" s="45"/>
      <c r="N57" s="45"/>
      <c r="O57" s="45"/>
    </row>
    <row r="58">
      <c r="A58" s="45"/>
      <c r="B58" s="45"/>
      <c r="C58" s="45"/>
      <c r="D58" s="45"/>
      <c r="E58" s="45"/>
      <c r="F58" s="45"/>
      <c r="G58" s="45"/>
      <c r="H58" s="45"/>
      <c r="I58" s="45"/>
      <c r="J58" s="45"/>
      <c r="K58" s="45"/>
      <c r="L58" s="45"/>
      <c r="M58" s="45"/>
      <c r="N58" s="45"/>
      <c r="O58" s="45"/>
    </row>
  </sheetData>
  <mergeCells count="15">
    <mergeCell ref="A10:C10"/>
    <mergeCell ref="A11:C11"/>
    <mergeCell ref="A12:C12"/>
    <mergeCell ref="A14:A20"/>
    <mergeCell ref="A21:A27"/>
    <mergeCell ref="A28:A34"/>
    <mergeCell ref="A35:A41"/>
    <mergeCell ref="A42:A48"/>
    <mergeCell ref="A2:I2"/>
    <mergeCell ref="A3:I3"/>
    <mergeCell ref="A4:I4"/>
    <mergeCell ref="A5:I5"/>
    <mergeCell ref="A6:I6"/>
    <mergeCell ref="A8:L8"/>
    <mergeCell ref="A9:C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63"/>
    <col customWidth="1" min="2" max="2" width="13.75"/>
    <col customWidth="1" min="3" max="3" width="14.5"/>
    <col customWidth="1" min="4" max="12" width="16.88"/>
    <col customWidth="1" min="13" max="20" width="15.13"/>
  </cols>
  <sheetData>
    <row r="1" ht="18.0" customHeight="1">
      <c r="A1" s="147" t="s">
        <v>133</v>
      </c>
      <c r="M1" s="148"/>
      <c r="N1" s="148"/>
      <c r="O1" s="148"/>
      <c r="P1" s="148"/>
      <c r="Q1" s="148"/>
      <c r="R1" s="148"/>
      <c r="S1" s="148"/>
      <c r="T1" s="148"/>
    </row>
    <row r="2" ht="25.5" customHeight="1">
      <c r="A2" s="149"/>
      <c r="B2" s="150" t="s">
        <v>134</v>
      </c>
      <c r="C2" s="44"/>
      <c r="D2" s="151" t="s">
        <v>135</v>
      </c>
      <c r="E2" s="151" t="s">
        <v>37</v>
      </c>
      <c r="F2" s="151" t="s">
        <v>36</v>
      </c>
      <c r="G2" s="151" t="s">
        <v>40</v>
      </c>
      <c r="H2" s="151" t="s">
        <v>136</v>
      </c>
      <c r="I2" s="151" t="s">
        <v>54</v>
      </c>
      <c r="J2" s="151" t="s">
        <v>21</v>
      </c>
      <c r="K2" s="151" t="s">
        <v>38</v>
      </c>
      <c r="L2" s="151" t="s">
        <v>55</v>
      </c>
      <c r="M2" s="152"/>
      <c r="N2" s="152"/>
      <c r="O2" s="152"/>
      <c r="P2" s="152"/>
      <c r="Q2" s="152"/>
      <c r="R2" s="152"/>
      <c r="S2" s="152"/>
      <c r="T2" s="152"/>
    </row>
    <row r="3" ht="37.5" customHeight="1">
      <c r="A3" s="153" t="s">
        <v>137</v>
      </c>
      <c r="B3" s="150" t="s">
        <v>138</v>
      </c>
      <c r="C3" s="44"/>
      <c r="D3" s="154" t="s">
        <v>139</v>
      </c>
      <c r="E3" s="155" t="s">
        <v>140</v>
      </c>
      <c r="F3" s="155" t="s">
        <v>141</v>
      </c>
      <c r="G3" s="155" t="s">
        <v>142</v>
      </c>
      <c r="H3" s="155" t="s">
        <v>143</v>
      </c>
      <c r="I3" s="155" t="s">
        <v>144</v>
      </c>
      <c r="J3" s="155" t="s">
        <v>145</v>
      </c>
      <c r="K3" s="155" t="s">
        <v>146</v>
      </c>
      <c r="L3" s="155" t="s">
        <v>147</v>
      </c>
      <c r="M3" s="156"/>
      <c r="N3" s="156"/>
      <c r="O3" s="156"/>
      <c r="P3" s="156"/>
      <c r="Q3" s="156"/>
      <c r="R3" s="156"/>
      <c r="S3" s="156"/>
      <c r="T3" s="156"/>
    </row>
    <row r="4" ht="24.0" customHeight="1">
      <c r="A4" s="149"/>
      <c r="B4" s="150" t="s">
        <v>148</v>
      </c>
      <c r="C4" s="44"/>
      <c r="D4" s="157" t="s">
        <v>149</v>
      </c>
      <c r="E4" s="158" t="s">
        <v>150</v>
      </c>
      <c r="F4" s="158" t="s">
        <v>151</v>
      </c>
      <c r="G4" s="158" t="s">
        <v>152</v>
      </c>
      <c r="H4" s="158" t="s">
        <v>153</v>
      </c>
      <c r="I4" s="158" t="s">
        <v>154</v>
      </c>
      <c r="J4" s="158" t="s">
        <v>155</v>
      </c>
      <c r="K4" s="158" t="s">
        <v>156</v>
      </c>
      <c r="L4" s="158" t="s">
        <v>157</v>
      </c>
      <c r="M4" s="156"/>
      <c r="N4" s="156"/>
      <c r="O4" s="156"/>
      <c r="P4" s="156"/>
      <c r="Q4" s="156"/>
      <c r="R4" s="156"/>
      <c r="S4" s="156"/>
      <c r="T4" s="156"/>
    </row>
    <row r="5" ht="27.0" customHeight="1">
      <c r="A5" s="153" t="s">
        <v>158</v>
      </c>
      <c r="B5" s="150" t="s">
        <v>159</v>
      </c>
      <c r="C5" s="44"/>
      <c r="D5" s="154" t="s">
        <v>160</v>
      </c>
      <c r="E5" s="155" t="s">
        <v>161</v>
      </c>
      <c r="F5" s="155" t="s">
        <v>162</v>
      </c>
      <c r="G5" s="155" t="s">
        <v>163</v>
      </c>
      <c r="H5" s="155" t="s">
        <v>164</v>
      </c>
      <c r="I5" s="155" t="s">
        <v>165</v>
      </c>
      <c r="J5" s="155" t="s">
        <v>166</v>
      </c>
      <c r="K5" s="155" t="s">
        <v>167</v>
      </c>
      <c r="L5" s="155" t="s">
        <v>168</v>
      </c>
      <c r="M5" s="156"/>
      <c r="N5" s="156"/>
      <c r="O5" s="156"/>
      <c r="P5" s="156"/>
      <c r="Q5" s="156"/>
      <c r="R5" s="156"/>
      <c r="S5" s="156"/>
      <c r="T5" s="156"/>
    </row>
    <row r="6" ht="35.25" customHeight="1">
      <c r="A6" s="149"/>
      <c r="B6" s="150" t="s">
        <v>169</v>
      </c>
      <c r="C6" s="44"/>
      <c r="D6" s="154" t="s">
        <v>170</v>
      </c>
      <c r="E6" s="155" t="s">
        <v>171</v>
      </c>
      <c r="F6" s="155" t="s">
        <v>172</v>
      </c>
      <c r="G6" s="155" t="s">
        <v>170</v>
      </c>
      <c r="H6" s="155" t="s">
        <v>171</v>
      </c>
      <c r="I6" s="155" t="s">
        <v>173</v>
      </c>
      <c r="J6" s="155" t="s">
        <v>171</v>
      </c>
      <c r="K6" s="155" t="s">
        <v>174</v>
      </c>
      <c r="L6" s="155" t="s">
        <v>175</v>
      </c>
      <c r="M6" s="156"/>
      <c r="N6" s="156"/>
      <c r="O6" s="156"/>
      <c r="P6" s="156"/>
      <c r="Q6" s="156"/>
      <c r="R6" s="156"/>
      <c r="S6" s="156"/>
      <c r="T6" s="156"/>
    </row>
    <row r="7" ht="30.75" customHeight="1">
      <c r="A7" s="153" t="s">
        <v>176</v>
      </c>
      <c r="B7" s="150" t="s">
        <v>177</v>
      </c>
      <c r="C7" s="44"/>
      <c r="D7" s="159" t="s">
        <v>178</v>
      </c>
      <c r="E7" s="160" t="s">
        <v>179</v>
      </c>
      <c r="F7" s="160" t="s">
        <v>180</v>
      </c>
      <c r="G7" s="160" t="s">
        <v>181</v>
      </c>
      <c r="H7" s="160"/>
      <c r="I7" s="160"/>
      <c r="J7" s="160" t="s">
        <v>182</v>
      </c>
      <c r="K7" s="160" t="s">
        <v>180</v>
      </c>
      <c r="L7" s="160" t="s">
        <v>183</v>
      </c>
      <c r="M7" s="156"/>
      <c r="N7" s="156"/>
      <c r="O7" s="156"/>
      <c r="P7" s="156"/>
      <c r="Q7" s="156"/>
      <c r="R7" s="156"/>
      <c r="S7" s="156"/>
      <c r="T7" s="156"/>
    </row>
    <row r="8" ht="27.75" customHeight="1">
      <c r="A8" s="149"/>
      <c r="B8" s="150" t="s">
        <v>184</v>
      </c>
      <c r="C8" s="44"/>
      <c r="D8" s="154" t="s">
        <v>185</v>
      </c>
      <c r="E8" s="155" t="s">
        <v>186</v>
      </c>
      <c r="F8" s="155" t="s">
        <v>185</v>
      </c>
      <c r="G8" s="155" t="s">
        <v>185</v>
      </c>
      <c r="H8" s="155" t="s">
        <v>185</v>
      </c>
      <c r="I8" s="155" t="s">
        <v>185</v>
      </c>
      <c r="J8" s="155" t="s">
        <v>185</v>
      </c>
      <c r="K8" s="155" t="s">
        <v>185</v>
      </c>
      <c r="L8" s="155" t="s">
        <v>185</v>
      </c>
      <c r="M8" s="156"/>
      <c r="N8" s="156"/>
      <c r="O8" s="156"/>
      <c r="P8" s="156"/>
      <c r="Q8" s="156"/>
      <c r="R8" s="156"/>
      <c r="S8" s="156"/>
      <c r="T8" s="156"/>
    </row>
    <row r="9" ht="36.0" customHeight="1">
      <c r="A9" s="149"/>
      <c r="B9" s="161" t="s">
        <v>187</v>
      </c>
      <c r="C9" s="162" t="s">
        <v>188</v>
      </c>
      <c r="D9" s="154" t="s">
        <v>189</v>
      </c>
      <c r="E9" s="154" t="s">
        <v>189</v>
      </c>
      <c r="F9" s="155" t="s">
        <v>189</v>
      </c>
      <c r="G9" s="155" t="s">
        <v>189</v>
      </c>
      <c r="H9" s="155" t="s">
        <v>189</v>
      </c>
      <c r="I9" s="155" t="s">
        <v>189</v>
      </c>
      <c r="J9" s="155" t="s">
        <v>189</v>
      </c>
      <c r="K9" s="155" t="s">
        <v>189</v>
      </c>
      <c r="L9" s="155" t="s">
        <v>189</v>
      </c>
      <c r="M9" s="156"/>
      <c r="N9" s="156"/>
      <c r="O9" s="156"/>
      <c r="P9" s="156"/>
      <c r="Q9" s="156"/>
      <c r="R9" s="156"/>
      <c r="S9" s="156"/>
      <c r="T9" s="156"/>
    </row>
    <row r="10" ht="36.0" customHeight="1">
      <c r="A10" s="149"/>
      <c r="B10" s="95"/>
      <c r="C10" s="162" t="s">
        <v>190</v>
      </c>
      <c r="D10" s="154" t="s">
        <v>189</v>
      </c>
      <c r="E10" s="154" t="s">
        <v>189</v>
      </c>
      <c r="F10" s="155" t="s">
        <v>189</v>
      </c>
      <c r="G10" s="155" t="s">
        <v>189</v>
      </c>
      <c r="H10" s="155" t="s">
        <v>189</v>
      </c>
      <c r="I10" s="155" t="s">
        <v>189</v>
      </c>
      <c r="J10" s="155" t="s">
        <v>185</v>
      </c>
      <c r="K10" s="155" t="s">
        <v>189</v>
      </c>
      <c r="L10" s="155" t="s">
        <v>189</v>
      </c>
      <c r="M10" s="156"/>
      <c r="N10" s="156"/>
      <c r="O10" s="156"/>
      <c r="P10" s="156"/>
      <c r="Q10" s="156"/>
      <c r="R10" s="156"/>
      <c r="S10" s="156"/>
      <c r="T10" s="156"/>
    </row>
    <row r="11" ht="36.0" customHeight="1">
      <c r="A11" s="149"/>
      <c r="B11" s="95"/>
      <c r="C11" s="162" t="s">
        <v>191</v>
      </c>
      <c r="D11" s="154" t="s">
        <v>189</v>
      </c>
      <c r="E11" s="154" t="s">
        <v>189</v>
      </c>
      <c r="F11" s="155" t="s">
        <v>189</v>
      </c>
      <c r="G11" s="155" t="s">
        <v>189</v>
      </c>
      <c r="H11" s="155" t="s">
        <v>189</v>
      </c>
      <c r="I11" s="155"/>
      <c r="J11" s="155" t="s">
        <v>185</v>
      </c>
      <c r="K11" s="155" t="s">
        <v>189</v>
      </c>
      <c r="L11" s="155" t="s">
        <v>185</v>
      </c>
      <c r="M11" s="156"/>
      <c r="N11" s="156"/>
      <c r="O11" s="156"/>
      <c r="P11" s="156"/>
      <c r="Q11" s="156"/>
      <c r="R11" s="156"/>
      <c r="S11" s="156"/>
      <c r="T11" s="156"/>
    </row>
    <row r="12" ht="36.0" customHeight="1">
      <c r="A12" s="149"/>
      <c r="B12" s="95"/>
      <c r="C12" s="162" t="s">
        <v>192</v>
      </c>
      <c r="D12" s="154" t="s">
        <v>185</v>
      </c>
      <c r="E12" s="154" t="s">
        <v>185</v>
      </c>
      <c r="F12" s="155" t="s">
        <v>185</v>
      </c>
      <c r="G12" s="155" t="s">
        <v>189</v>
      </c>
      <c r="H12" s="155" t="s">
        <v>189</v>
      </c>
      <c r="I12" s="155" t="s">
        <v>185</v>
      </c>
      <c r="J12" s="155" t="s">
        <v>185</v>
      </c>
      <c r="K12" s="155" t="s">
        <v>185</v>
      </c>
      <c r="L12" s="160" t="s">
        <v>185</v>
      </c>
      <c r="M12" s="156"/>
      <c r="N12" s="163"/>
      <c r="O12" s="163"/>
      <c r="P12" s="163"/>
      <c r="Q12" s="163"/>
      <c r="R12" s="163"/>
      <c r="S12" s="163"/>
      <c r="T12" s="163"/>
    </row>
    <row r="13">
      <c r="A13" s="149"/>
      <c r="B13" s="164"/>
      <c r="C13" s="162" t="s">
        <v>193</v>
      </c>
      <c r="D13" s="154" t="s">
        <v>194</v>
      </c>
      <c r="E13" s="155" t="s">
        <v>195</v>
      </c>
      <c r="F13" s="155" t="s">
        <v>196</v>
      </c>
      <c r="G13" s="155" t="s">
        <v>197</v>
      </c>
      <c r="H13" s="155" t="s">
        <v>198</v>
      </c>
      <c r="I13" s="155" t="s">
        <v>199</v>
      </c>
      <c r="J13" s="155" t="s">
        <v>200</v>
      </c>
      <c r="K13" s="155" t="s">
        <v>201</v>
      </c>
      <c r="L13" s="155" t="s">
        <v>202</v>
      </c>
      <c r="M13" s="156"/>
      <c r="N13" s="156"/>
      <c r="O13" s="156"/>
      <c r="P13" s="156"/>
      <c r="Q13" s="156"/>
      <c r="R13" s="156"/>
      <c r="S13" s="156"/>
      <c r="T13" s="156"/>
    </row>
    <row r="14" ht="65.25" customHeight="1">
      <c r="A14" s="153" t="s">
        <v>203</v>
      </c>
      <c r="B14" s="165" t="s">
        <v>204</v>
      </c>
      <c r="C14" s="166" t="s">
        <v>205</v>
      </c>
      <c r="D14" s="154" t="s">
        <v>206</v>
      </c>
      <c r="E14" s="155" t="s">
        <v>207</v>
      </c>
      <c r="F14" s="155" t="s">
        <v>196</v>
      </c>
      <c r="G14" s="155" t="s">
        <v>208</v>
      </c>
      <c r="H14" s="155" t="s">
        <v>209</v>
      </c>
      <c r="I14" s="155"/>
      <c r="J14" s="155" t="s">
        <v>210</v>
      </c>
      <c r="K14" s="155" t="s">
        <v>211</v>
      </c>
      <c r="L14" s="155" t="s">
        <v>212</v>
      </c>
      <c r="M14" s="156"/>
      <c r="N14" s="156"/>
      <c r="O14" s="156"/>
      <c r="P14" s="156"/>
      <c r="Q14" s="156"/>
      <c r="R14" s="156"/>
      <c r="S14" s="156"/>
      <c r="T14" s="156"/>
    </row>
    <row r="15" ht="54.0" customHeight="1">
      <c r="A15" s="153" t="s">
        <v>213</v>
      </c>
      <c r="B15" s="95"/>
      <c r="C15" s="166" t="s">
        <v>214</v>
      </c>
      <c r="D15" s="154" t="s">
        <v>215</v>
      </c>
      <c r="E15" s="155" t="s">
        <v>216</v>
      </c>
      <c r="F15" s="155" t="s">
        <v>217</v>
      </c>
      <c r="G15" s="155" t="s">
        <v>218</v>
      </c>
      <c r="H15" s="155" t="s">
        <v>100</v>
      </c>
      <c r="I15" s="155" t="s">
        <v>100</v>
      </c>
      <c r="J15" s="155" t="s">
        <v>100</v>
      </c>
      <c r="K15" s="155" t="s">
        <v>219</v>
      </c>
      <c r="L15" s="155" t="s">
        <v>220</v>
      </c>
      <c r="M15" s="156"/>
      <c r="N15" s="156"/>
      <c r="O15" s="156"/>
      <c r="P15" s="156"/>
      <c r="Q15" s="156"/>
      <c r="R15" s="156"/>
      <c r="S15" s="156"/>
      <c r="T15" s="156"/>
    </row>
    <row r="16" ht="39.75" customHeight="1">
      <c r="A16" s="149"/>
      <c r="B16" s="95"/>
      <c r="C16" s="166" t="s">
        <v>221</v>
      </c>
      <c r="D16" s="154" t="s">
        <v>222</v>
      </c>
      <c r="E16" s="155">
        <v>50.0</v>
      </c>
      <c r="F16" s="155">
        <v>30.0</v>
      </c>
      <c r="G16" s="155">
        <v>50.0</v>
      </c>
      <c r="H16" s="155">
        <v>50.0</v>
      </c>
      <c r="I16" s="155">
        <v>30.0</v>
      </c>
      <c r="J16" s="155">
        <v>30.0</v>
      </c>
      <c r="K16" s="155">
        <v>30.0</v>
      </c>
      <c r="L16" s="155">
        <v>30.0</v>
      </c>
      <c r="M16" s="156"/>
      <c r="N16" s="156"/>
      <c r="O16" s="156"/>
      <c r="P16" s="156"/>
      <c r="Q16" s="156"/>
      <c r="R16" s="156"/>
      <c r="S16" s="156"/>
      <c r="T16" s="156"/>
    </row>
    <row r="17" ht="39.75" customHeight="1">
      <c r="A17" s="153" t="s">
        <v>223</v>
      </c>
      <c r="B17" s="95"/>
      <c r="C17" s="166" t="s">
        <v>224</v>
      </c>
      <c r="D17" s="154">
        <v>14.0</v>
      </c>
      <c r="E17" s="155">
        <v>10.0</v>
      </c>
      <c r="F17" s="155">
        <v>10.0</v>
      </c>
      <c r="G17" s="155">
        <v>10.0</v>
      </c>
      <c r="H17" s="155">
        <v>10.0</v>
      </c>
      <c r="I17" s="155">
        <v>10.0</v>
      </c>
      <c r="J17" s="155">
        <v>8.0</v>
      </c>
      <c r="K17" s="155">
        <v>10.0</v>
      </c>
      <c r="L17" s="155">
        <v>12.0</v>
      </c>
      <c r="M17" s="156"/>
      <c r="N17" s="156"/>
      <c r="O17" s="156"/>
      <c r="P17" s="156"/>
      <c r="Q17" s="156"/>
      <c r="R17" s="156"/>
      <c r="S17" s="156"/>
      <c r="T17" s="156"/>
    </row>
    <row r="18" ht="39.75" customHeight="1">
      <c r="A18" s="149"/>
      <c r="B18" s="95"/>
      <c r="C18" s="166" t="s">
        <v>225</v>
      </c>
      <c r="D18" s="154">
        <v>40.0</v>
      </c>
      <c r="E18" s="155">
        <v>40.0</v>
      </c>
      <c r="F18" s="155" t="s">
        <v>226</v>
      </c>
      <c r="G18" s="155">
        <v>30.0</v>
      </c>
      <c r="H18" s="155">
        <v>50.0</v>
      </c>
      <c r="I18" s="155">
        <v>20.0</v>
      </c>
      <c r="J18" s="155">
        <v>30.0</v>
      </c>
      <c r="K18" s="155">
        <v>10.0</v>
      </c>
      <c r="L18" s="155">
        <v>30.0</v>
      </c>
      <c r="M18" s="156"/>
      <c r="N18" s="156"/>
      <c r="O18" s="156"/>
      <c r="P18" s="156"/>
      <c r="Q18" s="156"/>
      <c r="R18" s="156"/>
      <c r="S18" s="156"/>
      <c r="T18" s="156"/>
    </row>
    <row r="19" ht="39.75" customHeight="1">
      <c r="A19" s="149"/>
      <c r="B19" s="95"/>
      <c r="C19" s="166" t="s">
        <v>227</v>
      </c>
      <c r="D19" s="154">
        <v>40.0</v>
      </c>
      <c r="E19" s="155">
        <v>40.0</v>
      </c>
      <c r="F19" s="155">
        <v>30.0</v>
      </c>
      <c r="G19" s="155">
        <v>30.0</v>
      </c>
      <c r="H19" s="155">
        <v>40.0</v>
      </c>
      <c r="I19" s="155">
        <v>30.0</v>
      </c>
      <c r="J19" s="155">
        <v>20.0</v>
      </c>
      <c r="K19" s="155">
        <v>10.0</v>
      </c>
      <c r="L19" s="155">
        <v>25.0</v>
      </c>
      <c r="M19" s="156"/>
      <c r="N19" s="156"/>
      <c r="O19" s="156"/>
      <c r="P19" s="156"/>
      <c r="Q19" s="156"/>
      <c r="R19" s="156"/>
      <c r="S19" s="156"/>
      <c r="T19" s="156"/>
    </row>
    <row r="20" ht="39.75" customHeight="1">
      <c r="A20" s="149"/>
      <c r="B20" s="95"/>
      <c r="C20" s="166" t="s">
        <v>228</v>
      </c>
      <c r="D20" s="154">
        <v>15.0</v>
      </c>
      <c r="E20" s="155">
        <v>10.0</v>
      </c>
      <c r="F20" s="155">
        <v>7.0</v>
      </c>
      <c r="G20" s="155">
        <v>10.0</v>
      </c>
      <c r="H20" s="155">
        <v>12.0</v>
      </c>
      <c r="I20" s="155">
        <v>10.0</v>
      </c>
      <c r="J20" s="155">
        <v>10.0</v>
      </c>
      <c r="K20" s="155">
        <v>10.0</v>
      </c>
      <c r="L20" s="155">
        <v>10.0</v>
      </c>
      <c r="M20" s="156"/>
      <c r="N20" s="156"/>
      <c r="O20" s="156"/>
      <c r="P20" s="156"/>
      <c r="Q20" s="156"/>
      <c r="R20" s="156"/>
      <c r="S20" s="156"/>
      <c r="T20" s="156"/>
    </row>
    <row r="21" ht="39.75" customHeight="1">
      <c r="A21" s="149"/>
      <c r="B21" s="164"/>
      <c r="C21" s="166" t="s">
        <v>229</v>
      </c>
      <c r="D21" s="154">
        <v>2.0</v>
      </c>
      <c r="E21" s="155">
        <v>1.0</v>
      </c>
      <c r="F21" s="155">
        <v>0.0</v>
      </c>
      <c r="G21" s="155">
        <v>3.0</v>
      </c>
      <c r="H21" s="155">
        <v>1.0</v>
      </c>
      <c r="I21" s="155"/>
      <c r="J21" s="155">
        <v>1.0</v>
      </c>
      <c r="K21" s="155">
        <v>0.0</v>
      </c>
      <c r="L21" s="155">
        <v>0.0</v>
      </c>
      <c r="M21" s="156"/>
      <c r="N21" s="156"/>
      <c r="O21" s="156"/>
      <c r="P21" s="156"/>
      <c r="Q21" s="156"/>
      <c r="R21" s="156"/>
      <c r="S21" s="156"/>
      <c r="T21" s="156"/>
    </row>
    <row r="22">
      <c r="A22" s="167" t="s">
        <v>230</v>
      </c>
      <c r="B22" s="168" t="s">
        <v>231</v>
      </c>
      <c r="C22" s="44"/>
      <c r="D22" s="169" t="s">
        <v>232</v>
      </c>
      <c r="E22" s="170" t="s">
        <v>233</v>
      </c>
      <c r="F22" s="155" t="s">
        <v>234</v>
      </c>
      <c r="G22" s="155" t="s">
        <v>235</v>
      </c>
      <c r="H22" s="171" t="s">
        <v>236</v>
      </c>
      <c r="I22" s="155" t="s">
        <v>237</v>
      </c>
      <c r="J22" s="171" t="s">
        <v>238</v>
      </c>
      <c r="K22" s="155" t="s">
        <v>239</v>
      </c>
      <c r="L22" s="155" t="s">
        <v>240</v>
      </c>
      <c r="M22" s="156"/>
      <c r="N22" s="156"/>
      <c r="O22" s="156"/>
      <c r="P22" s="156"/>
      <c r="Q22" s="156"/>
      <c r="R22" s="156"/>
      <c r="S22" s="156"/>
      <c r="T22" s="156"/>
    </row>
    <row r="23">
      <c r="B23" s="172" t="s">
        <v>241</v>
      </c>
      <c r="C23" s="44"/>
      <c r="D23" s="169" t="s">
        <v>242</v>
      </c>
      <c r="E23" s="173" t="s">
        <v>243</v>
      </c>
      <c r="F23" s="155" t="s">
        <v>244</v>
      </c>
      <c r="G23" s="155" t="s">
        <v>245</v>
      </c>
      <c r="H23" s="171" t="s">
        <v>246</v>
      </c>
      <c r="I23" s="171" t="s">
        <v>247</v>
      </c>
      <c r="J23" s="171" t="s">
        <v>248</v>
      </c>
      <c r="K23" s="155" t="s">
        <v>249</v>
      </c>
      <c r="L23" s="155" t="s">
        <v>250</v>
      </c>
      <c r="M23" s="156"/>
      <c r="N23" s="156"/>
      <c r="O23" s="156"/>
      <c r="P23" s="156"/>
      <c r="Q23" s="156"/>
      <c r="R23" s="156"/>
      <c r="S23" s="156"/>
      <c r="T23" s="156"/>
    </row>
    <row r="24" ht="26.25" customHeight="1">
      <c r="A24" s="167"/>
      <c r="B24" s="174"/>
      <c r="C24" s="174"/>
      <c r="D24" s="175"/>
      <c r="E24" s="156"/>
      <c r="F24" s="156"/>
      <c r="G24" s="156"/>
      <c r="H24" s="174"/>
      <c r="I24" s="174"/>
      <c r="J24" s="174"/>
      <c r="K24" s="156"/>
      <c r="L24" s="156"/>
      <c r="M24" s="156"/>
      <c r="N24" s="156"/>
      <c r="O24" s="156"/>
      <c r="P24" s="156"/>
      <c r="Q24" s="156"/>
      <c r="R24" s="156"/>
      <c r="S24" s="156"/>
      <c r="T24" s="156"/>
    </row>
    <row r="25">
      <c r="A25" s="167"/>
      <c r="B25" s="151" t="s">
        <v>135</v>
      </c>
      <c r="C25" s="176" t="s">
        <v>149</v>
      </c>
      <c r="D25" s="177" t="s">
        <v>251</v>
      </c>
      <c r="E25" s="44"/>
      <c r="F25" s="156"/>
      <c r="G25" s="156"/>
      <c r="H25" s="174"/>
      <c r="I25" s="174"/>
      <c r="J25" s="174"/>
      <c r="K25" s="156"/>
      <c r="L25" s="156"/>
      <c r="M25" s="156"/>
      <c r="N25" s="156"/>
      <c r="O25" s="156"/>
      <c r="P25" s="156"/>
      <c r="Q25" s="156"/>
      <c r="R25" s="156"/>
      <c r="S25" s="156"/>
      <c r="T25" s="156"/>
    </row>
    <row r="26" ht="28.5" customHeight="1">
      <c r="A26" s="167"/>
      <c r="B26" s="178" t="s">
        <v>136</v>
      </c>
      <c r="C26" s="176" t="s">
        <v>252</v>
      </c>
      <c r="D26" s="177" t="s">
        <v>253</v>
      </c>
      <c r="E26" s="44"/>
      <c r="F26" s="156"/>
      <c r="G26" s="156"/>
      <c r="H26" s="174"/>
      <c r="I26" s="174"/>
      <c r="J26" s="174"/>
      <c r="K26" s="156"/>
      <c r="L26" s="156"/>
      <c r="M26" s="156"/>
      <c r="N26" s="156"/>
      <c r="O26" s="156"/>
      <c r="P26" s="156"/>
      <c r="Q26" s="156"/>
      <c r="R26" s="156"/>
      <c r="S26" s="156"/>
      <c r="T26" s="156"/>
    </row>
    <row r="27" ht="28.5" customHeight="1">
      <c r="A27" s="167"/>
      <c r="B27" s="178" t="s">
        <v>40</v>
      </c>
      <c r="C27" s="176" t="s">
        <v>254</v>
      </c>
      <c r="D27" s="177" t="s">
        <v>255</v>
      </c>
      <c r="E27" s="44"/>
      <c r="F27" s="156"/>
      <c r="G27" s="156"/>
      <c r="H27" s="174"/>
      <c r="I27" s="174"/>
      <c r="J27" s="174"/>
      <c r="K27" s="156"/>
      <c r="L27" s="156"/>
      <c r="M27" s="156"/>
      <c r="N27" s="156"/>
      <c r="O27" s="156"/>
      <c r="P27" s="156"/>
      <c r="Q27" s="156"/>
      <c r="R27" s="156"/>
      <c r="S27" s="156"/>
      <c r="T27" s="156"/>
    </row>
    <row r="28" ht="28.5" customHeight="1">
      <c r="A28" s="167"/>
      <c r="B28" s="178" t="s">
        <v>37</v>
      </c>
      <c r="C28" s="176" t="s">
        <v>256</v>
      </c>
      <c r="D28" s="177" t="s">
        <v>257</v>
      </c>
      <c r="E28" s="44"/>
      <c r="F28" s="156"/>
      <c r="G28" s="156"/>
      <c r="H28" s="174"/>
      <c r="I28" s="174"/>
      <c r="J28" s="174"/>
      <c r="K28" s="156"/>
      <c r="L28" s="156"/>
      <c r="M28" s="156"/>
      <c r="N28" s="156"/>
      <c r="O28" s="156"/>
      <c r="P28" s="156"/>
      <c r="Q28" s="156"/>
      <c r="R28" s="156"/>
      <c r="S28" s="156"/>
      <c r="T28" s="156"/>
    </row>
    <row r="29" ht="28.5" customHeight="1">
      <c r="A29" s="167"/>
      <c r="B29" s="178" t="s">
        <v>54</v>
      </c>
      <c r="C29" s="176" t="s">
        <v>258</v>
      </c>
      <c r="D29" s="177" t="s">
        <v>259</v>
      </c>
      <c r="E29" s="44"/>
      <c r="F29" s="156"/>
      <c r="G29" s="156"/>
      <c r="H29" s="174"/>
      <c r="I29" s="174"/>
      <c r="J29" s="174"/>
      <c r="K29" s="156"/>
      <c r="L29" s="156"/>
      <c r="M29" s="156"/>
      <c r="N29" s="156"/>
      <c r="O29" s="156"/>
      <c r="P29" s="156"/>
      <c r="Q29" s="156"/>
      <c r="R29" s="156"/>
      <c r="S29" s="156"/>
      <c r="T29" s="156"/>
    </row>
    <row r="30" ht="28.5" customHeight="1">
      <c r="A30" s="167"/>
      <c r="B30" s="178" t="s">
        <v>38</v>
      </c>
      <c r="C30" s="176" t="s">
        <v>260</v>
      </c>
      <c r="D30" s="179" t="s">
        <v>261</v>
      </c>
      <c r="E30" s="44"/>
      <c r="F30" s="156"/>
      <c r="G30" s="156"/>
      <c r="H30" s="174"/>
      <c r="I30" s="174"/>
      <c r="J30" s="174"/>
      <c r="K30" s="156"/>
      <c r="L30" s="156"/>
      <c r="M30" s="156"/>
      <c r="N30" s="156"/>
      <c r="O30" s="156"/>
      <c r="P30" s="156"/>
      <c r="Q30" s="156"/>
      <c r="R30" s="156"/>
      <c r="S30" s="156"/>
      <c r="T30" s="156"/>
    </row>
    <row r="31" ht="28.5" customHeight="1">
      <c r="A31" s="167"/>
      <c r="B31" s="178" t="s">
        <v>36</v>
      </c>
      <c r="C31" s="176" t="s">
        <v>262</v>
      </c>
      <c r="D31" s="177" t="s">
        <v>263</v>
      </c>
      <c r="E31" s="44"/>
      <c r="F31" s="156"/>
      <c r="G31" s="156"/>
      <c r="H31" s="174"/>
      <c r="I31" s="174"/>
      <c r="J31" s="174"/>
      <c r="K31" s="156"/>
      <c r="L31" s="156"/>
      <c r="M31" s="156"/>
      <c r="N31" s="156"/>
      <c r="O31" s="156"/>
      <c r="P31" s="156"/>
      <c r="Q31" s="156"/>
      <c r="R31" s="156"/>
      <c r="S31" s="156"/>
      <c r="T31" s="156"/>
    </row>
    <row r="32" ht="28.5" customHeight="1">
      <c r="A32" s="167"/>
      <c r="B32" s="178" t="s">
        <v>21</v>
      </c>
      <c r="C32" s="176" t="s">
        <v>264</v>
      </c>
      <c r="D32" s="179" t="s">
        <v>265</v>
      </c>
      <c r="E32" s="44"/>
      <c r="F32" s="156"/>
      <c r="G32" s="156"/>
      <c r="H32" s="174"/>
      <c r="I32" s="174"/>
      <c r="J32" s="174"/>
      <c r="K32" s="156"/>
      <c r="L32" s="156"/>
      <c r="M32" s="156"/>
      <c r="N32" s="156"/>
      <c r="O32" s="156"/>
      <c r="P32" s="156"/>
      <c r="Q32" s="156"/>
      <c r="R32" s="156"/>
      <c r="S32" s="156"/>
      <c r="T32" s="156"/>
    </row>
    <row r="33" ht="28.5" customHeight="1">
      <c r="A33" s="167"/>
      <c r="B33" s="178" t="s">
        <v>55</v>
      </c>
      <c r="C33" s="176" t="s">
        <v>266</v>
      </c>
      <c r="D33" s="177" t="s">
        <v>267</v>
      </c>
      <c r="E33" s="44"/>
      <c r="F33" s="156"/>
      <c r="G33" s="156"/>
      <c r="H33" s="174"/>
      <c r="I33" s="174"/>
      <c r="J33" s="174"/>
      <c r="K33" s="156"/>
      <c r="L33" s="156"/>
      <c r="M33" s="156"/>
      <c r="N33" s="156"/>
      <c r="O33" s="156"/>
      <c r="P33" s="156"/>
      <c r="Q33" s="156"/>
      <c r="R33" s="156"/>
      <c r="S33" s="156"/>
      <c r="T33" s="156"/>
    </row>
    <row r="34" ht="26.25" customHeight="1">
      <c r="A34" s="167"/>
      <c r="B34" s="174"/>
      <c r="C34" s="174"/>
      <c r="D34" s="175"/>
      <c r="E34" s="156"/>
      <c r="F34" s="156"/>
      <c r="G34" s="156"/>
      <c r="H34" s="174"/>
      <c r="I34" s="174"/>
      <c r="J34" s="174"/>
      <c r="K34" s="156"/>
      <c r="L34" s="156"/>
      <c r="M34" s="156"/>
      <c r="N34" s="156"/>
      <c r="O34" s="156"/>
      <c r="P34" s="156"/>
      <c r="Q34" s="156"/>
      <c r="R34" s="156"/>
      <c r="S34" s="156"/>
      <c r="T34" s="156"/>
    </row>
    <row r="35" ht="26.25" customHeight="1">
      <c r="A35" s="167"/>
      <c r="B35" s="174"/>
      <c r="C35" s="174"/>
      <c r="D35" s="175"/>
      <c r="E35" s="156"/>
      <c r="F35" s="156"/>
      <c r="G35" s="156"/>
      <c r="H35" s="174"/>
      <c r="I35" s="174"/>
      <c r="J35" s="174"/>
      <c r="K35" s="156"/>
      <c r="L35" s="156"/>
      <c r="M35" s="156"/>
      <c r="N35" s="156"/>
      <c r="O35" s="156"/>
      <c r="P35" s="156"/>
      <c r="Q35" s="156"/>
      <c r="R35" s="156"/>
      <c r="S35" s="156"/>
      <c r="T35" s="156"/>
    </row>
    <row r="36" ht="26.25" customHeight="1">
      <c r="A36" s="167"/>
      <c r="B36" s="174"/>
      <c r="C36" s="174"/>
      <c r="D36" s="175"/>
      <c r="E36" s="156"/>
      <c r="F36" s="156"/>
      <c r="G36" s="156"/>
      <c r="H36" s="174"/>
      <c r="I36" s="174"/>
      <c r="J36" s="174"/>
      <c r="K36" s="156"/>
      <c r="L36" s="156"/>
      <c r="M36" s="156"/>
      <c r="N36" s="156"/>
      <c r="O36" s="156"/>
      <c r="P36" s="156"/>
      <c r="Q36" s="156"/>
      <c r="R36" s="156"/>
      <c r="S36" s="156"/>
      <c r="T36" s="156"/>
    </row>
    <row r="37" ht="26.25" customHeight="1">
      <c r="A37" s="167"/>
      <c r="B37" s="174"/>
      <c r="C37" s="174"/>
      <c r="D37" s="175"/>
      <c r="E37" s="156"/>
      <c r="F37" s="156"/>
      <c r="G37" s="156"/>
      <c r="H37" s="174"/>
      <c r="I37" s="174"/>
      <c r="J37" s="174"/>
      <c r="K37" s="156"/>
      <c r="L37" s="156"/>
      <c r="M37" s="156"/>
      <c r="N37" s="156"/>
      <c r="O37" s="156"/>
      <c r="P37" s="156"/>
      <c r="Q37" s="156"/>
      <c r="R37" s="156"/>
      <c r="S37" s="156"/>
      <c r="T37" s="156"/>
    </row>
    <row r="38" ht="26.25" customHeight="1">
      <c r="A38" s="167"/>
      <c r="B38" s="174"/>
      <c r="C38" s="174"/>
      <c r="D38" s="175"/>
      <c r="E38" s="156"/>
      <c r="F38" s="156"/>
      <c r="G38" s="156"/>
      <c r="H38" s="174"/>
      <c r="I38" s="174"/>
      <c r="J38" s="174"/>
      <c r="K38" s="156"/>
      <c r="L38" s="156"/>
      <c r="M38" s="156"/>
      <c r="N38" s="156"/>
      <c r="O38" s="156"/>
      <c r="P38" s="156"/>
      <c r="Q38" s="156"/>
      <c r="R38" s="156"/>
      <c r="S38" s="156"/>
      <c r="T38" s="156"/>
    </row>
    <row r="39" ht="26.25" customHeight="1">
      <c r="A39" s="167"/>
      <c r="B39" s="174"/>
      <c r="C39" s="174"/>
      <c r="D39" s="175"/>
      <c r="E39" s="156"/>
      <c r="F39" s="156"/>
      <c r="G39" s="156"/>
      <c r="H39" s="174"/>
      <c r="I39" s="174"/>
      <c r="J39" s="174"/>
      <c r="K39" s="156"/>
      <c r="L39" s="156"/>
      <c r="M39" s="156"/>
      <c r="N39" s="156"/>
      <c r="O39" s="156"/>
      <c r="P39" s="156"/>
      <c r="Q39" s="156"/>
      <c r="R39" s="156"/>
      <c r="S39" s="156"/>
      <c r="T39" s="156"/>
    </row>
    <row r="40" ht="26.25" customHeight="1">
      <c r="A40" s="167"/>
      <c r="B40" s="174"/>
      <c r="C40" s="174"/>
      <c r="D40" s="175"/>
      <c r="E40" s="156"/>
      <c r="F40" s="156"/>
      <c r="G40" s="156"/>
      <c r="H40" s="174"/>
      <c r="I40" s="174"/>
      <c r="J40" s="174"/>
      <c r="K40" s="156"/>
      <c r="L40" s="156"/>
      <c r="M40" s="156"/>
      <c r="N40" s="156"/>
      <c r="O40" s="156"/>
      <c r="P40" s="156"/>
      <c r="Q40" s="156"/>
      <c r="R40" s="156"/>
      <c r="S40" s="156"/>
      <c r="T40" s="156"/>
    </row>
    <row r="41" ht="26.25" customHeight="1">
      <c r="A41" s="167"/>
      <c r="B41" s="174"/>
      <c r="C41" s="174"/>
      <c r="D41" s="175"/>
      <c r="E41" s="156"/>
      <c r="F41" s="156"/>
      <c r="G41" s="156"/>
      <c r="H41" s="174"/>
      <c r="I41" s="174"/>
      <c r="J41" s="174"/>
      <c r="K41" s="156"/>
      <c r="L41" s="156"/>
      <c r="M41" s="156"/>
      <c r="N41" s="156"/>
      <c r="O41" s="156"/>
      <c r="P41" s="156"/>
      <c r="Q41" s="156"/>
      <c r="R41" s="156"/>
      <c r="S41" s="156"/>
      <c r="T41" s="156"/>
    </row>
    <row r="42" ht="26.25" customHeight="1">
      <c r="A42" s="167"/>
      <c r="B42" s="174"/>
      <c r="C42" s="174"/>
      <c r="D42" s="175"/>
      <c r="E42" s="156"/>
      <c r="F42" s="156"/>
      <c r="G42" s="156"/>
      <c r="H42" s="174"/>
      <c r="I42" s="174"/>
      <c r="J42" s="174"/>
      <c r="K42" s="156"/>
      <c r="L42" s="156"/>
      <c r="M42" s="156"/>
      <c r="N42" s="156"/>
      <c r="O42" s="156"/>
      <c r="P42" s="156"/>
      <c r="Q42" s="156"/>
      <c r="R42" s="156"/>
      <c r="S42" s="156"/>
      <c r="T42" s="156"/>
    </row>
    <row r="43" ht="26.25" customHeight="1">
      <c r="A43" s="167"/>
      <c r="B43" s="174"/>
      <c r="C43" s="174"/>
      <c r="D43" s="175"/>
      <c r="E43" s="156"/>
      <c r="F43" s="156"/>
      <c r="G43" s="156"/>
      <c r="H43" s="174"/>
      <c r="I43" s="174"/>
      <c r="J43" s="174"/>
      <c r="K43" s="156"/>
      <c r="L43" s="156"/>
      <c r="M43" s="156"/>
      <c r="N43" s="156"/>
      <c r="O43" s="156"/>
      <c r="P43" s="156"/>
      <c r="Q43" s="156"/>
      <c r="R43" s="156"/>
      <c r="S43" s="156"/>
      <c r="T43" s="156"/>
    </row>
    <row r="44" ht="26.25" customHeight="1">
      <c r="A44" s="167"/>
      <c r="B44" s="174"/>
      <c r="C44" s="174"/>
      <c r="D44" s="175"/>
      <c r="E44" s="156"/>
      <c r="F44" s="156"/>
      <c r="G44" s="156"/>
      <c r="H44" s="174"/>
      <c r="I44" s="174"/>
      <c r="J44" s="174"/>
      <c r="K44" s="156"/>
      <c r="L44" s="156"/>
      <c r="M44" s="156"/>
      <c r="N44" s="156"/>
      <c r="O44" s="156"/>
      <c r="P44" s="156"/>
      <c r="Q44" s="156"/>
      <c r="R44" s="156"/>
      <c r="S44" s="156"/>
      <c r="T44" s="156"/>
    </row>
    <row r="45" ht="26.25" customHeight="1">
      <c r="A45" s="167"/>
      <c r="B45" s="174"/>
      <c r="C45" s="174"/>
      <c r="D45" s="175"/>
      <c r="E45" s="156"/>
      <c r="F45" s="156"/>
      <c r="G45" s="156"/>
      <c r="H45" s="174"/>
      <c r="I45" s="174"/>
      <c r="J45" s="174"/>
      <c r="K45" s="156"/>
      <c r="L45" s="156"/>
      <c r="M45" s="156"/>
      <c r="N45" s="156"/>
      <c r="O45" s="156"/>
      <c r="P45" s="156"/>
      <c r="Q45" s="156"/>
      <c r="R45" s="156"/>
      <c r="S45" s="156"/>
      <c r="T45" s="156"/>
    </row>
    <row r="46" ht="26.25" customHeight="1">
      <c r="A46" s="167"/>
      <c r="B46" s="174"/>
      <c r="C46" s="174"/>
      <c r="D46" s="175"/>
      <c r="E46" s="156"/>
      <c r="F46" s="156"/>
      <c r="G46" s="156"/>
      <c r="H46" s="174"/>
      <c r="I46" s="174"/>
      <c r="J46" s="174"/>
      <c r="K46" s="156"/>
      <c r="L46" s="156"/>
      <c r="M46" s="156"/>
      <c r="N46" s="156"/>
      <c r="O46" s="156"/>
      <c r="P46" s="156"/>
      <c r="Q46" s="156"/>
      <c r="R46" s="156"/>
      <c r="S46" s="156"/>
      <c r="T46" s="156"/>
    </row>
    <row r="47" ht="26.25" customHeight="1">
      <c r="A47" s="167"/>
      <c r="B47" s="174"/>
      <c r="C47" s="174"/>
      <c r="D47" s="175"/>
      <c r="E47" s="156"/>
      <c r="F47" s="156"/>
      <c r="G47" s="156"/>
      <c r="H47" s="174"/>
      <c r="I47" s="174"/>
      <c r="J47" s="174"/>
      <c r="K47" s="156"/>
      <c r="L47" s="156"/>
      <c r="M47" s="156"/>
      <c r="N47" s="156"/>
      <c r="O47" s="156"/>
      <c r="P47" s="156"/>
      <c r="Q47" s="156"/>
      <c r="R47" s="156"/>
      <c r="S47" s="156"/>
      <c r="T47" s="156"/>
    </row>
    <row r="48" ht="26.25" customHeight="1">
      <c r="A48" s="167"/>
      <c r="B48" s="174"/>
      <c r="C48" s="174"/>
      <c r="D48" s="175"/>
      <c r="E48" s="156"/>
      <c r="F48" s="156"/>
      <c r="G48" s="156"/>
      <c r="H48" s="174"/>
      <c r="I48" s="174"/>
      <c r="J48" s="174"/>
      <c r="K48" s="156"/>
      <c r="L48" s="156"/>
      <c r="M48" s="156"/>
      <c r="N48" s="156"/>
      <c r="O48" s="156"/>
      <c r="P48" s="156"/>
      <c r="Q48" s="156"/>
      <c r="R48" s="156"/>
      <c r="S48" s="156"/>
      <c r="T48" s="156"/>
    </row>
    <row r="49" ht="26.25" customHeight="1">
      <c r="A49" s="167"/>
      <c r="B49" s="174"/>
      <c r="C49" s="174"/>
      <c r="D49" s="175"/>
      <c r="E49" s="156"/>
      <c r="F49" s="156"/>
      <c r="G49" s="156"/>
      <c r="H49" s="174"/>
      <c r="I49" s="174"/>
      <c r="J49" s="174"/>
      <c r="K49" s="156"/>
      <c r="L49" s="156"/>
      <c r="M49" s="156"/>
      <c r="N49" s="156"/>
      <c r="O49" s="156"/>
      <c r="P49" s="156"/>
      <c r="Q49" s="156"/>
      <c r="R49" s="156"/>
      <c r="S49" s="156"/>
      <c r="T49" s="156"/>
    </row>
    <row r="50" ht="26.25" customHeight="1">
      <c r="A50" s="167"/>
      <c r="B50" s="174"/>
      <c r="C50" s="174"/>
      <c r="D50" s="175"/>
      <c r="E50" s="156"/>
      <c r="F50" s="156"/>
      <c r="G50" s="156"/>
      <c r="H50" s="174"/>
      <c r="I50" s="174"/>
      <c r="J50" s="174"/>
      <c r="K50" s="156"/>
      <c r="L50" s="156"/>
      <c r="M50" s="156"/>
      <c r="N50" s="156"/>
      <c r="O50" s="156"/>
      <c r="P50" s="156"/>
      <c r="Q50" s="156"/>
      <c r="R50" s="156"/>
      <c r="S50" s="156"/>
      <c r="T50" s="156"/>
    </row>
    <row r="51" ht="26.25" customHeight="1">
      <c r="A51" s="167"/>
      <c r="B51" s="174"/>
      <c r="C51" s="174"/>
      <c r="D51" s="175"/>
      <c r="E51" s="156"/>
      <c r="F51" s="156"/>
      <c r="G51" s="156"/>
      <c r="H51" s="174"/>
      <c r="I51" s="174"/>
      <c r="J51" s="174"/>
      <c r="K51" s="156"/>
      <c r="L51" s="156"/>
      <c r="M51" s="156"/>
      <c r="N51" s="156"/>
      <c r="O51" s="156"/>
      <c r="P51" s="156"/>
      <c r="Q51" s="156"/>
      <c r="R51" s="156"/>
      <c r="S51" s="156"/>
      <c r="T51" s="156"/>
    </row>
    <row r="52" ht="26.25" customHeight="1">
      <c r="A52" s="167"/>
      <c r="B52" s="174"/>
      <c r="C52" s="174"/>
      <c r="D52" s="175"/>
      <c r="E52" s="156"/>
      <c r="F52" s="156"/>
      <c r="G52" s="156"/>
      <c r="H52" s="174"/>
      <c r="I52" s="174"/>
      <c r="J52" s="174"/>
      <c r="K52" s="156"/>
      <c r="L52" s="156"/>
      <c r="M52" s="156"/>
      <c r="N52" s="156"/>
      <c r="O52" s="156"/>
      <c r="P52" s="156"/>
      <c r="Q52" s="156"/>
      <c r="R52" s="156"/>
      <c r="S52" s="156"/>
      <c r="T52" s="156"/>
    </row>
    <row r="53" ht="26.25" customHeight="1">
      <c r="A53" s="167"/>
      <c r="B53" s="174"/>
      <c r="C53" s="174"/>
      <c r="D53" s="175"/>
      <c r="E53" s="156"/>
      <c r="F53" s="156"/>
      <c r="G53" s="156"/>
      <c r="H53" s="174"/>
      <c r="I53" s="174"/>
      <c r="J53" s="174"/>
      <c r="K53" s="156"/>
      <c r="L53" s="156"/>
      <c r="M53" s="156"/>
      <c r="N53" s="156"/>
      <c r="O53" s="156"/>
      <c r="P53" s="156"/>
      <c r="Q53" s="156"/>
      <c r="R53" s="156"/>
      <c r="S53" s="156"/>
      <c r="T53" s="156"/>
    </row>
    <row r="54" ht="26.25" customHeight="1">
      <c r="A54" s="167"/>
      <c r="B54" s="174"/>
      <c r="C54" s="174"/>
      <c r="D54" s="175"/>
      <c r="E54" s="156"/>
      <c r="F54" s="156"/>
      <c r="G54" s="156"/>
      <c r="H54" s="174"/>
      <c r="I54" s="174"/>
      <c r="J54" s="174"/>
      <c r="K54" s="156"/>
      <c r="L54" s="156"/>
      <c r="M54" s="156"/>
      <c r="N54" s="156"/>
      <c r="O54" s="156"/>
      <c r="P54" s="156"/>
      <c r="Q54" s="156"/>
      <c r="R54" s="156"/>
      <c r="S54" s="156"/>
      <c r="T54" s="156"/>
    </row>
    <row r="55" ht="26.25" customHeight="1">
      <c r="A55" s="167"/>
      <c r="B55" s="174"/>
      <c r="C55" s="174"/>
      <c r="D55" s="175"/>
      <c r="E55" s="156"/>
      <c r="F55" s="156"/>
      <c r="G55" s="156"/>
      <c r="H55" s="174"/>
      <c r="I55" s="174"/>
      <c r="J55" s="174"/>
      <c r="K55" s="156"/>
      <c r="L55" s="156"/>
      <c r="M55" s="156"/>
      <c r="N55" s="156"/>
      <c r="O55" s="156"/>
      <c r="P55" s="156"/>
      <c r="Q55" s="156"/>
      <c r="R55" s="156"/>
      <c r="S55" s="156"/>
      <c r="T55" s="156"/>
    </row>
    <row r="56" ht="26.25" customHeight="1">
      <c r="A56" s="167"/>
      <c r="B56" s="174"/>
      <c r="C56" s="174"/>
      <c r="D56" s="175"/>
      <c r="E56" s="156"/>
      <c r="F56" s="156"/>
      <c r="G56" s="156"/>
      <c r="H56" s="174"/>
      <c r="I56" s="174"/>
      <c r="J56" s="174"/>
      <c r="K56" s="156"/>
      <c r="L56" s="156"/>
      <c r="M56" s="156"/>
      <c r="N56" s="156"/>
      <c r="O56" s="156"/>
      <c r="P56" s="156"/>
      <c r="Q56" s="156"/>
      <c r="R56" s="156"/>
      <c r="S56" s="156"/>
      <c r="T56" s="156"/>
    </row>
    <row r="57" ht="26.25" customHeight="1">
      <c r="A57" s="167"/>
      <c r="B57" s="174"/>
      <c r="C57" s="174"/>
      <c r="D57" s="175"/>
      <c r="E57" s="156"/>
      <c r="F57" s="156"/>
      <c r="G57" s="156"/>
      <c r="H57" s="174"/>
      <c r="I57" s="174"/>
      <c r="J57" s="174"/>
      <c r="K57" s="156"/>
      <c r="L57" s="156"/>
      <c r="M57" s="156"/>
      <c r="N57" s="156"/>
      <c r="O57" s="156"/>
      <c r="P57" s="156"/>
      <c r="Q57" s="156"/>
      <c r="R57" s="156"/>
      <c r="S57" s="156"/>
      <c r="T57" s="156"/>
    </row>
    <row r="58" ht="26.25" customHeight="1">
      <c r="A58" s="167"/>
      <c r="B58" s="174"/>
      <c r="C58" s="174"/>
      <c r="D58" s="175"/>
      <c r="E58" s="156"/>
      <c r="F58" s="156"/>
      <c r="G58" s="156"/>
      <c r="H58" s="174"/>
      <c r="I58" s="174"/>
      <c r="J58" s="174"/>
      <c r="K58" s="156"/>
      <c r="L58" s="156"/>
      <c r="M58" s="156"/>
      <c r="N58" s="156"/>
      <c r="O58" s="156"/>
      <c r="P58" s="156"/>
      <c r="Q58" s="156"/>
      <c r="R58" s="156"/>
      <c r="S58" s="156"/>
      <c r="T58" s="156"/>
    </row>
    <row r="59" ht="26.25" customHeight="1">
      <c r="A59" s="167"/>
      <c r="B59" s="174"/>
      <c r="C59" s="174"/>
      <c r="D59" s="175"/>
      <c r="E59" s="156"/>
      <c r="F59" s="156"/>
      <c r="G59" s="156"/>
      <c r="H59" s="174"/>
      <c r="I59" s="174"/>
      <c r="J59" s="174"/>
      <c r="K59" s="156"/>
      <c r="L59" s="156"/>
      <c r="M59" s="156"/>
      <c r="N59" s="156"/>
      <c r="O59" s="156"/>
      <c r="P59" s="156"/>
      <c r="Q59" s="156"/>
      <c r="R59" s="156"/>
      <c r="S59" s="156"/>
      <c r="T59" s="156"/>
    </row>
    <row r="60" ht="26.25" customHeight="1">
      <c r="A60" s="167"/>
      <c r="B60" s="174"/>
      <c r="C60" s="174"/>
      <c r="D60" s="175"/>
      <c r="E60" s="156"/>
      <c r="F60" s="156"/>
      <c r="G60" s="156"/>
      <c r="H60" s="174"/>
      <c r="I60" s="174"/>
      <c r="J60" s="174"/>
      <c r="K60" s="156"/>
      <c r="L60" s="156"/>
      <c r="M60" s="156"/>
      <c r="N60" s="156"/>
      <c r="O60" s="156"/>
      <c r="P60" s="156"/>
      <c r="Q60" s="156"/>
      <c r="R60" s="156"/>
      <c r="S60" s="156"/>
      <c r="T60" s="156"/>
    </row>
    <row r="61" ht="26.25" customHeight="1">
      <c r="A61" s="167"/>
      <c r="B61" s="174"/>
      <c r="C61" s="174"/>
      <c r="D61" s="175"/>
      <c r="E61" s="156"/>
      <c r="F61" s="156"/>
      <c r="G61" s="156"/>
      <c r="H61" s="174"/>
      <c r="I61" s="174"/>
      <c r="J61" s="174"/>
      <c r="K61" s="156"/>
      <c r="L61" s="156"/>
      <c r="M61" s="156"/>
      <c r="N61" s="156"/>
      <c r="O61" s="156"/>
      <c r="P61" s="156"/>
      <c r="Q61" s="156"/>
      <c r="R61" s="156"/>
      <c r="S61" s="156"/>
      <c r="T61" s="156"/>
    </row>
    <row r="62" ht="26.25" customHeight="1">
      <c r="A62" s="167"/>
      <c r="B62" s="174"/>
      <c r="C62" s="174"/>
      <c r="D62" s="175"/>
      <c r="E62" s="156"/>
      <c r="F62" s="156"/>
      <c r="G62" s="156"/>
      <c r="H62" s="174"/>
      <c r="I62" s="174"/>
      <c r="J62" s="174"/>
      <c r="K62" s="156"/>
      <c r="L62" s="156"/>
      <c r="M62" s="156"/>
      <c r="N62" s="156"/>
      <c r="O62" s="156"/>
      <c r="P62" s="156"/>
      <c r="Q62" s="156"/>
      <c r="R62" s="156"/>
      <c r="S62" s="156"/>
      <c r="T62" s="156"/>
    </row>
    <row r="63" ht="26.25" customHeight="1">
      <c r="A63" s="167"/>
      <c r="B63" s="174"/>
      <c r="C63" s="174"/>
      <c r="D63" s="175"/>
      <c r="E63" s="156"/>
      <c r="F63" s="156"/>
      <c r="G63" s="156"/>
      <c r="H63" s="174"/>
      <c r="I63" s="174"/>
      <c r="J63" s="174"/>
      <c r="K63" s="156"/>
      <c r="L63" s="156"/>
      <c r="M63" s="156"/>
      <c r="N63" s="156"/>
      <c r="O63" s="156"/>
      <c r="P63" s="156"/>
      <c r="Q63" s="156"/>
      <c r="R63" s="156"/>
      <c r="S63" s="156"/>
      <c r="T63" s="156"/>
    </row>
    <row r="64" ht="26.25" customHeight="1">
      <c r="A64" s="167"/>
      <c r="B64" s="174"/>
      <c r="C64" s="174"/>
      <c r="D64" s="175"/>
      <c r="E64" s="156"/>
      <c r="F64" s="156"/>
      <c r="G64" s="156"/>
      <c r="H64" s="174"/>
      <c r="I64" s="174"/>
      <c r="J64" s="174"/>
      <c r="K64" s="156"/>
      <c r="L64" s="156"/>
      <c r="M64" s="156"/>
      <c r="N64" s="156"/>
      <c r="O64" s="156"/>
      <c r="P64" s="156"/>
      <c r="Q64" s="156"/>
      <c r="R64" s="156"/>
      <c r="S64" s="156"/>
      <c r="T64" s="156"/>
    </row>
    <row r="65" ht="26.25" customHeight="1">
      <c r="A65" s="167"/>
      <c r="B65" s="174"/>
      <c r="C65" s="174"/>
      <c r="D65" s="175"/>
      <c r="E65" s="156"/>
      <c r="F65" s="156"/>
      <c r="G65" s="156"/>
      <c r="H65" s="174"/>
      <c r="I65" s="174"/>
      <c r="J65" s="174"/>
      <c r="K65" s="156"/>
      <c r="L65" s="156"/>
      <c r="M65" s="156"/>
      <c r="N65" s="156"/>
      <c r="O65" s="156"/>
      <c r="P65" s="156"/>
      <c r="Q65" s="156"/>
      <c r="R65" s="156"/>
      <c r="S65" s="156"/>
      <c r="T65" s="156"/>
    </row>
    <row r="66" ht="26.25" customHeight="1">
      <c r="A66" s="167"/>
      <c r="B66" s="174"/>
      <c r="C66" s="174"/>
      <c r="D66" s="175"/>
      <c r="E66" s="156"/>
      <c r="F66" s="156"/>
      <c r="G66" s="156"/>
      <c r="H66" s="174"/>
      <c r="I66" s="174"/>
      <c r="J66" s="174"/>
      <c r="K66" s="156"/>
      <c r="L66" s="156"/>
      <c r="M66" s="156"/>
      <c r="N66" s="156"/>
      <c r="O66" s="156"/>
      <c r="P66" s="156"/>
      <c r="Q66" s="156"/>
      <c r="R66" s="156"/>
      <c r="S66" s="156"/>
      <c r="T66" s="156"/>
    </row>
    <row r="67" ht="26.25" customHeight="1">
      <c r="A67" s="167"/>
      <c r="B67" s="174"/>
      <c r="C67" s="174"/>
      <c r="D67" s="175"/>
      <c r="E67" s="156"/>
      <c r="F67" s="156"/>
      <c r="G67" s="156"/>
      <c r="H67" s="174"/>
      <c r="I67" s="174"/>
      <c r="J67" s="174"/>
      <c r="K67" s="156"/>
      <c r="L67" s="156"/>
      <c r="M67" s="156"/>
      <c r="N67" s="156"/>
      <c r="O67" s="156"/>
      <c r="P67" s="156"/>
      <c r="Q67" s="156"/>
      <c r="R67" s="156"/>
      <c r="S67" s="156"/>
      <c r="T67" s="156"/>
    </row>
    <row r="68" ht="26.25" customHeight="1">
      <c r="A68" s="167"/>
      <c r="B68" s="174"/>
      <c r="C68" s="174"/>
      <c r="D68" s="175"/>
      <c r="E68" s="156"/>
      <c r="F68" s="156"/>
      <c r="G68" s="156"/>
      <c r="H68" s="174"/>
      <c r="I68" s="174"/>
      <c r="J68" s="174"/>
      <c r="K68" s="156"/>
      <c r="L68" s="156"/>
      <c r="M68" s="156"/>
      <c r="N68" s="156"/>
      <c r="O68" s="156"/>
      <c r="P68" s="156"/>
      <c r="Q68" s="156"/>
      <c r="R68" s="156"/>
      <c r="S68" s="156"/>
      <c r="T68" s="156"/>
    </row>
    <row r="69" ht="26.25" customHeight="1">
      <c r="A69" s="167"/>
      <c r="B69" s="174"/>
      <c r="C69" s="174"/>
      <c r="D69" s="175"/>
      <c r="E69" s="156"/>
      <c r="F69" s="156"/>
      <c r="G69" s="156"/>
      <c r="H69" s="174"/>
      <c r="I69" s="174"/>
      <c r="J69" s="174"/>
      <c r="K69" s="156"/>
      <c r="L69" s="156"/>
      <c r="M69" s="156"/>
      <c r="N69" s="156"/>
      <c r="O69" s="156"/>
      <c r="P69" s="156"/>
      <c r="Q69" s="156"/>
      <c r="R69" s="156"/>
      <c r="S69" s="156"/>
      <c r="T69" s="156"/>
    </row>
    <row r="70" ht="26.25" customHeight="1">
      <c r="A70" s="167"/>
      <c r="B70" s="174"/>
      <c r="C70" s="174"/>
      <c r="D70" s="175"/>
      <c r="E70" s="156"/>
      <c r="F70" s="156"/>
      <c r="G70" s="156"/>
      <c r="H70" s="174"/>
      <c r="I70" s="174"/>
      <c r="J70" s="174"/>
      <c r="K70" s="156"/>
      <c r="L70" s="156"/>
      <c r="M70" s="156"/>
      <c r="N70" s="156"/>
      <c r="O70" s="156"/>
      <c r="P70" s="156"/>
      <c r="Q70" s="156"/>
      <c r="R70" s="156"/>
      <c r="S70" s="156"/>
      <c r="T70" s="156"/>
    </row>
    <row r="71" ht="26.25" customHeight="1">
      <c r="A71" s="167"/>
      <c r="B71" s="174"/>
      <c r="C71" s="174"/>
      <c r="D71" s="175"/>
      <c r="E71" s="156"/>
      <c r="F71" s="156"/>
      <c r="G71" s="156"/>
      <c r="H71" s="174"/>
      <c r="I71" s="174"/>
      <c r="J71" s="174"/>
      <c r="K71" s="156"/>
      <c r="L71" s="156"/>
      <c r="M71" s="156"/>
      <c r="N71" s="156"/>
      <c r="O71" s="156"/>
      <c r="P71" s="156"/>
      <c r="Q71" s="156"/>
      <c r="R71" s="156"/>
      <c r="S71" s="156"/>
      <c r="T71" s="156"/>
    </row>
    <row r="72" ht="26.25" customHeight="1">
      <c r="A72" s="167"/>
      <c r="B72" s="174"/>
      <c r="C72" s="174"/>
      <c r="D72" s="175"/>
      <c r="E72" s="156"/>
      <c r="F72" s="156"/>
      <c r="G72" s="156"/>
      <c r="H72" s="174"/>
      <c r="I72" s="174"/>
      <c r="J72" s="174"/>
      <c r="K72" s="156"/>
      <c r="L72" s="156"/>
      <c r="M72" s="156"/>
      <c r="N72" s="156"/>
      <c r="O72" s="156"/>
      <c r="P72" s="156"/>
      <c r="Q72" s="156"/>
      <c r="R72" s="156"/>
      <c r="S72" s="156"/>
      <c r="T72" s="156"/>
    </row>
    <row r="73" ht="26.25" customHeight="1">
      <c r="A73" s="167"/>
      <c r="B73" s="174"/>
      <c r="C73" s="174"/>
      <c r="D73" s="175"/>
      <c r="E73" s="156"/>
      <c r="F73" s="156"/>
      <c r="G73" s="156"/>
      <c r="H73" s="174"/>
      <c r="I73" s="174"/>
      <c r="J73" s="174"/>
      <c r="K73" s="156"/>
      <c r="L73" s="156"/>
      <c r="M73" s="156"/>
      <c r="N73" s="156"/>
      <c r="O73" s="156"/>
      <c r="P73" s="156"/>
      <c r="Q73" s="156"/>
      <c r="R73" s="156"/>
      <c r="S73" s="156"/>
      <c r="T73" s="156"/>
    </row>
    <row r="74" ht="26.25" customHeight="1">
      <c r="A74" s="167"/>
      <c r="B74" s="174"/>
      <c r="C74" s="174"/>
      <c r="D74" s="175"/>
      <c r="E74" s="156"/>
      <c r="F74" s="156"/>
      <c r="G74" s="156"/>
      <c r="H74" s="174"/>
      <c r="I74" s="174"/>
      <c r="J74" s="174"/>
      <c r="K74" s="156"/>
      <c r="L74" s="156"/>
      <c r="M74" s="156"/>
      <c r="N74" s="156"/>
      <c r="O74" s="156"/>
      <c r="P74" s="156"/>
      <c r="Q74" s="156"/>
      <c r="R74" s="156"/>
      <c r="S74" s="156"/>
      <c r="T74" s="156"/>
    </row>
    <row r="75" ht="26.25" customHeight="1">
      <c r="A75" s="167"/>
      <c r="B75" s="174"/>
      <c r="C75" s="174"/>
      <c r="D75" s="175"/>
      <c r="E75" s="156"/>
      <c r="F75" s="156"/>
      <c r="G75" s="156"/>
      <c r="H75" s="174"/>
      <c r="I75" s="174"/>
      <c r="J75" s="174"/>
      <c r="K75" s="156"/>
      <c r="L75" s="156"/>
      <c r="M75" s="156"/>
      <c r="N75" s="156"/>
      <c r="O75" s="156"/>
      <c r="P75" s="156"/>
      <c r="Q75" s="156"/>
      <c r="R75" s="156"/>
      <c r="S75" s="156"/>
      <c r="T75" s="156"/>
    </row>
    <row r="76" ht="26.25" customHeight="1">
      <c r="A76" s="167"/>
      <c r="B76" s="174"/>
      <c r="C76" s="174"/>
      <c r="D76" s="175"/>
      <c r="E76" s="156"/>
      <c r="F76" s="156"/>
      <c r="G76" s="156"/>
      <c r="H76" s="174"/>
      <c r="I76" s="174"/>
      <c r="J76" s="174"/>
      <c r="K76" s="156"/>
      <c r="L76" s="156"/>
      <c r="M76" s="156"/>
      <c r="N76" s="156"/>
      <c r="O76" s="156"/>
      <c r="P76" s="156"/>
      <c r="Q76" s="156"/>
      <c r="R76" s="156"/>
      <c r="S76" s="156"/>
      <c r="T76" s="156"/>
    </row>
    <row r="77" ht="26.25" customHeight="1">
      <c r="A77" s="167"/>
      <c r="B77" s="174"/>
      <c r="C77" s="174"/>
      <c r="D77" s="175"/>
      <c r="E77" s="156"/>
      <c r="F77" s="156"/>
      <c r="G77" s="156"/>
      <c r="H77" s="174"/>
      <c r="I77" s="174"/>
      <c r="J77" s="174"/>
      <c r="K77" s="156"/>
      <c r="L77" s="156"/>
      <c r="M77" s="156"/>
      <c r="N77" s="156"/>
      <c r="O77" s="156"/>
      <c r="P77" s="156"/>
      <c r="Q77" s="156"/>
      <c r="R77" s="156"/>
      <c r="S77" s="156"/>
      <c r="T77" s="156"/>
    </row>
    <row r="78" ht="26.25" customHeight="1">
      <c r="A78" s="167"/>
      <c r="B78" s="174"/>
      <c r="C78" s="174"/>
      <c r="D78" s="175"/>
      <c r="E78" s="156"/>
      <c r="F78" s="156"/>
      <c r="G78" s="156"/>
      <c r="H78" s="174"/>
      <c r="I78" s="174"/>
      <c r="J78" s="174"/>
      <c r="K78" s="156"/>
      <c r="L78" s="156"/>
      <c r="M78" s="156"/>
      <c r="N78" s="156"/>
      <c r="O78" s="156"/>
      <c r="P78" s="156"/>
      <c r="Q78" s="156"/>
      <c r="R78" s="156"/>
      <c r="S78" s="156"/>
      <c r="T78" s="156"/>
    </row>
    <row r="79" ht="26.25" customHeight="1">
      <c r="A79" s="167"/>
      <c r="B79" s="174"/>
      <c r="C79" s="174"/>
      <c r="D79" s="175"/>
      <c r="E79" s="156"/>
      <c r="F79" s="156"/>
      <c r="G79" s="156"/>
      <c r="H79" s="174"/>
      <c r="I79" s="174"/>
      <c r="J79" s="174"/>
      <c r="K79" s="156"/>
      <c r="L79" s="156"/>
      <c r="M79" s="156"/>
      <c r="N79" s="156"/>
      <c r="O79" s="156"/>
      <c r="P79" s="156"/>
      <c r="Q79" s="156"/>
      <c r="R79" s="156"/>
      <c r="S79" s="156"/>
      <c r="T79" s="156"/>
    </row>
    <row r="80" ht="26.25" customHeight="1">
      <c r="A80" s="167"/>
      <c r="B80" s="174"/>
      <c r="C80" s="174"/>
      <c r="D80" s="175"/>
      <c r="E80" s="156"/>
      <c r="F80" s="156"/>
      <c r="G80" s="156"/>
      <c r="H80" s="174"/>
      <c r="I80" s="174"/>
      <c r="J80" s="174"/>
      <c r="K80" s="156"/>
      <c r="L80" s="156"/>
      <c r="M80" s="156"/>
      <c r="N80" s="156"/>
      <c r="O80" s="156"/>
      <c r="P80" s="156"/>
      <c r="Q80" s="156"/>
      <c r="R80" s="156"/>
      <c r="S80" s="156"/>
      <c r="T80" s="156"/>
    </row>
    <row r="81" ht="26.25" customHeight="1">
      <c r="A81" s="167"/>
      <c r="B81" s="174"/>
      <c r="C81" s="174"/>
      <c r="D81" s="175"/>
      <c r="E81" s="156"/>
      <c r="F81" s="156"/>
      <c r="G81" s="156"/>
      <c r="H81" s="174"/>
      <c r="I81" s="174"/>
      <c r="J81" s="174"/>
      <c r="K81" s="156"/>
      <c r="L81" s="156"/>
      <c r="M81" s="156"/>
      <c r="N81" s="156"/>
      <c r="O81" s="156"/>
      <c r="P81" s="156"/>
      <c r="Q81" s="156"/>
      <c r="R81" s="156"/>
      <c r="S81" s="156"/>
      <c r="T81" s="156"/>
    </row>
    <row r="82" ht="26.25" customHeight="1">
      <c r="A82" s="167"/>
      <c r="B82" s="174"/>
      <c r="C82" s="174"/>
      <c r="D82" s="175"/>
      <c r="E82" s="156"/>
      <c r="F82" s="156"/>
      <c r="G82" s="156"/>
      <c r="H82" s="174"/>
      <c r="I82" s="174"/>
      <c r="J82" s="174"/>
      <c r="K82" s="156"/>
      <c r="L82" s="156"/>
      <c r="M82" s="156"/>
      <c r="N82" s="156"/>
      <c r="O82" s="156"/>
      <c r="P82" s="156"/>
      <c r="Q82" s="156"/>
      <c r="R82" s="156"/>
      <c r="S82" s="156"/>
      <c r="T82" s="156"/>
    </row>
    <row r="83" ht="26.25" customHeight="1">
      <c r="A83" s="167"/>
      <c r="B83" s="174"/>
      <c r="C83" s="174"/>
      <c r="D83" s="175"/>
      <c r="E83" s="156"/>
      <c r="F83" s="156"/>
      <c r="G83" s="156"/>
      <c r="H83" s="174"/>
      <c r="I83" s="174"/>
      <c r="J83" s="174"/>
      <c r="K83" s="156"/>
      <c r="L83" s="156"/>
      <c r="M83" s="156"/>
      <c r="N83" s="156"/>
      <c r="O83" s="156"/>
      <c r="P83" s="156"/>
      <c r="Q83" s="156"/>
      <c r="R83" s="156"/>
      <c r="S83" s="156"/>
      <c r="T83" s="156"/>
    </row>
    <row r="84" ht="26.25" customHeight="1">
      <c r="A84" s="167"/>
      <c r="B84" s="174"/>
      <c r="C84" s="174"/>
      <c r="D84" s="175"/>
      <c r="E84" s="156"/>
      <c r="F84" s="156"/>
      <c r="G84" s="156"/>
      <c r="H84" s="174"/>
      <c r="I84" s="174"/>
      <c r="J84" s="174"/>
      <c r="K84" s="156"/>
      <c r="L84" s="156"/>
      <c r="M84" s="156"/>
      <c r="N84" s="156"/>
      <c r="O84" s="156"/>
      <c r="P84" s="156"/>
      <c r="Q84" s="156"/>
      <c r="R84" s="156"/>
      <c r="S84" s="156"/>
      <c r="T84" s="156"/>
    </row>
    <row r="85" ht="26.25" customHeight="1">
      <c r="A85" s="167"/>
      <c r="B85" s="174"/>
      <c r="C85" s="174"/>
      <c r="D85" s="175"/>
      <c r="E85" s="156"/>
      <c r="F85" s="156"/>
      <c r="G85" s="156"/>
      <c r="H85" s="174"/>
      <c r="I85" s="174"/>
      <c r="J85" s="174"/>
      <c r="K85" s="156"/>
      <c r="L85" s="156"/>
      <c r="M85" s="156"/>
      <c r="N85" s="156"/>
      <c r="O85" s="156"/>
      <c r="P85" s="156"/>
      <c r="Q85" s="156"/>
      <c r="R85" s="156"/>
      <c r="S85" s="156"/>
      <c r="T85" s="156"/>
    </row>
    <row r="86" ht="26.25" customHeight="1">
      <c r="A86" s="167"/>
      <c r="B86" s="174"/>
      <c r="C86" s="174"/>
      <c r="D86" s="175"/>
      <c r="E86" s="156"/>
      <c r="F86" s="156"/>
      <c r="G86" s="156"/>
      <c r="H86" s="174"/>
      <c r="I86" s="174"/>
      <c r="J86" s="174"/>
      <c r="K86" s="156"/>
      <c r="L86" s="156"/>
      <c r="M86" s="156"/>
      <c r="N86" s="156"/>
      <c r="O86" s="156"/>
      <c r="P86" s="156"/>
      <c r="Q86" s="156"/>
      <c r="R86" s="156"/>
      <c r="S86" s="156"/>
      <c r="T86" s="156"/>
    </row>
    <row r="87" ht="26.25" customHeight="1">
      <c r="A87" s="167"/>
      <c r="B87" s="174"/>
      <c r="C87" s="174"/>
      <c r="D87" s="175"/>
      <c r="E87" s="156"/>
      <c r="F87" s="156"/>
      <c r="G87" s="156"/>
      <c r="H87" s="174"/>
      <c r="I87" s="174"/>
      <c r="J87" s="174"/>
      <c r="K87" s="156"/>
      <c r="L87" s="156"/>
      <c r="M87" s="156"/>
      <c r="N87" s="156"/>
      <c r="O87" s="156"/>
      <c r="P87" s="156"/>
      <c r="Q87" s="156"/>
      <c r="R87" s="156"/>
      <c r="S87" s="156"/>
      <c r="T87" s="156"/>
    </row>
    <row r="88" ht="26.25" customHeight="1">
      <c r="A88" s="167"/>
      <c r="B88" s="174"/>
      <c r="C88" s="174"/>
      <c r="D88" s="175"/>
      <c r="E88" s="156"/>
      <c r="F88" s="156"/>
      <c r="G88" s="156"/>
      <c r="H88" s="174"/>
      <c r="I88" s="174"/>
      <c r="J88" s="174"/>
      <c r="K88" s="156"/>
      <c r="L88" s="156"/>
      <c r="M88" s="156"/>
      <c r="N88" s="156"/>
      <c r="O88" s="156"/>
      <c r="P88" s="156"/>
      <c r="Q88" s="156"/>
      <c r="R88" s="156"/>
      <c r="S88" s="156"/>
      <c r="T88" s="156"/>
    </row>
    <row r="89" ht="26.25" customHeight="1">
      <c r="A89" s="167"/>
      <c r="B89" s="174"/>
      <c r="C89" s="174"/>
      <c r="D89" s="175"/>
      <c r="E89" s="156"/>
      <c r="F89" s="156"/>
      <c r="G89" s="156"/>
      <c r="H89" s="174"/>
      <c r="I89" s="174"/>
      <c r="J89" s="174"/>
      <c r="K89" s="156"/>
      <c r="L89" s="156"/>
      <c r="M89" s="156"/>
      <c r="N89" s="156"/>
      <c r="O89" s="156"/>
      <c r="P89" s="156"/>
      <c r="Q89" s="156"/>
      <c r="R89" s="156"/>
      <c r="S89" s="156"/>
      <c r="T89" s="156"/>
    </row>
    <row r="90" ht="26.25" customHeight="1">
      <c r="A90" s="167"/>
      <c r="B90" s="174"/>
      <c r="C90" s="174"/>
      <c r="D90" s="175"/>
      <c r="E90" s="156"/>
      <c r="F90" s="156"/>
      <c r="G90" s="156"/>
      <c r="H90" s="174"/>
      <c r="I90" s="174"/>
      <c r="J90" s="174"/>
      <c r="K90" s="156"/>
      <c r="L90" s="156"/>
      <c r="M90" s="156"/>
      <c r="N90" s="156"/>
      <c r="O90" s="156"/>
      <c r="P90" s="156"/>
      <c r="Q90" s="156"/>
      <c r="R90" s="156"/>
      <c r="S90" s="156"/>
      <c r="T90" s="156"/>
    </row>
    <row r="91" ht="26.25" customHeight="1">
      <c r="A91" s="167"/>
      <c r="B91" s="174"/>
      <c r="C91" s="174"/>
      <c r="D91" s="175"/>
      <c r="E91" s="156"/>
      <c r="F91" s="156"/>
      <c r="G91" s="156"/>
      <c r="H91" s="174"/>
      <c r="I91" s="174"/>
      <c r="J91" s="174"/>
      <c r="K91" s="156"/>
      <c r="L91" s="156"/>
      <c r="M91" s="156"/>
      <c r="N91" s="156"/>
      <c r="O91" s="156"/>
      <c r="P91" s="156"/>
      <c r="Q91" s="156"/>
      <c r="R91" s="156"/>
      <c r="S91" s="156"/>
      <c r="T91" s="156"/>
    </row>
    <row r="92" ht="26.25" customHeight="1">
      <c r="A92" s="167"/>
      <c r="B92" s="174"/>
      <c r="C92" s="174"/>
      <c r="D92" s="175"/>
      <c r="E92" s="156"/>
      <c r="F92" s="156"/>
      <c r="G92" s="156"/>
      <c r="H92" s="174"/>
      <c r="I92" s="174"/>
      <c r="J92" s="174"/>
      <c r="K92" s="156"/>
      <c r="L92" s="156"/>
      <c r="M92" s="156"/>
      <c r="N92" s="156"/>
      <c r="O92" s="156"/>
      <c r="P92" s="156"/>
      <c r="Q92" s="156"/>
      <c r="R92" s="156"/>
      <c r="S92" s="156"/>
      <c r="T92" s="156"/>
    </row>
    <row r="93" ht="26.25" customHeight="1">
      <c r="A93" s="167"/>
      <c r="B93" s="174"/>
      <c r="C93" s="174"/>
      <c r="D93" s="175"/>
      <c r="E93" s="156"/>
      <c r="F93" s="156"/>
      <c r="G93" s="156"/>
      <c r="H93" s="174"/>
      <c r="I93" s="174"/>
      <c r="J93" s="174"/>
      <c r="K93" s="156"/>
      <c r="L93" s="156"/>
      <c r="M93" s="156"/>
      <c r="N93" s="156"/>
      <c r="O93" s="156"/>
      <c r="P93" s="156"/>
      <c r="Q93" s="156"/>
      <c r="R93" s="156"/>
      <c r="S93" s="156"/>
      <c r="T93" s="156"/>
    </row>
    <row r="94" ht="26.25" customHeight="1">
      <c r="A94" s="167"/>
      <c r="B94" s="174"/>
      <c r="C94" s="174"/>
      <c r="D94" s="175"/>
      <c r="E94" s="156"/>
      <c r="F94" s="156"/>
      <c r="G94" s="156"/>
      <c r="H94" s="174"/>
      <c r="I94" s="174"/>
      <c r="J94" s="174"/>
      <c r="K94" s="156"/>
      <c r="L94" s="156"/>
      <c r="M94" s="156"/>
      <c r="N94" s="156"/>
      <c r="O94" s="156"/>
      <c r="P94" s="156"/>
      <c r="Q94" s="156"/>
      <c r="R94" s="156"/>
      <c r="S94" s="156"/>
      <c r="T94" s="156"/>
    </row>
    <row r="95" ht="26.25" customHeight="1">
      <c r="A95" s="167"/>
      <c r="B95" s="174"/>
      <c r="C95" s="174"/>
      <c r="D95" s="175"/>
      <c r="E95" s="156"/>
      <c r="F95" s="156"/>
      <c r="G95" s="156"/>
      <c r="H95" s="174"/>
      <c r="I95" s="174"/>
      <c r="J95" s="174"/>
      <c r="K95" s="156"/>
      <c r="L95" s="156"/>
      <c r="M95" s="156"/>
      <c r="N95" s="156"/>
      <c r="O95" s="156"/>
      <c r="P95" s="156"/>
      <c r="Q95" s="156"/>
      <c r="R95" s="156"/>
      <c r="S95" s="156"/>
      <c r="T95" s="156"/>
    </row>
    <row r="96" ht="26.25" customHeight="1">
      <c r="A96" s="167"/>
      <c r="B96" s="174"/>
      <c r="C96" s="174"/>
      <c r="D96" s="175"/>
      <c r="E96" s="156"/>
      <c r="F96" s="156"/>
      <c r="G96" s="156"/>
      <c r="H96" s="174"/>
      <c r="I96" s="174"/>
      <c r="J96" s="174"/>
      <c r="K96" s="156"/>
      <c r="L96" s="156"/>
      <c r="M96" s="156"/>
      <c r="N96" s="156"/>
      <c r="O96" s="156"/>
      <c r="P96" s="156"/>
      <c r="Q96" s="156"/>
      <c r="R96" s="156"/>
      <c r="S96" s="156"/>
      <c r="T96" s="156"/>
    </row>
    <row r="97" ht="26.25" customHeight="1">
      <c r="A97" s="167"/>
      <c r="B97" s="174"/>
      <c r="C97" s="174"/>
      <c r="D97" s="175"/>
      <c r="E97" s="156"/>
      <c r="F97" s="156"/>
      <c r="G97" s="156"/>
      <c r="H97" s="174"/>
      <c r="I97" s="174"/>
      <c r="J97" s="174"/>
      <c r="K97" s="156"/>
      <c r="L97" s="156"/>
      <c r="M97" s="156"/>
      <c r="N97" s="156"/>
      <c r="O97" s="156"/>
      <c r="P97" s="156"/>
      <c r="Q97" s="156"/>
      <c r="R97" s="156"/>
      <c r="S97" s="156"/>
      <c r="T97" s="156"/>
    </row>
    <row r="98" ht="26.25" customHeight="1">
      <c r="A98" s="167"/>
      <c r="B98" s="174"/>
      <c r="C98" s="174"/>
      <c r="D98" s="175"/>
      <c r="E98" s="156"/>
      <c r="F98" s="156"/>
      <c r="G98" s="156"/>
      <c r="H98" s="174"/>
      <c r="I98" s="174"/>
      <c r="J98" s="174"/>
      <c r="K98" s="156"/>
      <c r="L98" s="156"/>
      <c r="M98" s="156"/>
      <c r="N98" s="156"/>
      <c r="O98" s="156"/>
      <c r="P98" s="156"/>
      <c r="Q98" s="156"/>
      <c r="R98" s="156"/>
      <c r="S98" s="156"/>
      <c r="T98" s="156"/>
    </row>
    <row r="99" ht="26.25" customHeight="1">
      <c r="A99" s="167"/>
      <c r="B99" s="174"/>
      <c r="C99" s="174"/>
      <c r="D99" s="175"/>
      <c r="E99" s="156"/>
      <c r="F99" s="156"/>
      <c r="G99" s="156"/>
      <c r="H99" s="174"/>
      <c r="I99" s="174"/>
      <c r="J99" s="174"/>
      <c r="K99" s="156"/>
      <c r="L99" s="156"/>
      <c r="M99" s="156"/>
      <c r="N99" s="156"/>
      <c r="O99" s="156"/>
      <c r="P99" s="156"/>
      <c r="Q99" s="156"/>
      <c r="R99" s="156"/>
      <c r="S99" s="156"/>
      <c r="T99" s="156"/>
    </row>
    <row r="100" ht="26.25" customHeight="1">
      <c r="A100" s="167"/>
      <c r="B100" s="174"/>
      <c r="C100" s="174"/>
      <c r="D100" s="175"/>
      <c r="E100" s="156"/>
      <c r="F100" s="156"/>
      <c r="G100" s="156"/>
      <c r="H100" s="174"/>
      <c r="I100" s="174"/>
      <c r="J100" s="174"/>
      <c r="K100" s="156"/>
      <c r="L100" s="156"/>
      <c r="M100" s="156"/>
      <c r="N100" s="156"/>
      <c r="O100" s="156"/>
      <c r="P100" s="156"/>
      <c r="Q100" s="156"/>
      <c r="R100" s="156"/>
      <c r="S100" s="156"/>
      <c r="T100" s="156"/>
    </row>
    <row r="101" ht="26.25" customHeight="1">
      <c r="A101" s="167"/>
      <c r="B101" s="174"/>
      <c r="C101" s="174"/>
      <c r="D101" s="175"/>
      <c r="E101" s="156"/>
      <c r="F101" s="156"/>
      <c r="G101" s="156"/>
      <c r="H101" s="174"/>
      <c r="I101" s="174"/>
      <c r="J101" s="174"/>
      <c r="K101" s="156"/>
      <c r="L101" s="156"/>
      <c r="M101" s="156"/>
      <c r="N101" s="156"/>
      <c r="O101" s="156"/>
      <c r="P101" s="156"/>
      <c r="Q101" s="156"/>
      <c r="R101" s="156"/>
      <c r="S101" s="156"/>
      <c r="T101" s="156"/>
    </row>
    <row r="102" ht="26.25" customHeight="1">
      <c r="A102" s="167"/>
      <c r="B102" s="174"/>
      <c r="C102" s="174"/>
      <c r="D102" s="175"/>
      <c r="E102" s="156"/>
      <c r="F102" s="156"/>
      <c r="G102" s="156"/>
      <c r="H102" s="174"/>
      <c r="I102" s="174"/>
      <c r="J102" s="174"/>
      <c r="K102" s="156"/>
      <c r="L102" s="156"/>
      <c r="M102" s="156"/>
      <c r="N102" s="156"/>
      <c r="O102" s="156"/>
      <c r="P102" s="156"/>
      <c r="Q102" s="156"/>
      <c r="R102" s="156"/>
      <c r="S102" s="156"/>
      <c r="T102" s="156"/>
    </row>
    <row r="103" ht="26.25" customHeight="1">
      <c r="A103" s="167"/>
      <c r="B103" s="174"/>
      <c r="C103" s="174"/>
      <c r="D103" s="175"/>
      <c r="E103" s="156"/>
      <c r="F103" s="156"/>
      <c r="G103" s="156"/>
      <c r="H103" s="174"/>
      <c r="I103" s="174"/>
      <c r="J103" s="174"/>
      <c r="K103" s="156"/>
      <c r="L103" s="156"/>
      <c r="M103" s="156"/>
      <c r="N103" s="156"/>
      <c r="O103" s="156"/>
      <c r="P103" s="156"/>
      <c r="Q103" s="156"/>
      <c r="R103" s="156"/>
      <c r="S103" s="156"/>
      <c r="T103" s="156"/>
    </row>
    <row r="104" ht="26.25" customHeight="1">
      <c r="A104" s="167"/>
      <c r="B104" s="174"/>
      <c r="C104" s="174"/>
      <c r="D104" s="175"/>
      <c r="E104" s="156"/>
      <c r="F104" s="156"/>
      <c r="G104" s="156"/>
      <c r="H104" s="174"/>
      <c r="I104" s="174"/>
      <c r="J104" s="174"/>
      <c r="K104" s="156"/>
      <c r="L104" s="156"/>
      <c r="M104" s="156"/>
      <c r="N104" s="156"/>
      <c r="O104" s="156"/>
      <c r="P104" s="156"/>
      <c r="Q104" s="156"/>
      <c r="R104" s="156"/>
      <c r="S104" s="156"/>
      <c r="T104" s="156"/>
    </row>
    <row r="105" ht="26.25" customHeight="1">
      <c r="A105" s="167"/>
      <c r="B105" s="174"/>
      <c r="C105" s="174"/>
      <c r="D105" s="175"/>
      <c r="E105" s="156"/>
      <c r="F105" s="156"/>
      <c r="G105" s="156"/>
      <c r="H105" s="174"/>
      <c r="I105" s="174"/>
      <c r="J105" s="174"/>
      <c r="K105" s="156"/>
      <c r="L105" s="156"/>
      <c r="M105" s="156"/>
      <c r="N105" s="156"/>
      <c r="O105" s="156"/>
      <c r="P105" s="156"/>
      <c r="Q105" s="156"/>
      <c r="R105" s="156"/>
      <c r="S105" s="156"/>
      <c r="T105" s="156"/>
    </row>
    <row r="106" ht="26.25" customHeight="1">
      <c r="A106" s="167"/>
      <c r="B106" s="174"/>
      <c r="C106" s="174"/>
      <c r="D106" s="175"/>
      <c r="E106" s="156"/>
      <c r="F106" s="156"/>
      <c r="G106" s="156"/>
      <c r="H106" s="174"/>
      <c r="I106" s="174"/>
      <c r="J106" s="174"/>
      <c r="K106" s="156"/>
      <c r="L106" s="156"/>
      <c r="M106" s="156"/>
      <c r="N106" s="156"/>
      <c r="O106" s="156"/>
      <c r="P106" s="156"/>
      <c r="Q106" s="156"/>
      <c r="R106" s="156"/>
      <c r="S106" s="156"/>
      <c r="T106" s="156"/>
    </row>
    <row r="107" ht="26.25" customHeight="1">
      <c r="A107" s="167"/>
      <c r="B107" s="174"/>
      <c r="C107" s="174"/>
      <c r="D107" s="175"/>
      <c r="E107" s="156"/>
      <c r="F107" s="156"/>
      <c r="G107" s="156"/>
      <c r="H107" s="174"/>
      <c r="I107" s="174"/>
      <c r="J107" s="174"/>
      <c r="K107" s="156"/>
      <c r="L107" s="156"/>
      <c r="M107" s="156"/>
      <c r="N107" s="156"/>
      <c r="O107" s="156"/>
      <c r="P107" s="156"/>
      <c r="Q107" s="156"/>
      <c r="R107" s="156"/>
      <c r="S107" s="156"/>
      <c r="T107" s="156"/>
    </row>
    <row r="108" ht="26.25" customHeight="1">
      <c r="A108" s="167"/>
      <c r="B108" s="174"/>
      <c r="C108" s="174"/>
      <c r="D108" s="175"/>
      <c r="E108" s="156"/>
      <c r="F108" s="156"/>
      <c r="G108" s="156"/>
      <c r="H108" s="174"/>
      <c r="I108" s="174"/>
      <c r="J108" s="174"/>
      <c r="K108" s="156"/>
      <c r="L108" s="156"/>
      <c r="M108" s="156"/>
      <c r="N108" s="156"/>
      <c r="O108" s="156"/>
      <c r="P108" s="156"/>
      <c r="Q108" s="156"/>
      <c r="R108" s="156"/>
      <c r="S108" s="156"/>
      <c r="T108" s="156"/>
    </row>
    <row r="109" ht="26.25" customHeight="1">
      <c r="A109" s="167"/>
      <c r="B109" s="174"/>
      <c r="C109" s="174"/>
      <c r="D109" s="175"/>
      <c r="E109" s="156"/>
      <c r="F109" s="156"/>
      <c r="G109" s="156"/>
      <c r="H109" s="174"/>
      <c r="I109" s="174"/>
      <c r="J109" s="174"/>
      <c r="K109" s="156"/>
      <c r="L109" s="156"/>
      <c r="M109" s="156"/>
      <c r="N109" s="156"/>
      <c r="O109" s="156"/>
      <c r="P109" s="156"/>
      <c r="Q109" s="156"/>
      <c r="R109" s="156"/>
      <c r="S109" s="156"/>
      <c r="T109" s="156"/>
    </row>
    <row r="110" ht="26.25" customHeight="1">
      <c r="A110" s="167"/>
      <c r="B110" s="174"/>
      <c r="C110" s="174"/>
      <c r="D110" s="175"/>
      <c r="E110" s="156"/>
      <c r="F110" s="156"/>
      <c r="G110" s="156"/>
      <c r="H110" s="174"/>
      <c r="I110" s="174"/>
      <c r="J110" s="174"/>
      <c r="K110" s="156"/>
      <c r="L110" s="156"/>
      <c r="M110" s="156"/>
      <c r="N110" s="156"/>
      <c r="O110" s="156"/>
      <c r="P110" s="156"/>
      <c r="Q110" s="156"/>
      <c r="R110" s="156"/>
      <c r="S110" s="156"/>
      <c r="T110" s="156"/>
    </row>
    <row r="111" ht="26.25" customHeight="1">
      <c r="A111" s="167"/>
      <c r="B111" s="174"/>
      <c r="C111" s="174"/>
      <c r="D111" s="175"/>
      <c r="E111" s="156"/>
      <c r="F111" s="156"/>
      <c r="G111" s="156"/>
      <c r="H111" s="174"/>
      <c r="I111" s="174"/>
      <c r="J111" s="174"/>
      <c r="K111" s="156"/>
      <c r="L111" s="156"/>
      <c r="M111" s="156"/>
      <c r="N111" s="156"/>
      <c r="O111" s="156"/>
      <c r="P111" s="156"/>
      <c r="Q111" s="156"/>
      <c r="R111" s="156"/>
      <c r="S111" s="156"/>
      <c r="T111" s="156"/>
    </row>
    <row r="112" ht="26.25" customHeight="1">
      <c r="A112" s="167"/>
      <c r="B112" s="174"/>
      <c r="C112" s="174"/>
      <c r="D112" s="175"/>
      <c r="E112" s="156"/>
      <c r="F112" s="156"/>
      <c r="G112" s="156"/>
      <c r="H112" s="174"/>
      <c r="I112" s="174"/>
      <c r="J112" s="174"/>
      <c r="K112" s="156"/>
      <c r="L112" s="156"/>
      <c r="M112" s="156"/>
      <c r="N112" s="156"/>
      <c r="O112" s="156"/>
      <c r="P112" s="156"/>
      <c r="Q112" s="156"/>
      <c r="R112" s="156"/>
      <c r="S112" s="156"/>
      <c r="T112" s="156"/>
    </row>
    <row r="113" ht="26.25" customHeight="1">
      <c r="A113" s="167"/>
      <c r="B113" s="174"/>
      <c r="C113" s="174"/>
      <c r="D113" s="175"/>
      <c r="E113" s="156"/>
      <c r="F113" s="156"/>
      <c r="G113" s="156"/>
      <c r="H113" s="174"/>
      <c r="I113" s="174"/>
      <c r="J113" s="174"/>
      <c r="K113" s="156"/>
      <c r="L113" s="156"/>
      <c r="M113" s="156"/>
      <c r="N113" s="156"/>
      <c r="O113" s="156"/>
      <c r="P113" s="156"/>
      <c r="Q113" s="156"/>
      <c r="R113" s="156"/>
      <c r="S113" s="156"/>
      <c r="T113" s="156"/>
    </row>
    <row r="114" ht="26.25" customHeight="1">
      <c r="A114" s="167"/>
      <c r="B114" s="174"/>
      <c r="C114" s="174"/>
      <c r="D114" s="175"/>
      <c r="E114" s="156"/>
      <c r="F114" s="156"/>
      <c r="G114" s="156"/>
      <c r="H114" s="174"/>
      <c r="I114" s="174"/>
      <c r="J114" s="174"/>
      <c r="K114" s="156"/>
      <c r="L114" s="156"/>
      <c r="M114" s="156"/>
      <c r="N114" s="156"/>
      <c r="O114" s="156"/>
      <c r="P114" s="156"/>
      <c r="Q114" s="156"/>
      <c r="R114" s="156"/>
      <c r="S114" s="156"/>
      <c r="T114" s="156"/>
    </row>
    <row r="115" ht="26.25" customHeight="1">
      <c r="A115" s="167"/>
      <c r="B115" s="174"/>
      <c r="C115" s="174"/>
      <c r="D115" s="175"/>
      <c r="E115" s="156"/>
      <c r="F115" s="156"/>
      <c r="G115" s="156"/>
      <c r="H115" s="174"/>
      <c r="I115" s="174"/>
      <c r="J115" s="174"/>
      <c r="K115" s="156"/>
      <c r="L115" s="156"/>
      <c r="M115" s="156"/>
      <c r="N115" s="156"/>
      <c r="O115" s="156"/>
      <c r="P115" s="156"/>
      <c r="Q115" s="156"/>
      <c r="R115" s="156"/>
      <c r="S115" s="156"/>
      <c r="T115" s="156"/>
    </row>
    <row r="116" ht="26.25" customHeight="1">
      <c r="A116" s="167"/>
      <c r="B116" s="174"/>
      <c r="C116" s="174"/>
      <c r="D116" s="175"/>
      <c r="E116" s="156"/>
      <c r="F116" s="156"/>
      <c r="G116" s="156"/>
      <c r="H116" s="174"/>
      <c r="I116" s="174"/>
      <c r="J116" s="174"/>
      <c r="K116" s="156"/>
      <c r="L116" s="156"/>
      <c r="M116" s="156"/>
      <c r="N116" s="156"/>
      <c r="O116" s="156"/>
      <c r="P116" s="156"/>
      <c r="Q116" s="156"/>
      <c r="R116" s="156"/>
      <c r="S116" s="156"/>
      <c r="T116" s="156"/>
    </row>
    <row r="117" ht="26.25" customHeight="1">
      <c r="A117" s="167"/>
      <c r="B117" s="174"/>
      <c r="C117" s="174"/>
      <c r="D117" s="175"/>
      <c r="E117" s="156"/>
      <c r="F117" s="156"/>
      <c r="G117" s="156"/>
      <c r="H117" s="174"/>
      <c r="I117" s="174"/>
      <c r="J117" s="174"/>
      <c r="K117" s="156"/>
      <c r="L117" s="156"/>
      <c r="M117" s="156"/>
      <c r="N117" s="156"/>
      <c r="O117" s="156"/>
      <c r="P117" s="156"/>
      <c r="Q117" s="156"/>
      <c r="R117" s="156"/>
      <c r="S117" s="156"/>
      <c r="T117" s="156"/>
    </row>
    <row r="118" ht="26.25" customHeight="1">
      <c r="A118" s="167"/>
      <c r="B118" s="174"/>
      <c r="C118" s="174"/>
      <c r="D118" s="175"/>
      <c r="E118" s="156"/>
      <c r="F118" s="156"/>
      <c r="G118" s="156"/>
      <c r="H118" s="174"/>
      <c r="I118" s="174"/>
      <c r="J118" s="174"/>
      <c r="K118" s="156"/>
      <c r="L118" s="156"/>
      <c r="M118" s="156"/>
      <c r="N118" s="156"/>
      <c r="O118" s="156"/>
      <c r="P118" s="156"/>
      <c r="Q118" s="156"/>
      <c r="R118" s="156"/>
      <c r="S118" s="156"/>
      <c r="T118" s="156"/>
    </row>
    <row r="119" ht="26.25" customHeight="1">
      <c r="A119" s="167"/>
      <c r="B119" s="174"/>
      <c r="C119" s="174"/>
      <c r="D119" s="175"/>
      <c r="E119" s="156"/>
      <c r="F119" s="156"/>
      <c r="G119" s="156"/>
      <c r="H119" s="174"/>
      <c r="I119" s="174"/>
      <c r="J119" s="174"/>
      <c r="K119" s="156"/>
      <c r="L119" s="156"/>
      <c r="M119" s="156"/>
      <c r="N119" s="156"/>
      <c r="O119" s="156"/>
      <c r="P119" s="156"/>
      <c r="Q119" s="156"/>
      <c r="R119" s="156"/>
      <c r="S119" s="156"/>
      <c r="T119" s="156"/>
    </row>
    <row r="120" ht="26.25" customHeight="1">
      <c r="A120" s="167"/>
      <c r="B120" s="174"/>
      <c r="C120" s="174"/>
      <c r="D120" s="175"/>
      <c r="E120" s="156"/>
      <c r="F120" s="156"/>
      <c r="G120" s="156"/>
      <c r="H120" s="174"/>
      <c r="I120" s="174"/>
      <c r="J120" s="174"/>
      <c r="K120" s="156"/>
      <c r="L120" s="156"/>
      <c r="M120" s="156"/>
      <c r="N120" s="156"/>
      <c r="O120" s="156"/>
      <c r="P120" s="156"/>
      <c r="Q120" s="156"/>
      <c r="R120" s="156"/>
      <c r="S120" s="156"/>
      <c r="T120" s="156"/>
    </row>
    <row r="121" ht="26.25" customHeight="1">
      <c r="A121" s="167"/>
      <c r="B121" s="174"/>
      <c r="C121" s="174"/>
      <c r="D121" s="175"/>
      <c r="E121" s="156"/>
      <c r="F121" s="156"/>
      <c r="G121" s="156"/>
      <c r="H121" s="174"/>
      <c r="I121" s="174"/>
      <c r="J121" s="174"/>
      <c r="K121" s="156"/>
      <c r="L121" s="156"/>
      <c r="M121" s="156"/>
      <c r="N121" s="156"/>
      <c r="O121" s="156"/>
      <c r="P121" s="156"/>
      <c r="Q121" s="156"/>
      <c r="R121" s="156"/>
      <c r="S121" s="156"/>
      <c r="T121" s="156"/>
    </row>
    <row r="122" ht="26.25" customHeight="1">
      <c r="A122" s="167"/>
      <c r="B122" s="174"/>
      <c r="C122" s="174"/>
      <c r="D122" s="175"/>
      <c r="E122" s="156"/>
      <c r="F122" s="156"/>
      <c r="G122" s="156"/>
      <c r="H122" s="174"/>
      <c r="I122" s="174"/>
      <c r="J122" s="174"/>
      <c r="K122" s="156"/>
      <c r="L122" s="156"/>
      <c r="M122" s="156"/>
      <c r="N122" s="156"/>
      <c r="O122" s="156"/>
      <c r="P122" s="156"/>
      <c r="Q122" s="156"/>
      <c r="R122" s="156"/>
      <c r="S122" s="156"/>
      <c r="T122" s="156"/>
    </row>
    <row r="123" ht="26.25" customHeight="1">
      <c r="A123" s="167"/>
      <c r="B123" s="174"/>
      <c r="C123" s="174"/>
      <c r="D123" s="175"/>
      <c r="E123" s="156"/>
      <c r="F123" s="156"/>
      <c r="G123" s="156"/>
      <c r="H123" s="174"/>
      <c r="I123" s="174"/>
      <c r="J123" s="174"/>
      <c r="K123" s="156"/>
      <c r="L123" s="156"/>
      <c r="M123" s="156"/>
      <c r="N123" s="156"/>
      <c r="O123" s="156"/>
      <c r="P123" s="156"/>
      <c r="Q123" s="156"/>
      <c r="R123" s="156"/>
      <c r="S123" s="156"/>
      <c r="T123" s="156"/>
    </row>
    <row r="124" ht="26.25" customHeight="1">
      <c r="A124" s="167"/>
      <c r="B124" s="174"/>
      <c r="C124" s="174"/>
      <c r="D124" s="175"/>
      <c r="E124" s="156"/>
      <c r="F124" s="156"/>
      <c r="G124" s="156"/>
      <c r="H124" s="174"/>
      <c r="I124" s="174"/>
      <c r="J124" s="174"/>
      <c r="K124" s="156"/>
      <c r="L124" s="156"/>
      <c r="M124" s="156"/>
      <c r="N124" s="156"/>
      <c r="O124" s="156"/>
      <c r="P124" s="156"/>
      <c r="Q124" s="156"/>
      <c r="R124" s="156"/>
      <c r="S124" s="156"/>
      <c r="T124" s="156"/>
    </row>
    <row r="125" ht="26.25" customHeight="1">
      <c r="A125" s="167"/>
      <c r="B125" s="174"/>
      <c r="C125" s="174"/>
      <c r="D125" s="175"/>
      <c r="E125" s="156"/>
      <c r="F125" s="156"/>
      <c r="G125" s="156"/>
      <c r="H125" s="174"/>
      <c r="I125" s="174"/>
      <c r="J125" s="174"/>
      <c r="K125" s="156"/>
      <c r="L125" s="156"/>
      <c r="M125" s="156"/>
      <c r="N125" s="156"/>
      <c r="O125" s="156"/>
      <c r="P125" s="156"/>
      <c r="Q125" s="156"/>
      <c r="R125" s="156"/>
      <c r="S125" s="156"/>
      <c r="T125" s="156"/>
    </row>
    <row r="126" ht="26.25" customHeight="1">
      <c r="A126" s="167"/>
      <c r="B126" s="174"/>
      <c r="C126" s="174"/>
      <c r="D126" s="175"/>
      <c r="E126" s="156"/>
      <c r="F126" s="156"/>
      <c r="G126" s="156"/>
      <c r="H126" s="174"/>
      <c r="I126" s="174"/>
      <c r="J126" s="174"/>
      <c r="K126" s="156"/>
      <c r="L126" s="156"/>
      <c r="M126" s="156"/>
      <c r="N126" s="156"/>
      <c r="O126" s="156"/>
      <c r="P126" s="156"/>
      <c r="Q126" s="156"/>
      <c r="R126" s="156"/>
      <c r="S126" s="156"/>
      <c r="T126" s="156"/>
    </row>
    <row r="127" ht="26.25" customHeight="1">
      <c r="A127" s="167"/>
      <c r="B127" s="174"/>
      <c r="C127" s="174"/>
      <c r="D127" s="175"/>
      <c r="E127" s="156"/>
      <c r="F127" s="156"/>
      <c r="G127" s="156"/>
      <c r="H127" s="174"/>
      <c r="I127" s="174"/>
      <c r="J127" s="174"/>
      <c r="K127" s="156"/>
      <c r="L127" s="156"/>
      <c r="M127" s="156"/>
      <c r="N127" s="156"/>
      <c r="O127" s="156"/>
      <c r="P127" s="156"/>
      <c r="Q127" s="156"/>
      <c r="R127" s="156"/>
      <c r="S127" s="156"/>
      <c r="T127" s="156"/>
    </row>
    <row r="128" ht="26.25" customHeight="1">
      <c r="A128" s="167"/>
      <c r="B128" s="174"/>
      <c r="C128" s="174"/>
      <c r="D128" s="175"/>
      <c r="E128" s="156"/>
      <c r="F128" s="156"/>
      <c r="G128" s="156"/>
      <c r="H128" s="174"/>
      <c r="I128" s="174"/>
      <c r="J128" s="174"/>
      <c r="K128" s="156"/>
      <c r="L128" s="156"/>
      <c r="M128" s="156"/>
      <c r="N128" s="156"/>
      <c r="O128" s="156"/>
      <c r="P128" s="156"/>
      <c r="Q128" s="156"/>
      <c r="R128" s="156"/>
      <c r="S128" s="156"/>
      <c r="T128" s="156"/>
    </row>
    <row r="129" ht="26.25" customHeight="1">
      <c r="A129" s="167"/>
      <c r="B129" s="174"/>
      <c r="C129" s="174"/>
      <c r="D129" s="175"/>
      <c r="E129" s="156"/>
      <c r="F129" s="156"/>
      <c r="G129" s="156"/>
      <c r="H129" s="174"/>
      <c r="I129" s="174"/>
      <c r="J129" s="174"/>
      <c r="K129" s="156"/>
      <c r="L129" s="156"/>
      <c r="M129" s="156"/>
      <c r="N129" s="156"/>
      <c r="O129" s="156"/>
      <c r="P129" s="156"/>
      <c r="Q129" s="156"/>
      <c r="R129" s="156"/>
      <c r="S129" s="156"/>
      <c r="T129" s="156"/>
    </row>
    <row r="130" ht="26.25" customHeight="1">
      <c r="A130" s="167"/>
      <c r="B130" s="174"/>
      <c r="C130" s="174"/>
      <c r="D130" s="175"/>
      <c r="E130" s="156"/>
      <c r="F130" s="156"/>
      <c r="G130" s="156"/>
      <c r="H130" s="174"/>
      <c r="I130" s="174"/>
      <c r="J130" s="174"/>
      <c r="K130" s="156"/>
      <c r="L130" s="156"/>
      <c r="M130" s="156"/>
      <c r="N130" s="156"/>
      <c r="O130" s="156"/>
      <c r="P130" s="156"/>
      <c r="Q130" s="156"/>
      <c r="R130" s="156"/>
      <c r="S130" s="156"/>
      <c r="T130" s="156"/>
    </row>
    <row r="131" ht="26.25" customHeight="1">
      <c r="A131" s="167"/>
      <c r="B131" s="174"/>
      <c r="C131" s="174"/>
      <c r="D131" s="175"/>
      <c r="E131" s="156"/>
      <c r="F131" s="156"/>
      <c r="G131" s="156"/>
      <c r="H131" s="174"/>
      <c r="I131" s="174"/>
      <c r="J131" s="174"/>
      <c r="K131" s="156"/>
      <c r="L131" s="156"/>
      <c r="M131" s="156"/>
      <c r="N131" s="156"/>
      <c r="O131" s="156"/>
      <c r="P131" s="156"/>
      <c r="Q131" s="156"/>
      <c r="R131" s="156"/>
      <c r="S131" s="156"/>
      <c r="T131" s="156"/>
    </row>
    <row r="132" ht="26.25" customHeight="1">
      <c r="A132" s="167"/>
      <c r="B132" s="174"/>
      <c r="C132" s="174"/>
      <c r="D132" s="175"/>
      <c r="E132" s="156"/>
      <c r="F132" s="156"/>
      <c r="G132" s="156"/>
      <c r="H132" s="174"/>
      <c r="I132" s="174"/>
      <c r="J132" s="174"/>
      <c r="K132" s="156"/>
      <c r="L132" s="156"/>
      <c r="M132" s="156"/>
      <c r="N132" s="156"/>
      <c r="O132" s="156"/>
      <c r="P132" s="156"/>
      <c r="Q132" s="156"/>
      <c r="R132" s="156"/>
      <c r="S132" s="156"/>
      <c r="T132" s="156"/>
    </row>
    <row r="133" ht="26.25" customHeight="1">
      <c r="A133" s="167"/>
      <c r="B133" s="174"/>
      <c r="C133" s="174"/>
      <c r="D133" s="175"/>
      <c r="E133" s="156"/>
      <c r="F133" s="156"/>
      <c r="G133" s="156"/>
      <c r="H133" s="174"/>
      <c r="I133" s="174"/>
      <c r="J133" s="174"/>
      <c r="K133" s="156"/>
      <c r="L133" s="156"/>
      <c r="M133" s="156"/>
      <c r="N133" s="156"/>
      <c r="O133" s="156"/>
      <c r="P133" s="156"/>
      <c r="Q133" s="156"/>
      <c r="R133" s="156"/>
      <c r="S133" s="156"/>
      <c r="T133" s="156"/>
    </row>
    <row r="134" ht="26.25" customHeight="1">
      <c r="A134" s="167"/>
      <c r="B134" s="174"/>
      <c r="C134" s="174"/>
      <c r="D134" s="175"/>
      <c r="E134" s="156"/>
      <c r="F134" s="156"/>
      <c r="G134" s="156"/>
      <c r="H134" s="174"/>
      <c r="I134" s="174"/>
      <c r="J134" s="174"/>
      <c r="K134" s="156"/>
      <c r="L134" s="156"/>
      <c r="M134" s="156"/>
      <c r="N134" s="156"/>
      <c r="O134" s="156"/>
      <c r="P134" s="156"/>
      <c r="Q134" s="156"/>
      <c r="R134" s="156"/>
      <c r="S134" s="156"/>
      <c r="T134" s="156"/>
    </row>
    <row r="135" ht="26.25" customHeight="1">
      <c r="A135" s="167"/>
      <c r="B135" s="174"/>
      <c r="C135" s="174"/>
      <c r="D135" s="175"/>
      <c r="E135" s="156"/>
      <c r="F135" s="156"/>
      <c r="G135" s="156"/>
      <c r="H135" s="174"/>
      <c r="I135" s="174"/>
      <c r="J135" s="174"/>
      <c r="K135" s="156"/>
      <c r="L135" s="156"/>
      <c r="M135" s="156"/>
      <c r="N135" s="156"/>
      <c r="O135" s="156"/>
      <c r="P135" s="156"/>
      <c r="Q135" s="156"/>
      <c r="R135" s="156"/>
      <c r="S135" s="156"/>
      <c r="T135" s="156"/>
    </row>
    <row r="136" ht="26.25" customHeight="1">
      <c r="A136" s="167"/>
      <c r="B136" s="174"/>
      <c r="C136" s="174"/>
      <c r="D136" s="175"/>
      <c r="E136" s="156"/>
      <c r="F136" s="156"/>
      <c r="G136" s="156"/>
      <c r="H136" s="174"/>
      <c r="I136" s="174"/>
      <c r="J136" s="174"/>
      <c r="K136" s="156"/>
      <c r="L136" s="156"/>
      <c r="M136" s="156"/>
      <c r="N136" s="156"/>
      <c r="O136" s="156"/>
      <c r="P136" s="156"/>
      <c r="Q136" s="156"/>
      <c r="R136" s="156"/>
      <c r="S136" s="156"/>
      <c r="T136" s="156"/>
    </row>
    <row r="137" ht="26.25" customHeight="1">
      <c r="A137" s="167"/>
      <c r="B137" s="174"/>
      <c r="C137" s="174"/>
      <c r="D137" s="175"/>
      <c r="E137" s="156"/>
      <c r="F137" s="156"/>
      <c r="G137" s="156"/>
      <c r="H137" s="174"/>
      <c r="I137" s="174"/>
      <c r="J137" s="174"/>
      <c r="K137" s="156"/>
      <c r="L137" s="156"/>
      <c r="M137" s="156"/>
      <c r="N137" s="156"/>
      <c r="O137" s="156"/>
      <c r="P137" s="156"/>
      <c r="Q137" s="156"/>
      <c r="R137" s="156"/>
      <c r="S137" s="156"/>
      <c r="T137" s="156"/>
    </row>
    <row r="138" ht="26.25" customHeight="1">
      <c r="A138" s="167"/>
      <c r="B138" s="174"/>
      <c r="C138" s="174"/>
      <c r="D138" s="175"/>
      <c r="E138" s="156"/>
      <c r="F138" s="156"/>
      <c r="G138" s="156"/>
      <c r="H138" s="174"/>
      <c r="I138" s="174"/>
      <c r="J138" s="174"/>
      <c r="K138" s="156"/>
      <c r="L138" s="156"/>
      <c r="M138" s="156"/>
      <c r="N138" s="156"/>
      <c r="O138" s="156"/>
      <c r="P138" s="156"/>
      <c r="Q138" s="156"/>
      <c r="R138" s="156"/>
      <c r="S138" s="156"/>
      <c r="T138" s="156"/>
    </row>
    <row r="139" ht="26.25" customHeight="1">
      <c r="A139" s="167"/>
      <c r="B139" s="174"/>
      <c r="C139" s="174"/>
      <c r="D139" s="175"/>
      <c r="E139" s="156"/>
      <c r="F139" s="156"/>
      <c r="G139" s="156"/>
      <c r="H139" s="174"/>
      <c r="I139" s="174"/>
      <c r="J139" s="174"/>
      <c r="K139" s="156"/>
      <c r="L139" s="156"/>
      <c r="M139" s="156"/>
      <c r="N139" s="156"/>
      <c r="O139" s="156"/>
      <c r="P139" s="156"/>
      <c r="Q139" s="156"/>
      <c r="R139" s="156"/>
      <c r="S139" s="156"/>
      <c r="T139" s="156"/>
    </row>
    <row r="140" ht="26.25" customHeight="1">
      <c r="A140" s="167"/>
      <c r="B140" s="174"/>
      <c r="C140" s="174"/>
      <c r="D140" s="175"/>
      <c r="E140" s="156"/>
      <c r="F140" s="156"/>
      <c r="G140" s="156"/>
      <c r="H140" s="174"/>
      <c r="I140" s="174"/>
      <c r="J140" s="174"/>
      <c r="K140" s="156"/>
      <c r="L140" s="156"/>
      <c r="M140" s="156"/>
      <c r="N140" s="156"/>
      <c r="O140" s="156"/>
      <c r="P140" s="156"/>
      <c r="Q140" s="156"/>
      <c r="R140" s="156"/>
      <c r="S140" s="156"/>
      <c r="T140" s="156"/>
    </row>
    <row r="141" ht="26.25" customHeight="1">
      <c r="A141" s="167"/>
      <c r="B141" s="174"/>
      <c r="C141" s="174"/>
      <c r="D141" s="175"/>
      <c r="E141" s="156"/>
      <c r="F141" s="156"/>
      <c r="G141" s="156"/>
      <c r="H141" s="174"/>
      <c r="I141" s="174"/>
      <c r="J141" s="174"/>
      <c r="K141" s="156"/>
      <c r="L141" s="156"/>
      <c r="M141" s="156"/>
      <c r="N141" s="156"/>
      <c r="O141" s="156"/>
      <c r="P141" s="156"/>
      <c r="Q141" s="156"/>
      <c r="R141" s="156"/>
      <c r="S141" s="156"/>
      <c r="T141" s="156"/>
    </row>
    <row r="142" ht="26.25" customHeight="1">
      <c r="A142" s="167"/>
      <c r="B142" s="174"/>
      <c r="C142" s="174"/>
      <c r="D142" s="175"/>
      <c r="E142" s="156"/>
      <c r="F142" s="156"/>
      <c r="G142" s="156"/>
      <c r="H142" s="174"/>
      <c r="I142" s="174"/>
      <c r="J142" s="174"/>
      <c r="K142" s="156"/>
      <c r="L142" s="156"/>
      <c r="M142" s="156"/>
      <c r="N142" s="156"/>
      <c r="O142" s="156"/>
      <c r="P142" s="156"/>
      <c r="Q142" s="156"/>
      <c r="R142" s="156"/>
      <c r="S142" s="156"/>
      <c r="T142" s="156"/>
    </row>
    <row r="143" ht="26.25" customHeight="1">
      <c r="A143" s="167"/>
      <c r="B143" s="174"/>
      <c r="C143" s="174"/>
      <c r="D143" s="175"/>
      <c r="E143" s="156"/>
      <c r="F143" s="156"/>
      <c r="G143" s="156"/>
      <c r="H143" s="174"/>
      <c r="I143" s="174"/>
      <c r="J143" s="174"/>
      <c r="K143" s="156"/>
      <c r="L143" s="156"/>
      <c r="M143" s="156"/>
      <c r="N143" s="156"/>
      <c r="O143" s="156"/>
      <c r="P143" s="156"/>
      <c r="Q143" s="156"/>
      <c r="R143" s="156"/>
      <c r="S143" s="156"/>
      <c r="T143" s="156"/>
    </row>
    <row r="144" ht="26.25" customHeight="1">
      <c r="A144" s="167"/>
      <c r="B144" s="174"/>
      <c r="C144" s="174"/>
      <c r="D144" s="175"/>
      <c r="E144" s="156"/>
      <c r="F144" s="156"/>
      <c r="G144" s="156"/>
      <c r="H144" s="174"/>
      <c r="I144" s="174"/>
      <c r="J144" s="174"/>
      <c r="K144" s="156"/>
      <c r="L144" s="156"/>
      <c r="M144" s="156"/>
      <c r="N144" s="156"/>
      <c r="O144" s="156"/>
      <c r="P144" s="156"/>
      <c r="Q144" s="156"/>
      <c r="R144" s="156"/>
      <c r="S144" s="156"/>
      <c r="T144" s="156"/>
    </row>
    <row r="145" ht="26.25" customHeight="1">
      <c r="A145" s="167"/>
      <c r="B145" s="174"/>
      <c r="C145" s="174"/>
      <c r="D145" s="175"/>
      <c r="E145" s="156"/>
      <c r="F145" s="156"/>
      <c r="G145" s="156"/>
      <c r="H145" s="174"/>
      <c r="I145" s="174"/>
      <c r="J145" s="174"/>
      <c r="K145" s="156"/>
      <c r="L145" s="156"/>
      <c r="M145" s="156"/>
      <c r="N145" s="156"/>
      <c r="O145" s="156"/>
      <c r="P145" s="156"/>
      <c r="Q145" s="156"/>
      <c r="R145" s="156"/>
      <c r="S145" s="156"/>
      <c r="T145" s="156"/>
    </row>
    <row r="146" ht="26.25" customHeight="1">
      <c r="A146" s="167"/>
      <c r="B146" s="174"/>
      <c r="C146" s="174"/>
      <c r="D146" s="175"/>
      <c r="E146" s="156"/>
      <c r="F146" s="156"/>
      <c r="G146" s="156"/>
      <c r="H146" s="174"/>
      <c r="I146" s="174"/>
      <c r="J146" s="174"/>
      <c r="K146" s="156"/>
      <c r="L146" s="156"/>
      <c r="M146" s="156"/>
      <c r="N146" s="156"/>
      <c r="O146" s="156"/>
      <c r="P146" s="156"/>
      <c r="Q146" s="156"/>
      <c r="R146" s="156"/>
      <c r="S146" s="156"/>
      <c r="T146" s="156"/>
    </row>
    <row r="147" ht="26.25" customHeight="1">
      <c r="A147" s="167"/>
      <c r="B147" s="174"/>
      <c r="C147" s="174"/>
      <c r="D147" s="175"/>
      <c r="E147" s="156"/>
      <c r="F147" s="156"/>
      <c r="G147" s="156"/>
      <c r="H147" s="174"/>
      <c r="I147" s="174"/>
      <c r="J147" s="174"/>
      <c r="K147" s="156"/>
      <c r="L147" s="156"/>
      <c r="M147" s="156"/>
      <c r="N147" s="156"/>
      <c r="O147" s="156"/>
      <c r="P147" s="156"/>
      <c r="Q147" s="156"/>
      <c r="R147" s="156"/>
      <c r="S147" s="156"/>
      <c r="T147" s="156"/>
    </row>
    <row r="148" ht="26.25" customHeight="1">
      <c r="A148" s="167"/>
      <c r="B148" s="174"/>
      <c r="C148" s="174"/>
      <c r="D148" s="175"/>
      <c r="E148" s="156"/>
      <c r="F148" s="156"/>
      <c r="G148" s="156"/>
      <c r="H148" s="174"/>
      <c r="I148" s="174"/>
      <c r="J148" s="174"/>
      <c r="K148" s="156"/>
      <c r="L148" s="156"/>
      <c r="M148" s="156"/>
      <c r="N148" s="156"/>
      <c r="O148" s="156"/>
      <c r="P148" s="156"/>
      <c r="Q148" s="156"/>
      <c r="R148" s="156"/>
      <c r="S148" s="156"/>
      <c r="T148" s="156"/>
    </row>
    <row r="149" ht="26.25" customHeight="1">
      <c r="A149" s="167"/>
      <c r="B149" s="174"/>
      <c r="C149" s="174"/>
      <c r="D149" s="175"/>
      <c r="E149" s="156"/>
      <c r="F149" s="156"/>
      <c r="G149" s="156"/>
      <c r="H149" s="174"/>
      <c r="I149" s="174"/>
      <c r="J149" s="174"/>
      <c r="K149" s="156"/>
      <c r="L149" s="156"/>
      <c r="M149" s="156"/>
      <c r="N149" s="156"/>
      <c r="O149" s="156"/>
      <c r="P149" s="156"/>
      <c r="Q149" s="156"/>
      <c r="R149" s="156"/>
      <c r="S149" s="156"/>
      <c r="T149" s="156"/>
    </row>
    <row r="150" ht="26.25" customHeight="1">
      <c r="A150" s="167"/>
      <c r="B150" s="174"/>
      <c r="C150" s="174"/>
      <c r="D150" s="175"/>
      <c r="E150" s="156"/>
      <c r="F150" s="156"/>
      <c r="G150" s="156"/>
      <c r="H150" s="174"/>
      <c r="I150" s="174"/>
      <c r="J150" s="174"/>
      <c r="K150" s="156"/>
      <c r="L150" s="156"/>
      <c r="M150" s="156"/>
      <c r="N150" s="156"/>
      <c r="O150" s="156"/>
      <c r="P150" s="156"/>
      <c r="Q150" s="156"/>
      <c r="R150" s="156"/>
      <c r="S150" s="156"/>
      <c r="T150" s="156"/>
    </row>
    <row r="151" ht="26.25" customHeight="1">
      <c r="A151" s="167"/>
      <c r="B151" s="174"/>
      <c r="C151" s="174"/>
      <c r="D151" s="175"/>
      <c r="E151" s="156"/>
      <c r="F151" s="156"/>
      <c r="G151" s="156"/>
      <c r="H151" s="174"/>
      <c r="I151" s="174"/>
      <c r="J151" s="174"/>
      <c r="K151" s="156"/>
      <c r="L151" s="156"/>
      <c r="M151" s="156"/>
      <c r="N151" s="156"/>
      <c r="O151" s="156"/>
      <c r="P151" s="156"/>
      <c r="Q151" s="156"/>
      <c r="R151" s="156"/>
      <c r="S151" s="156"/>
      <c r="T151" s="156"/>
    </row>
    <row r="152" ht="26.25" customHeight="1">
      <c r="A152" s="167"/>
      <c r="B152" s="174"/>
      <c r="C152" s="174"/>
      <c r="D152" s="175"/>
      <c r="E152" s="156"/>
      <c r="F152" s="156"/>
      <c r="G152" s="156"/>
      <c r="H152" s="174"/>
      <c r="I152" s="174"/>
      <c r="J152" s="174"/>
      <c r="K152" s="156"/>
      <c r="L152" s="156"/>
      <c r="M152" s="156"/>
      <c r="N152" s="156"/>
      <c r="O152" s="156"/>
      <c r="P152" s="156"/>
      <c r="Q152" s="156"/>
      <c r="R152" s="156"/>
      <c r="S152" s="156"/>
      <c r="T152" s="156"/>
    </row>
    <row r="153" ht="26.25" customHeight="1">
      <c r="A153" s="167"/>
      <c r="B153" s="174"/>
      <c r="C153" s="174"/>
      <c r="D153" s="175"/>
      <c r="E153" s="156"/>
      <c r="F153" s="156"/>
      <c r="G153" s="156"/>
      <c r="H153" s="174"/>
      <c r="I153" s="174"/>
      <c r="J153" s="174"/>
      <c r="K153" s="156"/>
      <c r="L153" s="156"/>
      <c r="M153" s="156"/>
      <c r="N153" s="156"/>
      <c r="O153" s="156"/>
      <c r="P153" s="156"/>
      <c r="Q153" s="156"/>
      <c r="R153" s="156"/>
      <c r="S153" s="156"/>
      <c r="T153" s="156"/>
    </row>
    <row r="154" ht="26.25" customHeight="1">
      <c r="A154" s="167"/>
      <c r="B154" s="174"/>
      <c r="C154" s="174"/>
      <c r="D154" s="175"/>
      <c r="E154" s="156"/>
      <c r="F154" s="156"/>
      <c r="G154" s="156"/>
      <c r="H154" s="174"/>
      <c r="I154" s="174"/>
      <c r="J154" s="174"/>
      <c r="K154" s="156"/>
      <c r="L154" s="156"/>
      <c r="M154" s="156"/>
      <c r="N154" s="156"/>
      <c r="O154" s="156"/>
      <c r="P154" s="156"/>
      <c r="Q154" s="156"/>
      <c r="R154" s="156"/>
      <c r="S154" s="156"/>
      <c r="T154" s="156"/>
    </row>
    <row r="155" ht="26.25" customHeight="1">
      <c r="A155" s="167"/>
      <c r="B155" s="174"/>
      <c r="C155" s="174"/>
      <c r="D155" s="175"/>
      <c r="E155" s="156"/>
      <c r="F155" s="156"/>
      <c r="G155" s="156"/>
      <c r="H155" s="174"/>
      <c r="I155" s="174"/>
      <c r="J155" s="174"/>
      <c r="K155" s="156"/>
      <c r="L155" s="156"/>
      <c r="M155" s="156"/>
      <c r="N155" s="156"/>
      <c r="O155" s="156"/>
      <c r="P155" s="156"/>
      <c r="Q155" s="156"/>
      <c r="R155" s="156"/>
      <c r="S155" s="156"/>
      <c r="T155" s="156"/>
    </row>
    <row r="156" ht="26.25" customHeight="1">
      <c r="A156" s="167"/>
      <c r="B156" s="174"/>
      <c r="C156" s="174"/>
      <c r="D156" s="175"/>
      <c r="E156" s="156"/>
      <c r="F156" s="156"/>
      <c r="G156" s="156"/>
      <c r="H156" s="174"/>
      <c r="I156" s="174"/>
      <c r="J156" s="174"/>
      <c r="K156" s="156"/>
      <c r="L156" s="156"/>
      <c r="M156" s="156"/>
      <c r="N156" s="156"/>
      <c r="O156" s="156"/>
      <c r="P156" s="156"/>
      <c r="Q156" s="156"/>
      <c r="R156" s="156"/>
      <c r="S156" s="156"/>
      <c r="T156" s="156"/>
    </row>
    <row r="157" ht="26.25" customHeight="1">
      <c r="A157" s="167"/>
      <c r="B157" s="174"/>
      <c r="C157" s="174"/>
      <c r="D157" s="175"/>
      <c r="E157" s="156"/>
      <c r="F157" s="156"/>
      <c r="G157" s="156"/>
      <c r="H157" s="174"/>
      <c r="I157" s="174"/>
      <c r="J157" s="174"/>
      <c r="K157" s="156"/>
      <c r="L157" s="156"/>
      <c r="M157" s="156"/>
      <c r="N157" s="156"/>
      <c r="O157" s="156"/>
      <c r="P157" s="156"/>
      <c r="Q157" s="156"/>
      <c r="R157" s="156"/>
      <c r="S157" s="156"/>
      <c r="T157" s="156"/>
    </row>
    <row r="158" ht="26.25" customHeight="1">
      <c r="A158" s="167"/>
      <c r="B158" s="174"/>
      <c r="C158" s="174"/>
      <c r="D158" s="175"/>
      <c r="E158" s="156"/>
      <c r="F158" s="156"/>
      <c r="G158" s="156"/>
      <c r="H158" s="174"/>
      <c r="I158" s="174"/>
      <c r="J158" s="174"/>
      <c r="K158" s="156"/>
      <c r="L158" s="156"/>
      <c r="M158" s="156"/>
      <c r="N158" s="156"/>
      <c r="O158" s="156"/>
      <c r="P158" s="156"/>
      <c r="Q158" s="156"/>
      <c r="R158" s="156"/>
      <c r="S158" s="156"/>
      <c r="T158" s="156"/>
    </row>
    <row r="159" ht="26.25" customHeight="1">
      <c r="A159" s="167"/>
      <c r="B159" s="174"/>
      <c r="C159" s="174"/>
      <c r="D159" s="175"/>
      <c r="E159" s="156"/>
      <c r="F159" s="156"/>
      <c r="G159" s="156"/>
      <c r="H159" s="174"/>
      <c r="I159" s="174"/>
      <c r="J159" s="174"/>
      <c r="K159" s="156"/>
      <c r="L159" s="156"/>
      <c r="M159" s="156"/>
      <c r="N159" s="156"/>
      <c r="O159" s="156"/>
      <c r="P159" s="156"/>
      <c r="Q159" s="156"/>
      <c r="R159" s="156"/>
      <c r="S159" s="156"/>
      <c r="T159" s="156"/>
    </row>
    <row r="160" ht="26.25" customHeight="1">
      <c r="A160" s="167"/>
      <c r="B160" s="174"/>
      <c r="C160" s="174"/>
      <c r="D160" s="175"/>
      <c r="E160" s="156"/>
      <c r="F160" s="156"/>
      <c r="G160" s="156"/>
      <c r="H160" s="174"/>
      <c r="I160" s="174"/>
      <c r="J160" s="174"/>
      <c r="K160" s="156"/>
      <c r="L160" s="156"/>
      <c r="M160" s="156"/>
      <c r="N160" s="156"/>
      <c r="O160" s="156"/>
      <c r="P160" s="156"/>
      <c r="Q160" s="156"/>
      <c r="R160" s="156"/>
      <c r="S160" s="156"/>
      <c r="T160" s="156"/>
    </row>
    <row r="161" ht="26.25" customHeight="1">
      <c r="A161" s="167"/>
      <c r="B161" s="174"/>
      <c r="C161" s="174"/>
      <c r="D161" s="175"/>
      <c r="E161" s="156"/>
      <c r="F161" s="156"/>
      <c r="G161" s="156"/>
      <c r="H161" s="174"/>
      <c r="I161" s="174"/>
      <c r="J161" s="174"/>
      <c r="K161" s="156"/>
      <c r="L161" s="156"/>
      <c r="M161" s="156"/>
      <c r="N161" s="156"/>
      <c r="O161" s="156"/>
      <c r="P161" s="156"/>
      <c r="Q161" s="156"/>
      <c r="R161" s="156"/>
      <c r="S161" s="156"/>
      <c r="T161" s="156"/>
    </row>
    <row r="162" ht="26.25" customHeight="1">
      <c r="A162" s="167"/>
      <c r="B162" s="174"/>
      <c r="C162" s="174"/>
      <c r="D162" s="175"/>
      <c r="E162" s="156"/>
      <c r="F162" s="156"/>
      <c r="G162" s="156"/>
      <c r="H162" s="174"/>
      <c r="I162" s="174"/>
      <c r="J162" s="174"/>
      <c r="K162" s="156"/>
      <c r="L162" s="156"/>
      <c r="M162" s="156"/>
      <c r="N162" s="156"/>
      <c r="O162" s="156"/>
      <c r="P162" s="156"/>
      <c r="Q162" s="156"/>
      <c r="R162" s="156"/>
      <c r="S162" s="156"/>
      <c r="T162" s="156"/>
    </row>
    <row r="163" ht="26.25" customHeight="1">
      <c r="A163" s="167"/>
      <c r="B163" s="174"/>
      <c r="C163" s="174"/>
      <c r="D163" s="175"/>
      <c r="E163" s="156"/>
      <c r="F163" s="156"/>
      <c r="G163" s="156"/>
      <c r="H163" s="174"/>
      <c r="I163" s="174"/>
      <c r="J163" s="174"/>
      <c r="K163" s="156"/>
      <c r="L163" s="156"/>
      <c r="M163" s="156"/>
      <c r="N163" s="156"/>
      <c r="O163" s="156"/>
      <c r="P163" s="156"/>
      <c r="Q163" s="156"/>
      <c r="R163" s="156"/>
      <c r="S163" s="156"/>
      <c r="T163" s="156"/>
    </row>
    <row r="164" ht="26.25" customHeight="1">
      <c r="A164" s="167"/>
      <c r="B164" s="174"/>
      <c r="C164" s="174"/>
      <c r="D164" s="175"/>
      <c r="E164" s="156"/>
      <c r="F164" s="156"/>
      <c r="G164" s="156"/>
      <c r="H164" s="174"/>
      <c r="I164" s="174"/>
      <c r="J164" s="174"/>
      <c r="K164" s="156"/>
      <c r="L164" s="156"/>
      <c r="M164" s="156"/>
      <c r="N164" s="156"/>
      <c r="O164" s="156"/>
      <c r="P164" s="156"/>
      <c r="Q164" s="156"/>
      <c r="R164" s="156"/>
      <c r="S164" s="156"/>
      <c r="T164" s="156"/>
    </row>
    <row r="165" ht="26.25" customHeight="1">
      <c r="A165" s="167"/>
      <c r="B165" s="174"/>
      <c r="C165" s="174"/>
      <c r="D165" s="175"/>
      <c r="E165" s="156"/>
      <c r="F165" s="156"/>
      <c r="G165" s="156"/>
      <c r="H165" s="174"/>
      <c r="I165" s="174"/>
      <c r="J165" s="174"/>
      <c r="K165" s="156"/>
      <c r="L165" s="156"/>
      <c r="M165" s="156"/>
      <c r="N165" s="156"/>
      <c r="O165" s="156"/>
      <c r="P165" s="156"/>
      <c r="Q165" s="156"/>
      <c r="R165" s="156"/>
      <c r="S165" s="156"/>
      <c r="T165" s="156"/>
    </row>
    <row r="166" ht="26.25" customHeight="1">
      <c r="A166" s="167"/>
      <c r="B166" s="174"/>
      <c r="C166" s="174"/>
      <c r="D166" s="175"/>
      <c r="E166" s="156"/>
      <c r="F166" s="156"/>
      <c r="G166" s="156"/>
      <c r="H166" s="174"/>
      <c r="I166" s="174"/>
      <c r="J166" s="174"/>
      <c r="K166" s="156"/>
      <c r="L166" s="156"/>
      <c r="M166" s="156"/>
      <c r="N166" s="156"/>
      <c r="O166" s="156"/>
      <c r="P166" s="156"/>
      <c r="Q166" s="156"/>
      <c r="R166" s="156"/>
      <c r="S166" s="156"/>
      <c r="T166" s="156"/>
    </row>
    <row r="167" ht="26.25" customHeight="1">
      <c r="A167" s="167"/>
      <c r="B167" s="174"/>
      <c r="C167" s="174"/>
      <c r="D167" s="175"/>
      <c r="E167" s="156"/>
      <c r="F167" s="156"/>
      <c r="G167" s="156"/>
      <c r="H167" s="174"/>
      <c r="I167" s="174"/>
      <c r="J167" s="174"/>
      <c r="K167" s="156"/>
      <c r="L167" s="156"/>
      <c r="M167" s="156"/>
      <c r="N167" s="156"/>
      <c r="O167" s="156"/>
      <c r="P167" s="156"/>
      <c r="Q167" s="156"/>
      <c r="R167" s="156"/>
      <c r="S167" s="156"/>
      <c r="T167" s="156"/>
    </row>
    <row r="168" ht="26.25" customHeight="1">
      <c r="A168" s="167"/>
      <c r="B168" s="174"/>
      <c r="C168" s="174"/>
      <c r="D168" s="175"/>
      <c r="E168" s="156"/>
      <c r="F168" s="156"/>
      <c r="G168" s="156"/>
      <c r="H168" s="174"/>
      <c r="I168" s="174"/>
      <c r="J168" s="174"/>
      <c r="K168" s="156"/>
      <c r="L168" s="156"/>
      <c r="M168" s="156"/>
      <c r="N168" s="156"/>
      <c r="O168" s="156"/>
      <c r="P168" s="156"/>
      <c r="Q168" s="156"/>
      <c r="R168" s="156"/>
      <c r="S168" s="156"/>
      <c r="T168" s="156"/>
    </row>
    <row r="169" ht="26.25" customHeight="1">
      <c r="A169" s="167"/>
      <c r="B169" s="174"/>
      <c r="C169" s="174"/>
      <c r="D169" s="175"/>
      <c r="E169" s="156"/>
      <c r="F169" s="156"/>
      <c r="G169" s="156"/>
      <c r="H169" s="174"/>
      <c r="I169" s="174"/>
      <c r="J169" s="174"/>
      <c r="K169" s="156"/>
      <c r="L169" s="156"/>
      <c r="M169" s="156"/>
      <c r="N169" s="156"/>
      <c r="O169" s="156"/>
      <c r="P169" s="156"/>
      <c r="Q169" s="156"/>
      <c r="R169" s="156"/>
      <c r="S169" s="156"/>
      <c r="T169" s="156"/>
    </row>
    <row r="170" ht="26.25" customHeight="1">
      <c r="A170" s="167"/>
      <c r="B170" s="174"/>
      <c r="C170" s="174"/>
      <c r="D170" s="175"/>
      <c r="E170" s="156"/>
      <c r="F170" s="156"/>
      <c r="G170" s="156"/>
      <c r="H170" s="174"/>
      <c r="I170" s="174"/>
      <c r="J170" s="174"/>
      <c r="K170" s="156"/>
      <c r="L170" s="156"/>
      <c r="M170" s="156"/>
      <c r="N170" s="156"/>
      <c r="O170" s="156"/>
      <c r="P170" s="156"/>
      <c r="Q170" s="156"/>
      <c r="R170" s="156"/>
      <c r="S170" s="156"/>
      <c r="T170" s="156"/>
    </row>
    <row r="171" ht="26.25" customHeight="1">
      <c r="A171" s="167"/>
      <c r="B171" s="174"/>
      <c r="C171" s="174"/>
      <c r="D171" s="175"/>
      <c r="E171" s="156"/>
      <c r="F171" s="156"/>
      <c r="G171" s="156"/>
      <c r="H171" s="174"/>
      <c r="I171" s="174"/>
      <c r="J171" s="174"/>
      <c r="K171" s="156"/>
      <c r="L171" s="156"/>
      <c r="M171" s="156"/>
      <c r="N171" s="156"/>
      <c r="O171" s="156"/>
      <c r="P171" s="156"/>
      <c r="Q171" s="156"/>
      <c r="R171" s="156"/>
      <c r="S171" s="156"/>
      <c r="T171" s="156"/>
    </row>
    <row r="172" ht="26.25" customHeight="1">
      <c r="A172" s="167"/>
      <c r="B172" s="174"/>
      <c r="C172" s="174"/>
      <c r="D172" s="175"/>
      <c r="E172" s="156"/>
      <c r="F172" s="156"/>
      <c r="G172" s="156"/>
      <c r="H172" s="174"/>
      <c r="I172" s="174"/>
      <c r="J172" s="174"/>
      <c r="K172" s="156"/>
      <c r="L172" s="156"/>
      <c r="M172" s="156"/>
      <c r="N172" s="156"/>
      <c r="O172" s="156"/>
      <c r="P172" s="156"/>
      <c r="Q172" s="156"/>
      <c r="R172" s="156"/>
      <c r="S172" s="156"/>
      <c r="T172" s="156"/>
    </row>
    <row r="173" ht="26.25" customHeight="1">
      <c r="A173" s="167"/>
      <c r="B173" s="174"/>
      <c r="C173" s="174"/>
      <c r="D173" s="175"/>
      <c r="E173" s="156"/>
      <c r="F173" s="156"/>
      <c r="G173" s="156"/>
      <c r="H173" s="174"/>
      <c r="I173" s="174"/>
      <c r="J173" s="174"/>
      <c r="K173" s="156"/>
      <c r="L173" s="156"/>
      <c r="M173" s="156"/>
      <c r="N173" s="156"/>
      <c r="O173" s="156"/>
      <c r="P173" s="156"/>
      <c r="Q173" s="156"/>
      <c r="R173" s="156"/>
      <c r="S173" s="156"/>
      <c r="T173" s="156"/>
    </row>
    <row r="174" ht="26.25" customHeight="1">
      <c r="A174" s="167"/>
      <c r="B174" s="174"/>
      <c r="C174" s="174"/>
      <c r="D174" s="175"/>
      <c r="E174" s="156"/>
      <c r="F174" s="156"/>
      <c r="G174" s="156"/>
      <c r="H174" s="174"/>
      <c r="I174" s="174"/>
      <c r="J174" s="174"/>
      <c r="K174" s="156"/>
      <c r="L174" s="156"/>
      <c r="M174" s="156"/>
      <c r="N174" s="156"/>
      <c r="O174" s="156"/>
      <c r="P174" s="156"/>
      <c r="Q174" s="156"/>
      <c r="R174" s="156"/>
      <c r="S174" s="156"/>
      <c r="T174" s="156"/>
    </row>
    <row r="175" ht="26.25" customHeight="1">
      <c r="A175" s="167"/>
      <c r="B175" s="174"/>
      <c r="C175" s="174"/>
      <c r="D175" s="175"/>
      <c r="E175" s="156"/>
      <c r="F175" s="156"/>
      <c r="G175" s="156"/>
      <c r="H175" s="174"/>
      <c r="I175" s="174"/>
      <c r="J175" s="174"/>
      <c r="K175" s="156"/>
      <c r="L175" s="156"/>
      <c r="M175" s="156"/>
      <c r="N175" s="156"/>
      <c r="O175" s="156"/>
      <c r="P175" s="156"/>
      <c r="Q175" s="156"/>
      <c r="R175" s="156"/>
      <c r="S175" s="156"/>
      <c r="T175" s="156"/>
    </row>
    <row r="176" ht="26.25" customHeight="1">
      <c r="A176" s="167"/>
      <c r="B176" s="174"/>
      <c r="C176" s="174"/>
      <c r="D176" s="175"/>
      <c r="E176" s="156"/>
      <c r="F176" s="156"/>
      <c r="G176" s="156"/>
      <c r="H176" s="174"/>
      <c r="I176" s="174"/>
      <c r="J176" s="174"/>
      <c r="K176" s="156"/>
      <c r="L176" s="156"/>
      <c r="M176" s="156"/>
      <c r="N176" s="156"/>
      <c r="O176" s="156"/>
      <c r="P176" s="156"/>
      <c r="Q176" s="156"/>
      <c r="R176" s="156"/>
      <c r="S176" s="156"/>
      <c r="T176" s="156"/>
    </row>
    <row r="177" ht="26.25" customHeight="1">
      <c r="A177" s="167"/>
      <c r="B177" s="174"/>
      <c r="C177" s="174"/>
      <c r="D177" s="175"/>
      <c r="E177" s="156"/>
      <c r="F177" s="156"/>
      <c r="G177" s="156"/>
      <c r="H177" s="174"/>
      <c r="I177" s="174"/>
      <c r="J177" s="174"/>
      <c r="K177" s="156"/>
      <c r="L177" s="156"/>
      <c r="M177" s="156"/>
      <c r="N177" s="156"/>
      <c r="O177" s="156"/>
      <c r="P177" s="156"/>
      <c r="Q177" s="156"/>
      <c r="R177" s="156"/>
      <c r="S177" s="156"/>
      <c r="T177" s="156"/>
    </row>
    <row r="178" ht="26.25" customHeight="1">
      <c r="A178" s="167"/>
      <c r="B178" s="174"/>
      <c r="C178" s="174"/>
      <c r="D178" s="175"/>
      <c r="E178" s="156"/>
      <c r="F178" s="156"/>
      <c r="G178" s="156"/>
      <c r="H178" s="174"/>
      <c r="I178" s="174"/>
      <c r="J178" s="174"/>
      <c r="K178" s="156"/>
      <c r="L178" s="156"/>
      <c r="M178" s="156"/>
      <c r="N178" s="156"/>
      <c r="O178" s="156"/>
      <c r="P178" s="156"/>
      <c r="Q178" s="156"/>
      <c r="R178" s="156"/>
      <c r="S178" s="156"/>
      <c r="T178" s="156"/>
    </row>
    <row r="179" ht="26.25" customHeight="1">
      <c r="A179" s="167"/>
      <c r="B179" s="174"/>
      <c r="C179" s="174"/>
      <c r="D179" s="175"/>
      <c r="E179" s="156"/>
      <c r="F179" s="156"/>
      <c r="G179" s="156"/>
      <c r="H179" s="174"/>
      <c r="I179" s="174"/>
      <c r="J179" s="174"/>
      <c r="K179" s="156"/>
      <c r="L179" s="156"/>
      <c r="M179" s="156"/>
      <c r="N179" s="156"/>
      <c r="O179" s="156"/>
      <c r="P179" s="156"/>
      <c r="Q179" s="156"/>
      <c r="R179" s="156"/>
      <c r="S179" s="156"/>
      <c r="T179" s="156"/>
    </row>
    <row r="180" ht="26.25" customHeight="1">
      <c r="A180" s="167"/>
      <c r="B180" s="174"/>
      <c r="C180" s="174"/>
      <c r="D180" s="175"/>
      <c r="E180" s="156"/>
      <c r="F180" s="156"/>
      <c r="G180" s="156"/>
      <c r="H180" s="174"/>
      <c r="I180" s="174"/>
      <c r="J180" s="174"/>
      <c r="K180" s="156"/>
      <c r="L180" s="156"/>
      <c r="M180" s="156"/>
      <c r="N180" s="156"/>
      <c r="O180" s="156"/>
      <c r="P180" s="156"/>
      <c r="Q180" s="156"/>
      <c r="R180" s="156"/>
      <c r="S180" s="156"/>
      <c r="T180" s="156"/>
    </row>
    <row r="181" ht="26.25" customHeight="1">
      <c r="A181" s="167"/>
      <c r="B181" s="174"/>
      <c r="C181" s="174"/>
      <c r="D181" s="175"/>
      <c r="E181" s="156"/>
      <c r="F181" s="156"/>
      <c r="G181" s="156"/>
      <c r="H181" s="174"/>
      <c r="I181" s="174"/>
      <c r="J181" s="174"/>
      <c r="K181" s="156"/>
      <c r="L181" s="156"/>
      <c r="M181" s="156"/>
      <c r="N181" s="156"/>
      <c r="O181" s="156"/>
      <c r="P181" s="156"/>
      <c r="Q181" s="156"/>
      <c r="R181" s="156"/>
      <c r="S181" s="156"/>
      <c r="T181" s="156"/>
    </row>
    <row r="182" ht="26.25" customHeight="1">
      <c r="A182" s="167"/>
      <c r="B182" s="174"/>
      <c r="C182" s="174"/>
      <c r="D182" s="175"/>
      <c r="E182" s="156"/>
      <c r="F182" s="156"/>
      <c r="G182" s="156"/>
      <c r="H182" s="174"/>
      <c r="I182" s="174"/>
      <c r="J182" s="174"/>
      <c r="K182" s="156"/>
      <c r="L182" s="156"/>
      <c r="M182" s="156"/>
      <c r="N182" s="156"/>
      <c r="O182" s="156"/>
      <c r="P182" s="156"/>
      <c r="Q182" s="156"/>
      <c r="R182" s="156"/>
      <c r="S182" s="156"/>
      <c r="T182" s="156"/>
    </row>
    <row r="183" ht="26.25" customHeight="1">
      <c r="A183" s="167"/>
      <c r="B183" s="174"/>
      <c r="C183" s="174"/>
      <c r="D183" s="175"/>
      <c r="E183" s="156"/>
      <c r="F183" s="156"/>
      <c r="G183" s="156"/>
      <c r="H183" s="174"/>
      <c r="I183" s="174"/>
      <c r="J183" s="174"/>
      <c r="K183" s="156"/>
      <c r="L183" s="156"/>
      <c r="M183" s="156"/>
      <c r="N183" s="156"/>
      <c r="O183" s="156"/>
      <c r="P183" s="156"/>
      <c r="Q183" s="156"/>
      <c r="R183" s="156"/>
      <c r="S183" s="156"/>
      <c r="T183" s="156"/>
    </row>
    <row r="184" ht="26.25" customHeight="1">
      <c r="A184" s="167"/>
      <c r="B184" s="174"/>
      <c r="C184" s="174"/>
      <c r="D184" s="175"/>
      <c r="E184" s="156"/>
      <c r="F184" s="156"/>
      <c r="G184" s="156"/>
      <c r="H184" s="174"/>
      <c r="I184" s="174"/>
      <c r="J184" s="174"/>
      <c r="K184" s="156"/>
      <c r="L184" s="156"/>
      <c r="M184" s="156"/>
      <c r="N184" s="156"/>
      <c r="O184" s="156"/>
      <c r="P184" s="156"/>
      <c r="Q184" s="156"/>
      <c r="R184" s="156"/>
      <c r="S184" s="156"/>
      <c r="T184" s="156"/>
    </row>
    <row r="185" ht="26.25" customHeight="1">
      <c r="A185" s="167"/>
      <c r="B185" s="174"/>
      <c r="C185" s="174"/>
      <c r="D185" s="175"/>
      <c r="E185" s="156"/>
      <c r="F185" s="156"/>
      <c r="G185" s="156"/>
      <c r="H185" s="174"/>
      <c r="I185" s="174"/>
      <c r="J185" s="174"/>
      <c r="K185" s="156"/>
      <c r="L185" s="156"/>
      <c r="M185" s="156"/>
      <c r="N185" s="156"/>
      <c r="O185" s="156"/>
      <c r="P185" s="156"/>
      <c r="Q185" s="156"/>
      <c r="R185" s="156"/>
      <c r="S185" s="156"/>
      <c r="T185" s="156"/>
    </row>
    <row r="186" ht="26.25" customHeight="1">
      <c r="A186" s="167"/>
      <c r="B186" s="174"/>
      <c r="C186" s="174"/>
      <c r="D186" s="175"/>
      <c r="E186" s="156"/>
      <c r="F186" s="156"/>
      <c r="G186" s="156"/>
      <c r="H186" s="174"/>
      <c r="I186" s="174"/>
      <c r="J186" s="174"/>
      <c r="K186" s="156"/>
      <c r="L186" s="156"/>
      <c r="M186" s="156"/>
      <c r="N186" s="156"/>
      <c r="O186" s="156"/>
      <c r="P186" s="156"/>
      <c r="Q186" s="156"/>
      <c r="R186" s="156"/>
      <c r="S186" s="156"/>
      <c r="T186" s="156"/>
    </row>
    <row r="187" ht="26.25" customHeight="1">
      <c r="A187" s="167"/>
      <c r="B187" s="174"/>
      <c r="C187" s="174"/>
      <c r="D187" s="175"/>
      <c r="E187" s="156"/>
      <c r="F187" s="156"/>
      <c r="G187" s="156"/>
      <c r="H187" s="174"/>
      <c r="I187" s="174"/>
      <c r="J187" s="174"/>
      <c r="K187" s="156"/>
      <c r="L187" s="156"/>
      <c r="M187" s="156"/>
      <c r="N187" s="156"/>
      <c r="O187" s="156"/>
      <c r="P187" s="156"/>
      <c r="Q187" s="156"/>
      <c r="R187" s="156"/>
      <c r="S187" s="156"/>
      <c r="T187" s="156"/>
    </row>
    <row r="188" ht="26.25" customHeight="1">
      <c r="A188" s="167"/>
      <c r="B188" s="174"/>
      <c r="C188" s="174"/>
      <c r="D188" s="175"/>
      <c r="E188" s="156"/>
      <c r="F188" s="156"/>
      <c r="G188" s="156"/>
      <c r="H188" s="174"/>
      <c r="I188" s="174"/>
      <c r="J188" s="174"/>
      <c r="K188" s="156"/>
      <c r="L188" s="156"/>
      <c r="M188" s="156"/>
      <c r="N188" s="156"/>
      <c r="O188" s="156"/>
      <c r="P188" s="156"/>
      <c r="Q188" s="156"/>
      <c r="R188" s="156"/>
      <c r="S188" s="156"/>
      <c r="T188" s="156"/>
    </row>
    <row r="189" ht="26.25" customHeight="1">
      <c r="A189" s="167"/>
      <c r="B189" s="174"/>
      <c r="C189" s="174"/>
      <c r="D189" s="175"/>
      <c r="E189" s="156"/>
      <c r="F189" s="156"/>
      <c r="G189" s="156"/>
      <c r="H189" s="174"/>
      <c r="I189" s="174"/>
      <c r="J189" s="174"/>
      <c r="K189" s="156"/>
      <c r="L189" s="156"/>
      <c r="M189" s="156"/>
      <c r="N189" s="156"/>
      <c r="O189" s="156"/>
      <c r="P189" s="156"/>
      <c r="Q189" s="156"/>
      <c r="R189" s="156"/>
      <c r="S189" s="156"/>
      <c r="T189" s="156"/>
    </row>
    <row r="190" ht="26.25" customHeight="1">
      <c r="A190" s="167"/>
      <c r="B190" s="174"/>
      <c r="C190" s="174"/>
      <c r="D190" s="175"/>
      <c r="E190" s="156"/>
      <c r="F190" s="156"/>
      <c r="G190" s="156"/>
      <c r="H190" s="174"/>
      <c r="I190" s="174"/>
      <c r="J190" s="174"/>
      <c r="K190" s="156"/>
      <c r="L190" s="156"/>
      <c r="M190" s="156"/>
      <c r="N190" s="156"/>
      <c r="O190" s="156"/>
      <c r="P190" s="156"/>
      <c r="Q190" s="156"/>
      <c r="R190" s="156"/>
      <c r="S190" s="156"/>
      <c r="T190" s="156"/>
    </row>
    <row r="191" ht="26.25" customHeight="1">
      <c r="A191" s="167"/>
      <c r="B191" s="174"/>
      <c r="C191" s="174"/>
      <c r="D191" s="175"/>
      <c r="E191" s="156"/>
      <c r="F191" s="156"/>
      <c r="G191" s="156"/>
      <c r="H191" s="174"/>
      <c r="I191" s="174"/>
      <c r="J191" s="174"/>
      <c r="K191" s="156"/>
      <c r="L191" s="156"/>
      <c r="M191" s="156"/>
      <c r="N191" s="156"/>
      <c r="O191" s="156"/>
      <c r="P191" s="156"/>
      <c r="Q191" s="156"/>
      <c r="R191" s="156"/>
      <c r="S191" s="156"/>
      <c r="T191" s="156"/>
    </row>
    <row r="192" ht="26.25" customHeight="1">
      <c r="A192" s="167"/>
      <c r="B192" s="174"/>
      <c r="C192" s="174"/>
      <c r="D192" s="175"/>
      <c r="E192" s="156"/>
      <c r="F192" s="156"/>
      <c r="G192" s="156"/>
      <c r="H192" s="174"/>
      <c r="I192" s="174"/>
      <c r="J192" s="174"/>
      <c r="K192" s="156"/>
      <c r="L192" s="156"/>
      <c r="M192" s="156"/>
      <c r="N192" s="156"/>
      <c r="O192" s="156"/>
      <c r="P192" s="156"/>
      <c r="Q192" s="156"/>
      <c r="R192" s="156"/>
      <c r="S192" s="156"/>
      <c r="T192" s="156"/>
    </row>
    <row r="193" ht="26.25" customHeight="1">
      <c r="A193" s="167"/>
      <c r="B193" s="174"/>
      <c r="C193" s="174"/>
      <c r="D193" s="175"/>
      <c r="E193" s="156"/>
      <c r="F193" s="156"/>
      <c r="G193" s="156"/>
      <c r="H193" s="174"/>
      <c r="I193" s="174"/>
      <c r="J193" s="174"/>
      <c r="K193" s="156"/>
      <c r="L193" s="156"/>
      <c r="M193" s="156"/>
      <c r="N193" s="156"/>
      <c r="O193" s="156"/>
      <c r="P193" s="156"/>
      <c r="Q193" s="156"/>
      <c r="R193" s="156"/>
      <c r="S193" s="156"/>
      <c r="T193" s="156"/>
    </row>
    <row r="194" ht="26.25" customHeight="1">
      <c r="A194" s="167"/>
      <c r="B194" s="174"/>
      <c r="C194" s="174"/>
      <c r="D194" s="175"/>
      <c r="E194" s="156"/>
      <c r="F194" s="156"/>
      <c r="G194" s="156"/>
      <c r="H194" s="174"/>
      <c r="I194" s="174"/>
      <c r="J194" s="174"/>
      <c r="K194" s="156"/>
      <c r="L194" s="156"/>
      <c r="M194" s="156"/>
      <c r="N194" s="156"/>
      <c r="O194" s="156"/>
      <c r="P194" s="156"/>
      <c r="Q194" s="156"/>
      <c r="R194" s="156"/>
      <c r="S194" s="156"/>
      <c r="T194" s="156"/>
    </row>
    <row r="195" ht="26.25" customHeight="1">
      <c r="A195" s="167"/>
      <c r="B195" s="174"/>
      <c r="C195" s="174"/>
      <c r="D195" s="175"/>
      <c r="E195" s="156"/>
      <c r="F195" s="156"/>
      <c r="G195" s="156"/>
      <c r="H195" s="174"/>
      <c r="I195" s="174"/>
      <c r="J195" s="174"/>
      <c r="K195" s="156"/>
      <c r="L195" s="156"/>
      <c r="M195" s="156"/>
      <c r="N195" s="156"/>
      <c r="O195" s="156"/>
      <c r="P195" s="156"/>
      <c r="Q195" s="156"/>
      <c r="R195" s="156"/>
      <c r="S195" s="156"/>
      <c r="T195" s="156"/>
    </row>
    <row r="196" ht="26.25" customHeight="1">
      <c r="A196" s="167"/>
      <c r="B196" s="174"/>
      <c r="C196" s="174"/>
      <c r="D196" s="175"/>
      <c r="E196" s="156"/>
      <c r="F196" s="156"/>
      <c r="G196" s="156"/>
      <c r="H196" s="174"/>
      <c r="I196" s="174"/>
      <c r="J196" s="174"/>
      <c r="K196" s="156"/>
      <c r="L196" s="156"/>
      <c r="M196" s="156"/>
      <c r="N196" s="156"/>
      <c r="O196" s="156"/>
      <c r="P196" s="156"/>
      <c r="Q196" s="156"/>
      <c r="R196" s="156"/>
      <c r="S196" s="156"/>
      <c r="T196" s="156"/>
    </row>
    <row r="197" ht="26.25" customHeight="1">
      <c r="A197" s="167"/>
      <c r="B197" s="174"/>
      <c r="C197" s="174"/>
      <c r="D197" s="175"/>
      <c r="E197" s="156"/>
      <c r="F197" s="156"/>
      <c r="G197" s="156"/>
      <c r="H197" s="174"/>
      <c r="I197" s="174"/>
      <c r="J197" s="174"/>
      <c r="K197" s="156"/>
      <c r="L197" s="156"/>
      <c r="M197" s="156"/>
      <c r="N197" s="156"/>
      <c r="O197" s="156"/>
      <c r="P197" s="156"/>
      <c r="Q197" s="156"/>
      <c r="R197" s="156"/>
      <c r="S197" s="156"/>
      <c r="T197" s="156"/>
    </row>
    <row r="198" ht="26.25" customHeight="1">
      <c r="A198" s="167"/>
      <c r="B198" s="174"/>
      <c r="C198" s="174"/>
      <c r="D198" s="175"/>
      <c r="E198" s="156"/>
      <c r="F198" s="156"/>
      <c r="G198" s="156"/>
      <c r="H198" s="174"/>
      <c r="I198" s="174"/>
      <c r="J198" s="174"/>
      <c r="K198" s="156"/>
      <c r="L198" s="156"/>
      <c r="M198" s="156"/>
      <c r="N198" s="156"/>
      <c r="O198" s="156"/>
      <c r="P198" s="156"/>
      <c r="Q198" s="156"/>
      <c r="R198" s="156"/>
      <c r="S198" s="156"/>
      <c r="T198" s="156"/>
    </row>
    <row r="199" ht="26.25" customHeight="1">
      <c r="A199" s="167"/>
      <c r="B199" s="174"/>
      <c r="C199" s="174"/>
      <c r="D199" s="175"/>
      <c r="E199" s="156"/>
      <c r="F199" s="156"/>
      <c r="G199" s="156"/>
      <c r="H199" s="174"/>
      <c r="I199" s="174"/>
      <c r="J199" s="174"/>
      <c r="K199" s="156"/>
      <c r="L199" s="156"/>
      <c r="M199" s="156"/>
      <c r="N199" s="156"/>
      <c r="O199" s="156"/>
      <c r="P199" s="156"/>
      <c r="Q199" s="156"/>
      <c r="R199" s="156"/>
      <c r="S199" s="156"/>
      <c r="T199" s="156"/>
    </row>
    <row r="200" ht="26.25" customHeight="1">
      <c r="A200" s="167"/>
      <c r="B200" s="174"/>
      <c r="C200" s="174"/>
      <c r="D200" s="175"/>
      <c r="E200" s="156"/>
      <c r="F200" s="156"/>
      <c r="G200" s="156"/>
      <c r="H200" s="174"/>
      <c r="I200" s="174"/>
      <c r="J200" s="174"/>
      <c r="K200" s="156"/>
      <c r="L200" s="156"/>
      <c r="M200" s="156"/>
      <c r="N200" s="156"/>
      <c r="O200" s="156"/>
      <c r="P200" s="156"/>
      <c r="Q200" s="156"/>
      <c r="R200" s="156"/>
      <c r="S200" s="156"/>
      <c r="T200" s="156"/>
    </row>
    <row r="201" ht="26.25" customHeight="1">
      <c r="A201" s="167"/>
      <c r="B201" s="174"/>
      <c r="C201" s="174"/>
      <c r="D201" s="175"/>
      <c r="E201" s="156"/>
      <c r="F201" s="156"/>
      <c r="G201" s="156"/>
      <c r="H201" s="174"/>
      <c r="I201" s="174"/>
      <c r="J201" s="174"/>
      <c r="K201" s="156"/>
      <c r="L201" s="156"/>
      <c r="M201" s="156"/>
      <c r="N201" s="156"/>
      <c r="O201" s="156"/>
      <c r="P201" s="156"/>
      <c r="Q201" s="156"/>
      <c r="R201" s="156"/>
      <c r="S201" s="156"/>
      <c r="T201" s="156"/>
    </row>
    <row r="202" ht="26.25" customHeight="1">
      <c r="A202" s="167"/>
      <c r="B202" s="174"/>
      <c r="C202" s="174"/>
      <c r="D202" s="175"/>
      <c r="E202" s="156"/>
      <c r="F202" s="156"/>
      <c r="G202" s="156"/>
      <c r="H202" s="174"/>
      <c r="I202" s="174"/>
      <c r="J202" s="174"/>
      <c r="K202" s="156"/>
      <c r="L202" s="156"/>
      <c r="M202" s="156"/>
      <c r="N202" s="156"/>
      <c r="O202" s="156"/>
      <c r="P202" s="156"/>
      <c r="Q202" s="156"/>
      <c r="R202" s="156"/>
      <c r="S202" s="156"/>
      <c r="T202" s="156"/>
    </row>
    <row r="203" ht="26.25" customHeight="1">
      <c r="A203" s="167"/>
      <c r="B203" s="174"/>
      <c r="C203" s="174"/>
      <c r="D203" s="175"/>
      <c r="E203" s="156"/>
      <c r="F203" s="156"/>
      <c r="G203" s="156"/>
      <c r="H203" s="174"/>
      <c r="I203" s="174"/>
      <c r="J203" s="174"/>
      <c r="K203" s="156"/>
      <c r="L203" s="156"/>
      <c r="M203" s="156"/>
      <c r="N203" s="156"/>
      <c r="O203" s="156"/>
      <c r="P203" s="156"/>
      <c r="Q203" s="156"/>
      <c r="R203" s="156"/>
      <c r="S203" s="156"/>
      <c r="T203" s="156"/>
    </row>
    <row r="204" ht="26.25" customHeight="1">
      <c r="A204" s="167"/>
      <c r="B204" s="174"/>
      <c r="C204" s="174"/>
      <c r="D204" s="175"/>
      <c r="E204" s="156"/>
      <c r="F204" s="156"/>
      <c r="G204" s="156"/>
      <c r="H204" s="174"/>
      <c r="I204" s="174"/>
      <c r="J204" s="174"/>
      <c r="K204" s="156"/>
      <c r="L204" s="156"/>
      <c r="M204" s="156"/>
      <c r="N204" s="156"/>
      <c r="O204" s="156"/>
      <c r="P204" s="156"/>
      <c r="Q204" s="156"/>
      <c r="R204" s="156"/>
      <c r="S204" s="156"/>
      <c r="T204" s="156"/>
    </row>
    <row r="205" ht="26.25" customHeight="1">
      <c r="A205" s="167"/>
      <c r="B205" s="174"/>
      <c r="C205" s="174"/>
      <c r="D205" s="175"/>
      <c r="E205" s="156"/>
      <c r="F205" s="156"/>
      <c r="G205" s="156"/>
      <c r="H205" s="174"/>
      <c r="I205" s="174"/>
      <c r="J205" s="174"/>
      <c r="K205" s="156"/>
      <c r="L205" s="156"/>
      <c r="M205" s="156"/>
      <c r="N205" s="156"/>
      <c r="O205" s="156"/>
      <c r="P205" s="156"/>
      <c r="Q205" s="156"/>
      <c r="R205" s="156"/>
      <c r="S205" s="156"/>
      <c r="T205" s="156"/>
    </row>
    <row r="206" ht="26.25" customHeight="1">
      <c r="A206" s="167"/>
      <c r="B206" s="174"/>
      <c r="C206" s="174"/>
      <c r="D206" s="175"/>
      <c r="E206" s="156"/>
      <c r="F206" s="156"/>
      <c r="G206" s="156"/>
      <c r="H206" s="174"/>
      <c r="I206" s="174"/>
      <c r="J206" s="174"/>
      <c r="K206" s="156"/>
      <c r="L206" s="156"/>
      <c r="M206" s="156"/>
      <c r="N206" s="156"/>
      <c r="O206" s="156"/>
      <c r="P206" s="156"/>
      <c r="Q206" s="156"/>
      <c r="R206" s="156"/>
      <c r="S206" s="156"/>
      <c r="T206" s="156"/>
    </row>
    <row r="207" ht="26.25" customHeight="1">
      <c r="A207" s="167"/>
      <c r="B207" s="174"/>
      <c r="C207" s="174"/>
      <c r="D207" s="175"/>
      <c r="E207" s="156"/>
      <c r="F207" s="156"/>
      <c r="G207" s="156"/>
      <c r="H207" s="174"/>
      <c r="I207" s="174"/>
      <c r="J207" s="174"/>
      <c r="K207" s="156"/>
      <c r="L207" s="156"/>
      <c r="M207" s="156"/>
      <c r="N207" s="156"/>
      <c r="O207" s="156"/>
      <c r="P207" s="156"/>
      <c r="Q207" s="156"/>
      <c r="R207" s="156"/>
      <c r="S207" s="156"/>
      <c r="T207" s="156"/>
    </row>
    <row r="208" ht="26.25" customHeight="1">
      <c r="A208" s="167"/>
      <c r="B208" s="174"/>
      <c r="C208" s="174"/>
      <c r="D208" s="175"/>
      <c r="E208" s="156"/>
      <c r="F208" s="156"/>
      <c r="G208" s="156"/>
      <c r="H208" s="174"/>
      <c r="I208" s="174"/>
      <c r="J208" s="174"/>
      <c r="K208" s="156"/>
      <c r="L208" s="156"/>
      <c r="M208" s="156"/>
      <c r="N208" s="156"/>
      <c r="O208" s="156"/>
      <c r="P208" s="156"/>
      <c r="Q208" s="156"/>
      <c r="R208" s="156"/>
      <c r="S208" s="156"/>
      <c r="T208" s="156"/>
    </row>
    <row r="209" ht="26.25" customHeight="1">
      <c r="A209" s="167"/>
      <c r="B209" s="174"/>
      <c r="C209" s="174"/>
      <c r="D209" s="175"/>
      <c r="E209" s="156"/>
      <c r="F209" s="156"/>
      <c r="G209" s="156"/>
      <c r="H209" s="174"/>
      <c r="I209" s="174"/>
      <c r="J209" s="174"/>
      <c r="K209" s="156"/>
      <c r="L209" s="156"/>
      <c r="M209" s="156"/>
      <c r="N209" s="156"/>
      <c r="O209" s="156"/>
      <c r="P209" s="156"/>
      <c r="Q209" s="156"/>
      <c r="R209" s="156"/>
      <c r="S209" s="156"/>
      <c r="T209" s="156"/>
    </row>
    <row r="210" ht="26.25" customHeight="1">
      <c r="A210" s="167"/>
      <c r="B210" s="174"/>
      <c r="C210" s="174"/>
      <c r="D210" s="175"/>
      <c r="E210" s="156"/>
      <c r="F210" s="156"/>
      <c r="G210" s="156"/>
      <c r="H210" s="174"/>
      <c r="I210" s="174"/>
      <c r="J210" s="174"/>
      <c r="K210" s="156"/>
      <c r="L210" s="156"/>
      <c r="M210" s="156"/>
      <c r="N210" s="156"/>
      <c r="O210" s="156"/>
      <c r="P210" s="156"/>
      <c r="Q210" s="156"/>
      <c r="R210" s="156"/>
      <c r="S210" s="156"/>
      <c r="T210" s="156"/>
    </row>
    <row r="211" ht="26.25" customHeight="1">
      <c r="A211" s="167"/>
      <c r="B211" s="174"/>
      <c r="C211" s="174"/>
      <c r="D211" s="175"/>
      <c r="E211" s="156"/>
      <c r="F211" s="156"/>
      <c r="G211" s="156"/>
      <c r="H211" s="174"/>
      <c r="I211" s="174"/>
      <c r="J211" s="174"/>
      <c r="K211" s="156"/>
      <c r="L211" s="156"/>
      <c r="M211" s="156"/>
      <c r="N211" s="156"/>
      <c r="O211" s="156"/>
      <c r="P211" s="156"/>
      <c r="Q211" s="156"/>
      <c r="R211" s="156"/>
      <c r="S211" s="156"/>
      <c r="T211" s="156"/>
    </row>
    <row r="212" ht="26.25" customHeight="1">
      <c r="A212" s="167"/>
      <c r="B212" s="174"/>
      <c r="C212" s="174"/>
      <c r="D212" s="175"/>
      <c r="E212" s="156"/>
      <c r="F212" s="156"/>
      <c r="G212" s="156"/>
      <c r="H212" s="174"/>
      <c r="I212" s="174"/>
      <c r="J212" s="174"/>
      <c r="K212" s="156"/>
      <c r="L212" s="156"/>
      <c r="M212" s="156"/>
      <c r="N212" s="156"/>
      <c r="O212" s="156"/>
      <c r="P212" s="156"/>
      <c r="Q212" s="156"/>
      <c r="R212" s="156"/>
      <c r="S212" s="156"/>
      <c r="T212" s="156"/>
    </row>
    <row r="213" ht="26.25" customHeight="1">
      <c r="A213" s="167"/>
      <c r="B213" s="174"/>
      <c r="C213" s="174"/>
      <c r="D213" s="175"/>
      <c r="E213" s="156"/>
      <c r="F213" s="156"/>
      <c r="G213" s="156"/>
      <c r="H213" s="174"/>
      <c r="I213" s="174"/>
      <c r="J213" s="174"/>
      <c r="K213" s="156"/>
      <c r="L213" s="156"/>
      <c r="M213" s="156"/>
      <c r="N213" s="156"/>
      <c r="O213" s="156"/>
      <c r="P213" s="156"/>
      <c r="Q213" s="156"/>
      <c r="R213" s="156"/>
      <c r="S213" s="156"/>
      <c r="T213" s="156"/>
    </row>
    <row r="214" ht="26.25" customHeight="1">
      <c r="A214" s="167"/>
      <c r="B214" s="174"/>
      <c r="C214" s="174"/>
      <c r="D214" s="175"/>
      <c r="E214" s="156"/>
      <c r="F214" s="156"/>
      <c r="G214" s="156"/>
      <c r="H214" s="174"/>
      <c r="I214" s="174"/>
      <c r="J214" s="174"/>
      <c r="K214" s="156"/>
      <c r="L214" s="156"/>
      <c r="M214" s="156"/>
      <c r="N214" s="156"/>
      <c r="O214" s="156"/>
      <c r="P214" s="156"/>
      <c r="Q214" s="156"/>
      <c r="R214" s="156"/>
      <c r="S214" s="156"/>
      <c r="T214" s="156"/>
    </row>
    <row r="215" ht="26.25" customHeight="1">
      <c r="A215" s="167"/>
      <c r="B215" s="174"/>
      <c r="C215" s="174"/>
      <c r="D215" s="175"/>
      <c r="E215" s="156"/>
      <c r="F215" s="156"/>
      <c r="G215" s="156"/>
      <c r="H215" s="174"/>
      <c r="I215" s="174"/>
      <c r="J215" s="174"/>
      <c r="K215" s="156"/>
      <c r="L215" s="156"/>
      <c r="M215" s="156"/>
      <c r="N215" s="156"/>
      <c r="O215" s="156"/>
      <c r="P215" s="156"/>
      <c r="Q215" s="156"/>
      <c r="R215" s="156"/>
      <c r="S215" s="156"/>
      <c r="T215" s="156"/>
    </row>
    <row r="216" ht="26.25" customHeight="1">
      <c r="A216" s="167"/>
      <c r="B216" s="174"/>
      <c r="C216" s="174"/>
      <c r="D216" s="175"/>
      <c r="E216" s="156"/>
      <c r="F216" s="156"/>
      <c r="G216" s="156"/>
      <c r="H216" s="174"/>
      <c r="I216" s="174"/>
      <c r="J216" s="174"/>
      <c r="K216" s="156"/>
      <c r="L216" s="156"/>
      <c r="M216" s="156"/>
      <c r="N216" s="156"/>
      <c r="O216" s="156"/>
      <c r="P216" s="156"/>
      <c r="Q216" s="156"/>
      <c r="R216" s="156"/>
      <c r="S216" s="156"/>
      <c r="T216" s="156"/>
    </row>
    <row r="217" ht="26.25" customHeight="1">
      <c r="A217" s="167"/>
      <c r="B217" s="174"/>
      <c r="C217" s="174"/>
      <c r="D217" s="175"/>
      <c r="E217" s="156"/>
      <c r="F217" s="156"/>
      <c r="G217" s="156"/>
      <c r="H217" s="174"/>
      <c r="I217" s="174"/>
      <c r="J217" s="174"/>
      <c r="K217" s="156"/>
      <c r="L217" s="156"/>
      <c r="M217" s="156"/>
      <c r="N217" s="156"/>
      <c r="O217" s="156"/>
      <c r="P217" s="156"/>
      <c r="Q217" s="156"/>
      <c r="R217" s="156"/>
      <c r="S217" s="156"/>
      <c r="T217" s="156"/>
    </row>
    <row r="218" ht="26.25" customHeight="1">
      <c r="A218" s="167"/>
      <c r="B218" s="174"/>
      <c r="C218" s="174"/>
      <c r="D218" s="175"/>
      <c r="E218" s="156"/>
      <c r="F218" s="156"/>
      <c r="G218" s="156"/>
      <c r="H218" s="174"/>
      <c r="I218" s="174"/>
      <c r="J218" s="174"/>
      <c r="K218" s="156"/>
      <c r="L218" s="156"/>
      <c r="M218" s="156"/>
      <c r="N218" s="156"/>
      <c r="O218" s="156"/>
      <c r="P218" s="156"/>
      <c r="Q218" s="156"/>
      <c r="R218" s="156"/>
      <c r="S218" s="156"/>
      <c r="T218" s="156"/>
    </row>
    <row r="219" ht="26.25" customHeight="1">
      <c r="A219" s="167"/>
      <c r="B219" s="174"/>
      <c r="C219" s="174"/>
      <c r="D219" s="175"/>
      <c r="E219" s="156"/>
      <c r="F219" s="156"/>
      <c r="G219" s="156"/>
      <c r="H219" s="174"/>
      <c r="I219" s="174"/>
      <c r="J219" s="174"/>
      <c r="K219" s="156"/>
      <c r="L219" s="156"/>
      <c r="M219" s="156"/>
      <c r="N219" s="156"/>
      <c r="O219" s="156"/>
      <c r="P219" s="156"/>
      <c r="Q219" s="156"/>
      <c r="R219" s="156"/>
      <c r="S219" s="156"/>
      <c r="T219" s="156"/>
    </row>
    <row r="220" ht="26.25" customHeight="1">
      <c r="A220" s="167"/>
      <c r="B220" s="174"/>
      <c r="C220" s="174"/>
      <c r="D220" s="175"/>
      <c r="E220" s="156"/>
      <c r="F220" s="156"/>
      <c r="G220" s="156"/>
      <c r="H220" s="174"/>
      <c r="I220" s="174"/>
      <c r="J220" s="174"/>
      <c r="K220" s="156"/>
      <c r="L220" s="156"/>
      <c r="M220" s="156"/>
      <c r="N220" s="156"/>
      <c r="O220" s="156"/>
      <c r="P220" s="156"/>
      <c r="Q220" s="156"/>
      <c r="R220" s="156"/>
      <c r="S220" s="156"/>
      <c r="T220" s="156"/>
    </row>
    <row r="221" ht="26.25" customHeight="1">
      <c r="A221" s="167"/>
      <c r="B221" s="174"/>
      <c r="C221" s="174"/>
      <c r="D221" s="175"/>
      <c r="E221" s="156"/>
      <c r="F221" s="156"/>
      <c r="G221" s="156"/>
      <c r="H221" s="174"/>
      <c r="I221" s="174"/>
      <c r="J221" s="174"/>
      <c r="K221" s="156"/>
      <c r="L221" s="156"/>
      <c r="M221" s="156"/>
      <c r="N221" s="156"/>
      <c r="O221" s="156"/>
      <c r="P221" s="156"/>
      <c r="Q221" s="156"/>
      <c r="R221" s="156"/>
      <c r="S221" s="156"/>
      <c r="T221" s="156"/>
    </row>
    <row r="222" ht="26.25" customHeight="1">
      <c r="A222" s="167"/>
      <c r="B222" s="174"/>
      <c r="C222" s="174"/>
      <c r="D222" s="175"/>
      <c r="E222" s="156"/>
      <c r="F222" s="156"/>
      <c r="G222" s="156"/>
      <c r="H222" s="174"/>
      <c r="I222" s="174"/>
      <c r="J222" s="174"/>
      <c r="K222" s="156"/>
      <c r="L222" s="156"/>
      <c r="M222" s="156"/>
      <c r="N222" s="156"/>
      <c r="O222" s="156"/>
      <c r="P222" s="156"/>
      <c r="Q222" s="156"/>
      <c r="R222" s="156"/>
      <c r="S222" s="156"/>
      <c r="T222" s="156"/>
    </row>
    <row r="223" ht="26.25" customHeight="1">
      <c r="A223" s="167"/>
      <c r="B223" s="174"/>
      <c r="C223" s="174"/>
      <c r="D223" s="175"/>
      <c r="E223" s="156"/>
      <c r="F223" s="156"/>
      <c r="G223" s="156"/>
      <c r="H223" s="174"/>
      <c r="I223" s="174"/>
      <c r="J223" s="174"/>
      <c r="K223" s="156"/>
      <c r="L223" s="156"/>
      <c r="M223" s="156"/>
      <c r="N223" s="156"/>
      <c r="O223" s="156"/>
      <c r="P223" s="156"/>
      <c r="Q223" s="156"/>
      <c r="R223" s="156"/>
      <c r="S223" s="156"/>
      <c r="T223" s="156"/>
    </row>
    <row r="224" ht="26.25" customHeight="1">
      <c r="A224" s="167"/>
      <c r="B224" s="174"/>
      <c r="C224" s="174"/>
      <c r="D224" s="175"/>
      <c r="E224" s="156"/>
      <c r="F224" s="156"/>
      <c r="G224" s="156"/>
      <c r="H224" s="174"/>
      <c r="I224" s="174"/>
      <c r="J224" s="174"/>
      <c r="K224" s="156"/>
      <c r="L224" s="156"/>
      <c r="M224" s="156"/>
      <c r="N224" s="156"/>
      <c r="O224" s="156"/>
      <c r="P224" s="156"/>
      <c r="Q224" s="156"/>
      <c r="R224" s="156"/>
      <c r="S224" s="156"/>
      <c r="T224" s="156"/>
    </row>
    <row r="225" ht="26.25" customHeight="1">
      <c r="A225" s="167"/>
      <c r="B225" s="174"/>
      <c r="C225" s="174"/>
      <c r="D225" s="175"/>
      <c r="E225" s="156"/>
      <c r="F225" s="156"/>
      <c r="G225" s="156"/>
      <c r="H225" s="174"/>
      <c r="I225" s="174"/>
      <c r="J225" s="174"/>
      <c r="K225" s="156"/>
      <c r="L225" s="156"/>
      <c r="M225" s="156"/>
      <c r="N225" s="156"/>
      <c r="O225" s="156"/>
      <c r="P225" s="156"/>
      <c r="Q225" s="156"/>
      <c r="R225" s="156"/>
      <c r="S225" s="156"/>
      <c r="T225" s="156"/>
    </row>
    <row r="226" ht="26.25" customHeight="1">
      <c r="A226" s="167"/>
      <c r="B226" s="174"/>
      <c r="C226" s="174"/>
      <c r="D226" s="175"/>
      <c r="E226" s="156"/>
      <c r="F226" s="156"/>
      <c r="G226" s="156"/>
      <c r="H226" s="174"/>
      <c r="I226" s="174"/>
      <c r="J226" s="174"/>
      <c r="K226" s="156"/>
      <c r="L226" s="156"/>
      <c r="M226" s="156"/>
      <c r="N226" s="156"/>
      <c r="O226" s="156"/>
      <c r="P226" s="156"/>
      <c r="Q226" s="156"/>
      <c r="R226" s="156"/>
      <c r="S226" s="156"/>
      <c r="T226" s="156"/>
    </row>
    <row r="227" ht="26.25" customHeight="1">
      <c r="A227" s="167"/>
      <c r="B227" s="174"/>
      <c r="C227" s="174"/>
      <c r="D227" s="175"/>
      <c r="E227" s="156"/>
      <c r="F227" s="156"/>
      <c r="G227" s="156"/>
      <c r="H227" s="174"/>
      <c r="I227" s="174"/>
      <c r="J227" s="174"/>
      <c r="K227" s="156"/>
      <c r="L227" s="156"/>
      <c r="M227" s="156"/>
      <c r="N227" s="156"/>
      <c r="O227" s="156"/>
      <c r="P227" s="156"/>
      <c r="Q227" s="156"/>
      <c r="R227" s="156"/>
      <c r="S227" s="156"/>
      <c r="T227" s="156"/>
    </row>
    <row r="228" ht="26.25" customHeight="1">
      <c r="A228" s="167"/>
      <c r="B228" s="174"/>
      <c r="C228" s="174"/>
      <c r="D228" s="175"/>
      <c r="E228" s="156"/>
      <c r="F228" s="156"/>
      <c r="G228" s="156"/>
      <c r="H228" s="174"/>
      <c r="I228" s="174"/>
      <c r="J228" s="174"/>
      <c r="K228" s="156"/>
      <c r="L228" s="156"/>
      <c r="M228" s="156"/>
      <c r="N228" s="156"/>
      <c r="O228" s="156"/>
      <c r="P228" s="156"/>
      <c r="Q228" s="156"/>
      <c r="R228" s="156"/>
      <c r="S228" s="156"/>
      <c r="T228" s="156"/>
    </row>
    <row r="229" ht="26.25" customHeight="1">
      <c r="A229" s="167"/>
      <c r="B229" s="174"/>
      <c r="C229" s="174"/>
      <c r="D229" s="175"/>
      <c r="E229" s="156"/>
      <c r="F229" s="156"/>
      <c r="G229" s="156"/>
      <c r="H229" s="174"/>
      <c r="I229" s="174"/>
      <c r="J229" s="174"/>
      <c r="K229" s="156"/>
      <c r="L229" s="156"/>
      <c r="M229" s="156"/>
      <c r="N229" s="156"/>
      <c r="O229" s="156"/>
      <c r="P229" s="156"/>
      <c r="Q229" s="156"/>
      <c r="R229" s="156"/>
      <c r="S229" s="156"/>
      <c r="T229" s="156"/>
    </row>
    <row r="230" ht="26.25" customHeight="1">
      <c r="A230" s="167"/>
      <c r="B230" s="174"/>
      <c r="C230" s="174"/>
      <c r="D230" s="175"/>
      <c r="E230" s="156"/>
      <c r="F230" s="156"/>
      <c r="G230" s="156"/>
      <c r="H230" s="174"/>
      <c r="I230" s="174"/>
      <c r="J230" s="174"/>
      <c r="K230" s="156"/>
      <c r="L230" s="156"/>
      <c r="M230" s="156"/>
      <c r="N230" s="156"/>
      <c r="O230" s="156"/>
      <c r="P230" s="156"/>
      <c r="Q230" s="156"/>
      <c r="R230" s="156"/>
      <c r="S230" s="156"/>
      <c r="T230" s="156"/>
    </row>
    <row r="231" ht="26.25" customHeight="1">
      <c r="A231" s="167"/>
      <c r="B231" s="174"/>
      <c r="C231" s="174"/>
      <c r="D231" s="175"/>
      <c r="E231" s="156"/>
      <c r="F231" s="156"/>
      <c r="G231" s="156"/>
      <c r="H231" s="174"/>
      <c r="I231" s="174"/>
      <c r="J231" s="174"/>
      <c r="K231" s="156"/>
      <c r="L231" s="156"/>
      <c r="M231" s="156"/>
      <c r="N231" s="156"/>
      <c r="O231" s="156"/>
      <c r="P231" s="156"/>
      <c r="Q231" s="156"/>
      <c r="R231" s="156"/>
      <c r="S231" s="156"/>
      <c r="T231" s="156"/>
    </row>
    <row r="232" ht="26.25" customHeight="1">
      <c r="A232" s="167"/>
      <c r="B232" s="174"/>
      <c r="C232" s="174"/>
      <c r="D232" s="175"/>
      <c r="E232" s="156"/>
      <c r="F232" s="156"/>
      <c r="G232" s="156"/>
      <c r="H232" s="174"/>
      <c r="I232" s="174"/>
      <c r="J232" s="174"/>
      <c r="K232" s="156"/>
      <c r="L232" s="156"/>
      <c r="M232" s="156"/>
      <c r="N232" s="156"/>
      <c r="O232" s="156"/>
      <c r="P232" s="156"/>
      <c r="Q232" s="156"/>
      <c r="R232" s="156"/>
      <c r="S232" s="156"/>
      <c r="T232" s="156"/>
    </row>
    <row r="233" ht="26.25" customHeight="1">
      <c r="A233" s="167"/>
      <c r="B233" s="174"/>
      <c r="C233" s="174"/>
      <c r="D233" s="175"/>
      <c r="E233" s="156"/>
      <c r="F233" s="156"/>
      <c r="G233" s="156"/>
      <c r="H233" s="174"/>
      <c r="I233" s="174"/>
      <c r="J233" s="174"/>
      <c r="K233" s="156"/>
      <c r="L233" s="156"/>
      <c r="M233" s="156"/>
      <c r="N233" s="156"/>
      <c r="O233" s="156"/>
      <c r="P233" s="156"/>
      <c r="Q233" s="156"/>
      <c r="R233" s="156"/>
      <c r="S233" s="156"/>
      <c r="T233" s="156"/>
    </row>
    <row r="234" ht="26.25" customHeight="1">
      <c r="A234" s="167"/>
      <c r="B234" s="174"/>
      <c r="C234" s="174"/>
      <c r="D234" s="175"/>
      <c r="E234" s="156"/>
      <c r="F234" s="156"/>
      <c r="G234" s="156"/>
      <c r="H234" s="174"/>
      <c r="I234" s="174"/>
      <c r="J234" s="174"/>
      <c r="K234" s="156"/>
      <c r="L234" s="156"/>
      <c r="M234" s="156"/>
      <c r="N234" s="156"/>
      <c r="O234" s="156"/>
      <c r="P234" s="156"/>
      <c r="Q234" s="156"/>
      <c r="R234" s="156"/>
      <c r="S234" s="156"/>
      <c r="T234" s="156"/>
    </row>
    <row r="235" ht="26.25" customHeight="1">
      <c r="A235" s="167"/>
      <c r="B235" s="174"/>
      <c r="C235" s="174"/>
      <c r="D235" s="175"/>
      <c r="E235" s="156"/>
      <c r="F235" s="156"/>
      <c r="G235" s="156"/>
      <c r="H235" s="174"/>
      <c r="I235" s="174"/>
      <c r="J235" s="174"/>
      <c r="K235" s="156"/>
      <c r="L235" s="156"/>
      <c r="M235" s="156"/>
      <c r="N235" s="156"/>
      <c r="O235" s="156"/>
      <c r="P235" s="156"/>
      <c r="Q235" s="156"/>
      <c r="R235" s="156"/>
      <c r="S235" s="156"/>
      <c r="T235" s="156"/>
    </row>
    <row r="236" ht="26.25" customHeight="1">
      <c r="A236" s="167"/>
      <c r="B236" s="174"/>
      <c r="C236" s="174"/>
      <c r="D236" s="175"/>
      <c r="E236" s="156"/>
      <c r="F236" s="156"/>
      <c r="G236" s="156"/>
      <c r="H236" s="174"/>
      <c r="I236" s="174"/>
      <c r="J236" s="174"/>
      <c r="K236" s="156"/>
      <c r="L236" s="156"/>
      <c r="M236" s="156"/>
      <c r="N236" s="156"/>
      <c r="O236" s="156"/>
      <c r="P236" s="156"/>
      <c r="Q236" s="156"/>
      <c r="R236" s="156"/>
      <c r="S236" s="156"/>
      <c r="T236" s="156"/>
    </row>
    <row r="237" ht="26.25" customHeight="1">
      <c r="A237" s="167"/>
      <c r="B237" s="174"/>
      <c r="C237" s="174"/>
      <c r="D237" s="175"/>
      <c r="E237" s="156"/>
      <c r="F237" s="156"/>
      <c r="G237" s="156"/>
      <c r="H237" s="174"/>
      <c r="I237" s="174"/>
      <c r="J237" s="174"/>
      <c r="K237" s="156"/>
      <c r="L237" s="156"/>
      <c r="M237" s="156"/>
      <c r="N237" s="156"/>
      <c r="O237" s="156"/>
      <c r="P237" s="156"/>
      <c r="Q237" s="156"/>
      <c r="R237" s="156"/>
      <c r="S237" s="156"/>
      <c r="T237" s="156"/>
    </row>
    <row r="238" ht="26.25" customHeight="1">
      <c r="A238" s="167"/>
      <c r="B238" s="174"/>
      <c r="C238" s="174"/>
      <c r="D238" s="175"/>
      <c r="E238" s="156"/>
      <c r="F238" s="156"/>
      <c r="G238" s="156"/>
      <c r="H238" s="174"/>
      <c r="I238" s="174"/>
      <c r="J238" s="174"/>
      <c r="K238" s="156"/>
      <c r="L238" s="156"/>
      <c r="M238" s="156"/>
      <c r="N238" s="156"/>
      <c r="O238" s="156"/>
      <c r="P238" s="156"/>
      <c r="Q238" s="156"/>
      <c r="R238" s="156"/>
      <c r="S238" s="156"/>
      <c r="T238" s="156"/>
    </row>
    <row r="239" ht="26.25" customHeight="1">
      <c r="A239" s="167"/>
      <c r="B239" s="174"/>
      <c r="C239" s="174"/>
      <c r="D239" s="175"/>
      <c r="E239" s="156"/>
      <c r="F239" s="156"/>
      <c r="G239" s="156"/>
      <c r="H239" s="174"/>
      <c r="I239" s="174"/>
      <c r="J239" s="174"/>
      <c r="K239" s="156"/>
      <c r="L239" s="156"/>
      <c r="M239" s="156"/>
      <c r="N239" s="156"/>
      <c r="O239" s="156"/>
      <c r="P239" s="156"/>
      <c r="Q239" s="156"/>
      <c r="R239" s="156"/>
      <c r="S239" s="156"/>
      <c r="T239" s="156"/>
    </row>
    <row r="240" ht="26.25" customHeight="1">
      <c r="A240" s="167"/>
      <c r="B240" s="174"/>
      <c r="C240" s="174"/>
      <c r="D240" s="175"/>
      <c r="E240" s="156"/>
      <c r="F240" s="156"/>
      <c r="G240" s="156"/>
      <c r="H240" s="174"/>
      <c r="I240" s="174"/>
      <c r="J240" s="174"/>
      <c r="K240" s="156"/>
      <c r="L240" s="156"/>
      <c r="M240" s="156"/>
      <c r="N240" s="156"/>
      <c r="O240" s="156"/>
      <c r="P240" s="156"/>
      <c r="Q240" s="156"/>
      <c r="R240" s="156"/>
      <c r="S240" s="156"/>
      <c r="T240" s="156"/>
    </row>
    <row r="241" ht="26.25" customHeight="1">
      <c r="A241" s="167"/>
      <c r="B241" s="174"/>
      <c r="C241" s="174"/>
      <c r="D241" s="175"/>
      <c r="E241" s="156"/>
      <c r="F241" s="156"/>
      <c r="G241" s="156"/>
      <c r="H241" s="174"/>
      <c r="I241" s="174"/>
      <c r="J241" s="174"/>
      <c r="K241" s="156"/>
      <c r="L241" s="156"/>
      <c r="M241" s="156"/>
      <c r="N241" s="156"/>
      <c r="O241" s="156"/>
      <c r="P241" s="156"/>
      <c r="Q241" s="156"/>
      <c r="R241" s="156"/>
      <c r="S241" s="156"/>
      <c r="T241" s="156"/>
    </row>
    <row r="242" ht="26.25" customHeight="1">
      <c r="A242" s="167"/>
      <c r="B242" s="174"/>
      <c r="C242" s="174"/>
      <c r="D242" s="175"/>
      <c r="E242" s="156"/>
      <c r="F242" s="156"/>
      <c r="G242" s="156"/>
      <c r="H242" s="174"/>
      <c r="I242" s="174"/>
      <c r="J242" s="174"/>
      <c r="K242" s="156"/>
      <c r="L242" s="156"/>
      <c r="M242" s="156"/>
      <c r="N242" s="156"/>
      <c r="O242" s="156"/>
      <c r="P242" s="156"/>
      <c r="Q242" s="156"/>
      <c r="R242" s="156"/>
      <c r="S242" s="156"/>
      <c r="T242" s="156"/>
    </row>
    <row r="243" ht="26.25" customHeight="1">
      <c r="A243" s="167"/>
      <c r="B243" s="174"/>
      <c r="C243" s="174"/>
      <c r="D243" s="175"/>
      <c r="E243" s="156"/>
      <c r="F243" s="156"/>
      <c r="G243" s="156"/>
      <c r="H243" s="174"/>
      <c r="I243" s="174"/>
      <c r="J243" s="174"/>
      <c r="K243" s="156"/>
      <c r="L243" s="156"/>
      <c r="M243" s="156"/>
      <c r="N243" s="156"/>
      <c r="O243" s="156"/>
      <c r="P243" s="156"/>
      <c r="Q243" s="156"/>
      <c r="R243" s="156"/>
      <c r="S243" s="156"/>
      <c r="T243" s="156"/>
    </row>
    <row r="244" ht="26.25" customHeight="1">
      <c r="A244" s="167"/>
      <c r="B244" s="174"/>
      <c r="C244" s="174"/>
      <c r="D244" s="175"/>
      <c r="E244" s="156"/>
      <c r="F244" s="156"/>
      <c r="G244" s="156"/>
      <c r="H244" s="174"/>
      <c r="I244" s="174"/>
      <c r="J244" s="174"/>
      <c r="K244" s="156"/>
      <c r="L244" s="156"/>
      <c r="M244" s="156"/>
      <c r="N244" s="156"/>
      <c r="O244" s="156"/>
      <c r="P244" s="156"/>
      <c r="Q244" s="156"/>
      <c r="R244" s="156"/>
      <c r="S244" s="156"/>
      <c r="T244" s="156"/>
    </row>
    <row r="245" ht="26.25" customHeight="1">
      <c r="A245" s="167"/>
      <c r="B245" s="174"/>
      <c r="C245" s="174"/>
      <c r="D245" s="175"/>
      <c r="E245" s="156"/>
      <c r="F245" s="156"/>
      <c r="G245" s="156"/>
      <c r="H245" s="174"/>
      <c r="I245" s="174"/>
      <c r="J245" s="174"/>
      <c r="K245" s="156"/>
      <c r="L245" s="156"/>
      <c r="M245" s="156"/>
      <c r="N245" s="156"/>
      <c r="O245" s="156"/>
      <c r="P245" s="156"/>
      <c r="Q245" s="156"/>
      <c r="R245" s="156"/>
      <c r="S245" s="156"/>
      <c r="T245" s="156"/>
    </row>
    <row r="246" ht="26.25" customHeight="1">
      <c r="A246" s="167"/>
      <c r="B246" s="174"/>
      <c r="C246" s="174"/>
      <c r="D246" s="175"/>
      <c r="E246" s="156"/>
      <c r="F246" s="156"/>
      <c r="G246" s="156"/>
      <c r="H246" s="174"/>
      <c r="I246" s="174"/>
      <c r="J246" s="174"/>
      <c r="K246" s="156"/>
      <c r="L246" s="156"/>
      <c r="M246" s="156"/>
      <c r="N246" s="156"/>
      <c r="O246" s="156"/>
      <c r="P246" s="156"/>
      <c r="Q246" s="156"/>
      <c r="R246" s="156"/>
      <c r="S246" s="156"/>
      <c r="T246" s="156"/>
    </row>
    <row r="247" ht="26.25" customHeight="1">
      <c r="A247" s="167"/>
      <c r="B247" s="174"/>
      <c r="C247" s="174"/>
      <c r="D247" s="175"/>
      <c r="E247" s="156"/>
      <c r="F247" s="156"/>
      <c r="G247" s="156"/>
      <c r="H247" s="174"/>
      <c r="I247" s="174"/>
      <c r="J247" s="174"/>
      <c r="K247" s="156"/>
      <c r="L247" s="156"/>
      <c r="M247" s="156"/>
      <c r="N247" s="156"/>
      <c r="O247" s="156"/>
      <c r="P247" s="156"/>
      <c r="Q247" s="156"/>
      <c r="R247" s="156"/>
      <c r="S247" s="156"/>
      <c r="T247" s="156"/>
    </row>
    <row r="248" ht="26.25" customHeight="1">
      <c r="A248" s="167"/>
      <c r="B248" s="174"/>
      <c r="C248" s="174"/>
      <c r="D248" s="175"/>
      <c r="E248" s="156"/>
      <c r="F248" s="156"/>
      <c r="G248" s="156"/>
      <c r="H248" s="174"/>
      <c r="I248" s="174"/>
      <c r="J248" s="174"/>
      <c r="K248" s="156"/>
      <c r="L248" s="156"/>
      <c r="M248" s="156"/>
      <c r="N248" s="156"/>
      <c r="O248" s="156"/>
      <c r="P248" s="156"/>
      <c r="Q248" s="156"/>
      <c r="R248" s="156"/>
      <c r="S248" s="156"/>
      <c r="T248" s="156"/>
    </row>
    <row r="249" ht="26.25" customHeight="1">
      <c r="A249" s="167"/>
      <c r="B249" s="174"/>
      <c r="C249" s="174"/>
      <c r="D249" s="175"/>
      <c r="E249" s="156"/>
      <c r="F249" s="156"/>
      <c r="G249" s="156"/>
      <c r="H249" s="174"/>
      <c r="I249" s="174"/>
      <c r="J249" s="174"/>
      <c r="K249" s="156"/>
      <c r="L249" s="156"/>
      <c r="M249" s="156"/>
      <c r="N249" s="156"/>
      <c r="O249" s="156"/>
      <c r="P249" s="156"/>
      <c r="Q249" s="156"/>
      <c r="R249" s="156"/>
      <c r="S249" s="156"/>
      <c r="T249" s="156"/>
    </row>
    <row r="250" ht="26.25" customHeight="1">
      <c r="A250" s="167"/>
      <c r="B250" s="174"/>
      <c r="C250" s="174"/>
      <c r="D250" s="175"/>
      <c r="E250" s="156"/>
      <c r="F250" s="156"/>
      <c r="G250" s="156"/>
      <c r="H250" s="174"/>
      <c r="I250" s="174"/>
      <c r="J250" s="174"/>
      <c r="K250" s="156"/>
      <c r="L250" s="156"/>
      <c r="M250" s="156"/>
      <c r="N250" s="156"/>
      <c r="O250" s="156"/>
      <c r="P250" s="156"/>
      <c r="Q250" s="156"/>
      <c r="R250" s="156"/>
      <c r="S250" s="156"/>
      <c r="T250" s="156"/>
    </row>
    <row r="251" ht="26.25" customHeight="1">
      <c r="A251" s="167"/>
      <c r="B251" s="174"/>
      <c r="C251" s="174"/>
      <c r="D251" s="175"/>
      <c r="E251" s="156"/>
      <c r="F251" s="156"/>
      <c r="G251" s="156"/>
      <c r="H251" s="174"/>
      <c r="I251" s="174"/>
      <c r="J251" s="174"/>
      <c r="K251" s="156"/>
      <c r="L251" s="156"/>
      <c r="M251" s="156"/>
      <c r="N251" s="156"/>
      <c r="O251" s="156"/>
      <c r="P251" s="156"/>
      <c r="Q251" s="156"/>
      <c r="R251" s="156"/>
      <c r="S251" s="156"/>
      <c r="T251" s="156"/>
    </row>
    <row r="252" ht="26.25" customHeight="1">
      <c r="A252" s="167"/>
      <c r="B252" s="174"/>
      <c r="C252" s="174"/>
      <c r="D252" s="175"/>
      <c r="E252" s="156"/>
      <c r="F252" s="156"/>
      <c r="G252" s="156"/>
      <c r="H252" s="174"/>
      <c r="I252" s="174"/>
      <c r="J252" s="174"/>
      <c r="K252" s="156"/>
      <c r="L252" s="156"/>
      <c r="M252" s="156"/>
      <c r="N252" s="156"/>
      <c r="O252" s="156"/>
      <c r="P252" s="156"/>
      <c r="Q252" s="156"/>
      <c r="R252" s="156"/>
      <c r="S252" s="156"/>
      <c r="T252" s="156"/>
    </row>
    <row r="253" ht="26.25" customHeight="1">
      <c r="A253" s="167"/>
      <c r="B253" s="174"/>
      <c r="C253" s="174"/>
      <c r="D253" s="175"/>
      <c r="E253" s="156"/>
      <c r="F253" s="156"/>
      <c r="G253" s="156"/>
      <c r="H253" s="174"/>
      <c r="I253" s="174"/>
      <c r="J253" s="174"/>
      <c r="K253" s="156"/>
      <c r="L253" s="156"/>
      <c r="M253" s="156"/>
      <c r="N253" s="156"/>
      <c r="O253" s="156"/>
      <c r="P253" s="156"/>
      <c r="Q253" s="156"/>
      <c r="R253" s="156"/>
      <c r="S253" s="156"/>
      <c r="T253" s="156"/>
    </row>
    <row r="254" ht="26.25" customHeight="1">
      <c r="A254" s="167"/>
      <c r="B254" s="174"/>
      <c r="C254" s="174"/>
      <c r="D254" s="175"/>
      <c r="E254" s="156"/>
      <c r="F254" s="156"/>
      <c r="G254" s="156"/>
      <c r="H254" s="174"/>
      <c r="I254" s="174"/>
      <c r="J254" s="174"/>
      <c r="K254" s="156"/>
      <c r="L254" s="156"/>
      <c r="M254" s="156"/>
      <c r="N254" s="156"/>
      <c r="O254" s="156"/>
      <c r="P254" s="156"/>
      <c r="Q254" s="156"/>
      <c r="R254" s="156"/>
      <c r="S254" s="156"/>
      <c r="T254" s="156"/>
    </row>
    <row r="255" ht="26.25" customHeight="1">
      <c r="A255" s="167"/>
      <c r="B255" s="174"/>
      <c r="C255" s="174"/>
      <c r="D255" s="175"/>
      <c r="E255" s="156"/>
      <c r="F255" s="156"/>
      <c r="G255" s="156"/>
      <c r="H255" s="174"/>
      <c r="I255" s="174"/>
      <c r="J255" s="174"/>
      <c r="K255" s="156"/>
      <c r="L255" s="156"/>
      <c r="M255" s="156"/>
      <c r="N255" s="156"/>
      <c r="O255" s="156"/>
      <c r="P255" s="156"/>
      <c r="Q255" s="156"/>
      <c r="R255" s="156"/>
      <c r="S255" s="156"/>
      <c r="T255" s="156"/>
    </row>
    <row r="256" ht="26.25" customHeight="1">
      <c r="A256" s="167"/>
      <c r="B256" s="174"/>
      <c r="C256" s="174"/>
      <c r="D256" s="175"/>
      <c r="E256" s="156"/>
      <c r="F256" s="156"/>
      <c r="G256" s="156"/>
      <c r="H256" s="174"/>
      <c r="I256" s="174"/>
      <c r="J256" s="174"/>
      <c r="K256" s="156"/>
      <c r="L256" s="156"/>
      <c r="M256" s="156"/>
      <c r="N256" s="156"/>
      <c r="O256" s="156"/>
      <c r="P256" s="156"/>
      <c r="Q256" s="156"/>
      <c r="R256" s="156"/>
      <c r="S256" s="156"/>
      <c r="T256" s="156"/>
    </row>
    <row r="257" ht="26.25" customHeight="1">
      <c r="A257" s="167"/>
      <c r="B257" s="174"/>
      <c r="C257" s="174"/>
      <c r="D257" s="175"/>
      <c r="E257" s="156"/>
      <c r="F257" s="156"/>
      <c r="G257" s="156"/>
      <c r="H257" s="174"/>
      <c r="I257" s="174"/>
      <c r="J257" s="174"/>
      <c r="K257" s="156"/>
      <c r="L257" s="156"/>
      <c r="M257" s="156"/>
      <c r="N257" s="156"/>
      <c r="O257" s="156"/>
      <c r="P257" s="156"/>
      <c r="Q257" s="156"/>
      <c r="R257" s="156"/>
      <c r="S257" s="156"/>
      <c r="T257" s="156"/>
    </row>
    <row r="258" ht="26.25" customHeight="1">
      <c r="A258" s="167"/>
      <c r="B258" s="174"/>
      <c r="C258" s="174"/>
      <c r="D258" s="175"/>
      <c r="E258" s="156"/>
      <c r="F258" s="156"/>
      <c r="G258" s="156"/>
      <c r="H258" s="174"/>
      <c r="I258" s="174"/>
      <c r="J258" s="174"/>
      <c r="K258" s="156"/>
      <c r="L258" s="156"/>
      <c r="M258" s="156"/>
      <c r="N258" s="156"/>
      <c r="O258" s="156"/>
      <c r="P258" s="156"/>
      <c r="Q258" s="156"/>
      <c r="R258" s="156"/>
      <c r="S258" s="156"/>
      <c r="T258" s="156"/>
    </row>
    <row r="259" ht="26.25" customHeight="1">
      <c r="A259" s="167"/>
      <c r="B259" s="174"/>
      <c r="C259" s="174"/>
      <c r="D259" s="175"/>
      <c r="E259" s="156"/>
      <c r="F259" s="156"/>
      <c r="G259" s="156"/>
      <c r="H259" s="174"/>
      <c r="I259" s="174"/>
      <c r="J259" s="174"/>
      <c r="K259" s="156"/>
      <c r="L259" s="156"/>
      <c r="M259" s="156"/>
      <c r="N259" s="156"/>
      <c r="O259" s="156"/>
      <c r="P259" s="156"/>
      <c r="Q259" s="156"/>
      <c r="R259" s="156"/>
      <c r="S259" s="156"/>
      <c r="T259" s="156"/>
    </row>
    <row r="260" ht="26.25" customHeight="1">
      <c r="A260" s="167"/>
      <c r="B260" s="174"/>
      <c r="C260" s="174"/>
      <c r="D260" s="175"/>
      <c r="E260" s="156"/>
      <c r="F260" s="156"/>
      <c r="G260" s="156"/>
      <c r="H260" s="174"/>
      <c r="I260" s="174"/>
      <c r="J260" s="174"/>
      <c r="K260" s="156"/>
      <c r="L260" s="156"/>
      <c r="M260" s="156"/>
      <c r="N260" s="156"/>
      <c r="O260" s="156"/>
      <c r="P260" s="156"/>
      <c r="Q260" s="156"/>
      <c r="R260" s="156"/>
      <c r="S260" s="156"/>
      <c r="T260" s="156"/>
    </row>
    <row r="261" ht="26.25" customHeight="1">
      <c r="A261" s="167"/>
      <c r="B261" s="174"/>
      <c r="C261" s="174"/>
      <c r="D261" s="175"/>
      <c r="E261" s="156"/>
      <c r="F261" s="156"/>
      <c r="G261" s="156"/>
      <c r="H261" s="174"/>
      <c r="I261" s="174"/>
      <c r="J261" s="174"/>
      <c r="K261" s="156"/>
      <c r="L261" s="156"/>
      <c r="M261" s="156"/>
      <c r="N261" s="156"/>
      <c r="O261" s="156"/>
      <c r="P261" s="156"/>
      <c r="Q261" s="156"/>
      <c r="R261" s="156"/>
      <c r="S261" s="156"/>
      <c r="T261" s="156"/>
    </row>
    <row r="262" ht="26.25" customHeight="1">
      <c r="A262" s="167"/>
      <c r="B262" s="174"/>
      <c r="C262" s="174"/>
      <c r="D262" s="175"/>
      <c r="E262" s="156"/>
      <c r="F262" s="156"/>
      <c r="G262" s="156"/>
      <c r="H262" s="174"/>
      <c r="I262" s="174"/>
      <c r="J262" s="174"/>
      <c r="K262" s="156"/>
      <c r="L262" s="156"/>
      <c r="M262" s="156"/>
      <c r="N262" s="156"/>
      <c r="O262" s="156"/>
      <c r="P262" s="156"/>
      <c r="Q262" s="156"/>
      <c r="R262" s="156"/>
      <c r="S262" s="156"/>
      <c r="T262" s="156"/>
    </row>
    <row r="263" ht="26.25" customHeight="1">
      <c r="A263" s="167"/>
      <c r="B263" s="174"/>
      <c r="C263" s="174"/>
      <c r="D263" s="175"/>
      <c r="E263" s="156"/>
      <c r="F263" s="156"/>
      <c r="G263" s="156"/>
      <c r="H263" s="174"/>
      <c r="I263" s="174"/>
      <c r="J263" s="174"/>
      <c r="K263" s="156"/>
      <c r="L263" s="156"/>
      <c r="M263" s="156"/>
      <c r="N263" s="156"/>
      <c r="O263" s="156"/>
      <c r="P263" s="156"/>
      <c r="Q263" s="156"/>
      <c r="R263" s="156"/>
      <c r="S263" s="156"/>
      <c r="T263" s="156"/>
    </row>
    <row r="264" ht="26.25" customHeight="1">
      <c r="A264" s="167"/>
      <c r="B264" s="174"/>
      <c r="C264" s="174"/>
      <c r="D264" s="175"/>
      <c r="E264" s="156"/>
      <c r="F264" s="156"/>
      <c r="G264" s="156"/>
      <c r="H264" s="174"/>
      <c r="I264" s="174"/>
      <c r="J264" s="174"/>
      <c r="K264" s="156"/>
      <c r="L264" s="156"/>
      <c r="M264" s="156"/>
      <c r="N264" s="156"/>
      <c r="O264" s="156"/>
      <c r="P264" s="156"/>
      <c r="Q264" s="156"/>
      <c r="R264" s="156"/>
      <c r="S264" s="156"/>
      <c r="T264" s="156"/>
    </row>
    <row r="265" ht="26.25" customHeight="1">
      <c r="A265" s="167"/>
      <c r="B265" s="174"/>
      <c r="C265" s="174"/>
      <c r="D265" s="175"/>
      <c r="E265" s="156"/>
      <c r="F265" s="156"/>
      <c r="G265" s="156"/>
      <c r="H265" s="174"/>
      <c r="I265" s="174"/>
      <c r="J265" s="174"/>
      <c r="K265" s="156"/>
      <c r="L265" s="156"/>
      <c r="M265" s="156"/>
      <c r="N265" s="156"/>
      <c r="O265" s="156"/>
      <c r="P265" s="156"/>
      <c r="Q265" s="156"/>
      <c r="R265" s="156"/>
      <c r="S265" s="156"/>
      <c r="T265" s="156"/>
    </row>
    <row r="266" ht="26.25" customHeight="1">
      <c r="A266" s="167"/>
      <c r="B266" s="174"/>
      <c r="C266" s="174"/>
      <c r="D266" s="175"/>
      <c r="E266" s="156"/>
      <c r="F266" s="156"/>
      <c r="G266" s="156"/>
      <c r="H266" s="174"/>
      <c r="I266" s="174"/>
      <c r="J266" s="174"/>
      <c r="K266" s="156"/>
      <c r="L266" s="156"/>
      <c r="M266" s="156"/>
      <c r="N266" s="156"/>
      <c r="O266" s="156"/>
      <c r="P266" s="156"/>
      <c r="Q266" s="156"/>
      <c r="R266" s="156"/>
      <c r="S266" s="156"/>
      <c r="T266" s="156"/>
    </row>
    <row r="267" ht="26.25" customHeight="1">
      <c r="A267" s="167"/>
      <c r="B267" s="174"/>
      <c r="C267" s="174"/>
      <c r="D267" s="175"/>
      <c r="E267" s="156"/>
      <c r="F267" s="156"/>
      <c r="G267" s="156"/>
      <c r="H267" s="174"/>
      <c r="I267" s="174"/>
      <c r="J267" s="174"/>
      <c r="K267" s="156"/>
      <c r="L267" s="156"/>
      <c r="M267" s="156"/>
      <c r="N267" s="156"/>
      <c r="O267" s="156"/>
      <c r="P267" s="156"/>
      <c r="Q267" s="156"/>
      <c r="R267" s="156"/>
      <c r="S267" s="156"/>
      <c r="T267" s="156"/>
    </row>
    <row r="268" ht="26.25" customHeight="1">
      <c r="A268" s="167"/>
      <c r="B268" s="174"/>
      <c r="C268" s="174"/>
      <c r="D268" s="175"/>
      <c r="E268" s="156"/>
      <c r="F268" s="156"/>
      <c r="G268" s="156"/>
      <c r="H268" s="174"/>
      <c r="I268" s="174"/>
      <c r="J268" s="174"/>
      <c r="K268" s="156"/>
      <c r="L268" s="156"/>
      <c r="M268" s="156"/>
      <c r="N268" s="156"/>
      <c r="O268" s="156"/>
      <c r="P268" s="156"/>
      <c r="Q268" s="156"/>
      <c r="R268" s="156"/>
      <c r="S268" s="156"/>
      <c r="T268" s="156"/>
    </row>
    <row r="269" ht="26.25" customHeight="1">
      <c r="A269" s="167"/>
      <c r="B269" s="174"/>
      <c r="C269" s="174"/>
      <c r="D269" s="175"/>
      <c r="E269" s="156"/>
      <c r="F269" s="156"/>
      <c r="G269" s="156"/>
      <c r="H269" s="174"/>
      <c r="I269" s="174"/>
      <c r="J269" s="174"/>
      <c r="K269" s="156"/>
      <c r="L269" s="156"/>
      <c r="M269" s="156"/>
      <c r="N269" s="156"/>
      <c r="O269" s="156"/>
      <c r="P269" s="156"/>
      <c r="Q269" s="156"/>
      <c r="R269" s="156"/>
      <c r="S269" s="156"/>
      <c r="T269" s="156"/>
    </row>
    <row r="270" ht="26.25" customHeight="1">
      <c r="A270" s="167"/>
      <c r="B270" s="174"/>
      <c r="C270" s="174"/>
      <c r="D270" s="175"/>
      <c r="E270" s="156"/>
      <c r="F270" s="156"/>
      <c r="G270" s="156"/>
      <c r="H270" s="174"/>
      <c r="I270" s="174"/>
      <c r="J270" s="174"/>
      <c r="K270" s="156"/>
      <c r="L270" s="156"/>
      <c r="M270" s="156"/>
      <c r="N270" s="156"/>
      <c r="O270" s="156"/>
      <c r="P270" s="156"/>
      <c r="Q270" s="156"/>
      <c r="R270" s="156"/>
      <c r="S270" s="156"/>
      <c r="T270" s="156"/>
    </row>
    <row r="271" ht="26.25" customHeight="1">
      <c r="A271" s="167"/>
      <c r="B271" s="174"/>
      <c r="C271" s="174"/>
      <c r="D271" s="175"/>
      <c r="E271" s="156"/>
      <c r="F271" s="156"/>
      <c r="G271" s="156"/>
      <c r="H271" s="174"/>
      <c r="I271" s="174"/>
      <c r="J271" s="174"/>
      <c r="K271" s="156"/>
      <c r="L271" s="156"/>
      <c r="M271" s="156"/>
      <c r="N271" s="156"/>
      <c r="O271" s="156"/>
      <c r="P271" s="156"/>
      <c r="Q271" s="156"/>
      <c r="R271" s="156"/>
      <c r="S271" s="156"/>
      <c r="T271" s="156"/>
    </row>
    <row r="272" ht="26.25" customHeight="1">
      <c r="A272" s="167"/>
      <c r="B272" s="174"/>
      <c r="C272" s="174"/>
      <c r="D272" s="175"/>
      <c r="E272" s="156"/>
      <c r="F272" s="156"/>
      <c r="G272" s="156"/>
      <c r="H272" s="174"/>
      <c r="I272" s="174"/>
      <c r="J272" s="174"/>
      <c r="K272" s="156"/>
      <c r="L272" s="156"/>
      <c r="M272" s="156"/>
      <c r="N272" s="156"/>
      <c r="O272" s="156"/>
      <c r="P272" s="156"/>
      <c r="Q272" s="156"/>
      <c r="R272" s="156"/>
      <c r="S272" s="156"/>
      <c r="T272" s="156"/>
    </row>
    <row r="273" ht="26.25" customHeight="1">
      <c r="A273" s="167"/>
      <c r="B273" s="174"/>
      <c r="C273" s="174"/>
      <c r="D273" s="175"/>
      <c r="E273" s="156"/>
      <c r="F273" s="156"/>
      <c r="G273" s="156"/>
      <c r="H273" s="174"/>
      <c r="I273" s="174"/>
      <c r="J273" s="174"/>
      <c r="K273" s="156"/>
      <c r="L273" s="156"/>
      <c r="M273" s="156"/>
      <c r="N273" s="156"/>
      <c r="O273" s="156"/>
      <c r="P273" s="156"/>
      <c r="Q273" s="156"/>
      <c r="R273" s="156"/>
      <c r="S273" s="156"/>
      <c r="T273" s="156"/>
    </row>
    <row r="274" ht="26.25" customHeight="1">
      <c r="A274" s="167"/>
      <c r="B274" s="174"/>
      <c r="C274" s="174"/>
      <c r="D274" s="175"/>
      <c r="E274" s="156"/>
      <c r="F274" s="156"/>
      <c r="G274" s="156"/>
      <c r="H274" s="174"/>
      <c r="I274" s="174"/>
      <c r="J274" s="174"/>
      <c r="K274" s="156"/>
      <c r="L274" s="156"/>
      <c r="M274" s="156"/>
      <c r="N274" s="156"/>
      <c r="O274" s="156"/>
      <c r="P274" s="156"/>
      <c r="Q274" s="156"/>
      <c r="R274" s="156"/>
      <c r="S274" s="156"/>
      <c r="T274" s="156"/>
    </row>
    <row r="275" ht="26.25" customHeight="1">
      <c r="A275" s="167"/>
      <c r="B275" s="174"/>
      <c r="C275" s="174"/>
      <c r="D275" s="175"/>
      <c r="E275" s="156"/>
      <c r="F275" s="156"/>
      <c r="G275" s="156"/>
      <c r="H275" s="174"/>
      <c r="I275" s="174"/>
      <c r="J275" s="174"/>
      <c r="K275" s="156"/>
      <c r="L275" s="156"/>
      <c r="M275" s="156"/>
      <c r="N275" s="156"/>
      <c r="O275" s="156"/>
      <c r="P275" s="156"/>
      <c r="Q275" s="156"/>
      <c r="R275" s="156"/>
      <c r="S275" s="156"/>
      <c r="T275" s="156"/>
    </row>
    <row r="276" ht="26.25" customHeight="1">
      <c r="A276" s="167"/>
      <c r="B276" s="174"/>
      <c r="C276" s="174"/>
      <c r="D276" s="175"/>
      <c r="E276" s="156"/>
      <c r="F276" s="156"/>
      <c r="G276" s="156"/>
      <c r="H276" s="174"/>
      <c r="I276" s="174"/>
      <c r="J276" s="174"/>
      <c r="K276" s="156"/>
      <c r="L276" s="156"/>
      <c r="M276" s="156"/>
      <c r="N276" s="156"/>
      <c r="O276" s="156"/>
      <c r="P276" s="156"/>
      <c r="Q276" s="156"/>
      <c r="R276" s="156"/>
      <c r="S276" s="156"/>
      <c r="T276" s="156"/>
    </row>
    <row r="277" ht="26.25" customHeight="1">
      <c r="A277" s="167"/>
      <c r="B277" s="174"/>
      <c r="C277" s="174"/>
      <c r="D277" s="175"/>
      <c r="E277" s="156"/>
      <c r="F277" s="156"/>
      <c r="G277" s="156"/>
      <c r="H277" s="174"/>
      <c r="I277" s="174"/>
      <c r="J277" s="174"/>
      <c r="K277" s="156"/>
      <c r="L277" s="156"/>
      <c r="M277" s="156"/>
      <c r="N277" s="156"/>
      <c r="O277" s="156"/>
      <c r="P277" s="156"/>
      <c r="Q277" s="156"/>
      <c r="R277" s="156"/>
      <c r="S277" s="156"/>
      <c r="T277" s="156"/>
    </row>
    <row r="278" ht="26.25" customHeight="1">
      <c r="A278" s="167"/>
      <c r="B278" s="174"/>
      <c r="C278" s="174"/>
      <c r="D278" s="175"/>
      <c r="E278" s="156"/>
      <c r="F278" s="156"/>
      <c r="G278" s="156"/>
      <c r="H278" s="174"/>
      <c r="I278" s="174"/>
      <c r="J278" s="174"/>
      <c r="K278" s="156"/>
      <c r="L278" s="156"/>
      <c r="M278" s="156"/>
      <c r="N278" s="156"/>
      <c r="O278" s="156"/>
      <c r="P278" s="156"/>
      <c r="Q278" s="156"/>
      <c r="R278" s="156"/>
      <c r="S278" s="156"/>
      <c r="T278" s="156"/>
    </row>
    <row r="279" ht="26.25" customHeight="1">
      <c r="A279" s="167"/>
      <c r="B279" s="174"/>
      <c r="C279" s="174"/>
      <c r="D279" s="175"/>
      <c r="E279" s="156"/>
      <c r="F279" s="156"/>
      <c r="G279" s="156"/>
      <c r="H279" s="174"/>
      <c r="I279" s="174"/>
      <c r="J279" s="174"/>
      <c r="K279" s="156"/>
      <c r="L279" s="156"/>
      <c r="M279" s="156"/>
      <c r="N279" s="156"/>
      <c r="O279" s="156"/>
      <c r="P279" s="156"/>
      <c r="Q279" s="156"/>
      <c r="R279" s="156"/>
      <c r="S279" s="156"/>
      <c r="T279" s="156"/>
    </row>
    <row r="280" ht="26.25" customHeight="1">
      <c r="A280" s="167"/>
      <c r="B280" s="174"/>
      <c r="C280" s="174"/>
      <c r="D280" s="175"/>
      <c r="E280" s="156"/>
      <c r="F280" s="156"/>
      <c r="G280" s="156"/>
      <c r="H280" s="174"/>
      <c r="I280" s="174"/>
      <c r="J280" s="174"/>
      <c r="K280" s="156"/>
      <c r="L280" s="156"/>
      <c r="M280" s="156"/>
      <c r="N280" s="156"/>
      <c r="O280" s="156"/>
      <c r="P280" s="156"/>
      <c r="Q280" s="156"/>
      <c r="R280" s="156"/>
      <c r="S280" s="156"/>
      <c r="T280" s="156"/>
    </row>
    <row r="281" ht="26.25" customHeight="1">
      <c r="A281" s="167"/>
      <c r="B281" s="174"/>
      <c r="C281" s="174"/>
      <c r="D281" s="175"/>
      <c r="E281" s="156"/>
      <c r="F281" s="156"/>
      <c r="G281" s="156"/>
      <c r="H281" s="174"/>
      <c r="I281" s="174"/>
      <c r="J281" s="174"/>
      <c r="K281" s="156"/>
      <c r="L281" s="156"/>
      <c r="M281" s="156"/>
      <c r="N281" s="156"/>
      <c r="O281" s="156"/>
      <c r="P281" s="156"/>
      <c r="Q281" s="156"/>
      <c r="R281" s="156"/>
      <c r="S281" s="156"/>
      <c r="T281" s="156"/>
    </row>
    <row r="282" ht="26.25" customHeight="1">
      <c r="A282" s="167"/>
      <c r="B282" s="174"/>
      <c r="C282" s="174"/>
      <c r="D282" s="175"/>
      <c r="E282" s="156"/>
      <c r="F282" s="156"/>
      <c r="G282" s="156"/>
      <c r="H282" s="174"/>
      <c r="I282" s="174"/>
      <c r="J282" s="174"/>
      <c r="K282" s="156"/>
      <c r="L282" s="156"/>
      <c r="M282" s="156"/>
      <c r="N282" s="156"/>
      <c r="O282" s="156"/>
      <c r="P282" s="156"/>
      <c r="Q282" s="156"/>
      <c r="R282" s="156"/>
      <c r="S282" s="156"/>
      <c r="T282" s="156"/>
    </row>
    <row r="283" ht="26.25" customHeight="1">
      <c r="A283" s="167"/>
      <c r="B283" s="174"/>
      <c r="C283" s="174"/>
      <c r="D283" s="175"/>
      <c r="E283" s="156"/>
      <c r="F283" s="156"/>
      <c r="G283" s="156"/>
      <c r="H283" s="174"/>
      <c r="I283" s="174"/>
      <c r="J283" s="174"/>
      <c r="K283" s="156"/>
      <c r="L283" s="156"/>
      <c r="M283" s="156"/>
      <c r="N283" s="156"/>
      <c r="O283" s="156"/>
      <c r="P283" s="156"/>
      <c r="Q283" s="156"/>
      <c r="R283" s="156"/>
      <c r="S283" s="156"/>
      <c r="T283" s="156"/>
    </row>
    <row r="284" ht="26.25" customHeight="1">
      <c r="A284" s="167"/>
      <c r="B284" s="174"/>
      <c r="C284" s="174"/>
      <c r="D284" s="175"/>
      <c r="E284" s="156"/>
      <c r="F284" s="156"/>
      <c r="G284" s="156"/>
      <c r="H284" s="174"/>
      <c r="I284" s="174"/>
      <c r="J284" s="174"/>
      <c r="K284" s="156"/>
      <c r="L284" s="156"/>
      <c r="M284" s="156"/>
      <c r="N284" s="156"/>
      <c r="O284" s="156"/>
      <c r="P284" s="156"/>
      <c r="Q284" s="156"/>
      <c r="R284" s="156"/>
      <c r="S284" s="156"/>
      <c r="T284" s="156"/>
    </row>
    <row r="285" ht="26.25" customHeight="1">
      <c r="A285" s="167"/>
      <c r="B285" s="174"/>
      <c r="C285" s="174"/>
      <c r="D285" s="175"/>
      <c r="E285" s="156"/>
      <c r="F285" s="156"/>
      <c r="G285" s="156"/>
      <c r="H285" s="174"/>
      <c r="I285" s="174"/>
      <c r="J285" s="174"/>
      <c r="K285" s="156"/>
      <c r="L285" s="156"/>
      <c r="M285" s="156"/>
      <c r="N285" s="156"/>
      <c r="O285" s="156"/>
      <c r="P285" s="156"/>
      <c r="Q285" s="156"/>
      <c r="R285" s="156"/>
      <c r="S285" s="156"/>
      <c r="T285" s="156"/>
    </row>
    <row r="286" ht="26.25" customHeight="1">
      <c r="A286" s="167"/>
      <c r="B286" s="174"/>
      <c r="C286" s="174"/>
      <c r="D286" s="175"/>
      <c r="E286" s="156"/>
      <c r="F286" s="156"/>
      <c r="G286" s="156"/>
      <c r="H286" s="174"/>
      <c r="I286" s="174"/>
      <c r="J286" s="174"/>
      <c r="K286" s="156"/>
      <c r="L286" s="156"/>
      <c r="M286" s="156"/>
      <c r="N286" s="156"/>
      <c r="O286" s="156"/>
      <c r="P286" s="156"/>
      <c r="Q286" s="156"/>
      <c r="R286" s="156"/>
      <c r="S286" s="156"/>
      <c r="T286" s="156"/>
    </row>
    <row r="287" ht="26.25" customHeight="1">
      <c r="A287" s="167"/>
      <c r="B287" s="174"/>
      <c r="C287" s="174"/>
      <c r="D287" s="175"/>
      <c r="E287" s="156"/>
      <c r="F287" s="156"/>
      <c r="G287" s="156"/>
      <c r="H287" s="174"/>
      <c r="I287" s="174"/>
      <c r="J287" s="174"/>
      <c r="K287" s="156"/>
      <c r="L287" s="156"/>
      <c r="M287" s="156"/>
      <c r="N287" s="156"/>
      <c r="O287" s="156"/>
      <c r="P287" s="156"/>
      <c r="Q287" s="156"/>
      <c r="R287" s="156"/>
      <c r="S287" s="156"/>
      <c r="T287" s="156"/>
    </row>
    <row r="288" ht="26.25" customHeight="1">
      <c r="A288" s="167"/>
      <c r="B288" s="174"/>
      <c r="C288" s="174"/>
      <c r="D288" s="175"/>
      <c r="E288" s="156"/>
      <c r="F288" s="156"/>
      <c r="G288" s="156"/>
      <c r="H288" s="174"/>
      <c r="I288" s="174"/>
      <c r="J288" s="174"/>
      <c r="K288" s="156"/>
      <c r="L288" s="156"/>
      <c r="M288" s="156"/>
      <c r="N288" s="156"/>
      <c r="O288" s="156"/>
      <c r="P288" s="156"/>
      <c r="Q288" s="156"/>
      <c r="R288" s="156"/>
      <c r="S288" s="156"/>
      <c r="T288" s="156"/>
    </row>
    <row r="289" ht="26.25" customHeight="1">
      <c r="A289" s="167"/>
      <c r="B289" s="174"/>
      <c r="C289" s="174"/>
      <c r="D289" s="175"/>
      <c r="E289" s="156"/>
      <c r="F289" s="156"/>
      <c r="G289" s="156"/>
      <c r="H289" s="174"/>
      <c r="I289" s="174"/>
      <c r="J289" s="174"/>
      <c r="K289" s="156"/>
      <c r="L289" s="156"/>
      <c r="M289" s="156"/>
      <c r="N289" s="156"/>
      <c r="O289" s="156"/>
      <c r="P289" s="156"/>
      <c r="Q289" s="156"/>
      <c r="R289" s="156"/>
      <c r="S289" s="156"/>
      <c r="T289" s="156"/>
    </row>
    <row r="290" ht="26.25" customHeight="1">
      <c r="A290" s="167"/>
      <c r="B290" s="174"/>
      <c r="C290" s="174"/>
      <c r="D290" s="175"/>
      <c r="E290" s="156"/>
      <c r="F290" s="156"/>
      <c r="G290" s="156"/>
      <c r="H290" s="174"/>
      <c r="I290" s="174"/>
      <c r="J290" s="174"/>
      <c r="K290" s="156"/>
      <c r="L290" s="156"/>
      <c r="M290" s="156"/>
      <c r="N290" s="156"/>
      <c r="O290" s="156"/>
      <c r="P290" s="156"/>
      <c r="Q290" s="156"/>
      <c r="R290" s="156"/>
      <c r="S290" s="156"/>
      <c r="T290" s="156"/>
    </row>
    <row r="291" ht="26.25" customHeight="1">
      <c r="A291" s="167"/>
      <c r="B291" s="174"/>
      <c r="C291" s="174"/>
      <c r="D291" s="175"/>
      <c r="E291" s="156"/>
      <c r="F291" s="156"/>
      <c r="G291" s="156"/>
      <c r="H291" s="174"/>
      <c r="I291" s="174"/>
      <c r="J291" s="174"/>
      <c r="K291" s="156"/>
      <c r="L291" s="156"/>
      <c r="M291" s="156"/>
      <c r="N291" s="156"/>
      <c r="O291" s="156"/>
      <c r="P291" s="156"/>
      <c r="Q291" s="156"/>
      <c r="R291" s="156"/>
      <c r="S291" s="156"/>
      <c r="T291" s="156"/>
    </row>
    <row r="292" ht="26.25" customHeight="1">
      <c r="A292" s="167"/>
      <c r="B292" s="174"/>
      <c r="C292" s="174"/>
      <c r="D292" s="175"/>
      <c r="E292" s="156"/>
      <c r="F292" s="156"/>
      <c r="G292" s="156"/>
      <c r="H292" s="174"/>
      <c r="I292" s="174"/>
      <c r="J292" s="174"/>
      <c r="K292" s="156"/>
      <c r="L292" s="156"/>
      <c r="M292" s="156"/>
      <c r="N292" s="156"/>
      <c r="O292" s="156"/>
      <c r="P292" s="156"/>
      <c r="Q292" s="156"/>
      <c r="R292" s="156"/>
      <c r="S292" s="156"/>
      <c r="T292" s="156"/>
    </row>
    <row r="293" ht="26.25" customHeight="1">
      <c r="A293" s="167"/>
      <c r="B293" s="174"/>
      <c r="C293" s="174"/>
      <c r="D293" s="175"/>
      <c r="E293" s="156"/>
      <c r="F293" s="156"/>
      <c r="G293" s="156"/>
      <c r="H293" s="174"/>
      <c r="I293" s="174"/>
      <c r="J293" s="174"/>
      <c r="K293" s="156"/>
      <c r="L293" s="156"/>
      <c r="M293" s="156"/>
      <c r="N293" s="156"/>
      <c r="O293" s="156"/>
      <c r="P293" s="156"/>
      <c r="Q293" s="156"/>
      <c r="R293" s="156"/>
      <c r="S293" s="156"/>
      <c r="T293" s="156"/>
    </row>
    <row r="294" ht="26.25" customHeight="1">
      <c r="A294" s="167"/>
      <c r="B294" s="174"/>
      <c r="C294" s="174"/>
      <c r="D294" s="175"/>
      <c r="E294" s="156"/>
      <c r="F294" s="156"/>
      <c r="G294" s="156"/>
      <c r="H294" s="174"/>
      <c r="I294" s="174"/>
      <c r="J294" s="174"/>
      <c r="K294" s="156"/>
      <c r="L294" s="156"/>
      <c r="M294" s="156"/>
      <c r="N294" s="156"/>
      <c r="O294" s="156"/>
      <c r="P294" s="156"/>
      <c r="Q294" s="156"/>
      <c r="R294" s="156"/>
      <c r="S294" s="156"/>
      <c r="T294" s="156"/>
    </row>
    <row r="295" ht="26.25" customHeight="1">
      <c r="A295" s="167"/>
      <c r="B295" s="174"/>
      <c r="C295" s="174"/>
      <c r="D295" s="175"/>
      <c r="E295" s="156"/>
      <c r="F295" s="156"/>
      <c r="G295" s="156"/>
      <c r="H295" s="174"/>
      <c r="I295" s="174"/>
      <c r="J295" s="174"/>
      <c r="K295" s="156"/>
      <c r="L295" s="156"/>
      <c r="M295" s="156"/>
      <c r="N295" s="156"/>
      <c r="O295" s="156"/>
      <c r="P295" s="156"/>
      <c r="Q295" s="156"/>
      <c r="R295" s="156"/>
      <c r="S295" s="156"/>
      <c r="T295" s="156"/>
    </row>
    <row r="296" ht="26.25" customHeight="1">
      <c r="A296" s="167"/>
      <c r="B296" s="174"/>
      <c r="C296" s="174"/>
      <c r="D296" s="175"/>
      <c r="E296" s="156"/>
      <c r="F296" s="156"/>
      <c r="G296" s="156"/>
      <c r="H296" s="174"/>
      <c r="I296" s="174"/>
      <c r="J296" s="174"/>
      <c r="K296" s="156"/>
      <c r="L296" s="156"/>
      <c r="M296" s="156"/>
      <c r="N296" s="156"/>
      <c r="O296" s="156"/>
      <c r="P296" s="156"/>
      <c r="Q296" s="156"/>
      <c r="R296" s="156"/>
      <c r="S296" s="156"/>
      <c r="T296" s="156"/>
    </row>
    <row r="297" ht="26.25" customHeight="1">
      <c r="A297" s="167"/>
      <c r="B297" s="174"/>
      <c r="C297" s="174"/>
      <c r="D297" s="175"/>
      <c r="E297" s="156"/>
      <c r="F297" s="156"/>
      <c r="G297" s="156"/>
      <c r="H297" s="174"/>
      <c r="I297" s="174"/>
      <c r="J297" s="174"/>
      <c r="K297" s="156"/>
      <c r="L297" s="156"/>
      <c r="M297" s="156"/>
      <c r="N297" s="156"/>
      <c r="O297" s="156"/>
      <c r="P297" s="156"/>
      <c r="Q297" s="156"/>
      <c r="R297" s="156"/>
      <c r="S297" s="156"/>
      <c r="T297" s="156"/>
    </row>
    <row r="298" ht="26.25" customHeight="1">
      <c r="A298" s="167"/>
      <c r="B298" s="174"/>
      <c r="C298" s="174"/>
      <c r="D298" s="175"/>
      <c r="E298" s="156"/>
      <c r="F298" s="156"/>
      <c r="G298" s="156"/>
      <c r="H298" s="174"/>
      <c r="I298" s="174"/>
      <c r="J298" s="174"/>
      <c r="K298" s="156"/>
      <c r="L298" s="156"/>
      <c r="M298" s="156"/>
      <c r="N298" s="156"/>
      <c r="O298" s="156"/>
      <c r="P298" s="156"/>
      <c r="Q298" s="156"/>
      <c r="R298" s="156"/>
      <c r="S298" s="156"/>
      <c r="T298" s="156"/>
    </row>
    <row r="299" ht="26.25" customHeight="1">
      <c r="A299" s="167"/>
      <c r="B299" s="174"/>
      <c r="C299" s="174"/>
      <c r="D299" s="175"/>
      <c r="E299" s="156"/>
      <c r="F299" s="156"/>
      <c r="G299" s="156"/>
      <c r="H299" s="174"/>
      <c r="I299" s="174"/>
      <c r="J299" s="174"/>
      <c r="K299" s="156"/>
      <c r="L299" s="156"/>
      <c r="M299" s="156"/>
      <c r="N299" s="156"/>
      <c r="O299" s="156"/>
      <c r="P299" s="156"/>
      <c r="Q299" s="156"/>
      <c r="R299" s="156"/>
      <c r="S299" s="156"/>
      <c r="T299" s="156"/>
    </row>
    <row r="300" ht="26.25" customHeight="1">
      <c r="A300" s="167"/>
      <c r="B300" s="174"/>
      <c r="C300" s="174"/>
      <c r="D300" s="175"/>
      <c r="E300" s="156"/>
      <c r="F300" s="156"/>
      <c r="G300" s="156"/>
      <c r="H300" s="174"/>
      <c r="I300" s="174"/>
      <c r="J300" s="174"/>
      <c r="K300" s="156"/>
      <c r="L300" s="156"/>
      <c r="M300" s="156"/>
      <c r="N300" s="156"/>
      <c r="O300" s="156"/>
      <c r="P300" s="156"/>
      <c r="Q300" s="156"/>
      <c r="R300" s="156"/>
      <c r="S300" s="156"/>
      <c r="T300" s="156"/>
    </row>
    <row r="301" ht="26.25" customHeight="1">
      <c r="A301" s="167"/>
      <c r="B301" s="174"/>
      <c r="C301" s="174"/>
      <c r="D301" s="175"/>
      <c r="E301" s="156"/>
      <c r="F301" s="156"/>
      <c r="G301" s="156"/>
      <c r="H301" s="174"/>
      <c r="I301" s="174"/>
      <c r="J301" s="174"/>
      <c r="K301" s="156"/>
      <c r="L301" s="156"/>
      <c r="M301" s="156"/>
      <c r="N301" s="156"/>
      <c r="O301" s="156"/>
      <c r="P301" s="156"/>
      <c r="Q301" s="156"/>
      <c r="R301" s="156"/>
      <c r="S301" s="156"/>
      <c r="T301" s="156"/>
    </row>
    <row r="302" ht="26.25" customHeight="1">
      <c r="A302" s="167"/>
      <c r="B302" s="174"/>
      <c r="C302" s="174"/>
      <c r="D302" s="175"/>
      <c r="E302" s="156"/>
      <c r="F302" s="156"/>
      <c r="G302" s="156"/>
      <c r="H302" s="174"/>
      <c r="I302" s="174"/>
      <c r="J302" s="174"/>
      <c r="K302" s="156"/>
      <c r="L302" s="156"/>
      <c r="M302" s="156"/>
      <c r="N302" s="156"/>
      <c r="O302" s="156"/>
      <c r="P302" s="156"/>
      <c r="Q302" s="156"/>
      <c r="R302" s="156"/>
      <c r="S302" s="156"/>
      <c r="T302" s="156"/>
    </row>
    <row r="303" ht="26.25" customHeight="1">
      <c r="A303" s="167"/>
      <c r="B303" s="174"/>
      <c r="C303" s="174"/>
      <c r="D303" s="175"/>
      <c r="E303" s="156"/>
      <c r="F303" s="156"/>
      <c r="G303" s="156"/>
      <c r="H303" s="174"/>
      <c r="I303" s="174"/>
      <c r="J303" s="174"/>
      <c r="K303" s="156"/>
      <c r="L303" s="156"/>
      <c r="M303" s="156"/>
      <c r="N303" s="156"/>
      <c r="O303" s="156"/>
      <c r="P303" s="156"/>
      <c r="Q303" s="156"/>
      <c r="R303" s="156"/>
      <c r="S303" s="156"/>
      <c r="T303" s="156"/>
    </row>
    <row r="304" ht="26.25" customHeight="1">
      <c r="A304" s="167"/>
      <c r="B304" s="174"/>
      <c r="C304" s="174"/>
      <c r="D304" s="175"/>
      <c r="E304" s="156"/>
      <c r="F304" s="156"/>
      <c r="G304" s="156"/>
      <c r="H304" s="174"/>
      <c r="I304" s="174"/>
      <c r="J304" s="174"/>
      <c r="K304" s="156"/>
      <c r="L304" s="156"/>
      <c r="M304" s="156"/>
      <c r="N304" s="156"/>
      <c r="O304" s="156"/>
      <c r="P304" s="156"/>
      <c r="Q304" s="156"/>
      <c r="R304" s="156"/>
      <c r="S304" s="156"/>
      <c r="T304" s="156"/>
    </row>
    <row r="305" ht="26.25" customHeight="1">
      <c r="A305" s="167"/>
      <c r="B305" s="174"/>
      <c r="C305" s="174"/>
      <c r="D305" s="175"/>
      <c r="E305" s="156"/>
      <c r="F305" s="156"/>
      <c r="G305" s="156"/>
      <c r="H305" s="174"/>
      <c r="I305" s="174"/>
      <c r="J305" s="174"/>
      <c r="K305" s="156"/>
      <c r="L305" s="156"/>
      <c r="M305" s="156"/>
      <c r="N305" s="156"/>
      <c r="O305" s="156"/>
      <c r="P305" s="156"/>
      <c r="Q305" s="156"/>
      <c r="R305" s="156"/>
      <c r="S305" s="156"/>
      <c r="T305" s="156"/>
    </row>
    <row r="306" ht="26.25" customHeight="1">
      <c r="A306" s="167"/>
      <c r="B306" s="174"/>
      <c r="C306" s="174"/>
      <c r="D306" s="175"/>
      <c r="E306" s="156"/>
      <c r="F306" s="156"/>
      <c r="G306" s="156"/>
      <c r="H306" s="174"/>
      <c r="I306" s="174"/>
      <c r="J306" s="174"/>
      <c r="K306" s="156"/>
      <c r="L306" s="156"/>
      <c r="M306" s="156"/>
      <c r="N306" s="156"/>
      <c r="O306" s="156"/>
      <c r="P306" s="156"/>
      <c r="Q306" s="156"/>
      <c r="R306" s="156"/>
      <c r="S306" s="156"/>
      <c r="T306" s="156"/>
    </row>
    <row r="307" ht="26.25" customHeight="1">
      <c r="A307" s="167"/>
      <c r="B307" s="174"/>
      <c r="C307" s="174"/>
      <c r="D307" s="175"/>
      <c r="E307" s="156"/>
      <c r="F307" s="156"/>
      <c r="G307" s="156"/>
      <c r="H307" s="174"/>
      <c r="I307" s="174"/>
      <c r="J307" s="174"/>
      <c r="K307" s="156"/>
      <c r="L307" s="156"/>
      <c r="M307" s="156"/>
      <c r="N307" s="156"/>
      <c r="O307" s="156"/>
      <c r="P307" s="156"/>
      <c r="Q307" s="156"/>
      <c r="R307" s="156"/>
      <c r="S307" s="156"/>
      <c r="T307" s="156"/>
    </row>
    <row r="308" ht="26.25" customHeight="1">
      <c r="A308" s="167"/>
      <c r="B308" s="174"/>
      <c r="C308" s="174"/>
      <c r="D308" s="175"/>
      <c r="E308" s="156"/>
      <c r="F308" s="156"/>
      <c r="G308" s="156"/>
      <c r="H308" s="174"/>
      <c r="I308" s="174"/>
      <c r="J308" s="174"/>
      <c r="K308" s="156"/>
      <c r="L308" s="156"/>
      <c r="M308" s="156"/>
      <c r="N308" s="156"/>
      <c r="O308" s="156"/>
      <c r="P308" s="156"/>
      <c r="Q308" s="156"/>
      <c r="R308" s="156"/>
      <c r="S308" s="156"/>
      <c r="T308" s="156"/>
    </row>
    <row r="309" ht="26.25" customHeight="1">
      <c r="A309" s="167"/>
      <c r="B309" s="174"/>
      <c r="C309" s="174"/>
      <c r="D309" s="175"/>
      <c r="E309" s="156"/>
      <c r="F309" s="156"/>
      <c r="G309" s="156"/>
      <c r="H309" s="174"/>
      <c r="I309" s="174"/>
      <c r="J309" s="174"/>
      <c r="K309" s="156"/>
      <c r="L309" s="156"/>
      <c r="M309" s="156"/>
      <c r="N309" s="156"/>
      <c r="O309" s="156"/>
      <c r="P309" s="156"/>
      <c r="Q309" s="156"/>
      <c r="R309" s="156"/>
      <c r="S309" s="156"/>
      <c r="T309" s="156"/>
    </row>
    <row r="310" ht="26.25" customHeight="1">
      <c r="A310" s="167"/>
      <c r="B310" s="174"/>
      <c r="C310" s="174"/>
      <c r="D310" s="175"/>
      <c r="E310" s="156"/>
      <c r="F310" s="156"/>
      <c r="G310" s="156"/>
      <c r="H310" s="174"/>
      <c r="I310" s="174"/>
      <c r="J310" s="174"/>
      <c r="K310" s="156"/>
      <c r="L310" s="156"/>
      <c r="M310" s="156"/>
      <c r="N310" s="156"/>
      <c r="O310" s="156"/>
      <c r="P310" s="156"/>
      <c r="Q310" s="156"/>
      <c r="R310" s="156"/>
      <c r="S310" s="156"/>
      <c r="T310" s="156"/>
    </row>
    <row r="311" ht="26.25" customHeight="1">
      <c r="A311" s="167"/>
      <c r="B311" s="174"/>
      <c r="C311" s="174"/>
      <c r="D311" s="175"/>
      <c r="E311" s="156"/>
      <c r="F311" s="156"/>
      <c r="G311" s="156"/>
      <c r="H311" s="174"/>
      <c r="I311" s="174"/>
      <c r="J311" s="174"/>
      <c r="K311" s="156"/>
      <c r="L311" s="156"/>
      <c r="M311" s="156"/>
      <c r="N311" s="156"/>
      <c r="O311" s="156"/>
      <c r="P311" s="156"/>
      <c r="Q311" s="156"/>
      <c r="R311" s="156"/>
      <c r="S311" s="156"/>
      <c r="T311" s="156"/>
    </row>
    <row r="312" ht="26.25" customHeight="1">
      <c r="A312" s="167"/>
      <c r="B312" s="174"/>
      <c r="C312" s="174"/>
      <c r="D312" s="175"/>
      <c r="E312" s="156"/>
      <c r="F312" s="156"/>
      <c r="G312" s="156"/>
      <c r="H312" s="174"/>
      <c r="I312" s="174"/>
      <c r="J312" s="174"/>
      <c r="K312" s="156"/>
      <c r="L312" s="156"/>
      <c r="M312" s="156"/>
      <c r="N312" s="156"/>
      <c r="O312" s="156"/>
      <c r="P312" s="156"/>
      <c r="Q312" s="156"/>
      <c r="R312" s="156"/>
      <c r="S312" s="156"/>
      <c r="T312" s="156"/>
    </row>
    <row r="313" ht="26.25" customHeight="1">
      <c r="A313" s="167"/>
      <c r="B313" s="174"/>
      <c r="C313" s="174"/>
      <c r="D313" s="175"/>
      <c r="E313" s="156"/>
      <c r="F313" s="156"/>
      <c r="G313" s="156"/>
      <c r="H313" s="174"/>
      <c r="I313" s="174"/>
      <c r="J313" s="174"/>
      <c r="K313" s="156"/>
      <c r="L313" s="156"/>
      <c r="M313" s="156"/>
      <c r="N313" s="156"/>
      <c r="O313" s="156"/>
      <c r="P313" s="156"/>
      <c r="Q313" s="156"/>
      <c r="R313" s="156"/>
      <c r="S313" s="156"/>
      <c r="T313" s="156"/>
    </row>
    <row r="314" ht="26.25" customHeight="1">
      <c r="A314" s="167"/>
      <c r="B314" s="174"/>
      <c r="C314" s="174"/>
      <c r="D314" s="175"/>
      <c r="E314" s="156"/>
      <c r="F314" s="156"/>
      <c r="G314" s="156"/>
      <c r="H314" s="174"/>
      <c r="I314" s="174"/>
      <c r="J314" s="174"/>
      <c r="K314" s="156"/>
      <c r="L314" s="156"/>
      <c r="M314" s="156"/>
      <c r="N314" s="156"/>
      <c r="O314" s="156"/>
      <c r="P314" s="156"/>
      <c r="Q314" s="156"/>
      <c r="R314" s="156"/>
      <c r="S314" s="156"/>
      <c r="T314" s="156"/>
    </row>
    <row r="315" ht="26.25" customHeight="1">
      <c r="A315" s="167"/>
      <c r="B315" s="174"/>
      <c r="C315" s="174"/>
      <c r="D315" s="175"/>
      <c r="E315" s="156"/>
      <c r="F315" s="156"/>
      <c r="G315" s="156"/>
      <c r="H315" s="174"/>
      <c r="I315" s="174"/>
      <c r="J315" s="174"/>
      <c r="K315" s="156"/>
      <c r="L315" s="156"/>
      <c r="M315" s="156"/>
      <c r="N315" s="156"/>
      <c r="O315" s="156"/>
      <c r="P315" s="156"/>
      <c r="Q315" s="156"/>
      <c r="R315" s="156"/>
      <c r="S315" s="156"/>
      <c r="T315" s="156"/>
    </row>
    <row r="316" ht="26.25" customHeight="1">
      <c r="A316" s="167"/>
      <c r="B316" s="174"/>
      <c r="C316" s="174"/>
      <c r="D316" s="175"/>
      <c r="E316" s="156"/>
      <c r="F316" s="156"/>
      <c r="G316" s="156"/>
      <c r="H316" s="174"/>
      <c r="I316" s="174"/>
      <c r="J316" s="174"/>
      <c r="K316" s="156"/>
      <c r="L316" s="156"/>
      <c r="M316" s="156"/>
      <c r="N316" s="156"/>
      <c r="O316" s="156"/>
      <c r="P316" s="156"/>
      <c r="Q316" s="156"/>
      <c r="R316" s="156"/>
      <c r="S316" s="156"/>
      <c r="T316" s="156"/>
    </row>
    <row r="317" ht="26.25" customHeight="1">
      <c r="A317" s="167"/>
      <c r="B317" s="174"/>
      <c r="C317" s="174"/>
      <c r="D317" s="175"/>
      <c r="E317" s="156"/>
      <c r="F317" s="156"/>
      <c r="G317" s="156"/>
      <c r="H317" s="174"/>
      <c r="I317" s="174"/>
      <c r="J317" s="174"/>
      <c r="K317" s="156"/>
      <c r="L317" s="156"/>
      <c r="M317" s="156"/>
      <c r="N317" s="156"/>
      <c r="O317" s="156"/>
      <c r="P317" s="156"/>
      <c r="Q317" s="156"/>
      <c r="R317" s="156"/>
      <c r="S317" s="156"/>
      <c r="T317" s="156"/>
    </row>
    <row r="318" ht="26.25" customHeight="1">
      <c r="A318" s="167"/>
      <c r="B318" s="174"/>
      <c r="C318" s="174"/>
      <c r="D318" s="175"/>
      <c r="E318" s="156"/>
      <c r="F318" s="156"/>
      <c r="G318" s="156"/>
      <c r="H318" s="174"/>
      <c r="I318" s="174"/>
      <c r="J318" s="174"/>
      <c r="K318" s="156"/>
      <c r="L318" s="156"/>
      <c r="M318" s="156"/>
      <c r="N318" s="156"/>
      <c r="O318" s="156"/>
      <c r="P318" s="156"/>
      <c r="Q318" s="156"/>
      <c r="R318" s="156"/>
      <c r="S318" s="156"/>
      <c r="T318" s="156"/>
    </row>
    <row r="319" ht="26.25" customHeight="1">
      <c r="A319" s="167"/>
      <c r="B319" s="174"/>
      <c r="C319" s="174"/>
      <c r="D319" s="175"/>
      <c r="E319" s="156"/>
      <c r="F319" s="156"/>
      <c r="G319" s="156"/>
      <c r="H319" s="174"/>
      <c r="I319" s="174"/>
      <c r="J319" s="174"/>
      <c r="K319" s="156"/>
      <c r="L319" s="156"/>
      <c r="M319" s="156"/>
      <c r="N319" s="156"/>
      <c r="O319" s="156"/>
      <c r="P319" s="156"/>
      <c r="Q319" s="156"/>
      <c r="R319" s="156"/>
      <c r="S319" s="156"/>
      <c r="T319" s="156"/>
    </row>
    <row r="320" ht="26.25" customHeight="1">
      <c r="A320" s="167"/>
      <c r="B320" s="174"/>
      <c r="C320" s="174"/>
      <c r="D320" s="175"/>
      <c r="E320" s="156"/>
      <c r="F320" s="156"/>
      <c r="G320" s="156"/>
      <c r="H320" s="174"/>
      <c r="I320" s="174"/>
      <c r="J320" s="174"/>
      <c r="K320" s="156"/>
      <c r="L320" s="156"/>
      <c r="M320" s="156"/>
      <c r="N320" s="156"/>
      <c r="O320" s="156"/>
      <c r="P320" s="156"/>
      <c r="Q320" s="156"/>
      <c r="R320" s="156"/>
      <c r="S320" s="156"/>
      <c r="T320" s="156"/>
    </row>
    <row r="321" ht="26.25" customHeight="1">
      <c r="A321" s="167"/>
      <c r="B321" s="174"/>
      <c r="C321" s="174"/>
      <c r="D321" s="175"/>
      <c r="E321" s="156"/>
      <c r="F321" s="156"/>
      <c r="G321" s="156"/>
      <c r="H321" s="174"/>
      <c r="I321" s="174"/>
      <c r="J321" s="174"/>
      <c r="K321" s="156"/>
      <c r="L321" s="156"/>
      <c r="M321" s="156"/>
      <c r="N321" s="156"/>
      <c r="O321" s="156"/>
      <c r="P321" s="156"/>
      <c r="Q321" s="156"/>
      <c r="R321" s="156"/>
      <c r="S321" s="156"/>
      <c r="T321" s="156"/>
    </row>
    <row r="322" ht="26.25" customHeight="1">
      <c r="A322" s="167"/>
      <c r="B322" s="174"/>
      <c r="C322" s="174"/>
      <c r="D322" s="175"/>
      <c r="E322" s="156"/>
      <c r="F322" s="156"/>
      <c r="G322" s="156"/>
      <c r="H322" s="174"/>
      <c r="I322" s="174"/>
      <c r="J322" s="174"/>
      <c r="K322" s="156"/>
      <c r="L322" s="156"/>
      <c r="M322" s="156"/>
      <c r="N322" s="156"/>
      <c r="O322" s="156"/>
      <c r="P322" s="156"/>
      <c r="Q322" s="156"/>
      <c r="R322" s="156"/>
      <c r="S322" s="156"/>
      <c r="T322" s="156"/>
    </row>
    <row r="323" ht="26.25" customHeight="1">
      <c r="A323" s="167"/>
      <c r="B323" s="174"/>
      <c r="C323" s="174"/>
      <c r="D323" s="175"/>
      <c r="E323" s="156"/>
      <c r="F323" s="156"/>
      <c r="G323" s="156"/>
      <c r="H323" s="174"/>
      <c r="I323" s="174"/>
      <c r="J323" s="174"/>
      <c r="K323" s="156"/>
      <c r="L323" s="156"/>
      <c r="M323" s="156"/>
      <c r="N323" s="156"/>
      <c r="O323" s="156"/>
      <c r="P323" s="156"/>
      <c r="Q323" s="156"/>
      <c r="R323" s="156"/>
      <c r="S323" s="156"/>
      <c r="T323" s="156"/>
    </row>
    <row r="324" ht="26.25" customHeight="1">
      <c r="A324" s="167"/>
      <c r="B324" s="174"/>
      <c r="C324" s="174"/>
      <c r="D324" s="175"/>
      <c r="E324" s="156"/>
      <c r="F324" s="156"/>
      <c r="G324" s="156"/>
      <c r="H324" s="174"/>
      <c r="I324" s="174"/>
      <c r="J324" s="174"/>
      <c r="K324" s="156"/>
      <c r="L324" s="156"/>
      <c r="M324" s="156"/>
      <c r="N324" s="156"/>
      <c r="O324" s="156"/>
      <c r="P324" s="156"/>
      <c r="Q324" s="156"/>
      <c r="R324" s="156"/>
      <c r="S324" s="156"/>
      <c r="T324" s="156"/>
    </row>
    <row r="325" ht="26.25" customHeight="1">
      <c r="A325" s="167"/>
      <c r="B325" s="174"/>
      <c r="C325" s="174"/>
      <c r="D325" s="175"/>
      <c r="E325" s="156"/>
      <c r="F325" s="156"/>
      <c r="G325" s="156"/>
      <c r="H325" s="174"/>
      <c r="I325" s="174"/>
      <c r="J325" s="174"/>
      <c r="K325" s="156"/>
      <c r="L325" s="156"/>
      <c r="M325" s="156"/>
      <c r="N325" s="156"/>
      <c r="O325" s="156"/>
      <c r="P325" s="156"/>
      <c r="Q325" s="156"/>
      <c r="R325" s="156"/>
      <c r="S325" s="156"/>
      <c r="T325" s="156"/>
    </row>
    <row r="326" ht="26.25" customHeight="1">
      <c r="A326" s="167"/>
      <c r="B326" s="174"/>
      <c r="C326" s="174"/>
      <c r="D326" s="175"/>
      <c r="E326" s="156"/>
      <c r="F326" s="156"/>
      <c r="G326" s="156"/>
      <c r="H326" s="174"/>
      <c r="I326" s="174"/>
      <c r="J326" s="174"/>
      <c r="K326" s="156"/>
      <c r="L326" s="156"/>
      <c r="M326" s="156"/>
      <c r="N326" s="156"/>
      <c r="O326" s="156"/>
      <c r="P326" s="156"/>
      <c r="Q326" s="156"/>
      <c r="R326" s="156"/>
      <c r="S326" s="156"/>
      <c r="T326" s="156"/>
    </row>
    <row r="327" ht="26.25" customHeight="1">
      <c r="A327" s="167"/>
      <c r="B327" s="174"/>
      <c r="C327" s="174"/>
      <c r="D327" s="175"/>
      <c r="E327" s="156"/>
      <c r="F327" s="156"/>
      <c r="G327" s="156"/>
      <c r="H327" s="174"/>
      <c r="I327" s="174"/>
      <c r="J327" s="174"/>
      <c r="K327" s="156"/>
      <c r="L327" s="156"/>
      <c r="M327" s="156"/>
      <c r="N327" s="156"/>
      <c r="O327" s="156"/>
      <c r="P327" s="156"/>
      <c r="Q327" s="156"/>
      <c r="R327" s="156"/>
      <c r="S327" s="156"/>
      <c r="T327" s="156"/>
    </row>
    <row r="328" ht="26.25" customHeight="1">
      <c r="A328" s="167"/>
      <c r="B328" s="174"/>
      <c r="C328" s="174"/>
      <c r="D328" s="175"/>
      <c r="E328" s="156"/>
      <c r="F328" s="156"/>
      <c r="G328" s="156"/>
      <c r="H328" s="174"/>
      <c r="I328" s="174"/>
      <c r="J328" s="174"/>
      <c r="K328" s="156"/>
      <c r="L328" s="156"/>
      <c r="M328" s="156"/>
      <c r="N328" s="156"/>
      <c r="O328" s="156"/>
      <c r="P328" s="156"/>
      <c r="Q328" s="156"/>
      <c r="R328" s="156"/>
      <c r="S328" s="156"/>
      <c r="T328" s="156"/>
    </row>
    <row r="329" ht="26.25" customHeight="1">
      <c r="A329" s="167"/>
      <c r="B329" s="174"/>
      <c r="C329" s="174"/>
      <c r="D329" s="175"/>
      <c r="E329" s="156"/>
      <c r="F329" s="156"/>
      <c r="G329" s="156"/>
      <c r="H329" s="174"/>
      <c r="I329" s="174"/>
      <c r="J329" s="174"/>
      <c r="K329" s="156"/>
      <c r="L329" s="156"/>
      <c r="M329" s="156"/>
      <c r="N329" s="156"/>
      <c r="O329" s="156"/>
      <c r="P329" s="156"/>
      <c r="Q329" s="156"/>
      <c r="R329" s="156"/>
      <c r="S329" s="156"/>
      <c r="T329" s="156"/>
    </row>
    <row r="330" ht="26.25" customHeight="1">
      <c r="A330" s="167"/>
      <c r="B330" s="174"/>
      <c r="C330" s="174"/>
      <c r="D330" s="175"/>
      <c r="E330" s="156"/>
      <c r="F330" s="156"/>
      <c r="G330" s="156"/>
      <c r="H330" s="174"/>
      <c r="I330" s="174"/>
      <c r="J330" s="174"/>
      <c r="K330" s="156"/>
      <c r="L330" s="156"/>
      <c r="M330" s="156"/>
      <c r="N330" s="156"/>
      <c r="O330" s="156"/>
      <c r="P330" s="156"/>
      <c r="Q330" s="156"/>
      <c r="R330" s="156"/>
      <c r="S330" s="156"/>
      <c r="T330" s="156"/>
    </row>
    <row r="331" ht="26.25" customHeight="1">
      <c r="A331" s="167"/>
      <c r="B331" s="174"/>
      <c r="C331" s="174"/>
      <c r="D331" s="175"/>
      <c r="E331" s="156"/>
      <c r="F331" s="156"/>
      <c r="G331" s="156"/>
      <c r="H331" s="174"/>
      <c r="I331" s="174"/>
      <c r="J331" s="174"/>
      <c r="K331" s="156"/>
      <c r="L331" s="156"/>
      <c r="M331" s="156"/>
      <c r="N331" s="156"/>
      <c r="O331" s="156"/>
      <c r="P331" s="156"/>
      <c r="Q331" s="156"/>
      <c r="R331" s="156"/>
      <c r="S331" s="156"/>
      <c r="T331" s="156"/>
    </row>
    <row r="332" ht="26.25" customHeight="1">
      <c r="A332" s="167"/>
      <c r="B332" s="174"/>
      <c r="C332" s="174"/>
      <c r="D332" s="175"/>
      <c r="E332" s="156"/>
      <c r="F332" s="156"/>
      <c r="G332" s="156"/>
      <c r="H332" s="174"/>
      <c r="I332" s="174"/>
      <c r="J332" s="174"/>
      <c r="K332" s="156"/>
      <c r="L332" s="156"/>
      <c r="M332" s="156"/>
      <c r="N332" s="156"/>
      <c r="O332" s="156"/>
      <c r="P332" s="156"/>
      <c r="Q332" s="156"/>
      <c r="R332" s="156"/>
      <c r="S332" s="156"/>
      <c r="T332" s="156"/>
    </row>
    <row r="333" ht="26.25" customHeight="1">
      <c r="A333" s="167"/>
      <c r="B333" s="174"/>
      <c r="C333" s="174"/>
      <c r="D333" s="175"/>
      <c r="E333" s="156"/>
      <c r="F333" s="156"/>
      <c r="G333" s="156"/>
      <c r="H333" s="174"/>
      <c r="I333" s="174"/>
      <c r="J333" s="174"/>
      <c r="K333" s="156"/>
      <c r="L333" s="156"/>
      <c r="M333" s="156"/>
      <c r="N333" s="156"/>
      <c r="O333" s="156"/>
      <c r="P333" s="156"/>
      <c r="Q333" s="156"/>
      <c r="R333" s="156"/>
      <c r="S333" s="156"/>
      <c r="T333" s="156"/>
    </row>
    <row r="334" ht="26.25" customHeight="1">
      <c r="A334" s="167"/>
      <c r="B334" s="174"/>
      <c r="C334" s="174"/>
      <c r="D334" s="175"/>
      <c r="E334" s="156"/>
      <c r="F334" s="156"/>
      <c r="G334" s="156"/>
      <c r="H334" s="174"/>
      <c r="I334" s="174"/>
      <c r="J334" s="174"/>
      <c r="K334" s="156"/>
      <c r="L334" s="156"/>
      <c r="M334" s="156"/>
      <c r="N334" s="156"/>
      <c r="O334" s="156"/>
      <c r="P334" s="156"/>
      <c r="Q334" s="156"/>
      <c r="R334" s="156"/>
      <c r="S334" s="156"/>
      <c r="T334" s="156"/>
    </row>
    <row r="335" ht="26.25" customHeight="1">
      <c r="A335" s="167"/>
      <c r="B335" s="174"/>
      <c r="C335" s="174"/>
      <c r="D335" s="175"/>
      <c r="E335" s="156"/>
      <c r="F335" s="156"/>
      <c r="G335" s="156"/>
      <c r="H335" s="174"/>
      <c r="I335" s="174"/>
      <c r="J335" s="174"/>
      <c r="K335" s="156"/>
      <c r="L335" s="156"/>
      <c r="M335" s="156"/>
      <c r="N335" s="156"/>
      <c r="O335" s="156"/>
      <c r="P335" s="156"/>
      <c r="Q335" s="156"/>
      <c r="R335" s="156"/>
      <c r="S335" s="156"/>
      <c r="T335" s="156"/>
    </row>
    <row r="336" ht="26.25" customHeight="1">
      <c r="A336" s="167"/>
      <c r="B336" s="174"/>
      <c r="C336" s="174"/>
      <c r="D336" s="175"/>
      <c r="E336" s="156"/>
      <c r="F336" s="156"/>
      <c r="G336" s="156"/>
      <c r="H336" s="174"/>
      <c r="I336" s="174"/>
      <c r="J336" s="174"/>
      <c r="K336" s="156"/>
      <c r="L336" s="156"/>
      <c r="M336" s="156"/>
      <c r="N336" s="156"/>
      <c r="O336" s="156"/>
      <c r="P336" s="156"/>
      <c r="Q336" s="156"/>
      <c r="R336" s="156"/>
      <c r="S336" s="156"/>
      <c r="T336" s="156"/>
    </row>
    <row r="337" ht="26.25" customHeight="1">
      <c r="A337" s="167"/>
      <c r="B337" s="174"/>
      <c r="C337" s="174"/>
      <c r="D337" s="175"/>
      <c r="E337" s="156"/>
      <c r="F337" s="156"/>
      <c r="G337" s="156"/>
      <c r="H337" s="174"/>
      <c r="I337" s="174"/>
      <c r="J337" s="174"/>
      <c r="K337" s="156"/>
      <c r="L337" s="156"/>
      <c r="M337" s="156"/>
      <c r="N337" s="156"/>
      <c r="O337" s="156"/>
      <c r="P337" s="156"/>
      <c r="Q337" s="156"/>
      <c r="R337" s="156"/>
      <c r="S337" s="156"/>
      <c r="T337" s="156"/>
    </row>
    <row r="338" ht="26.25" customHeight="1">
      <c r="A338" s="167"/>
      <c r="B338" s="174"/>
      <c r="C338" s="174"/>
      <c r="D338" s="175"/>
      <c r="E338" s="156"/>
      <c r="F338" s="156"/>
      <c r="G338" s="156"/>
      <c r="H338" s="174"/>
      <c r="I338" s="174"/>
      <c r="J338" s="174"/>
      <c r="K338" s="156"/>
      <c r="L338" s="156"/>
      <c r="M338" s="156"/>
      <c r="N338" s="156"/>
      <c r="O338" s="156"/>
      <c r="P338" s="156"/>
      <c r="Q338" s="156"/>
      <c r="R338" s="156"/>
      <c r="S338" s="156"/>
      <c r="T338" s="156"/>
    </row>
    <row r="339" ht="26.25" customHeight="1">
      <c r="A339" s="167"/>
      <c r="B339" s="174"/>
      <c r="C339" s="174"/>
      <c r="D339" s="175"/>
      <c r="E339" s="156"/>
      <c r="F339" s="156"/>
      <c r="G339" s="156"/>
      <c r="H339" s="174"/>
      <c r="I339" s="174"/>
      <c r="J339" s="174"/>
      <c r="K339" s="156"/>
      <c r="L339" s="156"/>
      <c r="M339" s="156"/>
      <c r="N339" s="156"/>
      <c r="O339" s="156"/>
      <c r="P339" s="156"/>
      <c r="Q339" s="156"/>
      <c r="R339" s="156"/>
      <c r="S339" s="156"/>
      <c r="T339" s="156"/>
    </row>
    <row r="340" ht="26.25" customHeight="1">
      <c r="A340" s="167"/>
      <c r="B340" s="174"/>
      <c r="C340" s="174"/>
      <c r="D340" s="175"/>
      <c r="E340" s="156"/>
      <c r="F340" s="156"/>
      <c r="G340" s="156"/>
      <c r="H340" s="174"/>
      <c r="I340" s="174"/>
      <c r="J340" s="174"/>
      <c r="K340" s="156"/>
      <c r="L340" s="156"/>
      <c r="M340" s="156"/>
      <c r="N340" s="156"/>
      <c r="O340" s="156"/>
      <c r="P340" s="156"/>
      <c r="Q340" s="156"/>
      <c r="R340" s="156"/>
      <c r="S340" s="156"/>
      <c r="T340" s="156"/>
    </row>
    <row r="341" ht="26.25" customHeight="1">
      <c r="A341" s="167"/>
      <c r="B341" s="174"/>
      <c r="C341" s="174"/>
      <c r="D341" s="175"/>
      <c r="E341" s="156"/>
      <c r="F341" s="156"/>
      <c r="G341" s="156"/>
      <c r="H341" s="174"/>
      <c r="I341" s="174"/>
      <c r="J341" s="174"/>
      <c r="K341" s="156"/>
      <c r="L341" s="156"/>
      <c r="M341" s="156"/>
      <c r="N341" s="156"/>
      <c r="O341" s="156"/>
      <c r="P341" s="156"/>
      <c r="Q341" s="156"/>
      <c r="R341" s="156"/>
      <c r="S341" s="156"/>
      <c r="T341" s="156"/>
    </row>
    <row r="342" ht="26.25" customHeight="1">
      <c r="A342" s="167"/>
      <c r="B342" s="174"/>
      <c r="C342" s="174"/>
      <c r="D342" s="175"/>
      <c r="E342" s="156"/>
      <c r="F342" s="156"/>
      <c r="G342" s="156"/>
      <c r="H342" s="174"/>
      <c r="I342" s="174"/>
      <c r="J342" s="174"/>
      <c r="K342" s="156"/>
      <c r="L342" s="156"/>
      <c r="M342" s="156"/>
      <c r="N342" s="156"/>
      <c r="O342" s="156"/>
      <c r="P342" s="156"/>
      <c r="Q342" s="156"/>
      <c r="R342" s="156"/>
      <c r="S342" s="156"/>
      <c r="T342" s="156"/>
    </row>
    <row r="343" ht="26.25" customHeight="1">
      <c r="A343" s="167"/>
      <c r="B343" s="174"/>
      <c r="C343" s="174"/>
      <c r="D343" s="175"/>
      <c r="E343" s="156"/>
      <c r="F343" s="156"/>
      <c r="G343" s="156"/>
      <c r="H343" s="174"/>
      <c r="I343" s="174"/>
      <c r="J343" s="174"/>
      <c r="K343" s="156"/>
      <c r="L343" s="156"/>
      <c r="M343" s="156"/>
      <c r="N343" s="156"/>
      <c r="O343" s="156"/>
      <c r="P343" s="156"/>
      <c r="Q343" s="156"/>
      <c r="R343" s="156"/>
      <c r="S343" s="156"/>
      <c r="T343" s="156"/>
    </row>
    <row r="344" ht="26.25" customHeight="1">
      <c r="A344" s="167"/>
      <c r="B344" s="174"/>
      <c r="C344" s="174"/>
      <c r="D344" s="175"/>
      <c r="E344" s="156"/>
      <c r="F344" s="156"/>
      <c r="G344" s="156"/>
      <c r="H344" s="174"/>
      <c r="I344" s="174"/>
      <c r="J344" s="174"/>
      <c r="K344" s="156"/>
      <c r="L344" s="156"/>
      <c r="M344" s="156"/>
      <c r="N344" s="156"/>
      <c r="O344" s="156"/>
      <c r="P344" s="156"/>
      <c r="Q344" s="156"/>
      <c r="R344" s="156"/>
      <c r="S344" s="156"/>
      <c r="T344" s="156"/>
    </row>
    <row r="345" ht="26.25" customHeight="1">
      <c r="A345" s="167"/>
      <c r="B345" s="174"/>
      <c r="C345" s="174"/>
      <c r="D345" s="175"/>
      <c r="E345" s="156"/>
      <c r="F345" s="156"/>
      <c r="G345" s="156"/>
      <c r="H345" s="174"/>
      <c r="I345" s="174"/>
      <c r="J345" s="174"/>
      <c r="K345" s="156"/>
      <c r="L345" s="156"/>
      <c r="M345" s="156"/>
      <c r="N345" s="156"/>
      <c r="O345" s="156"/>
      <c r="P345" s="156"/>
      <c r="Q345" s="156"/>
      <c r="R345" s="156"/>
      <c r="S345" s="156"/>
      <c r="T345" s="156"/>
    </row>
    <row r="346" ht="26.25" customHeight="1">
      <c r="A346" s="167"/>
      <c r="B346" s="174"/>
      <c r="C346" s="174"/>
      <c r="D346" s="175"/>
      <c r="E346" s="156"/>
      <c r="F346" s="156"/>
      <c r="G346" s="156"/>
      <c r="H346" s="174"/>
      <c r="I346" s="174"/>
      <c r="J346" s="174"/>
      <c r="K346" s="156"/>
      <c r="L346" s="156"/>
      <c r="M346" s="156"/>
      <c r="N346" s="156"/>
      <c r="O346" s="156"/>
      <c r="P346" s="156"/>
      <c r="Q346" s="156"/>
      <c r="R346" s="156"/>
      <c r="S346" s="156"/>
      <c r="T346" s="156"/>
    </row>
    <row r="347" ht="26.25" customHeight="1">
      <c r="A347" s="167"/>
      <c r="B347" s="174"/>
      <c r="C347" s="174"/>
      <c r="D347" s="175"/>
      <c r="E347" s="156"/>
      <c r="F347" s="156"/>
      <c r="G347" s="156"/>
      <c r="H347" s="174"/>
      <c r="I347" s="174"/>
      <c r="J347" s="174"/>
      <c r="K347" s="156"/>
      <c r="L347" s="156"/>
      <c r="M347" s="156"/>
      <c r="N347" s="156"/>
      <c r="O347" s="156"/>
      <c r="P347" s="156"/>
      <c r="Q347" s="156"/>
      <c r="R347" s="156"/>
      <c r="S347" s="156"/>
      <c r="T347" s="156"/>
    </row>
    <row r="348" ht="26.25" customHeight="1">
      <c r="A348" s="167"/>
      <c r="B348" s="174"/>
      <c r="C348" s="174"/>
      <c r="D348" s="175"/>
      <c r="E348" s="156"/>
      <c r="F348" s="156"/>
      <c r="G348" s="156"/>
      <c r="H348" s="174"/>
      <c r="I348" s="174"/>
      <c r="J348" s="174"/>
      <c r="K348" s="156"/>
      <c r="L348" s="156"/>
      <c r="M348" s="156"/>
      <c r="N348" s="156"/>
      <c r="O348" s="156"/>
      <c r="P348" s="156"/>
      <c r="Q348" s="156"/>
      <c r="R348" s="156"/>
      <c r="S348" s="156"/>
      <c r="T348" s="156"/>
    </row>
    <row r="349" ht="26.25" customHeight="1">
      <c r="A349" s="167"/>
      <c r="B349" s="174"/>
      <c r="C349" s="174"/>
      <c r="D349" s="175"/>
      <c r="E349" s="156"/>
      <c r="F349" s="156"/>
      <c r="G349" s="156"/>
      <c r="H349" s="174"/>
      <c r="I349" s="174"/>
      <c r="J349" s="174"/>
      <c r="K349" s="156"/>
      <c r="L349" s="156"/>
      <c r="M349" s="156"/>
      <c r="N349" s="156"/>
      <c r="O349" s="156"/>
      <c r="P349" s="156"/>
      <c r="Q349" s="156"/>
      <c r="R349" s="156"/>
      <c r="S349" s="156"/>
      <c r="T349" s="156"/>
    </row>
    <row r="350" ht="26.25" customHeight="1">
      <c r="A350" s="167"/>
      <c r="B350" s="174"/>
      <c r="C350" s="174"/>
      <c r="D350" s="175"/>
      <c r="E350" s="156"/>
      <c r="F350" s="156"/>
      <c r="G350" s="156"/>
      <c r="H350" s="174"/>
      <c r="I350" s="174"/>
      <c r="J350" s="174"/>
      <c r="K350" s="156"/>
      <c r="L350" s="156"/>
      <c r="M350" s="156"/>
      <c r="N350" s="156"/>
      <c r="O350" s="156"/>
      <c r="P350" s="156"/>
      <c r="Q350" s="156"/>
      <c r="R350" s="156"/>
      <c r="S350" s="156"/>
      <c r="T350" s="156"/>
    </row>
    <row r="351" ht="26.25" customHeight="1">
      <c r="A351" s="167"/>
      <c r="B351" s="174"/>
      <c r="C351" s="174"/>
      <c r="D351" s="175"/>
      <c r="E351" s="156"/>
      <c r="F351" s="156"/>
      <c r="G351" s="156"/>
      <c r="H351" s="174"/>
      <c r="I351" s="174"/>
      <c r="J351" s="174"/>
      <c r="K351" s="156"/>
      <c r="L351" s="156"/>
      <c r="M351" s="156"/>
      <c r="N351" s="156"/>
      <c r="O351" s="156"/>
      <c r="P351" s="156"/>
      <c r="Q351" s="156"/>
      <c r="R351" s="156"/>
      <c r="S351" s="156"/>
      <c r="T351" s="156"/>
    </row>
    <row r="352" ht="26.25" customHeight="1">
      <c r="A352" s="167"/>
      <c r="B352" s="174"/>
      <c r="C352" s="174"/>
      <c r="D352" s="175"/>
      <c r="E352" s="156"/>
      <c r="F352" s="156"/>
      <c r="G352" s="156"/>
      <c r="H352" s="174"/>
      <c r="I352" s="174"/>
      <c r="J352" s="174"/>
      <c r="K352" s="156"/>
      <c r="L352" s="156"/>
      <c r="M352" s="156"/>
      <c r="N352" s="156"/>
      <c r="O352" s="156"/>
      <c r="P352" s="156"/>
      <c r="Q352" s="156"/>
      <c r="R352" s="156"/>
      <c r="S352" s="156"/>
      <c r="T352" s="156"/>
    </row>
    <row r="353" ht="26.25" customHeight="1">
      <c r="A353" s="167"/>
      <c r="B353" s="174"/>
      <c r="C353" s="174"/>
      <c r="D353" s="175"/>
      <c r="E353" s="156"/>
      <c r="F353" s="156"/>
      <c r="G353" s="156"/>
      <c r="H353" s="174"/>
      <c r="I353" s="174"/>
      <c r="J353" s="174"/>
      <c r="K353" s="156"/>
      <c r="L353" s="156"/>
      <c r="M353" s="156"/>
      <c r="N353" s="156"/>
      <c r="O353" s="156"/>
      <c r="P353" s="156"/>
      <c r="Q353" s="156"/>
      <c r="R353" s="156"/>
      <c r="S353" s="156"/>
      <c r="T353" s="156"/>
    </row>
    <row r="354" ht="26.25" customHeight="1">
      <c r="A354" s="167"/>
      <c r="B354" s="174"/>
      <c r="C354" s="174"/>
      <c r="D354" s="175"/>
      <c r="E354" s="156"/>
      <c r="F354" s="156"/>
      <c r="G354" s="156"/>
      <c r="H354" s="174"/>
      <c r="I354" s="174"/>
      <c r="J354" s="174"/>
      <c r="K354" s="156"/>
      <c r="L354" s="156"/>
      <c r="M354" s="156"/>
      <c r="N354" s="156"/>
      <c r="O354" s="156"/>
      <c r="P354" s="156"/>
      <c r="Q354" s="156"/>
      <c r="R354" s="156"/>
      <c r="S354" s="156"/>
      <c r="T354" s="156"/>
    </row>
    <row r="355" ht="26.25" customHeight="1">
      <c r="A355" s="167"/>
      <c r="B355" s="174"/>
      <c r="C355" s="174"/>
      <c r="D355" s="175"/>
      <c r="E355" s="156"/>
      <c r="F355" s="156"/>
      <c r="G355" s="156"/>
      <c r="H355" s="174"/>
      <c r="I355" s="174"/>
      <c r="J355" s="174"/>
      <c r="K355" s="156"/>
      <c r="L355" s="156"/>
      <c r="M355" s="156"/>
      <c r="N355" s="156"/>
      <c r="O355" s="156"/>
      <c r="P355" s="156"/>
      <c r="Q355" s="156"/>
      <c r="R355" s="156"/>
      <c r="S355" s="156"/>
      <c r="T355" s="156"/>
    </row>
    <row r="356" ht="26.25" customHeight="1">
      <c r="A356" s="167"/>
      <c r="B356" s="174"/>
      <c r="C356" s="174"/>
      <c r="D356" s="175"/>
      <c r="E356" s="156"/>
      <c r="F356" s="156"/>
      <c r="G356" s="156"/>
      <c r="H356" s="174"/>
      <c r="I356" s="174"/>
      <c r="J356" s="174"/>
      <c r="K356" s="156"/>
      <c r="L356" s="156"/>
      <c r="M356" s="156"/>
      <c r="N356" s="156"/>
      <c r="O356" s="156"/>
      <c r="P356" s="156"/>
      <c r="Q356" s="156"/>
      <c r="R356" s="156"/>
      <c r="S356" s="156"/>
      <c r="T356" s="156"/>
    </row>
    <row r="357" ht="26.25" customHeight="1">
      <c r="A357" s="167"/>
      <c r="B357" s="174"/>
      <c r="C357" s="174"/>
      <c r="D357" s="175"/>
      <c r="E357" s="156"/>
      <c r="F357" s="156"/>
      <c r="G357" s="156"/>
      <c r="H357" s="174"/>
      <c r="I357" s="174"/>
      <c r="J357" s="174"/>
      <c r="K357" s="156"/>
      <c r="L357" s="156"/>
      <c r="M357" s="156"/>
      <c r="N357" s="156"/>
      <c r="O357" s="156"/>
      <c r="P357" s="156"/>
      <c r="Q357" s="156"/>
      <c r="R357" s="156"/>
      <c r="S357" s="156"/>
      <c r="T357" s="156"/>
    </row>
    <row r="358" ht="26.25" customHeight="1">
      <c r="A358" s="167"/>
      <c r="B358" s="174"/>
      <c r="C358" s="174"/>
      <c r="D358" s="175"/>
      <c r="E358" s="156"/>
      <c r="F358" s="156"/>
      <c r="G358" s="156"/>
      <c r="H358" s="174"/>
      <c r="I358" s="174"/>
      <c r="J358" s="174"/>
      <c r="K358" s="156"/>
      <c r="L358" s="156"/>
      <c r="M358" s="156"/>
      <c r="N358" s="156"/>
      <c r="O358" s="156"/>
      <c r="P358" s="156"/>
      <c r="Q358" s="156"/>
      <c r="R358" s="156"/>
      <c r="S358" s="156"/>
      <c r="T358" s="156"/>
    </row>
    <row r="359" ht="26.25" customHeight="1">
      <c r="A359" s="167"/>
      <c r="B359" s="174"/>
      <c r="C359" s="174"/>
      <c r="D359" s="175"/>
      <c r="E359" s="156"/>
      <c r="F359" s="156"/>
      <c r="G359" s="156"/>
      <c r="H359" s="174"/>
      <c r="I359" s="174"/>
      <c r="J359" s="174"/>
      <c r="K359" s="156"/>
      <c r="L359" s="156"/>
      <c r="M359" s="156"/>
      <c r="N359" s="156"/>
      <c r="O359" s="156"/>
      <c r="P359" s="156"/>
      <c r="Q359" s="156"/>
      <c r="R359" s="156"/>
      <c r="S359" s="156"/>
      <c r="T359" s="156"/>
    </row>
    <row r="360" ht="26.25" customHeight="1">
      <c r="A360" s="167"/>
      <c r="B360" s="174"/>
      <c r="C360" s="174"/>
      <c r="D360" s="175"/>
      <c r="E360" s="156"/>
      <c r="F360" s="156"/>
      <c r="G360" s="156"/>
      <c r="H360" s="174"/>
      <c r="I360" s="174"/>
      <c r="J360" s="174"/>
      <c r="K360" s="156"/>
      <c r="L360" s="156"/>
      <c r="M360" s="156"/>
      <c r="N360" s="156"/>
      <c r="O360" s="156"/>
      <c r="P360" s="156"/>
      <c r="Q360" s="156"/>
      <c r="R360" s="156"/>
      <c r="S360" s="156"/>
      <c r="T360" s="156"/>
    </row>
    <row r="361" ht="26.25" customHeight="1">
      <c r="A361" s="167"/>
      <c r="B361" s="174"/>
      <c r="C361" s="174"/>
      <c r="D361" s="175"/>
      <c r="E361" s="156"/>
      <c r="F361" s="156"/>
      <c r="G361" s="156"/>
      <c r="H361" s="174"/>
      <c r="I361" s="174"/>
      <c r="J361" s="174"/>
      <c r="K361" s="156"/>
      <c r="L361" s="156"/>
      <c r="M361" s="156"/>
      <c r="N361" s="156"/>
      <c r="O361" s="156"/>
      <c r="P361" s="156"/>
      <c r="Q361" s="156"/>
      <c r="R361" s="156"/>
      <c r="S361" s="156"/>
      <c r="T361" s="156"/>
    </row>
    <row r="362" ht="26.25" customHeight="1">
      <c r="A362" s="167"/>
      <c r="B362" s="174"/>
      <c r="C362" s="174"/>
      <c r="D362" s="175"/>
      <c r="E362" s="156"/>
      <c r="F362" s="156"/>
      <c r="G362" s="156"/>
      <c r="H362" s="174"/>
      <c r="I362" s="174"/>
      <c r="J362" s="174"/>
      <c r="K362" s="156"/>
      <c r="L362" s="156"/>
      <c r="M362" s="156"/>
      <c r="N362" s="156"/>
      <c r="O362" s="156"/>
      <c r="P362" s="156"/>
      <c r="Q362" s="156"/>
      <c r="R362" s="156"/>
      <c r="S362" s="156"/>
      <c r="T362" s="156"/>
    </row>
    <row r="363" ht="26.25" customHeight="1">
      <c r="A363" s="167"/>
      <c r="B363" s="174"/>
      <c r="C363" s="174"/>
      <c r="D363" s="175"/>
      <c r="E363" s="156"/>
      <c r="F363" s="156"/>
      <c r="G363" s="156"/>
      <c r="H363" s="174"/>
      <c r="I363" s="174"/>
      <c r="J363" s="174"/>
      <c r="K363" s="156"/>
      <c r="L363" s="156"/>
      <c r="M363" s="156"/>
      <c r="N363" s="156"/>
      <c r="O363" s="156"/>
      <c r="P363" s="156"/>
      <c r="Q363" s="156"/>
      <c r="R363" s="156"/>
      <c r="S363" s="156"/>
      <c r="T363" s="156"/>
    </row>
    <row r="364" ht="26.25" customHeight="1">
      <c r="A364" s="167"/>
      <c r="B364" s="174"/>
      <c r="C364" s="174"/>
      <c r="D364" s="175"/>
      <c r="E364" s="156"/>
      <c r="F364" s="156"/>
      <c r="G364" s="156"/>
      <c r="H364" s="174"/>
      <c r="I364" s="174"/>
      <c r="J364" s="174"/>
      <c r="K364" s="156"/>
      <c r="L364" s="156"/>
      <c r="M364" s="156"/>
      <c r="N364" s="156"/>
      <c r="O364" s="156"/>
      <c r="P364" s="156"/>
      <c r="Q364" s="156"/>
      <c r="R364" s="156"/>
      <c r="S364" s="156"/>
      <c r="T364" s="156"/>
    </row>
    <row r="365" ht="26.25" customHeight="1">
      <c r="A365" s="167"/>
      <c r="B365" s="174"/>
      <c r="C365" s="174"/>
      <c r="D365" s="175"/>
      <c r="E365" s="156"/>
      <c r="F365" s="156"/>
      <c r="G365" s="156"/>
      <c r="H365" s="174"/>
      <c r="I365" s="174"/>
      <c r="J365" s="174"/>
      <c r="K365" s="156"/>
      <c r="L365" s="156"/>
      <c r="M365" s="156"/>
      <c r="N365" s="156"/>
      <c r="O365" s="156"/>
      <c r="P365" s="156"/>
      <c r="Q365" s="156"/>
      <c r="R365" s="156"/>
      <c r="S365" s="156"/>
      <c r="T365" s="156"/>
    </row>
    <row r="366" ht="26.25" customHeight="1">
      <c r="A366" s="167"/>
      <c r="B366" s="174"/>
      <c r="C366" s="174"/>
      <c r="D366" s="175"/>
      <c r="E366" s="156"/>
      <c r="F366" s="156"/>
      <c r="G366" s="156"/>
      <c r="H366" s="174"/>
      <c r="I366" s="174"/>
      <c r="J366" s="174"/>
      <c r="K366" s="156"/>
      <c r="L366" s="156"/>
      <c r="M366" s="156"/>
      <c r="N366" s="156"/>
      <c r="O366" s="156"/>
      <c r="P366" s="156"/>
      <c r="Q366" s="156"/>
      <c r="R366" s="156"/>
      <c r="S366" s="156"/>
      <c r="T366" s="156"/>
    </row>
    <row r="367" ht="26.25" customHeight="1">
      <c r="A367" s="167"/>
      <c r="B367" s="174"/>
      <c r="C367" s="174"/>
      <c r="D367" s="175"/>
      <c r="E367" s="156"/>
      <c r="F367" s="156"/>
      <c r="G367" s="156"/>
      <c r="H367" s="174"/>
      <c r="I367" s="174"/>
      <c r="J367" s="174"/>
      <c r="K367" s="156"/>
      <c r="L367" s="156"/>
      <c r="M367" s="156"/>
      <c r="N367" s="156"/>
      <c r="O367" s="156"/>
      <c r="P367" s="156"/>
      <c r="Q367" s="156"/>
      <c r="R367" s="156"/>
      <c r="S367" s="156"/>
      <c r="T367" s="156"/>
    </row>
    <row r="368" ht="26.25" customHeight="1">
      <c r="A368" s="167"/>
      <c r="B368" s="174"/>
      <c r="C368" s="174"/>
      <c r="D368" s="175"/>
      <c r="E368" s="156"/>
      <c r="F368" s="156"/>
      <c r="G368" s="156"/>
      <c r="H368" s="174"/>
      <c r="I368" s="174"/>
      <c r="J368" s="174"/>
      <c r="K368" s="156"/>
      <c r="L368" s="156"/>
      <c r="M368" s="156"/>
      <c r="N368" s="156"/>
      <c r="O368" s="156"/>
      <c r="P368" s="156"/>
      <c r="Q368" s="156"/>
      <c r="R368" s="156"/>
      <c r="S368" s="156"/>
      <c r="T368" s="156"/>
    </row>
    <row r="369" ht="26.25" customHeight="1">
      <c r="A369" s="167"/>
      <c r="B369" s="174"/>
      <c r="C369" s="174"/>
      <c r="D369" s="175"/>
      <c r="E369" s="156"/>
      <c r="F369" s="156"/>
      <c r="G369" s="156"/>
      <c r="H369" s="174"/>
      <c r="I369" s="174"/>
      <c r="J369" s="174"/>
      <c r="K369" s="156"/>
      <c r="L369" s="156"/>
      <c r="M369" s="156"/>
      <c r="N369" s="156"/>
      <c r="O369" s="156"/>
      <c r="P369" s="156"/>
      <c r="Q369" s="156"/>
      <c r="R369" s="156"/>
      <c r="S369" s="156"/>
      <c r="T369" s="156"/>
    </row>
    <row r="370" ht="26.25" customHeight="1">
      <c r="A370" s="167"/>
      <c r="B370" s="174"/>
      <c r="C370" s="174"/>
      <c r="D370" s="175"/>
      <c r="E370" s="156"/>
      <c r="F370" s="156"/>
      <c r="G370" s="156"/>
      <c r="H370" s="174"/>
      <c r="I370" s="174"/>
      <c r="J370" s="174"/>
      <c r="K370" s="156"/>
      <c r="L370" s="156"/>
      <c r="M370" s="156"/>
      <c r="N370" s="156"/>
      <c r="O370" s="156"/>
      <c r="P370" s="156"/>
      <c r="Q370" s="156"/>
      <c r="R370" s="156"/>
      <c r="S370" s="156"/>
      <c r="T370" s="156"/>
    </row>
    <row r="371" ht="26.25" customHeight="1">
      <c r="A371" s="167"/>
      <c r="B371" s="174"/>
      <c r="C371" s="174"/>
      <c r="D371" s="175"/>
      <c r="E371" s="156"/>
      <c r="F371" s="156"/>
      <c r="G371" s="156"/>
      <c r="H371" s="174"/>
      <c r="I371" s="174"/>
      <c r="J371" s="174"/>
      <c r="K371" s="156"/>
      <c r="L371" s="156"/>
      <c r="M371" s="156"/>
      <c r="N371" s="156"/>
      <c r="O371" s="156"/>
      <c r="P371" s="156"/>
      <c r="Q371" s="156"/>
      <c r="R371" s="156"/>
      <c r="S371" s="156"/>
      <c r="T371" s="156"/>
    </row>
    <row r="372" ht="26.25" customHeight="1">
      <c r="A372" s="167"/>
      <c r="B372" s="174"/>
      <c r="C372" s="174"/>
      <c r="D372" s="175"/>
      <c r="E372" s="156"/>
      <c r="F372" s="156"/>
      <c r="G372" s="156"/>
      <c r="H372" s="174"/>
      <c r="I372" s="174"/>
      <c r="J372" s="174"/>
      <c r="K372" s="156"/>
      <c r="L372" s="156"/>
      <c r="M372" s="156"/>
      <c r="N372" s="156"/>
      <c r="O372" s="156"/>
      <c r="P372" s="156"/>
      <c r="Q372" s="156"/>
      <c r="R372" s="156"/>
      <c r="S372" s="156"/>
      <c r="T372" s="156"/>
    </row>
    <row r="373" ht="26.25" customHeight="1">
      <c r="A373" s="167"/>
      <c r="B373" s="174"/>
      <c r="C373" s="174"/>
      <c r="D373" s="175"/>
      <c r="E373" s="156"/>
      <c r="F373" s="156"/>
      <c r="G373" s="156"/>
      <c r="H373" s="174"/>
      <c r="I373" s="174"/>
      <c r="J373" s="174"/>
      <c r="K373" s="156"/>
      <c r="L373" s="156"/>
      <c r="M373" s="156"/>
      <c r="N373" s="156"/>
      <c r="O373" s="156"/>
      <c r="P373" s="156"/>
      <c r="Q373" s="156"/>
      <c r="R373" s="156"/>
      <c r="S373" s="156"/>
      <c r="T373" s="156"/>
    </row>
    <row r="374" ht="26.25" customHeight="1">
      <c r="A374" s="167"/>
      <c r="B374" s="174"/>
      <c r="C374" s="174"/>
      <c r="D374" s="175"/>
      <c r="E374" s="156"/>
      <c r="F374" s="156"/>
      <c r="G374" s="156"/>
      <c r="H374" s="174"/>
      <c r="I374" s="174"/>
      <c r="J374" s="174"/>
      <c r="K374" s="156"/>
      <c r="L374" s="156"/>
      <c r="M374" s="156"/>
      <c r="N374" s="156"/>
      <c r="O374" s="156"/>
      <c r="P374" s="156"/>
      <c r="Q374" s="156"/>
      <c r="R374" s="156"/>
      <c r="S374" s="156"/>
      <c r="T374" s="156"/>
    </row>
    <row r="375" ht="26.25" customHeight="1">
      <c r="A375" s="167"/>
      <c r="B375" s="174"/>
      <c r="C375" s="174"/>
      <c r="D375" s="175"/>
      <c r="E375" s="156"/>
      <c r="F375" s="156"/>
      <c r="G375" s="156"/>
      <c r="H375" s="174"/>
      <c r="I375" s="174"/>
      <c r="J375" s="174"/>
      <c r="K375" s="156"/>
      <c r="L375" s="156"/>
      <c r="M375" s="156"/>
      <c r="N375" s="156"/>
      <c r="O375" s="156"/>
      <c r="P375" s="156"/>
      <c r="Q375" s="156"/>
      <c r="R375" s="156"/>
      <c r="S375" s="156"/>
      <c r="T375" s="156"/>
    </row>
    <row r="376" ht="26.25" customHeight="1">
      <c r="A376" s="167"/>
      <c r="B376" s="174"/>
      <c r="C376" s="174"/>
      <c r="D376" s="175"/>
      <c r="E376" s="156"/>
      <c r="F376" s="156"/>
      <c r="G376" s="156"/>
      <c r="H376" s="174"/>
      <c r="I376" s="174"/>
      <c r="J376" s="174"/>
      <c r="K376" s="156"/>
      <c r="L376" s="156"/>
      <c r="M376" s="156"/>
      <c r="N376" s="156"/>
      <c r="O376" s="156"/>
      <c r="P376" s="156"/>
      <c r="Q376" s="156"/>
      <c r="R376" s="156"/>
      <c r="S376" s="156"/>
      <c r="T376" s="156"/>
    </row>
    <row r="377" ht="26.25" customHeight="1">
      <c r="A377" s="167"/>
      <c r="B377" s="174"/>
      <c r="C377" s="174"/>
      <c r="D377" s="175"/>
      <c r="E377" s="156"/>
      <c r="F377" s="156"/>
      <c r="G377" s="156"/>
      <c r="H377" s="174"/>
      <c r="I377" s="174"/>
      <c r="J377" s="174"/>
      <c r="K377" s="156"/>
      <c r="L377" s="156"/>
      <c r="M377" s="156"/>
      <c r="N377" s="156"/>
      <c r="O377" s="156"/>
      <c r="P377" s="156"/>
      <c r="Q377" s="156"/>
      <c r="R377" s="156"/>
      <c r="S377" s="156"/>
      <c r="T377" s="156"/>
    </row>
    <row r="378" ht="26.25" customHeight="1">
      <c r="A378" s="167"/>
      <c r="B378" s="174"/>
      <c r="C378" s="174"/>
      <c r="D378" s="175"/>
      <c r="E378" s="156"/>
      <c r="F378" s="156"/>
      <c r="G378" s="156"/>
      <c r="H378" s="174"/>
      <c r="I378" s="174"/>
      <c r="J378" s="174"/>
      <c r="K378" s="156"/>
      <c r="L378" s="156"/>
      <c r="M378" s="156"/>
      <c r="N378" s="156"/>
      <c r="O378" s="156"/>
      <c r="P378" s="156"/>
      <c r="Q378" s="156"/>
      <c r="R378" s="156"/>
      <c r="S378" s="156"/>
      <c r="T378" s="156"/>
    </row>
    <row r="379" ht="26.25" customHeight="1">
      <c r="A379" s="167"/>
      <c r="B379" s="174"/>
      <c r="C379" s="174"/>
      <c r="D379" s="175"/>
      <c r="E379" s="156"/>
      <c r="F379" s="156"/>
      <c r="G379" s="156"/>
      <c r="H379" s="174"/>
      <c r="I379" s="174"/>
      <c r="J379" s="174"/>
      <c r="K379" s="156"/>
      <c r="L379" s="156"/>
      <c r="M379" s="156"/>
      <c r="N379" s="156"/>
      <c r="O379" s="156"/>
      <c r="P379" s="156"/>
      <c r="Q379" s="156"/>
      <c r="R379" s="156"/>
      <c r="S379" s="156"/>
      <c r="T379" s="156"/>
    </row>
    <row r="380" ht="26.25" customHeight="1">
      <c r="A380" s="167"/>
      <c r="B380" s="174"/>
      <c r="C380" s="174"/>
      <c r="D380" s="175"/>
      <c r="E380" s="156"/>
      <c r="F380" s="156"/>
      <c r="G380" s="156"/>
      <c r="H380" s="174"/>
      <c r="I380" s="174"/>
      <c r="J380" s="174"/>
      <c r="K380" s="156"/>
      <c r="L380" s="156"/>
      <c r="M380" s="156"/>
      <c r="N380" s="156"/>
      <c r="O380" s="156"/>
      <c r="P380" s="156"/>
      <c r="Q380" s="156"/>
      <c r="R380" s="156"/>
      <c r="S380" s="156"/>
      <c r="T380" s="156"/>
    </row>
    <row r="381" ht="26.25" customHeight="1">
      <c r="A381" s="167"/>
      <c r="B381" s="174"/>
      <c r="C381" s="174"/>
      <c r="D381" s="175"/>
      <c r="E381" s="156"/>
      <c r="F381" s="156"/>
      <c r="G381" s="156"/>
      <c r="H381" s="174"/>
      <c r="I381" s="174"/>
      <c r="J381" s="174"/>
      <c r="K381" s="156"/>
      <c r="L381" s="156"/>
      <c r="M381" s="156"/>
      <c r="N381" s="156"/>
      <c r="O381" s="156"/>
      <c r="P381" s="156"/>
      <c r="Q381" s="156"/>
      <c r="R381" s="156"/>
      <c r="S381" s="156"/>
      <c r="T381" s="156"/>
    </row>
    <row r="382" ht="26.25" customHeight="1">
      <c r="A382" s="167"/>
      <c r="B382" s="174"/>
      <c r="C382" s="174"/>
      <c r="D382" s="175"/>
      <c r="E382" s="156"/>
      <c r="F382" s="156"/>
      <c r="G382" s="156"/>
      <c r="H382" s="174"/>
      <c r="I382" s="174"/>
      <c r="J382" s="174"/>
      <c r="K382" s="156"/>
      <c r="L382" s="156"/>
      <c r="M382" s="156"/>
      <c r="N382" s="156"/>
      <c r="O382" s="156"/>
      <c r="P382" s="156"/>
      <c r="Q382" s="156"/>
      <c r="R382" s="156"/>
      <c r="S382" s="156"/>
      <c r="T382" s="156"/>
    </row>
    <row r="383" ht="26.25" customHeight="1">
      <c r="A383" s="167"/>
      <c r="B383" s="174"/>
      <c r="C383" s="174"/>
      <c r="D383" s="175"/>
      <c r="E383" s="156"/>
      <c r="F383" s="156"/>
      <c r="G383" s="156"/>
      <c r="H383" s="174"/>
      <c r="I383" s="174"/>
      <c r="J383" s="174"/>
      <c r="K383" s="156"/>
      <c r="L383" s="156"/>
      <c r="M383" s="156"/>
      <c r="N383" s="156"/>
      <c r="O383" s="156"/>
      <c r="P383" s="156"/>
      <c r="Q383" s="156"/>
      <c r="R383" s="156"/>
      <c r="S383" s="156"/>
      <c r="T383" s="156"/>
    </row>
    <row r="384" ht="26.25" customHeight="1">
      <c r="A384" s="167"/>
      <c r="B384" s="174"/>
      <c r="C384" s="174"/>
      <c r="D384" s="175"/>
      <c r="E384" s="156"/>
      <c r="F384" s="156"/>
      <c r="G384" s="156"/>
      <c r="H384" s="174"/>
      <c r="I384" s="174"/>
      <c r="J384" s="174"/>
      <c r="K384" s="156"/>
      <c r="L384" s="156"/>
      <c r="M384" s="156"/>
      <c r="N384" s="156"/>
      <c r="O384" s="156"/>
      <c r="P384" s="156"/>
      <c r="Q384" s="156"/>
      <c r="R384" s="156"/>
      <c r="S384" s="156"/>
      <c r="T384" s="156"/>
    </row>
    <row r="385" ht="26.25" customHeight="1">
      <c r="A385" s="167"/>
      <c r="B385" s="174"/>
      <c r="C385" s="174"/>
      <c r="D385" s="175"/>
      <c r="E385" s="156"/>
      <c r="F385" s="156"/>
      <c r="G385" s="156"/>
      <c r="H385" s="174"/>
      <c r="I385" s="174"/>
      <c r="J385" s="174"/>
      <c r="K385" s="156"/>
      <c r="L385" s="156"/>
      <c r="M385" s="156"/>
      <c r="N385" s="156"/>
      <c r="O385" s="156"/>
      <c r="P385" s="156"/>
      <c r="Q385" s="156"/>
      <c r="R385" s="156"/>
      <c r="S385" s="156"/>
      <c r="T385" s="156"/>
    </row>
    <row r="386" ht="26.25" customHeight="1">
      <c r="A386" s="167"/>
      <c r="B386" s="174"/>
      <c r="C386" s="174"/>
      <c r="D386" s="175"/>
      <c r="E386" s="156"/>
      <c r="F386" s="156"/>
      <c r="G386" s="156"/>
      <c r="H386" s="174"/>
      <c r="I386" s="174"/>
      <c r="J386" s="174"/>
      <c r="K386" s="156"/>
      <c r="L386" s="156"/>
      <c r="M386" s="156"/>
      <c r="N386" s="156"/>
      <c r="O386" s="156"/>
      <c r="P386" s="156"/>
      <c r="Q386" s="156"/>
      <c r="R386" s="156"/>
      <c r="S386" s="156"/>
      <c r="T386" s="156"/>
    </row>
    <row r="387" ht="26.25" customHeight="1">
      <c r="A387" s="167"/>
      <c r="B387" s="174"/>
      <c r="C387" s="174"/>
      <c r="D387" s="175"/>
      <c r="E387" s="156"/>
      <c r="F387" s="156"/>
      <c r="G387" s="156"/>
      <c r="H387" s="174"/>
      <c r="I387" s="174"/>
      <c r="J387" s="174"/>
      <c r="K387" s="156"/>
      <c r="L387" s="156"/>
      <c r="M387" s="156"/>
      <c r="N387" s="156"/>
      <c r="O387" s="156"/>
      <c r="P387" s="156"/>
      <c r="Q387" s="156"/>
      <c r="R387" s="156"/>
      <c r="S387" s="156"/>
      <c r="T387" s="156"/>
    </row>
    <row r="388" ht="26.25" customHeight="1">
      <c r="A388" s="167"/>
      <c r="B388" s="174"/>
      <c r="C388" s="174"/>
      <c r="D388" s="175"/>
      <c r="E388" s="156"/>
      <c r="F388" s="156"/>
      <c r="G388" s="156"/>
      <c r="H388" s="174"/>
      <c r="I388" s="174"/>
      <c r="J388" s="174"/>
      <c r="K388" s="156"/>
      <c r="L388" s="156"/>
      <c r="M388" s="156"/>
      <c r="N388" s="156"/>
      <c r="O388" s="156"/>
      <c r="P388" s="156"/>
      <c r="Q388" s="156"/>
      <c r="R388" s="156"/>
      <c r="S388" s="156"/>
      <c r="T388" s="156"/>
    </row>
    <row r="389" ht="26.25" customHeight="1">
      <c r="A389" s="167"/>
      <c r="B389" s="174"/>
      <c r="C389" s="174"/>
      <c r="D389" s="175"/>
      <c r="E389" s="156"/>
      <c r="F389" s="156"/>
      <c r="G389" s="156"/>
      <c r="H389" s="174"/>
      <c r="I389" s="174"/>
      <c r="J389" s="174"/>
      <c r="K389" s="156"/>
      <c r="L389" s="156"/>
      <c r="M389" s="156"/>
      <c r="N389" s="156"/>
      <c r="O389" s="156"/>
      <c r="P389" s="156"/>
      <c r="Q389" s="156"/>
      <c r="R389" s="156"/>
      <c r="S389" s="156"/>
      <c r="T389" s="156"/>
    </row>
    <row r="390" ht="26.25" customHeight="1">
      <c r="A390" s="167"/>
      <c r="B390" s="174"/>
      <c r="C390" s="174"/>
      <c r="D390" s="175"/>
      <c r="E390" s="156"/>
      <c r="F390" s="156"/>
      <c r="G390" s="156"/>
      <c r="H390" s="174"/>
      <c r="I390" s="174"/>
      <c r="J390" s="174"/>
      <c r="K390" s="156"/>
      <c r="L390" s="156"/>
      <c r="M390" s="156"/>
      <c r="N390" s="156"/>
      <c r="O390" s="156"/>
      <c r="P390" s="156"/>
      <c r="Q390" s="156"/>
      <c r="R390" s="156"/>
      <c r="S390" s="156"/>
      <c r="T390" s="156"/>
    </row>
    <row r="391" ht="26.25" customHeight="1">
      <c r="A391" s="167"/>
      <c r="B391" s="174"/>
      <c r="C391" s="174"/>
      <c r="D391" s="175"/>
      <c r="E391" s="156"/>
      <c r="F391" s="156"/>
      <c r="G391" s="156"/>
      <c r="H391" s="174"/>
      <c r="I391" s="174"/>
      <c r="J391" s="174"/>
      <c r="K391" s="156"/>
      <c r="L391" s="156"/>
      <c r="M391" s="156"/>
      <c r="N391" s="156"/>
      <c r="O391" s="156"/>
      <c r="P391" s="156"/>
      <c r="Q391" s="156"/>
      <c r="R391" s="156"/>
      <c r="S391" s="156"/>
      <c r="T391" s="156"/>
    </row>
    <row r="392" ht="26.25" customHeight="1">
      <c r="A392" s="167"/>
      <c r="B392" s="174"/>
      <c r="C392" s="174"/>
      <c r="D392" s="175"/>
      <c r="E392" s="156"/>
      <c r="F392" s="156"/>
      <c r="G392" s="156"/>
      <c r="H392" s="174"/>
      <c r="I392" s="174"/>
      <c r="J392" s="174"/>
      <c r="K392" s="156"/>
      <c r="L392" s="156"/>
      <c r="M392" s="156"/>
      <c r="N392" s="156"/>
      <c r="O392" s="156"/>
      <c r="P392" s="156"/>
      <c r="Q392" s="156"/>
      <c r="R392" s="156"/>
      <c r="S392" s="156"/>
      <c r="T392" s="156"/>
    </row>
    <row r="393" ht="26.25" customHeight="1">
      <c r="A393" s="167"/>
      <c r="B393" s="174"/>
      <c r="C393" s="174"/>
      <c r="D393" s="175"/>
      <c r="E393" s="156"/>
      <c r="F393" s="156"/>
      <c r="G393" s="156"/>
      <c r="H393" s="174"/>
      <c r="I393" s="174"/>
      <c r="J393" s="174"/>
      <c r="K393" s="156"/>
      <c r="L393" s="156"/>
      <c r="M393" s="156"/>
      <c r="N393" s="156"/>
      <c r="O393" s="156"/>
      <c r="P393" s="156"/>
      <c r="Q393" s="156"/>
      <c r="R393" s="156"/>
      <c r="S393" s="156"/>
      <c r="T393" s="156"/>
    </row>
    <row r="394" ht="26.25" customHeight="1">
      <c r="A394" s="167"/>
      <c r="B394" s="174"/>
      <c r="C394" s="174"/>
      <c r="D394" s="175"/>
      <c r="E394" s="156"/>
      <c r="F394" s="156"/>
      <c r="G394" s="156"/>
      <c r="H394" s="174"/>
      <c r="I394" s="174"/>
      <c r="J394" s="174"/>
      <c r="K394" s="156"/>
      <c r="L394" s="156"/>
      <c r="M394" s="156"/>
      <c r="N394" s="156"/>
      <c r="O394" s="156"/>
      <c r="P394" s="156"/>
      <c r="Q394" s="156"/>
      <c r="R394" s="156"/>
      <c r="S394" s="156"/>
      <c r="T394" s="156"/>
    </row>
    <row r="395" ht="26.25" customHeight="1">
      <c r="A395" s="167"/>
      <c r="B395" s="174"/>
      <c r="C395" s="174"/>
      <c r="D395" s="175"/>
      <c r="E395" s="156"/>
      <c r="F395" s="156"/>
      <c r="G395" s="156"/>
      <c r="H395" s="174"/>
      <c r="I395" s="174"/>
      <c r="J395" s="174"/>
      <c r="K395" s="156"/>
      <c r="L395" s="156"/>
      <c r="M395" s="156"/>
      <c r="N395" s="156"/>
      <c r="O395" s="156"/>
      <c r="P395" s="156"/>
      <c r="Q395" s="156"/>
      <c r="R395" s="156"/>
      <c r="S395" s="156"/>
      <c r="T395" s="156"/>
    </row>
    <row r="396" ht="26.25" customHeight="1">
      <c r="A396" s="167"/>
      <c r="B396" s="174"/>
      <c r="C396" s="174"/>
      <c r="D396" s="175"/>
      <c r="E396" s="156"/>
      <c r="F396" s="156"/>
      <c r="G396" s="156"/>
      <c r="H396" s="174"/>
      <c r="I396" s="174"/>
      <c r="J396" s="174"/>
      <c r="K396" s="156"/>
      <c r="L396" s="156"/>
      <c r="M396" s="156"/>
      <c r="N396" s="156"/>
      <c r="O396" s="156"/>
      <c r="P396" s="156"/>
      <c r="Q396" s="156"/>
      <c r="R396" s="156"/>
      <c r="S396" s="156"/>
      <c r="T396" s="156"/>
    </row>
    <row r="397" ht="26.25" customHeight="1">
      <c r="A397" s="167"/>
      <c r="B397" s="174"/>
      <c r="C397" s="174"/>
      <c r="D397" s="175"/>
      <c r="E397" s="156"/>
      <c r="F397" s="156"/>
      <c r="G397" s="156"/>
      <c r="H397" s="174"/>
      <c r="I397" s="174"/>
      <c r="J397" s="174"/>
      <c r="K397" s="156"/>
      <c r="L397" s="156"/>
      <c r="M397" s="156"/>
      <c r="N397" s="156"/>
      <c r="O397" s="156"/>
      <c r="P397" s="156"/>
      <c r="Q397" s="156"/>
      <c r="R397" s="156"/>
      <c r="S397" s="156"/>
      <c r="T397" s="156"/>
    </row>
    <row r="398" ht="26.25" customHeight="1">
      <c r="A398" s="167"/>
      <c r="B398" s="174"/>
      <c r="C398" s="174"/>
      <c r="D398" s="175"/>
      <c r="E398" s="156"/>
      <c r="F398" s="156"/>
      <c r="G398" s="156"/>
      <c r="H398" s="174"/>
      <c r="I398" s="174"/>
      <c r="J398" s="174"/>
      <c r="K398" s="156"/>
      <c r="L398" s="156"/>
      <c r="M398" s="156"/>
      <c r="N398" s="156"/>
      <c r="O398" s="156"/>
      <c r="P398" s="156"/>
      <c r="Q398" s="156"/>
      <c r="R398" s="156"/>
      <c r="S398" s="156"/>
      <c r="T398" s="156"/>
    </row>
    <row r="399" ht="26.25" customHeight="1">
      <c r="A399" s="167"/>
      <c r="B399" s="174"/>
      <c r="C399" s="174"/>
      <c r="D399" s="175"/>
      <c r="E399" s="156"/>
      <c r="F399" s="156"/>
      <c r="G399" s="156"/>
      <c r="H399" s="174"/>
      <c r="I399" s="174"/>
      <c r="J399" s="174"/>
      <c r="K399" s="156"/>
      <c r="L399" s="156"/>
      <c r="M399" s="156"/>
      <c r="N399" s="156"/>
      <c r="O399" s="156"/>
      <c r="P399" s="156"/>
      <c r="Q399" s="156"/>
      <c r="R399" s="156"/>
      <c r="S399" s="156"/>
      <c r="T399" s="156"/>
    </row>
    <row r="400" ht="26.25" customHeight="1">
      <c r="A400" s="167"/>
      <c r="B400" s="174"/>
      <c r="C400" s="174"/>
      <c r="D400" s="175"/>
      <c r="E400" s="156"/>
      <c r="F400" s="156"/>
      <c r="G400" s="156"/>
      <c r="H400" s="174"/>
      <c r="I400" s="174"/>
      <c r="J400" s="174"/>
      <c r="K400" s="156"/>
      <c r="L400" s="156"/>
      <c r="M400" s="156"/>
      <c r="N400" s="156"/>
      <c r="O400" s="156"/>
      <c r="P400" s="156"/>
      <c r="Q400" s="156"/>
      <c r="R400" s="156"/>
      <c r="S400" s="156"/>
      <c r="T400" s="156"/>
    </row>
    <row r="401" ht="26.25" customHeight="1">
      <c r="A401" s="167"/>
      <c r="B401" s="174"/>
      <c r="C401" s="174"/>
      <c r="D401" s="175"/>
      <c r="E401" s="156"/>
      <c r="F401" s="156"/>
      <c r="G401" s="156"/>
      <c r="H401" s="174"/>
      <c r="I401" s="174"/>
      <c r="J401" s="174"/>
      <c r="K401" s="156"/>
      <c r="L401" s="156"/>
      <c r="M401" s="156"/>
      <c r="N401" s="156"/>
      <c r="O401" s="156"/>
      <c r="P401" s="156"/>
      <c r="Q401" s="156"/>
      <c r="R401" s="156"/>
      <c r="S401" s="156"/>
      <c r="T401" s="156"/>
    </row>
    <row r="402" ht="26.25" customHeight="1">
      <c r="A402" s="167"/>
      <c r="B402" s="174"/>
      <c r="C402" s="174"/>
      <c r="D402" s="175"/>
      <c r="E402" s="156"/>
      <c r="F402" s="156"/>
      <c r="G402" s="156"/>
      <c r="H402" s="174"/>
      <c r="I402" s="174"/>
      <c r="J402" s="174"/>
      <c r="K402" s="156"/>
      <c r="L402" s="156"/>
      <c r="M402" s="156"/>
      <c r="N402" s="156"/>
      <c r="O402" s="156"/>
      <c r="P402" s="156"/>
      <c r="Q402" s="156"/>
      <c r="R402" s="156"/>
      <c r="S402" s="156"/>
      <c r="T402" s="156"/>
    </row>
    <row r="403" ht="26.25" customHeight="1">
      <c r="A403" s="167"/>
      <c r="B403" s="174"/>
      <c r="C403" s="174"/>
      <c r="D403" s="175"/>
      <c r="E403" s="156"/>
      <c r="F403" s="156"/>
      <c r="G403" s="156"/>
      <c r="H403" s="174"/>
      <c r="I403" s="174"/>
      <c r="J403" s="174"/>
      <c r="K403" s="156"/>
      <c r="L403" s="156"/>
      <c r="M403" s="156"/>
      <c r="N403" s="156"/>
      <c r="O403" s="156"/>
      <c r="P403" s="156"/>
      <c r="Q403" s="156"/>
      <c r="R403" s="156"/>
      <c r="S403" s="156"/>
      <c r="T403" s="156"/>
    </row>
    <row r="404" ht="26.25" customHeight="1">
      <c r="A404" s="167"/>
      <c r="B404" s="174"/>
      <c r="C404" s="174"/>
      <c r="D404" s="175"/>
      <c r="E404" s="156"/>
      <c r="F404" s="156"/>
      <c r="G404" s="156"/>
      <c r="H404" s="174"/>
      <c r="I404" s="174"/>
      <c r="J404" s="174"/>
      <c r="K404" s="156"/>
      <c r="L404" s="156"/>
      <c r="M404" s="156"/>
      <c r="N404" s="156"/>
      <c r="O404" s="156"/>
      <c r="P404" s="156"/>
      <c r="Q404" s="156"/>
      <c r="R404" s="156"/>
      <c r="S404" s="156"/>
      <c r="T404" s="156"/>
    </row>
    <row r="405" ht="26.25" customHeight="1">
      <c r="A405" s="167"/>
      <c r="B405" s="174"/>
      <c r="C405" s="174"/>
      <c r="D405" s="175"/>
      <c r="E405" s="156"/>
      <c r="F405" s="156"/>
      <c r="G405" s="156"/>
      <c r="H405" s="174"/>
      <c r="I405" s="174"/>
      <c r="J405" s="174"/>
      <c r="K405" s="156"/>
      <c r="L405" s="156"/>
      <c r="M405" s="156"/>
      <c r="N405" s="156"/>
      <c r="O405" s="156"/>
      <c r="P405" s="156"/>
      <c r="Q405" s="156"/>
      <c r="R405" s="156"/>
      <c r="S405" s="156"/>
      <c r="T405" s="156"/>
    </row>
    <row r="406" ht="26.25" customHeight="1">
      <c r="A406" s="167"/>
      <c r="B406" s="174"/>
      <c r="C406" s="174"/>
      <c r="D406" s="175"/>
      <c r="E406" s="156"/>
      <c r="F406" s="156"/>
      <c r="G406" s="156"/>
      <c r="H406" s="174"/>
      <c r="I406" s="174"/>
      <c r="J406" s="174"/>
      <c r="K406" s="156"/>
      <c r="L406" s="156"/>
      <c r="M406" s="156"/>
      <c r="N406" s="156"/>
      <c r="O406" s="156"/>
      <c r="P406" s="156"/>
      <c r="Q406" s="156"/>
      <c r="R406" s="156"/>
      <c r="S406" s="156"/>
      <c r="T406" s="156"/>
    </row>
    <row r="407" ht="26.25" customHeight="1">
      <c r="A407" s="167"/>
      <c r="B407" s="174"/>
      <c r="C407" s="174"/>
      <c r="D407" s="175"/>
      <c r="E407" s="156"/>
      <c r="F407" s="156"/>
      <c r="G407" s="156"/>
      <c r="H407" s="174"/>
      <c r="I407" s="174"/>
      <c r="J407" s="174"/>
      <c r="K407" s="156"/>
      <c r="L407" s="156"/>
      <c r="M407" s="156"/>
      <c r="N407" s="156"/>
      <c r="O407" s="156"/>
      <c r="P407" s="156"/>
      <c r="Q407" s="156"/>
      <c r="R407" s="156"/>
      <c r="S407" s="156"/>
      <c r="T407" s="156"/>
    </row>
    <row r="408" ht="26.25" customHeight="1">
      <c r="A408" s="167"/>
      <c r="B408" s="174"/>
      <c r="C408" s="174"/>
      <c r="D408" s="175"/>
      <c r="E408" s="156"/>
      <c r="F408" s="156"/>
      <c r="G408" s="156"/>
      <c r="H408" s="174"/>
      <c r="I408" s="174"/>
      <c r="J408" s="174"/>
      <c r="K408" s="156"/>
      <c r="L408" s="156"/>
      <c r="M408" s="156"/>
      <c r="N408" s="156"/>
      <c r="O408" s="156"/>
      <c r="P408" s="156"/>
      <c r="Q408" s="156"/>
      <c r="R408" s="156"/>
      <c r="S408" s="156"/>
      <c r="T408" s="156"/>
    </row>
    <row r="409" ht="26.25" customHeight="1">
      <c r="A409" s="167"/>
      <c r="B409" s="174"/>
      <c r="C409" s="174"/>
      <c r="D409" s="175"/>
      <c r="E409" s="156"/>
      <c r="F409" s="156"/>
      <c r="G409" s="156"/>
      <c r="H409" s="174"/>
      <c r="I409" s="174"/>
      <c r="J409" s="174"/>
      <c r="K409" s="156"/>
      <c r="L409" s="156"/>
      <c r="M409" s="156"/>
      <c r="N409" s="156"/>
      <c r="O409" s="156"/>
      <c r="P409" s="156"/>
      <c r="Q409" s="156"/>
      <c r="R409" s="156"/>
      <c r="S409" s="156"/>
      <c r="T409" s="156"/>
    </row>
    <row r="410" ht="26.25" customHeight="1">
      <c r="A410" s="167"/>
      <c r="B410" s="174"/>
      <c r="C410" s="174"/>
      <c r="D410" s="175"/>
      <c r="E410" s="156"/>
      <c r="F410" s="156"/>
      <c r="G410" s="156"/>
      <c r="H410" s="174"/>
      <c r="I410" s="174"/>
      <c r="J410" s="174"/>
      <c r="K410" s="156"/>
      <c r="L410" s="156"/>
      <c r="M410" s="156"/>
      <c r="N410" s="156"/>
      <c r="O410" s="156"/>
      <c r="P410" s="156"/>
      <c r="Q410" s="156"/>
      <c r="R410" s="156"/>
      <c r="S410" s="156"/>
      <c r="T410" s="156"/>
    </row>
    <row r="411" ht="26.25" customHeight="1">
      <c r="A411" s="167"/>
      <c r="B411" s="174"/>
      <c r="C411" s="174"/>
      <c r="D411" s="175"/>
      <c r="E411" s="156"/>
      <c r="F411" s="156"/>
      <c r="G411" s="156"/>
      <c r="H411" s="174"/>
      <c r="I411" s="174"/>
      <c r="J411" s="174"/>
      <c r="K411" s="156"/>
      <c r="L411" s="156"/>
      <c r="M411" s="156"/>
      <c r="N411" s="156"/>
      <c r="O411" s="156"/>
      <c r="P411" s="156"/>
      <c r="Q411" s="156"/>
      <c r="R411" s="156"/>
      <c r="S411" s="156"/>
      <c r="T411" s="156"/>
    </row>
    <row r="412" ht="26.25" customHeight="1">
      <c r="A412" s="167"/>
      <c r="B412" s="174"/>
      <c r="C412" s="174"/>
      <c r="D412" s="175"/>
      <c r="E412" s="156"/>
      <c r="F412" s="156"/>
      <c r="G412" s="156"/>
      <c r="H412" s="174"/>
      <c r="I412" s="174"/>
      <c r="J412" s="174"/>
      <c r="K412" s="156"/>
      <c r="L412" s="156"/>
      <c r="M412" s="156"/>
      <c r="N412" s="156"/>
      <c r="O412" s="156"/>
      <c r="P412" s="156"/>
      <c r="Q412" s="156"/>
      <c r="R412" s="156"/>
      <c r="S412" s="156"/>
      <c r="T412" s="156"/>
    </row>
    <row r="413" ht="26.25" customHeight="1">
      <c r="A413" s="167"/>
      <c r="B413" s="174"/>
      <c r="C413" s="174"/>
      <c r="D413" s="175"/>
      <c r="E413" s="156"/>
      <c r="F413" s="156"/>
      <c r="G413" s="156"/>
      <c r="H413" s="174"/>
      <c r="I413" s="174"/>
      <c r="J413" s="174"/>
      <c r="K413" s="156"/>
      <c r="L413" s="156"/>
      <c r="M413" s="156"/>
      <c r="N413" s="156"/>
      <c r="O413" s="156"/>
      <c r="P413" s="156"/>
      <c r="Q413" s="156"/>
      <c r="R413" s="156"/>
      <c r="S413" s="156"/>
      <c r="T413" s="156"/>
    </row>
    <row r="414" ht="26.25" customHeight="1">
      <c r="A414" s="167"/>
      <c r="B414" s="174"/>
      <c r="C414" s="174"/>
      <c r="D414" s="175"/>
      <c r="E414" s="156"/>
      <c r="F414" s="156"/>
      <c r="G414" s="156"/>
      <c r="H414" s="174"/>
      <c r="I414" s="174"/>
      <c r="J414" s="174"/>
      <c r="K414" s="156"/>
      <c r="L414" s="156"/>
      <c r="M414" s="156"/>
      <c r="N414" s="156"/>
      <c r="O414" s="156"/>
      <c r="P414" s="156"/>
      <c r="Q414" s="156"/>
      <c r="R414" s="156"/>
      <c r="S414" s="156"/>
      <c r="T414" s="156"/>
    </row>
    <row r="415" ht="26.25" customHeight="1">
      <c r="A415" s="167"/>
      <c r="B415" s="174"/>
      <c r="C415" s="174"/>
      <c r="D415" s="175"/>
      <c r="E415" s="156"/>
      <c r="F415" s="156"/>
      <c r="G415" s="156"/>
      <c r="H415" s="174"/>
      <c r="I415" s="174"/>
      <c r="J415" s="174"/>
      <c r="K415" s="156"/>
      <c r="L415" s="156"/>
      <c r="M415" s="156"/>
      <c r="N415" s="156"/>
      <c r="O415" s="156"/>
      <c r="P415" s="156"/>
      <c r="Q415" s="156"/>
      <c r="R415" s="156"/>
      <c r="S415" s="156"/>
      <c r="T415" s="156"/>
    </row>
    <row r="416" ht="26.25" customHeight="1">
      <c r="A416" s="167"/>
      <c r="B416" s="174"/>
      <c r="C416" s="174"/>
      <c r="D416" s="175"/>
      <c r="E416" s="156"/>
      <c r="F416" s="156"/>
      <c r="G416" s="156"/>
      <c r="H416" s="174"/>
      <c r="I416" s="174"/>
      <c r="J416" s="174"/>
      <c r="K416" s="156"/>
      <c r="L416" s="156"/>
      <c r="M416" s="156"/>
      <c r="N416" s="156"/>
      <c r="O416" s="156"/>
      <c r="P416" s="156"/>
      <c r="Q416" s="156"/>
      <c r="R416" s="156"/>
      <c r="S416" s="156"/>
      <c r="T416" s="156"/>
    </row>
    <row r="417" ht="26.25" customHeight="1">
      <c r="A417" s="167"/>
      <c r="B417" s="174"/>
      <c r="C417" s="174"/>
      <c r="D417" s="175"/>
      <c r="E417" s="156"/>
      <c r="F417" s="156"/>
      <c r="G417" s="156"/>
      <c r="H417" s="174"/>
      <c r="I417" s="174"/>
      <c r="J417" s="174"/>
      <c r="K417" s="156"/>
      <c r="L417" s="156"/>
      <c r="M417" s="156"/>
      <c r="N417" s="156"/>
      <c r="O417" s="156"/>
      <c r="P417" s="156"/>
      <c r="Q417" s="156"/>
      <c r="R417" s="156"/>
      <c r="S417" s="156"/>
      <c r="T417" s="156"/>
    </row>
    <row r="418" ht="26.25" customHeight="1">
      <c r="A418" s="167"/>
      <c r="B418" s="174"/>
      <c r="C418" s="174"/>
      <c r="D418" s="175"/>
      <c r="E418" s="156"/>
      <c r="F418" s="156"/>
      <c r="G418" s="156"/>
      <c r="H418" s="174"/>
      <c r="I418" s="174"/>
      <c r="J418" s="174"/>
      <c r="K418" s="156"/>
      <c r="L418" s="156"/>
      <c r="M418" s="156"/>
      <c r="N418" s="156"/>
      <c r="O418" s="156"/>
      <c r="P418" s="156"/>
      <c r="Q418" s="156"/>
      <c r="R418" s="156"/>
      <c r="S418" s="156"/>
      <c r="T418" s="156"/>
    </row>
    <row r="419" ht="26.25" customHeight="1">
      <c r="A419" s="167"/>
      <c r="B419" s="174"/>
      <c r="C419" s="174"/>
      <c r="D419" s="175"/>
      <c r="E419" s="156"/>
      <c r="F419" s="156"/>
      <c r="G419" s="156"/>
      <c r="H419" s="174"/>
      <c r="I419" s="174"/>
      <c r="J419" s="174"/>
      <c r="K419" s="156"/>
      <c r="L419" s="156"/>
      <c r="M419" s="156"/>
      <c r="N419" s="156"/>
      <c r="O419" s="156"/>
      <c r="P419" s="156"/>
      <c r="Q419" s="156"/>
      <c r="R419" s="156"/>
      <c r="S419" s="156"/>
      <c r="T419" s="156"/>
    </row>
    <row r="420" ht="26.25" customHeight="1">
      <c r="A420" s="167"/>
      <c r="B420" s="174"/>
      <c r="C420" s="174"/>
      <c r="D420" s="175"/>
      <c r="E420" s="156"/>
      <c r="F420" s="156"/>
      <c r="G420" s="156"/>
      <c r="H420" s="174"/>
      <c r="I420" s="174"/>
      <c r="J420" s="174"/>
      <c r="K420" s="156"/>
      <c r="L420" s="156"/>
      <c r="M420" s="156"/>
      <c r="N420" s="156"/>
      <c r="O420" s="156"/>
      <c r="P420" s="156"/>
      <c r="Q420" s="156"/>
      <c r="R420" s="156"/>
      <c r="S420" s="156"/>
      <c r="T420" s="156"/>
    </row>
    <row r="421" ht="26.25" customHeight="1">
      <c r="A421" s="167"/>
      <c r="B421" s="174"/>
      <c r="C421" s="174"/>
      <c r="D421" s="175"/>
      <c r="E421" s="156"/>
      <c r="F421" s="156"/>
      <c r="G421" s="156"/>
      <c r="H421" s="174"/>
      <c r="I421" s="174"/>
      <c r="J421" s="174"/>
      <c r="K421" s="156"/>
      <c r="L421" s="156"/>
      <c r="M421" s="156"/>
      <c r="N421" s="156"/>
      <c r="O421" s="156"/>
      <c r="P421" s="156"/>
      <c r="Q421" s="156"/>
      <c r="R421" s="156"/>
      <c r="S421" s="156"/>
      <c r="T421" s="156"/>
    </row>
    <row r="422" ht="26.25" customHeight="1">
      <c r="A422" s="167"/>
      <c r="B422" s="174"/>
      <c r="C422" s="174"/>
      <c r="D422" s="175"/>
      <c r="E422" s="156"/>
      <c r="F422" s="156"/>
      <c r="G422" s="156"/>
      <c r="H422" s="174"/>
      <c r="I422" s="174"/>
      <c r="J422" s="174"/>
      <c r="K422" s="156"/>
      <c r="L422" s="156"/>
      <c r="M422" s="156"/>
      <c r="N422" s="156"/>
      <c r="O422" s="156"/>
      <c r="P422" s="156"/>
      <c r="Q422" s="156"/>
      <c r="R422" s="156"/>
      <c r="S422" s="156"/>
      <c r="T422" s="156"/>
    </row>
    <row r="423" ht="26.25" customHeight="1">
      <c r="A423" s="167"/>
      <c r="B423" s="174"/>
      <c r="C423" s="174"/>
      <c r="D423" s="175"/>
      <c r="E423" s="156"/>
      <c r="F423" s="156"/>
      <c r="G423" s="156"/>
      <c r="H423" s="174"/>
      <c r="I423" s="174"/>
      <c r="J423" s="174"/>
      <c r="K423" s="156"/>
      <c r="L423" s="156"/>
      <c r="M423" s="156"/>
      <c r="N423" s="156"/>
      <c r="O423" s="156"/>
      <c r="P423" s="156"/>
      <c r="Q423" s="156"/>
      <c r="R423" s="156"/>
      <c r="S423" s="156"/>
      <c r="T423" s="156"/>
    </row>
    <row r="424" ht="26.25" customHeight="1">
      <c r="A424" s="167"/>
      <c r="B424" s="174"/>
      <c r="C424" s="174"/>
      <c r="D424" s="175"/>
      <c r="E424" s="156"/>
      <c r="F424" s="156"/>
      <c r="G424" s="156"/>
      <c r="H424" s="174"/>
      <c r="I424" s="174"/>
      <c r="J424" s="174"/>
      <c r="K424" s="156"/>
      <c r="L424" s="156"/>
      <c r="M424" s="156"/>
      <c r="N424" s="156"/>
      <c r="O424" s="156"/>
      <c r="P424" s="156"/>
      <c r="Q424" s="156"/>
      <c r="R424" s="156"/>
      <c r="S424" s="156"/>
      <c r="T424" s="156"/>
    </row>
    <row r="425" ht="26.25" customHeight="1">
      <c r="A425" s="167"/>
      <c r="B425" s="174"/>
      <c r="C425" s="174"/>
      <c r="D425" s="175"/>
      <c r="E425" s="156"/>
      <c r="F425" s="156"/>
      <c r="G425" s="156"/>
      <c r="H425" s="174"/>
      <c r="I425" s="174"/>
      <c r="J425" s="174"/>
      <c r="K425" s="156"/>
      <c r="L425" s="156"/>
      <c r="M425" s="156"/>
      <c r="N425" s="156"/>
      <c r="O425" s="156"/>
      <c r="P425" s="156"/>
      <c r="Q425" s="156"/>
      <c r="R425" s="156"/>
      <c r="S425" s="156"/>
      <c r="T425" s="156"/>
    </row>
    <row r="426" ht="26.25" customHeight="1">
      <c r="A426" s="167"/>
      <c r="B426" s="174"/>
      <c r="C426" s="174"/>
      <c r="D426" s="175"/>
      <c r="E426" s="156"/>
      <c r="F426" s="156"/>
      <c r="G426" s="156"/>
      <c r="H426" s="174"/>
      <c r="I426" s="174"/>
      <c r="J426" s="174"/>
      <c r="K426" s="156"/>
      <c r="L426" s="156"/>
      <c r="M426" s="156"/>
      <c r="N426" s="156"/>
      <c r="O426" s="156"/>
      <c r="P426" s="156"/>
      <c r="Q426" s="156"/>
      <c r="R426" s="156"/>
      <c r="S426" s="156"/>
      <c r="T426" s="156"/>
    </row>
    <row r="427" ht="26.25" customHeight="1">
      <c r="A427" s="167"/>
      <c r="B427" s="174"/>
      <c r="C427" s="174"/>
      <c r="D427" s="175"/>
      <c r="E427" s="156"/>
      <c r="F427" s="156"/>
      <c r="G427" s="156"/>
      <c r="H427" s="174"/>
      <c r="I427" s="174"/>
      <c r="J427" s="174"/>
      <c r="K427" s="156"/>
      <c r="L427" s="156"/>
      <c r="M427" s="156"/>
      <c r="N427" s="156"/>
      <c r="O427" s="156"/>
      <c r="P427" s="156"/>
      <c r="Q427" s="156"/>
      <c r="R427" s="156"/>
      <c r="S427" s="156"/>
      <c r="T427" s="156"/>
    </row>
    <row r="428" ht="26.25" customHeight="1">
      <c r="A428" s="167"/>
      <c r="B428" s="174"/>
      <c r="C428" s="174"/>
      <c r="D428" s="175"/>
      <c r="E428" s="156"/>
      <c r="F428" s="156"/>
      <c r="G428" s="156"/>
      <c r="H428" s="174"/>
      <c r="I428" s="174"/>
      <c r="J428" s="174"/>
      <c r="K428" s="156"/>
      <c r="L428" s="156"/>
      <c r="M428" s="156"/>
      <c r="N428" s="156"/>
      <c r="O428" s="156"/>
      <c r="P428" s="156"/>
      <c r="Q428" s="156"/>
      <c r="R428" s="156"/>
      <c r="S428" s="156"/>
      <c r="T428" s="156"/>
    </row>
    <row r="429" ht="26.25" customHeight="1">
      <c r="A429" s="167"/>
      <c r="B429" s="174"/>
      <c r="C429" s="174"/>
      <c r="D429" s="175"/>
      <c r="E429" s="156"/>
      <c r="F429" s="156"/>
      <c r="G429" s="156"/>
      <c r="H429" s="174"/>
      <c r="I429" s="174"/>
      <c r="J429" s="174"/>
      <c r="K429" s="156"/>
      <c r="L429" s="156"/>
      <c r="M429" s="156"/>
      <c r="N429" s="156"/>
      <c r="O429" s="156"/>
      <c r="P429" s="156"/>
      <c r="Q429" s="156"/>
      <c r="R429" s="156"/>
      <c r="S429" s="156"/>
      <c r="T429" s="156"/>
    </row>
    <row r="430" ht="26.25" customHeight="1">
      <c r="A430" s="167"/>
      <c r="B430" s="174"/>
      <c r="C430" s="174"/>
      <c r="D430" s="175"/>
      <c r="E430" s="156"/>
      <c r="F430" s="156"/>
      <c r="G430" s="156"/>
      <c r="H430" s="174"/>
      <c r="I430" s="174"/>
      <c r="J430" s="174"/>
      <c r="K430" s="156"/>
      <c r="L430" s="156"/>
      <c r="M430" s="156"/>
      <c r="N430" s="156"/>
      <c r="O430" s="156"/>
      <c r="P430" s="156"/>
      <c r="Q430" s="156"/>
      <c r="R430" s="156"/>
      <c r="S430" s="156"/>
      <c r="T430" s="156"/>
    </row>
    <row r="431" ht="26.25" customHeight="1">
      <c r="A431" s="167"/>
      <c r="B431" s="174"/>
      <c r="C431" s="174"/>
      <c r="D431" s="175"/>
      <c r="E431" s="156"/>
      <c r="F431" s="156"/>
      <c r="G431" s="156"/>
      <c r="H431" s="174"/>
      <c r="I431" s="174"/>
      <c r="J431" s="174"/>
      <c r="K431" s="156"/>
      <c r="L431" s="156"/>
      <c r="M431" s="156"/>
      <c r="N431" s="156"/>
      <c r="O431" s="156"/>
      <c r="P431" s="156"/>
      <c r="Q431" s="156"/>
      <c r="R431" s="156"/>
      <c r="S431" s="156"/>
      <c r="T431" s="156"/>
    </row>
    <row r="432" ht="26.25" customHeight="1">
      <c r="A432" s="167"/>
      <c r="B432" s="174"/>
      <c r="C432" s="174"/>
      <c r="D432" s="175"/>
      <c r="E432" s="156"/>
      <c r="F432" s="156"/>
      <c r="G432" s="156"/>
      <c r="H432" s="174"/>
      <c r="I432" s="174"/>
      <c r="J432" s="174"/>
      <c r="K432" s="156"/>
      <c r="L432" s="156"/>
      <c r="M432" s="156"/>
      <c r="N432" s="156"/>
      <c r="O432" s="156"/>
      <c r="P432" s="156"/>
      <c r="Q432" s="156"/>
      <c r="R432" s="156"/>
      <c r="S432" s="156"/>
      <c r="T432" s="156"/>
    </row>
    <row r="433" ht="26.25" customHeight="1">
      <c r="A433" s="167"/>
      <c r="B433" s="174"/>
      <c r="C433" s="174"/>
      <c r="D433" s="175"/>
      <c r="E433" s="156"/>
      <c r="F433" s="156"/>
      <c r="G433" s="156"/>
      <c r="H433" s="174"/>
      <c r="I433" s="174"/>
      <c r="J433" s="174"/>
      <c r="K433" s="156"/>
      <c r="L433" s="156"/>
      <c r="M433" s="156"/>
      <c r="N433" s="156"/>
      <c r="O433" s="156"/>
      <c r="P433" s="156"/>
      <c r="Q433" s="156"/>
      <c r="R433" s="156"/>
      <c r="S433" s="156"/>
      <c r="T433" s="156"/>
    </row>
    <row r="434" ht="26.25" customHeight="1">
      <c r="A434" s="167"/>
      <c r="B434" s="174"/>
      <c r="C434" s="174"/>
      <c r="D434" s="175"/>
      <c r="E434" s="156"/>
      <c r="F434" s="156"/>
      <c r="G434" s="156"/>
      <c r="H434" s="174"/>
      <c r="I434" s="174"/>
      <c r="J434" s="174"/>
      <c r="K434" s="156"/>
      <c r="L434" s="156"/>
      <c r="M434" s="156"/>
      <c r="N434" s="156"/>
      <c r="O434" s="156"/>
      <c r="P434" s="156"/>
      <c r="Q434" s="156"/>
      <c r="R434" s="156"/>
      <c r="S434" s="156"/>
      <c r="T434" s="156"/>
    </row>
    <row r="435" ht="26.25" customHeight="1">
      <c r="A435" s="167"/>
      <c r="B435" s="174"/>
      <c r="C435" s="174"/>
      <c r="D435" s="175"/>
      <c r="E435" s="156"/>
      <c r="F435" s="156"/>
      <c r="G435" s="156"/>
      <c r="H435" s="174"/>
      <c r="I435" s="174"/>
      <c r="J435" s="174"/>
      <c r="K435" s="156"/>
      <c r="L435" s="156"/>
      <c r="M435" s="156"/>
      <c r="N435" s="156"/>
      <c r="O435" s="156"/>
      <c r="P435" s="156"/>
      <c r="Q435" s="156"/>
      <c r="R435" s="156"/>
      <c r="S435" s="156"/>
      <c r="T435" s="156"/>
    </row>
    <row r="436" ht="26.25" customHeight="1">
      <c r="A436" s="167"/>
      <c r="B436" s="174"/>
      <c r="C436" s="174"/>
      <c r="D436" s="175"/>
      <c r="E436" s="156"/>
      <c r="F436" s="156"/>
      <c r="G436" s="156"/>
      <c r="H436" s="174"/>
      <c r="I436" s="174"/>
      <c r="J436" s="174"/>
      <c r="K436" s="156"/>
      <c r="L436" s="156"/>
      <c r="M436" s="156"/>
      <c r="N436" s="156"/>
      <c r="O436" s="156"/>
      <c r="P436" s="156"/>
      <c r="Q436" s="156"/>
      <c r="R436" s="156"/>
      <c r="S436" s="156"/>
      <c r="T436" s="156"/>
    </row>
    <row r="437" ht="26.25" customHeight="1">
      <c r="A437" s="167"/>
      <c r="B437" s="174"/>
      <c r="C437" s="174"/>
      <c r="D437" s="175"/>
      <c r="E437" s="156"/>
      <c r="F437" s="156"/>
      <c r="G437" s="156"/>
      <c r="H437" s="174"/>
      <c r="I437" s="174"/>
      <c r="J437" s="174"/>
      <c r="K437" s="156"/>
      <c r="L437" s="156"/>
      <c r="M437" s="156"/>
      <c r="N437" s="156"/>
      <c r="O437" s="156"/>
      <c r="P437" s="156"/>
      <c r="Q437" s="156"/>
      <c r="R437" s="156"/>
      <c r="S437" s="156"/>
      <c r="T437" s="156"/>
    </row>
    <row r="438" ht="26.25" customHeight="1">
      <c r="A438" s="167"/>
      <c r="B438" s="174"/>
      <c r="C438" s="174"/>
      <c r="D438" s="175"/>
      <c r="E438" s="156"/>
      <c r="F438" s="156"/>
      <c r="G438" s="156"/>
      <c r="H438" s="174"/>
      <c r="I438" s="174"/>
      <c r="J438" s="174"/>
      <c r="K438" s="156"/>
      <c r="L438" s="156"/>
      <c r="M438" s="156"/>
      <c r="N438" s="156"/>
      <c r="O438" s="156"/>
      <c r="P438" s="156"/>
      <c r="Q438" s="156"/>
      <c r="R438" s="156"/>
      <c r="S438" s="156"/>
      <c r="T438" s="156"/>
    </row>
    <row r="439" ht="26.25" customHeight="1">
      <c r="A439" s="167"/>
      <c r="B439" s="174"/>
      <c r="C439" s="174"/>
      <c r="D439" s="175"/>
      <c r="E439" s="156"/>
      <c r="F439" s="156"/>
      <c r="G439" s="156"/>
      <c r="H439" s="174"/>
      <c r="I439" s="174"/>
      <c r="J439" s="174"/>
      <c r="K439" s="156"/>
      <c r="L439" s="156"/>
      <c r="M439" s="156"/>
      <c r="N439" s="156"/>
      <c r="O439" s="156"/>
      <c r="P439" s="156"/>
      <c r="Q439" s="156"/>
      <c r="R439" s="156"/>
      <c r="S439" s="156"/>
      <c r="T439" s="156"/>
    </row>
    <row r="440" ht="26.25" customHeight="1">
      <c r="A440" s="167"/>
      <c r="B440" s="174"/>
      <c r="C440" s="174"/>
      <c r="D440" s="175"/>
      <c r="E440" s="156"/>
      <c r="F440" s="156"/>
      <c r="G440" s="156"/>
      <c r="H440" s="174"/>
      <c r="I440" s="174"/>
      <c r="J440" s="174"/>
      <c r="K440" s="156"/>
      <c r="L440" s="156"/>
      <c r="M440" s="156"/>
      <c r="N440" s="156"/>
      <c r="O440" s="156"/>
      <c r="P440" s="156"/>
      <c r="Q440" s="156"/>
      <c r="R440" s="156"/>
      <c r="S440" s="156"/>
      <c r="T440" s="156"/>
    </row>
    <row r="441" ht="26.25" customHeight="1">
      <c r="A441" s="167"/>
      <c r="B441" s="174"/>
      <c r="C441" s="174"/>
      <c r="D441" s="175"/>
      <c r="E441" s="156"/>
      <c r="F441" s="156"/>
      <c r="G441" s="156"/>
      <c r="H441" s="174"/>
      <c r="I441" s="174"/>
      <c r="J441" s="174"/>
      <c r="K441" s="156"/>
      <c r="L441" s="156"/>
      <c r="M441" s="156"/>
      <c r="N441" s="156"/>
      <c r="O441" s="156"/>
      <c r="P441" s="156"/>
      <c r="Q441" s="156"/>
      <c r="R441" s="156"/>
      <c r="S441" s="156"/>
      <c r="T441" s="156"/>
    </row>
    <row r="442" ht="26.25" customHeight="1">
      <c r="A442" s="167"/>
      <c r="B442" s="174"/>
      <c r="C442" s="174"/>
      <c r="D442" s="175"/>
      <c r="E442" s="156"/>
      <c r="F442" s="156"/>
      <c r="G442" s="156"/>
      <c r="H442" s="174"/>
      <c r="I442" s="174"/>
      <c r="J442" s="174"/>
      <c r="K442" s="156"/>
      <c r="L442" s="156"/>
      <c r="M442" s="156"/>
      <c r="N442" s="156"/>
      <c r="O442" s="156"/>
      <c r="P442" s="156"/>
      <c r="Q442" s="156"/>
      <c r="R442" s="156"/>
      <c r="S442" s="156"/>
      <c r="T442" s="156"/>
    </row>
    <row r="443" ht="26.25" customHeight="1">
      <c r="A443" s="167"/>
      <c r="B443" s="174"/>
      <c r="C443" s="174"/>
      <c r="D443" s="175"/>
      <c r="E443" s="156"/>
      <c r="F443" s="156"/>
      <c r="G443" s="156"/>
      <c r="H443" s="174"/>
      <c r="I443" s="174"/>
      <c r="J443" s="174"/>
      <c r="K443" s="156"/>
      <c r="L443" s="156"/>
      <c r="M443" s="156"/>
      <c r="N443" s="156"/>
      <c r="O443" s="156"/>
      <c r="P443" s="156"/>
      <c r="Q443" s="156"/>
      <c r="R443" s="156"/>
      <c r="S443" s="156"/>
      <c r="T443" s="156"/>
    </row>
    <row r="444" ht="26.25" customHeight="1">
      <c r="A444" s="167"/>
      <c r="B444" s="174"/>
      <c r="C444" s="174"/>
      <c r="D444" s="175"/>
      <c r="E444" s="156"/>
      <c r="F444" s="156"/>
      <c r="G444" s="156"/>
      <c r="H444" s="174"/>
      <c r="I444" s="174"/>
      <c r="J444" s="174"/>
      <c r="K444" s="156"/>
      <c r="L444" s="156"/>
      <c r="M444" s="156"/>
      <c r="N444" s="156"/>
      <c r="O444" s="156"/>
      <c r="P444" s="156"/>
      <c r="Q444" s="156"/>
      <c r="R444" s="156"/>
      <c r="S444" s="156"/>
      <c r="T444" s="156"/>
    </row>
    <row r="445" ht="26.25" customHeight="1">
      <c r="A445" s="167"/>
      <c r="B445" s="174"/>
      <c r="C445" s="174"/>
      <c r="D445" s="175"/>
      <c r="E445" s="156"/>
      <c r="F445" s="156"/>
      <c r="G445" s="156"/>
      <c r="H445" s="174"/>
      <c r="I445" s="174"/>
      <c r="J445" s="174"/>
      <c r="K445" s="156"/>
      <c r="L445" s="156"/>
      <c r="M445" s="156"/>
      <c r="N445" s="156"/>
      <c r="O445" s="156"/>
      <c r="P445" s="156"/>
      <c r="Q445" s="156"/>
      <c r="R445" s="156"/>
      <c r="S445" s="156"/>
      <c r="T445" s="156"/>
    </row>
    <row r="446" ht="26.25" customHeight="1">
      <c r="A446" s="167"/>
      <c r="B446" s="174"/>
      <c r="C446" s="174"/>
      <c r="D446" s="175"/>
      <c r="E446" s="156"/>
      <c r="F446" s="156"/>
      <c r="G446" s="156"/>
      <c r="H446" s="174"/>
      <c r="I446" s="174"/>
      <c r="J446" s="174"/>
      <c r="K446" s="156"/>
      <c r="L446" s="156"/>
      <c r="M446" s="156"/>
      <c r="N446" s="156"/>
      <c r="O446" s="156"/>
      <c r="P446" s="156"/>
      <c r="Q446" s="156"/>
      <c r="R446" s="156"/>
      <c r="S446" s="156"/>
      <c r="T446" s="156"/>
    </row>
    <row r="447" ht="26.25" customHeight="1">
      <c r="A447" s="167"/>
      <c r="B447" s="174"/>
      <c r="C447" s="174"/>
      <c r="D447" s="175"/>
      <c r="E447" s="156"/>
      <c r="F447" s="156"/>
      <c r="G447" s="156"/>
      <c r="H447" s="174"/>
      <c r="I447" s="174"/>
      <c r="J447" s="174"/>
      <c r="K447" s="156"/>
      <c r="L447" s="156"/>
      <c r="M447" s="156"/>
      <c r="N447" s="156"/>
      <c r="O447" s="156"/>
      <c r="P447" s="156"/>
      <c r="Q447" s="156"/>
      <c r="R447" s="156"/>
      <c r="S447" s="156"/>
      <c r="T447" s="156"/>
    </row>
    <row r="448" ht="26.25" customHeight="1">
      <c r="A448" s="167"/>
      <c r="B448" s="174"/>
      <c r="C448" s="174"/>
      <c r="D448" s="175"/>
      <c r="E448" s="156"/>
      <c r="F448" s="156"/>
      <c r="G448" s="156"/>
      <c r="H448" s="174"/>
      <c r="I448" s="174"/>
      <c r="J448" s="174"/>
      <c r="K448" s="156"/>
      <c r="L448" s="156"/>
      <c r="M448" s="156"/>
      <c r="N448" s="156"/>
      <c r="O448" s="156"/>
      <c r="P448" s="156"/>
      <c r="Q448" s="156"/>
      <c r="R448" s="156"/>
      <c r="S448" s="156"/>
      <c r="T448" s="156"/>
    </row>
    <row r="449" ht="26.25" customHeight="1">
      <c r="A449" s="167"/>
      <c r="B449" s="174"/>
      <c r="C449" s="174"/>
      <c r="D449" s="175"/>
      <c r="E449" s="156"/>
      <c r="F449" s="156"/>
      <c r="G449" s="156"/>
      <c r="H449" s="174"/>
      <c r="I449" s="174"/>
      <c r="J449" s="174"/>
      <c r="K449" s="156"/>
      <c r="L449" s="156"/>
      <c r="M449" s="156"/>
      <c r="N449" s="156"/>
      <c r="O449" s="156"/>
      <c r="P449" s="156"/>
      <c r="Q449" s="156"/>
      <c r="R449" s="156"/>
      <c r="S449" s="156"/>
      <c r="T449" s="156"/>
    </row>
    <row r="450" ht="26.25" customHeight="1">
      <c r="A450" s="167"/>
      <c r="B450" s="174"/>
      <c r="C450" s="174"/>
      <c r="D450" s="175"/>
      <c r="E450" s="156"/>
      <c r="F450" s="156"/>
      <c r="G450" s="156"/>
      <c r="H450" s="174"/>
      <c r="I450" s="174"/>
      <c r="J450" s="174"/>
      <c r="K450" s="156"/>
      <c r="L450" s="156"/>
      <c r="M450" s="156"/>
      <c r="N450" s="156"/>
      <c r="O450" s="156"/>
      <c r="P450" s="156"/>
      <c r="Q450" s="156"/>
      <c r="R450" s="156"/>
      <c r="S450" s="156"/>
      <c r="T450" s="156"/>
    </row>
    <row r="451" ht="26.25" customHeight="1">
      <c r="A451" s="167"/>
      <c r="B451" s="174"/>
      <c r="C451" s="174"/>
      <c r="D451" s="175"/>
      <c r="E451" s="156"/>
      <c r="F451" s="156"/>
      <c r="G451" s="156"/>
      <c r="H451" s="174"/>
      <c r="I451" s="174"/>
      <c r="J451" s="174"/>
      <c r="K451" s="156"/>
      <c r="L451" s="156"/>
      <c r="M451" s="156"/>
      <c r="N451" s="156"/>
      <c r="O451" s="156"/>
      <c r="P451" s="156"/>
      <c r="Q451" s="156"/>
      <c r="R451" s="156"/>
      <c r="S451" s="156"/>
      <c r="T451" s="156"/>
    </row>
    <row r="452" ht="26.25" customHeight="1">
      <c r="A452" s="167"/>
      <c r="B452" s="174"/>
      <c r="C452" s="174"/>
      <c r="D452" s="175"/>
      <c r="E452" s="156"/>
      <c r="F452" s="156"/>
      <c r="G452" s="156"/>
      <c r="H452" s="174"/>
      <c r="I452" s="174"/>
      <c r="J452" s="174"/>
      <c r="K452" s="156"/>
      <c r="L452" s="156"/>
      <c r="M452" s="156"/>
      <c r="N452" s="156"/>
      <c r="O452" s="156"/>
      <c r="P452" s="156"/>
      <c r="Q452" s="156"/>
      <c r="R452" s="156"/>
      <c r="S452" s="156"/>
      <c r="T452" s="156"/>
    </row>
    <row r="453" ht="26.25" customHeight="1">
      <c r="A453" s="167"/>
      <c r="B453" s="174"/>
      <c r="C453" s="174"/>
      <c r="D453" s="175"/>
      <c r="E453" s="156"/>
      <c r="F453" s="156"/>
      <c r="G453" s="156"/>
      <c r="H453" s="174"/>
      <c r="I453" s="174"/>
      <c r="J453" s="174"/>
      <c r="K453" s="156"/>
      <c r="L453" s="156"/>
      <c r="M453" s="156"/>
      <c r="N453" s="156"/>
      <c r="O453" s="156"/>
      <c r="P453" s="156"/>
      <c r="Q453" s="156"/>
      <c r="R453" s="156"/>
      <c r="S453" s="156"/>
      <c r="T453" s="156"/>
    </row>
    <row r="454" ht="26.25" customHeight="1">
      <c r="A454" s="167"/>
      <c r="B454" s="174"/>
      <c r="C454" s="174"/>
      <c r="D454" s="175"/>
      <c r="E454" s="156"/>
      <c r="F454" s="156"/>
      <c r="G454" s="156"/>
      <c r="H454" s="174"/>
      <c r="I454" s="174"/>
      <c r="J454" s="174"/>
      <c r="K454" s="156"/>
      <c r="L454" s="156"/>
      <c r="M454" s="156"/>
      <c r="N454" s="156"/>
      <c r="O454" s="156"/>
      <c r="P454" s="156"/>
      <c r="Q454" s="156"/>
      <c r="R454" s="156"/>
      <c r="S454" s="156"/>
      <c r="T454" s="156"/>
    </row>
    <row r="455" ht="26.25" customHeight="1">
      <c r="A455" s="167"/>
      <c r="B455" s="174"/>
      <c r="C455" s="174"/>
      <c r="D455" s="175"/>
      <c r="E455" s="156"/>
      <c r="F455" s="156"/>
      <c r="G455" s="156"/>
      <c r="H455" s="174"/>
      <c r="I455" s="174"/>
      <c r="J455" s="174"/>
      <c r="K455" s="156"/>
      <c r="L455" s="156"/>
      <c r="M455" s="156"/>
      <c r="N455" s="156"/>
      <c r="O455" s="156"/>
      <c r="P455" s="156"/>
      <c r="Q455" s="156"/>
      <c r="R455" s="156"/>
      <c r="S455" s="156"/>
      <c r="T455" s="156"/>
    </row>
    <row r="456" ht="26.25" customHeight="1">
      <c r="A456" s="167"/>
      <c r="B456" s="174"/>
      <c r="C456" s="174"/>
      <c r="D456" s="175"/>
      <c r="E456" s="156"/>
      <c r="F456" s="156"/>
      <c r="G456" s="156"/>
      <c r="H456" s="174"/>
      <c r="I456" s="174"/>
      <c r="J456" s="174"/>
      <c r="K456" s="156"/>
      <c r="L456" s="156"/>
      <c r="M456" s="156"/>
      <c r="N456" s="156"/>
      <c r="O456" s="156"/>
      <c r="P456" s="156"/>
      <c r="Q456" s="156"/>
      <c r="R456" s="156"/>
      <c r="S456" s="156"/>
      <c r="T456" s="156"/>
    </row>
    <row r="457" ht="26.25" customHeight="1">
      <c r="A457" s="167"/>
      <c r="B457" s="174"/>
      <c r="C457" s="174"/>
      <c r="D457" s="175"/>
      <c r="E457" s="156"/>
      <c r="F457" s="156"/>
      <c r="G457" s="156"/>
      <c r="H457" s="174"/>
      <c r="I457" s="174"/>
      <c r="J457" s="174"/>
      <c r="K457" s="156"/>
      <c r="L457" s="156"/>
      <c r="M457" s="156"/>
      <c r="N457" s="156"/>
      <c r="O457" s="156"/>
      <c r="P457" s="156"/>
      <c r="Q457" s="156"/>
      <c r="R457" s="156"/>
      <c r="S457" s="156"/>
      <c r="T457" s="156"/>
    </row>
    <row r="458" ht="26.25" customHeight="1">
      <c r="A458" s="167"/>
      <c r="B458" s="174"/>
      <c r="C458" s="174"/>
      <c r="D458" s="175"/>
      <c r="E458" s="156"/>
      <c r="F458" s="156"/>
      <c r="G458" s="156"/>
      <c r="H458" s="174"/>
      <c r="I458" s="174"/>
      <c r="J458" s="174"/>
      <c r="K458" s="156"/>
      <c r="L458" s="156"/>
      <c r="M458" s="156"/>
      <c r="N458" s="156"/>
      <c r="O458" s="156"/>
      <c r="P458" s="156"/>
      <c r="Q458" s="156"/>
      <c r="R458" s="156"/>
      <c r="S458" s="156"/>
      <c r="T458" s="156"/>
    </row>
    <row r="459" ht="26.25" customHeight="1">
      <c r="A459" s="167"/>
      <c r="B459" s="174"/>
      <c r="C459" s="174"/>
      <c r="D459" s="175"/>
      <c r="E459" s="156"/>
      <c r="F459" s="156"/>
      <c r="G459" s="156"/>
      <c r="H459" s="174"/>
      <c r="I459" s="174"/>
      <c r="J459" s="174"/>
      <c r="K459" s="156"/>
      <c r="L459" s="156"/>
      <c r="M459" s="156"/>
      <c r="N459" s="156"/>
      <c r="O459" s="156"/>
      <c r="P459" s="156"/>
      <c r="Q459" s="156"/>
      <c r="R459" s="156"/>
      <c r="S459" s="156"/>
      <c r="T459" s="156"/>
    </row>
    <row r="460" ht="26.25" customHeight="1">
      <c r="A460" s="167"/>
      <c r="B460" s="174"/>
      <c r="C460" s="174"/>
      <c r="D460" s="175"/>
      <c r="E460" s="156"/>
      <c r="F460" s="156"/>
      <c r="G460" s="156"/>
      <c r="H460" s="174"/>
      <c r="I460" s="174"/>
      <c r="J460" s="174"/>
      <c r="K460" s="156"/>
      <c r="L460" s="156"/>
      <c r="M460" s="156"/>
      <c r="N460" s="156"/>
      <c r="O460" s="156"/>
      <c r="P460" s="156"/>
      <c r="Q460" s="156"/>
      <c r="R460" s="156"/>
      <c r="S460" s="156"/>
      <c r="T460" s="156"/>
    </row>
    <row r="461" ht="26.25" customHeight="1">
      <c r="A461" s="167"/>
      <c r="B461" s="174"/>
      <c r="C461" s="174"/>
      <c r="D461" s="175"/>
      <c r="E461" s="156"/>
      <c r="F461" s="156"/>
      <c r="G461" s="156"/>
      <c r="H461" s="174"/>
      <c r="I461" s="174"/>
      <c r="J461" s="174"/>
      <c r="K461" s="156"/>
      <c r="L461" s="156"/>
      <c r="M461" s="156"/>
      <c r="N461" s="156"/>
      <c r="O461" s="156"/>
      <c r="P461" s="156"/>
      <c r="Q461" s="156"/>
      <c r="R461" s="156"/>
      <c r="S461" s="156"/>
      <c r="T461" s="156"/>
    </row>
    <row r="462" ht="26.25" customHeight="1">
      <c r="A462" s="167"/>
      <c r="B462" s="174"/>
      <c r="C462" s="174"/>
      <c r="D462" s="175"/>
      <c r="E462" s="156"/>
      <c r="F462" s="156"/>
      <c r="G462" s="156"/>
      <c r="H462" s="174"/>
      <c r="I462" s="174"/>
      <c r="J462" s="174"/>
      <c r="K462" s="156"/>
      <c r="L462" s="156"/>
      <c r="M462" s="156"/>
      <c r="N462" s="156"/>
      <c r="O462" s="156"/>
      <c r="P462" s="156"/>
      <c r="Q462" s="156"/>
      <c r="R462" s="156"/>
      <c r="S462" s="156"/>
      <c r="T462" s="156"/>
    </row>
    <row r="463" ht="26.25" customHeight="1">
      <c r="A463" s="167"/>
      <c r="B463" s="174"/>
      <c r="C463" s="174"/>
      <c r="D463" s="175"/>
      <c r="E463" s="156"/>
      <c r="F463" s="156"/>
      <c r="G463" s="156"/>
      <c r="H463" s="174"/>
      <c r="I463" s="174"/>
      <c r="J463" s="174"/>
      <c r="K463" s="156"/>
      <c r="L463" s="156"/>
      <c r="M463" s="156"/>
      <c r="N463" s="156"/>
      <c r="O463" s="156"/>
      <c r="P463" s="156"/>
      <c r="Q463" s="156"/>
      <c r="R463" s="156"/>
      <c r="S463" s="156"/>
      <c r="T463" s="156"/>
    </row>
    <row r="464" ht="26.25" customHeight="1">
      <c r="A464" s="167"/>
      <c r="B464" s="174"/>
      <c r="C464" s="174"/>
      <c r="D464" s="175"/>
      <c r="E464" s="156"/>
      <c r="F464" s="156"/>
      <c r="G464" s="156"/>
      <c r="H464" s="174"/>
      <c r="I464" s="174"/>
      <c r="J464" s="174"/>
      <c r="K464" s="156"/>
      <c r="L464" s="156"/>
      <c r="M464" s="156"/>
      <c r="N464" s="156"/>
      <c r="O464" s="156"/>
      <c r="P464" s="156"/>
      <c r="Q464" s="156"/>
      <c r="R464" s="156"/>
      <c r="S464" s="156"/>
      <c r="T464" s="156"/>
    </row>
    <row r="465" ht="26.25" customHeight="1">
      <c r="A465" s="167"/>
      <c r="B465" s="174"/>
      <c r="C465" s="174"/>
      <c r="D465" s="175"/>
      <c r="E465" s="156"/>
      <c r="F465" s="156"/>
      <c r="G465" s="156"/>
      <c r="H465" s="174"/>
      <c r="I465" s="174"/>
      <c r="J465" s="174"/>
      <c r="K465" s="156"/>
      <c r="L465" s="156"/>
      <c r="M465" s="156"/>
      <c r="N465" s="156"/>
      <c r="O465" s="156"/>
      <c r="P465" s="156"/>
      <c r="Q465" s="156"/>
      <c r="R465" s="156"/>
      <c r="S465" s="156"/>
      <c r="T465" s="156"/>
    </row>
    <row r="466" ht="26.25" customHeight="1">
      <c r="A466" s="167"/>
      <c r="B466" s="174"/>
      <c r="C466" s="174"/>
      <c r="D466" s="175"/>
      <c r="E466" s="156"/>
      <c r="F466" s="156"/>
      <c r="G466" s="156"/>
      <c r="H466" s="174"/>
      <c r="I466" s="174"/>
      <c r="J466" s="174"/>
      <c r="K466" s="156"/>
      <c r="L466" s="156"/>
      <c r="M466" s="156"/>
      <c r="N466" s="156"/>
      <c r="O466" s="156"/>
      <c r="P466" s="156"/>
      <c r="Q466" s="156"/>
      <c r="R466" s="156"/>
      <c r="S466" s="156"/>
      <c r="T466" s="156"/>
    </row>
    <row r="467" ht="26.25" customHeight="1">
      <c r="A467" s="167"/>
      <c r="B467" s="174"/>
      <c r="C467" s="174"/>
      <c r="D467" s="175"/>
      <c r="E467" s="156"/>
      <c r="F467" s="156"/>
      <c r="G467" s="156"/>
      <c r="H467" s="174"/>
      <c r="I467" s="174"/>
      <c r="J467" s="174"/>
      <c r="K467" s="156"/>
      <c r="L467" s="156"/>
      <c r="M467" s="156"/>
      <c r="N467" s="156"/>
      <c r="O467" s="156"/>
      <c r="P467" s="156"/>
      <c r="Q467" s="156"/>
      <c r="R467" s="156"/>
      <c r="S467" s="156"/>
      <c r="T467" s="156"/>
    </row>
    <row r="468" ht="26.25" customHeight="1">
      <c r="A468" s="167"/>
      <c r="B468" s="174"/>
      <c r="C468" s="174"/>
      <c r="D468" s="175"/>
      <c r="E468" s="156"/>
      <c r="F468" s="156"/>
      <c r="G468" s="156"/>
      <c r="H468" s="174"/>
      <c r="I468" s="174"/>
      <c r="J468" s="174"/>
      <c r="K468" s="156"/>
      <c r="L468" s="156"/>
      <c r="M468" s="156"/>
      <c r="N468" s="156"/>
      <c r="O468" s="156"/>
      <c r="P468" s="156"/>
      <c r="Q468" s="156"/>
      <c r="R468" s="156"/>
      <c r="S468" s="156"/>
      <c r="T468" s="156"/>
    </row>
    <row r="469" ht="26.25" customHeight="1">
      <c r="A469" s="167"/>
      <c r="B469" s="174"/>
      <c r="C469" s="174"/>
      <c r="D469" s="175"/>
      <c r="E469" s="156"/>
      <c r="F469" s="156"/>
      <c r="G469" s="156"/>
      <c r="H469" s="174"/>
      <c r="I469" s="174"/>
      <c r="J469" s="174"/>
      <c r="K469" s="156"/>
      <c r="L469" s="156"/>
      <c r="M469" s="156"/>
      <c r="N469" s="156"/>
      <c r="O469" s="156"/>
      <c r="P469" s="156"/>
      <c r="Q469" s="156"/>
      <c r="R469" s="156"/>
      <c r="S469" s="156"/>
      <c r="T469" s="156"/>
    </row>
    <row r="470" ht="26.25" customHeight="1">
      <c r="A470" s="167"/>
      <c r="B470" s="174"/>
      <c r="C470" s="174"/>
      <c r="D470" s="175"/>
      <c r="E470" s="156"/>
      <c r="F470" s="156"/>
      <c r="G470" s="156"/>
      <c r="H470" s="174"/>
      <c r="I470" s="174"/>
      <c r="J470" s="174"/>
      <c r="K470" s="156"/>
      <c r="L470" s="156"/>
      <c r="M470" s="156"/>
      <c r="N470" s="156"/>
      <c r="O470" s="156"/>
      <c r="P470" s="156"/>
      <c r="Q470" s="156"/>
      <c r="R470" s="156"/>
      <c r="S470" s="156"/>
      <c r="T470" s="156"/>
    </row>
    <row r="471" ht="26.25" customHeight="1">
      <c r="A471" s="167"/>
      <c r="B471" s="174"/>
      <c r="C471" s="174"/>
      <c r="D471" s="175"/>
      <c r="E471" s="156"/>
      <c r="F471" s="156"/>
      <c r="G471" s="156"/>
      <c r="H471" s="174"/>
      <c r="I471" s="174"/>
      <c r="J471" s="174"/>
      <c r="K471" s="156"/>
      <c r="L471" s="156"/>
      <c r="M471" s="156"/>
      <c r="N471" s="156"/>
      <c r="O471" s="156"/>
      <c r="P471" s="156"/>
      <c r="Q471" s="156"/>
      <c r="R471" s="156"/>
      <c r="S471" s="156"/>
      <c r="T471" s="156"/>
    </row>
    <row r="472" ht="26.25" customHeight="1">
      <c r="A472" s="167"/>
      <c r="B472" s="174"/>
      <c r="C472" s="174"/>
      <c r="D472" s="175"/>
      <c r="E472" s="156"/>
      <c r="F472" s="156"/>
      <c r="G472" s="156"/>
      <c r="H472" s="174"/>
      <c r="I472" s="174"/>
      <c r="J472" s="174"/>
      <c r="K472" s="156"/>
      <c r="L472" s="156"/>
      <c r="M472" s="156"/>
      <c r="N472" s="156"/>
      <c r="O472" s="156"/>
      <c r="P472" s="156"/>
      <c r="Q472" s="156"/>
      <c r="R472" s="156"/>
      <c r="S472" s="156"/>
      <c r="T472" s="156"/>
    </row>
    <row r="473" ht="26.25" customHeight="1">
      <c r="A473" s="167"/>
      <c r="B473" s="174"/>
      <c r="C473" s="174"/>
      <c r="D473" s="175"/>
      <c r="E473" s="156"/>
      <c r="F473" s="156"/>
      <c r="G473" s="156"/>
      <c r="H473" s="174"/>
      <c r="I473" s="174"/>
      <c r="J473" s="174"/>
      <c r="K473" s="156"/>
      <c r="L473" s="156"/>
      <c r="M473" s="156"/>
      <c r="N473" s="156"/>
      <c r="O473" s="156"/>
      <c r="P473" s="156"/>
      <c r="Q473" s="156"/>
      <c r="R473" s="156"/>
      <c r="S473" s="156"/>
      <c r="T473" s="156"/>
    </row>
    <row r="474" ht="26.25" customHeight="1">
      <c r="A474" s="167"/>
      <c r="B474" s="174"/>
      <c r="C474" s="174"/>
      <c r="D474" s="175"/>
      <c r="E474" s="156"/>
      <c r="F474" s="156"/>
      <c r="G474" s="156"/>
      <c r="H474" s="174"/>
      <c r="I474" s="174"/>
      <c r="J474" s="174"/>
      <c r="K474" s="156"/>
      <c r="L474" s="156"/>
      <c r="M474" s="156"/>
      <c r="N474" s="156"/>
      <c r="O474" s="156"/>
      <c r="P474" s="156"/>
      <c r="Q474" s="156"/>
      <c r="R474" s="156"/>
      <c r="S474" s="156"/>
      <c r="T474" s="156"/>
    </row>
    <row r="475" ht="26.25" customHeight="1">
      <c r="A475" s="167"/>
      <c r="B475" s="174"/>
      <c r="C475" s="174"/>
      <c r="D475" s="175"/>
      <c r="E475" s="156"/>
      <c r="F475" s="156"/>
      <c r="G475" s="156"/>
      <c r="H475" s="174"/>
      <c r="I475" s="174"/>
      <c r="J475" s="174"/>
      <c r="K475" s="156"/>
      <c r="L475" s="156"/>
      <c r="M475" s="156"/>
      <c r="N475" s="156"/>
      <c r="O475" s="156"/>
      <c r="P475" s="156"/>
      <c r="Q475" s="156"/>
      <c r="R475" s="156"/>
      <c r="S475" s="156"/>
      <c r="T475" s="156"/>
    </row>
    <row r="476" ht="26.25" customHeight="1">
      <c r="A476" s="167"/>
      <c r="B476" s="174"/>
      <c r="C476" s="174"/>
      <c r="D476" s="175"/>
      <c r="E476" s="156"/>
      <c r="F476" s="156"/>
      <c r="G476" s="156"/>
      <c r="H476" s="174"/>
      <c r="I476" s="174"/>
      <c r="J476" s="174"/>
      <c r="K476" s="156"/>
      <c r="L476" s="156"/>
      <c r="M476" s="156"/>
      <c r="N476" s="156"/>
      <c r="O476" s="156"/>
      <c r="P476" s="156"/>
      <c r="Q476" s="156"/>
      <c r="R476" s="156"/>
      <c r="S476" s="156"/>
      <c r="T476" s="156"/>
    </row>
    <row r="477" ht="26.25" customHeight="1">
      <c r="A477" s="167"/>
      <c r="B477" s="174"/>
      <c r="C477" s="174"/>
      <c r="D477" s="175"/>
      <c r="E477" s="156"/>
      <c r="F477" s="156"/>
      <c r="G477" s="156"/>
      <c r="H477" s="174"/>
      <c r="I477" s="174"/>
      <c r="J477" s="174"/>
      <c r="K477" s="156"/>
      <c r="L477" s="156"/>
      <c r="M477" s="156"/>
      <c r="N477" s="156"/>
      <c r="O477" s="156"/>
      <c r="P477" s="156"/>
      <c r="Q477" s="156"/>
      <c r="R477" s="156"/>
      <c r="S477" s="156"/>
      <c r="T477" s="156"/>
    </row>
    <row r="478" ht="26.25" customHeight="1">
      <c r="A478" s="167"/>
      <c r="B478" s="174"/>
      <c r="C478" s="174"/>
      <c r="D478" s="175"/>
      <c r="E478" s="156"/>
      <c r="F478" s="156"/>
      <c r="G478" s="156"/>
      <c r="H478" s="174"/>
      <c r="I478" s="174"/>
      <c r="J478" s="174"/>
      <c r="K478" s="156"/>
      <c r="L478" s="156"/>
      <c r="M478" s="156"/>
      <c r="N478" s="156"/>
      <c r="O478" s="156"/>
      <c r="P478" s="156"/>
      <c r="Q478" s="156"/>
      <c r="R478" s="156"/>
      <c r="S478" s="156"/>
      <c r="T478" s="156"/>
    </row>
    <row r="479" ht="26.25" customHeight="1">
      <c r="A479" s="167"/>
      <c r="B479" s="174"/>
      <c r="C479" s="174"/>
      <c r="D479" s="175"/>
      <c r="E479" s="156"/>
      <c r="F479" s="156"/>
      <c r="G479" s="156"/>
      <c r="H479" s="174"/>
      <c r="I479" s="174"/>
      <c r="J479" s="174"/>
      <c r="K479" s="156"/>
      <c r="L479" s="156"/>
      <c r="M479" s="156"/>
      <c r="N479" s="156"/>
      <c r="O479" s="156"/>
      <c r="P479" s="156"/>
      <c r="Q479" s="156"/>
      <c r="R479" s="156"/>
      <c r="S479" s="156"/>
      <c r="T479" s="156"/>
    </row>
    <row r="480" ht="26.25" customHeight="1">
      <c r="A480" s="167"/>
      <c r="B480" s="174"/>
      <c r="C480" s="174"/>
      <c r="D480" s="175"/>
      <c r="E480" s="156"/>
      <c r="F480" s="156"/>
      <c r="G480" s="156"/>
      <c r="H480" s="174"/>
      <c r="I480" s="174"/>
      <c r="J480" s="174"/>
      <c r="K480" s="156"/>
      <c r="L480" s="156"/>
      <c r="M480" s="156"/>
      <c r="N480" s="156"/>
      <c r="O480" s="156"/>
      <c r="P480" s="156"/>
      <c r="Q480" s="156"/>
      <c r="R480" s="156"/>
      <c r="S480" s="156"/>
      <c r="T480" s="156"/>
    </row>
    <row r="481" ht="26.25" customHeight="1">
      <c r="A481" s="167"/>
      <c r="B481" s="174"/>
      <c r="C481" s="174"/>
      <c r="D481" s="175"/>
      <c r="E481" s="156"/>
      <c r="F481" s="156"/>
      <c r="G481" s="156"/>
      <c r="H481" s="174"/>
      <c r="I481" s="174"/>
      <c r="J481" s="174"/>
      <c r="K481" s="156"/>
      <c r="L481" s="156"/>
      <c r="M481" s="156"/>
      <c r="N481" s="156"/>
      <c r="O481" s="156"/>
      <c r="P481" s="156"/>
      <c r="Q481" s="156"/>
      <c r="R481" s="156"/>
      <c r="S481" s="156"/>
      <c r="T481" s="156"/>
    </row>
    <row r="482" ht="26.25" customHeight="1">
      <c r="A482" s="167"/>
      <c r="B482" s="174"/>
      <c r="C482" s="174"/>
      <c r="D482" s="175"/>
      <c r="E482" s="156"/>
      <c r="F482" s="156"/>
      <c r="G482" s="156"/>
      <c r="H482" s="174"/>
      <c r="I482" s="174"/>
      <c r="J482" s="174"/>
      <c r="K482" s="156"/>
      <c r="L482" s="156"/>
      <c r="M482" s="156"/>
      <c r="N482" s="156"/>
      <c r="O482" s="156"/>
      <c r="P482" s="156"/>
      <c r="Q482" s="156"/>
      <c r="R482" s="156"/>
      <c r="S482" s="156"/>
      <c r="T482" s="156"/>
    </row>
    <row r="483" ht="26.25" customHeight="1">
      <c r="A483" s="167"/>
      <c r="B483" s="174"/>
      <c r="C483" s="174"/>
      <c r="D483" s="175"/>
      <c r="E483" s="156"/>
      <c r="F483" s="156"/>
      <c r="G483" s="156"/>
      <c r="H483" s="174"/>
      <c r="I483" s="174"/>
      <c r="J483" s="174"/>
      <c r="K483" s="156"/>
      <c r="L483" s="156"/>
      <c r="M483" s="156"/>
      <c r="N483" s="156"/>
      <c r="O483" s="156"/>
      <c r="P483" s="156"/>
      <c r="Q483" s="156"/>
      <c r="R483" s="156"/>
      <c r="S483" s="156"/>
      <c r="T483" s="156"/>
    </row>
    <row r="484" ht="26.25" customHeight="1">
      <c r="A484" s="167"/>
      <c r="B484" s="174"/>
      <c r="C484" s="174"/>
      <c r="D484" s="175"/>
      <c r="E484" s="156"/>
      <c r="F484" s="156"/>
      <c r="G484" s="156"/>
      <c r="H484" s="174"/>
      <c r="I484" s="174"/>
      <c r="J484" s="174"/>
      <c r="K484" s="156"/>
      <c r="L484" s="156"/>
      <c r="M484" s="156"/>
      <c r="N484" s="156"/>
      <c r="O484" s="156"/>
      <c r="P484" s="156"/>
      <c r="Q484" s="156"/>
      <c r="R484" s="156"/>
      <c r="S484" s="156"/>
      <c r="T484" s="156"/>
    </row>
    <row r="485" ht="26.25" customHeight="1">
      <c r="A485" s="167"/>
      <c r="B485" s="174"/>
      <c r="C485" s="174"/>
      <c r="D485" s="175"/>
      <c r="E485" s="156"/>
      <c r="F485" s="156"/>
      <c r="G485" s="156"/>
      <c r="H485" s="174"/>
      <c r="I485" s="174"/>
      <c r="J485" s="174"/>
      <c r="K485" s="156"/>
      <c r="L485" s="156"/>
      <c r="M485" s="156"/>
      <c r="N485" s="156"/>
      <c r="O485" s="156"/>
      <c r="P485" s="156"/>
      <c r="Q485" s="156"/>
      <c r="R485" s="156"/>
      <c r="S485" s="156"/>
      <c r="T485" s="156"/>
    </row>
    <row r="486" ht="26.25" customHeight="1">
      <c r="A486" s="167"/>
      <c r="B486" s="174"/>
      <c r="C486" s="174"/>
      <c r="D486" s="175"/>
      <c r="E486" s="156"/>
      <c r="F486" s="156"/>
      <c r="G486" s="156"/>
      <c r="H486" s="174"/>
      <c r="I486" s="174"/>
      <c r="J486" s="174"/>
      <c r="K486" s="156"/>
      <c r="L486" s="156"/>
      <c r="M486" s="156"/>
      <c r="N486" s="156"/>
      <c r="O486" s="156"/>
      <c r="P486" s="156"/>
      <c r="Q486" s="156"/>
      <c r="R486" s="156"/>
      <c r="S486" s="156"/>
      <c r="T486" s="156"/>
    </row>
    <row r="487" ht="26.25" customHeight="1">
      <c r="A487" s="167"/>
      <c r="B487" s="174"/>
      <c r="C487" s="174"/>
      <c r="D487" s="175"/>
      <c r="E487" s="156"/>
      <c r="F487" s="156"/>
      <c r="G487" s="156"/>
      <c r="H487" s="174"/>
      <c r="I487" s="174"/>
      <c r="J487" s="174"/>
      <c r="K487" s="156"/>
      <c r="L487" s="156"/>
      <c r="M487" s="156"/>
      <c r="N487" s="156"/>
      <c r="O487" s="156"/>
      <c r="P487" s="156"/>
      <c r="Q487" s="156"/>
      <c r="R487" s="156"/>
      <c r="S487" s="156"/>
      <c r="T487" s="156"/>
    </row>
    <row r="488" ht="26.25" customHeight="1">
      <c r="A488" s="167"/>
      <c r="B488" s="174"/>
      <c r="C488" s="174"/>
      <c r="D488" s="175"/>
      <c r="E488" s="156"/>
      <c r="F488" s="156"/>
      <c r="G488" s="156"/>
      <c r="H488" s="174"/>
      <c r="I488" s="174"/>
      <c r="J488" s="174"/>
      <c r="K488" s="156"/>
      <c r="L488" s="156"/>
      <c r="M488" s="156"/>
      <c r="N488" s="156"/>
      <c r="O488" s="156"/>
      <c r="P488" s="156"/>
      <c r="Q488" s="156"/>
      <c r="R488" s="156"/>
      <c r="S488" s="156"/>
      <c r="T488" s="156"/>
    </row>
    <row r="489" ht="26.25" customHeight="1">
      <c r="A489" s="167"/>
      <c r="B489" s="174"/>
      <c r="C489" s="174"/>
      <c r="D489" s="175"/>
      <c r="E489" s="156"/>
      <c r="F489" s="156"/>
      <c r="G489" s="156"/>
      <c r="H489" s="174"/>
      <c r="I489" s="174"/>
      <c r="J489" s="174"/>
      <c r="K489" s="156"/>
      <c r="L489" s="156"/>
      <c r="M489" s="156"/>
      <c r="N489" s="156"/>
      <c r="O489" s="156"/>
      <c r="P489" s="156"/>
      <c r="Q489" s="156"/>
      <c r="R489" s="156"/>
      <c r="S489" s="156"/>
      <c r="T489" s="156"/>
    </row>
    <row r="490" ht="26.25" customHeight="1">
      <c r="A490" s="167"/>
      <c r="B490" s="174"/>
      <c r="C490" s="174"/>
      <c r="D490" s="175"/>
      <c r="E490" s="156"/>
      <c r="F490" s="156"/>
      <c r="G490" s="156"/>
      <c r="H490" s="174"/>
      <c r="I490" s="174"/>
      <c r="J490" s="174"/>
      <c r="K490" s="156"/>
      <c r="L490" s="156"/>
      <c r="M490" s="156"/>
      <c r="N490" s="156"/>
      <c r="O490" s="156"/>
      <c r="P490" s="156"/>
      <c r="Q490" s="156"/>
      <c r="R490" s="156"/>
      <c r="S490" s="156"/>
      <c r="T490" s="156"/>
    </row>
    <row r="491" ht="26.25" customHeight="1">
      <c r="A491" s="167"/>
      <c r="B491" s="174"/>
      <c r="C491" s="174"/>
      <c r="D491" s="175"/>
      <c r="E491" s="156"/>
      <c r="F491" s="156"/>
      <c r="G491" s="156"/>
      <c r="H491" s="174"/>
      <c r="I491" s="174"/>
      <c r="J491" s="174"/>
      <c r="K491" s="156"/>
      <c r="L491" s="156"/>
      <c r="M491" s="156"/>
      <c r="N491" s="156"/>
      <c r="O491" s="156"/>
      <c r="P491" s="156"/>
      <c r="Q491" s="156"/>
      <c r="R491" s="156"/>
      <c r="S491" s="156"/>
      <c r="T491" s="156"/>
    </row>
    <row r="492" ht="26.25" customHeight="1">
      <c r="A492" s="167"/>
      <c r="B492" s="174"/>
      <c r="C492" s="174"/>
      <c r="D492" s="175"/>
      <c r="E492" s="156"/>
      <c r="F492" s="156"/>
      <c r="G492" s="156"/>
      <c r="H492" s="174"/>
      <c r="I492" s="174"/>
      <c r="J492" s="174"/>
      <c r="K492" s="156"/>
      <c r="L492" s="156"/>
      <c r="M492" s="156"/>
      <c r="N492" s="156"/>
      <c r="O492" s="156"/>
      <c r="P492" s="156"/>
      <c r="Q492" s="156"/>
      <c r="R492" s="156"/>
      <c r="S492" s="156"/>
      <c r="T492" s="156"/>
    </row>
    <row r="493" ht="26.25" customHeight="1">
      <c r="A493" s="167"/>
      <c r="B493" s="174"/>
      <c r="C493" s="174"/>
      <c r="D493" s="175"/>
      <c r="E493" s="156"/>
      <c r="F493" s="156"/>
      <c r="G493" s="156"/>
      <c r="H493" s="174"/>
      <c r="I493" s="174"/>
      <c r="J493" s="174"/>
      <c r="K493" s="156"/>
      <c r="L493" s="156"/>
      <c r="M493" s="156"/>
      <c r="N493" s="156"/>
      <c r="O493" s="156"/>
      <c r="P493" s="156"/>
      <c r="Q493" s="156"/>
      <c r="R493" s="156"/>
      <c r="S493" s="156"/>
      <c r="T493" s="156"/>
    </row>
    <row r="494" ht="26.25" customHeight="1">
      <c r="A494" s="167"/>
      <c r="B494" s="174"/>
      <c r="C494" s="174"/>
      <c r="D494" s="175"/>
      <c r="E494" s="156"/>
      <c r="F494" s="156"/>
      <c r="G494" s="156"/>
      <c r="H494" s="174"/>
      <c r="I494" s="174"/>
      <c r="J494" s="174"/>
      <c r="K494" s="156"/>
      <c r="L494" s="156"/>
      <c r="M494" s="156"/>
      <c r="N494" s="156"/>
      <c r="O494" s="156"/>
      <c r="P494" s="156"/>
      <c r="Q494" s="156"/>
      <c r="R494" s="156"/>
      <c r="S494" s="156"/>
      <c r="T494" s="156"/>
    </row>
    <row r="495" ht="26.25" customHeight="1">
      <c r="A495" s="167"/>
      <c r="B495" s="174"/>
      <c r="C495" s="174"/>
      <c r="D495" s="175"/>
      <c r="E495" s="156"/>
      <c r="F495" s="156"/>
      <c r="G495" s="156"/>
      <c r="H495" s="174"/>
      <c r="I495" s="174"/>
      <c r="J495" s="174"/>
      <c r="K495" s="156"/>
      <c r="L495" s="156"/>
      <c r="M495" s="156"/>
      <c r="N495" s="156"/>
      <c r="O495" s="156"/>
      <c r="P495" s="156"/>
      <c r="Q495" s="156"/>
      <c r="R495" s="156"/>
      <c r="S495" s="156"/>
      <c r="T495" s="156"/>
    </row>
    <row r="496" ht="26.25" customHeight="1">
      <c r="A496" s="167"/>
      <c r="B496" s="174"/>
      <c r="C496" s="174"/>
      <c r="D496" s="175"/>
      <c r="E496" s="156"/>
      <c r="F496" s="156"/>
      <c r="G496" s="156"/>
      <c r="H496" s="174"/>
      <c r="I496" s="174"/>
      <c r="J496" s="174"/>
      <c r="K496" s="156"/>
      <c r="L496" s="156"/>
      <c r="M496" s="156"/>
      <c r="N496" s="156"/>
      <c r="O496" s="156"/>
      <c r="P496" s="156"/>
      <c r="Q496" s="156"/>
      <c r="R496" s="156"/>
      <c r="S496" s="156"/>
      <c r="T496" s="156"/>
    </row>
    <row r="497" ht="26.25" customHeight="1">
      <c r="A497" s="167"/>
      <c r="B497" s="174"/>
      <c r="C497" s="174"/>
      <c r="D497" s="175"/>
      <c r="E497" s="156"/>
      <c r="F497" s="156"/>
      <c r="G497" s="156"/>
      <c r="H497" s="174"/>
      <c r="I497" s="174"/>
      <c r="J497" s="174"/>
      <c r="K497" s="156"/>
      <c r="L497" s="156"/>
      <c r="M497" s="156"/>
      <c r="N497" s="156"/>
      <c r="O497" s="156"/>
      <c r="P497" s="156"/>
      <c r="Q497" s="156"/>
      <c r="R497" s="156"/>
      <c r="S497" s="156"/>
      <c r="T497" s="156"/>
    </row>
    <row r="498" ht="26.25" customHeight="1">
      <c r="A498" s="167"/>
      <c r="B498" s="174"/>
      <c r="C498" s="174"/>
      <c r="D498" s="175"/>
      <c r="E498" s="156"/>
      <c r="F498" s="156"/>
      <c r="G498" s="156"/>
      <c r="H498" s="174"/>
      <c r="I498" s="174"/>
      <c r="J498" s="174"/>
      <c r="K498" s="156"/>
      <c r="L498" s="156"/>
      <c r="M498" s="156"/>
      <c r="N498" s="156"/>
      <c r="O498" s="156"/>
      <c r="P498" s="156"/>
      <c r="Q498" s="156"/>
      <c r="R498" s="156"/>
      <c r="S498" s="156"/>
      <c r="T498" s="156"/>
    </row>
    <row r="499" ht="26.25" customHeight="1">
      <c r="A499" s="167"/>
      <c r="B499" s="174"/>
      <c r="C499" s="174"/>
      <c r="D499" s="175"/>
      <c r="E499" s="156"/>
      <c r="F499" s="156"/>
      <c r="G499" s="156"/>
      <c r="H499" s="174"/>
      <c r="I499" s="174"/>
      <c r="J499" s="174"/>
      <c r="K499" s="156"/>
      <c r="L499" s="156"/>
      <c r="M499" s="156"/>
      <c r="N499" s="156"/>
      <c r="O499" s="156"/>
      <c r="P499" s="156"/>
      <c r="Q499" s="156"/>
      <c r="R499" s="156"/>
      <c r="S499" s="156"/>
      <c r="T499" s="156"/>
    </row>
    <row r="500" ht="26.25" customHeight="1">
      <c r="A500" s="167"/>
      <c r="B500" s="174"/>
      <c r="C500" s="174"/>
      <c r="D500" s="175"/>
      <c r="E500" s="156"/>
      <c r="F500" s="156"/>
      <c r="G500" s="156"/>
      <c r="H500" s="174"/>
      <c r="I500" s="174"/>
      <c r="J500" s="174"/>
      <c r="K500" s="156"/>
      <c r="L500" s="156"/>
      <c r="M500" s="156"/>
      <c r="N500" s="156"/>
      <c r="O500" s="156"/>
      <c r="P500" s="156"/>
      <c r="Q500" s="156"/>
      <c r="R500" s="156"/>
      <c r="S500" s="156"/>
      <c r="T500" s="156"/>
    </row>
    <row r="501" ht="26.25" customHeight="1">
      <c r="A501" s="167"/>
      <c r="B501" s="174"/>
      <c r="C501" s="174"/>
      <c r="D501" s="175"/>
      <c r="E501" s="156"/>
      <c r="F501" s="156"/>
      <c r="G501" s="156"/>
      <c r="H501" s="174"/>
      <c r="I501" s="174"/>
      <c r="J501" s="174"/>
      <c r="K501" s="156"/>
      <c r="L501" s="156"/>
      <c r="M501" s="156"/>
      <c r="N501" s="156"/>
      <c r="O501" s="156"/>
      <c r="P501" s="156"/>
      <c r="Q501" s="156"/>
      <c r="R501" s="156"/>
      <c r="S501" s="156"/>
      <c r="T501" s="156"/>
    </row>
    <row r="502" ht="26.25" customHeight="1">
      <c r="A502" s="167"/>
      <c r="B502" s="174"/>
      <c r="C502" s="174"/>
      <c r="D502" s="175"/>
      <c r="E502" s="156"/>
      <c r="F502" s="156"/>
      <c r="G502" s="156"/>
      <c r="H502" s="174"/>
      <c r="I502" s="174"/>
      <c r="J502" s="174"/>
      <c r="K502" s="156"/>
      <c r="L502" s="156"/>
      <c r="M502" s="156"/>
      <c r="N502" s="156"/>
      <c r="O502" s="156"/>
      <c r="P502" s="156"/>
      <c r="Q502" s="156"/>
      <c r="R502" s="156"/>
      <c r="S502" s="156"/>
      <c r="T502" s="156"/>
    </row>
    <row r="503" ht="26.25" customHeight="1">
      <c r="A503" s="167"/>
      <c r="B503" s="174"/>
      <c r="C503" s="174"/>
      <c r="D503" s="175"/>
      <c r="E503" s="156"/>
      <c r="F503" s="156"/>
      <c r="G503" s="156"/>
      <c r="H503" s="174"/>
      <c r="I503" s="174"/>
      <c r="J503" s="174"/>
      <c r="K503" s="156"/>
      <c r="L503" s="156"/>
      <c r="M503" s="156"/>
      <c r="N503" s="156"/>
      <c r="O503" s="156"/>
      <c r="P503" s="156"/>
      <c r="Q503" s="156"/>
      <c r="R503" s="156"/>
      <c r="S503" s="156"/>
      <c r="T503" s="156"/>
    </row>
    <row r="504" ht="26.25" customHeight="1">
      <c r="A504" s="167"/>
      <c r="B504" s="174"/>
      <c r="C504" s="174"/>
      <c r="D504" s="175"/>
      <c r="E504" s="156"/>
      <c r="F504" s="156"/>
      <c r="G504" s="156"/>
      <c r="H504" s="174"/>
      <c r="I504" s="174"/>
      <c r="J504" s="174"/>
      <c r="K504" s="156"/>
      <c r="L504" s="156"/>
      <c r="M504" s="156"/>
      <c r="N504" s="156"/>
      <c r="O504" s="156"/>
      <c r="P504" s="156"/>
      <c r="Q504" s="156"/>
      <c r="R504" s="156"/>
      <c r="S504" s="156"/>
      <c r="T504" s="156"/>
    </row>
    <row r="505" ht="26.25" customHeight="1">
      <c r="A505" s="167"/>
      <c r="B505" s="174"/>
      <c r="C505" s="174"/>
      <c r="D505" s="175"/>
      <c r="E505" s="156"/>
      <c r="F505" s="156"/>
      <c r="G505" s="156"/>
      <c r="H505" s="174"/>
      <c r="I505" s="174"/>
      <c r="J505" s="174"/>
      <c r="K505" s="156"/>
      <c r="L505" s="156"/>
      <c r="M505" s="156"/>
      <c r="N505" s="156"/>
      <c r="O505" s="156"/>
      <c r="P505" s="156"/>
      <c r="Q505" s="156"/>
      <c r="R505" s="156"/>
      <c r="S505" s="156"/>
      <c r="T505" s="156"/>
    </row>
    <row r="506" ht="26.25" customHeight="1">
      <c r="A506" s="167"/>
      <c r="B506" s="174"/>
      <c r="C506" s="174"/>
      <c r="D506" s="175"/>
      <c r="E506" s="156"/>
      <c r="F506" s="156"/>
      <c r="G506" s="156"/>
      <c r="H506" s="174"/>
      <c r="I506" s="174"/>
      <c r="J506" s="174"/>
      <c r="K506" s="156"/>
      <c r="L506" s="156"/>
      <c r="M506" s="156"/>
      <c r="N506" s="156"/>
      <c r="O506" s="156"/>
      <c r="P506" s="156"/>
      <c r="Q506" s="156"/>
      <c r="R506" s="156"/>
      <c r="S506" s="156"/>
      <c r="T506" s="156"/>
    </row>
    <row r="507" ht="26.25" customHeight="1">
      <c r="A507" s="167"/>
      <c r="B507" s="174"/>
      <c r="C507" s="174"/>
      <c r="D507" s="175"/>
      <c r="E507" s="156"/>
      <c r="F507" s="156"/>
      <c r="G507" s="156"/>
      <c r="H507" s="174"/>
      <c r="I507" s="174"/>
      <c r="J507" s="174"/>
      <c r="K507" s="156"/>
      <c r="L507" s="156"/>
      <c r="M507" s="156"/>
      <c r="N507" s="156"/>
      <c r="O507" s="156"/>
      <c r="P507" s="156"/>
      <c r="Q507" s="156"/>
      <c r="R507" s="156"/>
      <c r="S507" s="156"/>
      <c r="T507" s="156"/>
    </row>
    <row r="508" ht="26.25" customHeight="1">
      <c r="A508" s="167"/>
      <c r="B508" s="174"/>
      <c r="C508" s="174"/>
      <c r="D508" s="175"/>
      <c r="E508" s="156"/>
      <c r="F508" s="156"/>
      <c r="G508" s="156"/>
      <c r="H508" s="174"/>
      <c r="I508" s="174"/>
      <c r="J508" s="174"/>
      <c r="K508" s="156"/>
      <c r="L508" s="156"/>
      <c r="M508" s="156"/>
      <c r="N508" s="156"/>
      <c r="O508" s="156"/>
      <c r="P508" s="156"/>
      <c r="Q508" s="156"/>
      <c r="R508" s="156"/>
      <c r="S508" s="156"/>
      <c r="T508" s="156"/>
    </row>
    <row r="509" ht="26.25" customHeight="1">
      <c r="A509" s="167"/>
      <c r="B509" s="174"/>
      <c r="C509" s="174"/>
      <c r="D509" s="175"/>
      <c r="E509" s="156"/>
      <c r="F509" s="156"/>
      <c r="G509" s="156"/>
      <c r="H509" s="174"/>
      <c r="I509" s="174"/>
      <c r="J509" s="174"/>
      <c r="K509" s="156"/>
      <c r="L509" s="156"/>
      <c r="M509" s="156"/>
      <c r="N509" s="156"/>
      <c r="O509" s="156"/>
      <c r="P509" s="156"/>
      <c r="Q509" s="156"/>
      <c r="R509" s="156"/>
      <c r="S509" s="156"/>
      <c r="T509" s="156"/>
    </row>
    <row r="510" ht="26.25" customHeight="1">
      <c r="A510" s="167"/>
      <c r="B510" s="174"/>
      <c r="C510" s="174"/>
      <c r="D510" s="175"/>
      <c r="E510" s="156"/>
      <c r="F510" s="156"/>
      <c r="G510" s="156"/>
      <c r="H510" s="174"/>
      <c r="I510" s="174"/>
      <c r="J510" s="174"/>
      <c r="K510" s="156"/>
      <c r="L510" s="156"/>
      <c r="M510" s="156"/>
      <c r="N510" s="156"/>
      <c r="O510" s="156"/>
      <c r="P510" s="156"/>
      <c r="Q510" s="156"/>
      <c r="R510" s="156"/>
      <c r="S510" s="156"/>
      <c r="T510" s="156"/>
    </row>
    <row r="511" ht="26.25" customHeight="1">
      <c r="A511" s="167"/>
      <c r="B511" s="174"/>
      <c r="C511" s="174"/>
      <c r="D511" s="175"/>
      <c r="E511" s="156"/>
      <c r="F511" s="156"/>
      <c r="G511" s="156"/>
      <c r="H511" s="174"/>
      <c r="I511" s="174"/>
      <c r="J511" s="174"/>
      <c r="K511" s="156"/>
      <c r="L511" s="156"/>
      <c r="M511" s="156"/>
      <c r="N511" s="156"/>
      <c r="O511" s="156"/>
      <c r="P511" s="156"/>
      <c r="Q511" s="156"/>
      <c r="R511" s="156"/>
      <c r="S511" s="156"/>
      <c r="T511" s="156"/>
    </row>
    <row r="512" ht="26.25" customHeight="1">
      <c r="A512" s="167"/>
      <c r="B512" s="174"/>
      <c r="C512" s="174"/>
      <c r="D512" s="175"/>
      <c r="E512" s="156"/>
      <c r="F512" s="156"/>
      <c r="G512" s="156"/>
      <c r="H512" s="174"/>
      <c r="I512" s="174"/>
      <c r="J512" s="174"/>
      <c r="K512" s="156"/>
      <c r="L512" s="156"/>
      <c r="M512" s="156"/>
      <c r="N512" s="156"/>
      <c r="O512" s="156"/>
      <c r="P512" s="156"/>
      <c r="Q512" s="156"/>
      <c r="R512" s="156"/>
      <c r="S512" s="156"/>
      <c r="T512" s="156"/>
    </row>
    <row r="513" ht="26.25" customHeight="1">
      <c r="A513" s="167"/>
      <c r="B513" s="174"/>
      <c r="C513" s="174"/>
      <c r="D513" s="175"/>
      <c r="E513" s="156"/>
      <c r="F513" s="156"/>
      <c r="G513" s="156"/>
      <c r="H513" s="174"/>
      <c r="I513" s="174"/>
      <c r="J513" s="174"/>
      <c r="K513" s="156"/>
      <c r="L513" s="156"/>
      <c r="M513" s="156"/>
      <c r="N513" s="156"/>
      <c r="O513" s="156"/>
      <c r="P513" s="156"/>
      <c r="Q513" s="156"/>
      <c r="R513" s="156"/>
      <c r="S513" s="156"/>
      <c r="T513" s="156"/>
    </row>
    <row r="514" ht="26.25" customHeight="1">
      <c r="A514" s="167"/>
      <c r="B514" s="174"/>
      <c r="C514" s="174"/>
      <c r="D514" s="175"/>
      <c r="E514" s="156"/>
      <c r="F514" s="156"/>
      <c r="G514" s="156"/>
      <c r="H514" s="174"/>
      <c r="I514" s="174"/>
      <c r="J514" s="174"/>
      <c r="K514" s="156"/>
      <c r="L514" s="156"/>
      <c r="M514" s="156"/>
      <c r="N514" s="156"/>
      <c r="O514" s="156"/>
      <c r="P514" s="156"/>
      <c r="Q514" s="156"/>
      <c r="R514" s="156"/>
      <c r="S514" s="156"/>
      <c r="T514" s="156"/>
    </row>
    <row r="515" ht="26.25" customHeight="1">
      <c r="A515" s="167"/>
      <c r="B515" s="174"/>
      <c r="C515" s="174"/>
      <c r="D515" s="175"/>
      <c r="E515" s="156"/>
      <c r="F515" s="156"/>
      <c r="G515" s="156"/>
      <c r="H515" s="174"/>
      <c r="I515" s="174"/>
      <c r="J515" s="174"/>
      <c r="K515" s="156"/>
      <c r="L515" s="156"/>
      <c r="M515" s="156"/>
      <c r="N515" s="156"/>
      <c r="O515" s="156"/>
      <c r="P515" s="156"/>
      <c r="Q515" s="156"/>
      <c r="R515" s="156"/>
      <c r="S515" s="156"/>
      <c r="T515" s="156"/>
    </row>
    <row r="516" ht="26.25" customHeight="1">
      <c r="A516" s="167"/>
      <c r="B516" s="174"/>
      <c r="C516" s="174"/>
      <c r="D516" s="175"/>
      <c r="E516" s="156"/>
      <c r="F516" s="156"/>
      <c r="G516" s="156"/>
      <c r="H516" s="174"/>
      <c r="I516" s="174"/>
      <c r="J516" s="174"/>
      <c r="K516" s="156"/>
      <c r="L516" s="156"/>
      <c r="M516" s="156"/>
      <c r="N516" s="156"/>
      <c r="O516" s="156"/>
      <c r="P516" s="156"/>
      <c r="Q516" s="156"/>
      <c r="R516" s="156"/>
      <c r="S516" s="156"/>
      <c r="T516" s="156"/>
    </row>
    <row r="517" ht="26.25" customHeight="1">
      <c r="A517" s="167"/>
      <c r="B517" s="174"/>
      <c r="C517" s="174"/>
      <c r="D517" s="175"/>
      <c r="E517" s="156"/>
      <c r="F517" s="156"/>
      <c r="G517" s="156"/>
      <c r="H517" s="174"/>
      <c r="I517" s="174"/>
      <c r="J517" s="174"/>
      <c r="K517" s="156"/>
      <c r="L517" s="156"/>
      <c r="M517" s="156"/>
      <c r="N517" s="156"/>
      <c r="O517" s="156"/>
      <c r="P517" s="156"/>
      <c r="Q517" s="156"/>
      <c r="R517" s="156"/>
      <c r="S517" s="156"/>
      <c r="T517" s="156"/>
    </row>
    <row r="518" ht="26.25" customHeight="1">
      <c r="A518" s="167"/>
      <c r="B518" s="174"/>
      <c r="C518" s="174"/>
      <c r="D518" s="175"/>
      <c r="E518" s="156"/>
      <c r="F518" s="156"/>
      <c r="G518" s="156"/>
      <c r="H518" s="174"/>
      <c r="I518" s="174"/>
      <c r="J518" s="174"/>
      <c r="K518" s="156"/>
      <c r="L518" s="156"/>
      <c r="M518" s="156"/>
      <c r="N518" s="156"/>
      <c r="O518" s="156"/>
      <c r="P518" s="156"/>
      <c r="Q518" s="156"/>
      <c r="R518" s="156"/>
      <c r="S518" s="156"/>
      <c r="T518" s="156"/>
    </row>
    <row r="519" ht="26.25" customHeight="1">
      <c r="A519" s="167"/>
      <c r="B519" s="174"/>
      <c r="C519" s="174"/>
      <c r="D519" s="175"/>
      <c r="E519" s="156"/>
      <c r="F519" s="156"/>
      <c r="G519" s="156"/>
      <c r="H519" s="174"/>
      <c r="I519" s="174"/>
      <c r="J519" s="174"/>
      <c r="K519" s="156"/>
      <c r="L519" s="156"/>
      <c r="M519" s="156"/>
      <c r="N519" s="156"/>
      <c r="O519" s="156"/>
      <c r="P519" s="156"/>
      <c r="Q519" s="156"/>
      <c r="R519" s="156"/>
      <c r="S519" s="156"/>
      <c r="T519" s="156"/>
    </row>
    <row r="520" ht="26.25" customHeight="1">
      <c r="A520" s="167"/>
      <c r="B520" s="174"/>
      <c r="C520" s="174"/>
      <c r="D520" s="175"/>
      <c r="E520" s="156"/>
      <c r="F520" s="156"/>
      <c r="G520" s="156"/>
      <c r="H520" s="174"/>
      <c r="I520" s="174"/>
      <c r="J520" s="174"/>
      <c r="K520" s="156"/>
      <c r="L520" s="156"/>
      <c r="M520" s="156"/>
      <c r="N520" s="156"/>
      <c r="O520" s="156"/>
      <c r="P520" s="156"/>
      <c r="Q520" s="156"/>
      <c r="R520" s="156"/>
      <c r="S520" s="156"/>
      <c r="T520" s="156"/>
    </row>
    <row r="521" ht="26.25" customHeight="1">
      <c r="A521" s="167"/>
      <c r="B521" s="174"/>
      <c r="C521" s="174"/>
      <c r="D521" s="175"/>
      <c r="E521" s="156"/>
      <c r="F521" s="156"/>
      <c r="G521" s="156"/>
      <c r="H521" s="174"/>
      <c r="I521" s="174"/>
      <c r="J521" s="174"/>
      <c r="K521" s="156"/>
      <c r="L521" s="156"/>
      <c r="M521" s="156"/>
      <c r="N521" s="156"/>
      <c r="O521" s="156"/>
      <c r="P521" s="156"/>
      <c r="Q521" s="156"/>
      <c r="R521" s="156"/>
      <c r="S521" s="156"/>
      <c r="T521" s="156"/>
    </row>
    <row r="522" ht="26.25" customHeight="1">
      <c r="A522" s="167"/>
      <c r="B522" s="174"/>
      <c r="C522" s="174"/>
      <c r="D522" s="175"/>
      <c r="E522" s="156"/>
      <c r="F522" s="156"/>
      <c r="G522" s="156"/>
      <c r="H522" s="174"/>
      <c r="I522" s="174"/>
      <c r="J522" s="174"/>
      <c r="K522" s="156"/>
      <c r="L522" s="156"/>
      <c r="M522" s="156"/>
      <c r="N522" s="156"/>
      <c r="O522" s="156"/>
      <c r="P522" s="156"/>
      <c r="Q522" s="156"/>
      <c r="R522" s="156"/>
      <c r="S522" s="156"/>
      <c r="T522" s="156"/>
    </row>
    <row r="523" ht="26.25" customHeight="1">
      <c r="A523" s="167"/>
      <c r="B523" s="174"/>
      <c r="C523" s="174"/>
      <c r="D523" s="175"/>
      <c r="E523" s="156"/>
      <c r="F523" s="156"/>
      <c r="G523" s="156"/>
      <c r="H523" s="174"/>
      <c r="I523" s="174"/>
      <c r="J523" s="174"/>
      <c r="K523" s="156"/>
      <c r="L523" s="156"/>
      <c r="M523" s="156"/>
      <c r="N523" s="156"/>
      <c r="O523" s="156"/>
      <c r="P523" s="156"/>
      <c r="Q523" s="156"/>
      <c r="R523" s="156"/>
      <c r="S523" s="156"/>
      <c r="T523" s="156"/>
    </row>
    <row r="524" ht="26.25" customHeight="1">
      <c r="A524" s="167"/>
      <c r="B524" s="174"/>
      <c r="C524" s="174"/>
      <c r="D524" s="175"/>
      <c r="E524" s="156"/>
      <c r="F524" s="156"/>
      <c r="G524" s="156"/>
      <c r="H524" s="174"/>
      <c r="I524" s="174"/>
      <c r="J524" s="174"/>
      <c r="K524" s="156"/>
      <c r="L524" s="156"/>
      <c r="M524" s="156"/>
      <c r="N524" s="156"/>
      <c r="O524" s="156"/>
      <c r="P524" s="156"/>
      <c r="Q524" s="156"/>
      <c r="R524" s="156"/>
      <c r="S524" s="156"/>
      <c r="T524" s="156"/>
    </row>
    <row r="525" ht="26.25" customHeight="1">
      <c r="A525" s="167"/>
      <c r="B525" s="174"/>
      <c r="C525" s="174"/>
      <c r="D525" s="175"/>
      <c r="E525" s="156"/>
      <c r="F525" s="156"/>
      <c r="G525" s="156"/>
      <c r="H525" s="174"/>
      <c r="I525" s="174"/>
      <c r="J525" s="174"/>
      <c r="K525" s="156"/>
      <c r="L525" s="156"/>
      <c r="M525" s="156"/>
      <c r="N525" s="156"/>
      <c r="O525" s="156"/>
      <c r="P525" s="156"/>
      <c r="Q525" s="156"/>
      <c r="R525" s="156"/>
      <c r="S525" s="156"/>
      <c r="T525" s="156"/>
    </row>
    <row r="526" ht="26.25" customHeight="1">
      <c r="A526" s="167"/>
      <c r="B526" s="174"/>
      <c r="C526" s="174"/>
      <c r="D526" s="175"/>
      <c r="E526" s="156"/>
      <c r="F526" s="156"/>
      <c r="G526" s="156"/>
      <c r="H526" s="174"/>
      <c r="I526" s="174"/>
      <c r="J526" s="174"/>
      <c r="K526" s="156"/>
      <c r="L526" s="156"/>
      <c r="M526" s="156"/>
      <c r="N526" s="156"/>
      <c r="O526" s="156"/>
      <c r="P526" s="156"/>
      <c r="Q526" s="156"/>
      <c r="R526" s="156"/>
      <c r="S526" s="156"/>
      <c r="T526" s="156"/>
    </row>
    <row r="527" ht="26.25" customHeight="1">
      <c r="A527" s="167"/>
      <c r="B527" s="174"/>
      <c r="C527" s="174"/>
      <c r="D527" s="175"/>
      <c r="E527" s="156"/>
      <c r="F527" s="156"/>
      <c r="G527" s="156"/>
      <c r="H527" s="174"/>
      <c r="I527" s="174"/>
      <c r="J527" s="174"/>
      <c r="K527" s="156"/>
      <c r="L527" s="156"/>
      <c r="M527" s="156"/>
      <c r="N527" s="156"/>
      <c r="O527" s="156"/>
      <c r="P527" s="156"/>
      <c r="Q527" s="156"/>
      <c r="R527" s="156"/>
      <c r="S527" s="156"/>
      <c r="T527" s="156"/>
    </row>
    <row r="528" ht="26.25" customHeight="1">
      <c r="A528" s="167"/>
      <c r="B528" s="174"/>
      <c r="C528" s="174"/>
      <c r="D528" s="175"/>
      <c r="E528" s="156"/>
      <c r="F528" s="156"/>
      <c r="G528" s="156"/>
      <c r="H528" s="174"/>
      <c r="I528" s="174"/>
      <c r="J528" s="174"/>
      <c r="K528" s="156"/>
      <c r="L528" s="156"/>
      <c r="M528" s="156"/>
      <c r="N528" s="156"/>
      <c r="O528" s="156"/>
      <c r="P528" s="156"/>
      <c r="Q528" s="156"/>
      <c r="R528" s="156"/>
      <c r="S528" s="156"/>
      <c r="T528" s="156"/>
    </row>
    <row r="529" ht="26.25" customHeight="1">
      <c r="A529" s="167"/>
      <c r="B529" s="174"/>
      <c r="C529" s="174"/>
      <c r="D529" s="175"/>
      <c r="E529" s="156"/>
      <c r="F529" s="156"/>
      <c r="G529" s="156"/>
      <c r="H529" s="174"/>
      <c r="I529" s="174"/>
      <c r="J529" s="174"/>
      <c r="K529" s="156"/>
      <c r="L529" s="156"/>
      <c r="M529" s="156"/>
      <c r="N529" s="156"/>
      <c r="O529" s="156"/>
      <c r="P529" s="156"/>
      <c r="Q529" s="156"/>
      <c r="R529" s="156"/>
      <c r="S529" s="156"/>
      <c r="T529" s="156"/>
    </row>
    <row r="530" ht="26.25" customHeight="1">
      <c r="A530" s="167"/>
      <c r="B530" s="174"/>
      <c r="C530" s="174"/>
      <c r="D530" s="175"/>
      <c r="E530" s="156"/>
      <c r="F530" s="156"/>
      <c r="G530" s="156"/>
      <c r="H530" s="174"/>
      <c r="I530" s="174"/>
      <c r="J530" s="174"/>
      <c r="K530" s="156"/>
      <c r="L530" s="156"/>
      <c r="M530" s="156"/>
      <c r="N530" s="156"/>
      <c r="O530" s="156"/>
      <c r="P530" s="156"/>
      <c r="Q530" s="156"/>
      <c r="R530" s="156"/>
      <c r="S530" s="156"/>
      <c r="T530" s="156"/>
    </row>
    <row r="531" ht="26.25" customHeight="1">
      <c r="A531" s="167"/>
      <c r="B531" s="174"/>
      <c r="C531" s="174"/>
      <c r="D531" s="175"/>
      <c r="E531" s="156"/>
      <c r="F531" s="156"/>
      <c r="G531" s="156"/>
      <c r="H531" s="174"/>
      <c r="I531" s="174"/>
      <c r="J531" s="174"/>
      <c r="K531" s="156"/>
      <c r="L531" s="156"/>
      <c r="M531" s="156"/>
      <c r="N531" s="156"/>
      <c r="O531" s="156"/>
      <c r="P531" s="156"/>
      <c r="Q531" s="156"/>
      <c r="R531" s="156"/>
      <c r="S531" s="156"/>
      <c r="T531" s="156"/>
    </row>
    <row r="532" ht="26.25" customHeight="1">
      <c r="A532" s="167"/>
      <c r="B532" s="174"/>
      <c r="C532" s="174"/>
      <c r="D532" s="175"/>
      <c r="E532" s="156"/>
      <c r="F532" s="156"/>
      <c r="G532" s="156"/>
      <c r="H532" s="174"/>
      <c r="I532" s="174"/>
      <c r="J532" s="174"/>
      <c r="K532" s="156"/>
      <c r="L532" s="156"/>
      <c r="M532" s="156"/>
      <c r="N532" s="156"/>
      <c r="O532" s="156"/>
      <c r="P532" s="156"/>
      <c r="Q532" s="156"/>
      <c r="R532" s="156"/>
      <c r="S532" s="156"/>
      <c r="T532" s="156"/>
    </row>
    <row r="533" ht="26.25" customHeight="1">
      <c r="A533" s="167"/>
      <c r="B533" s="174"/>
      <c r="C533" s="174"/>
      <c r="D533" s="175"/>
      <c r="E533" s="156"/>
      <c r="F533" s="156"/>
      <c r="G533" s="156"/>
      <c r="H533" s="174"/>
      <c r="I533" s="174"/>
      <c r="J533" s="174"/>
      <c r="K533" s="156"/>
      <c r="L533" s="156"/>
      <c r="M533" s="156"/>
      <c r="N533" s="156"/>
      <c r="O533" s="156"/>
      <c r="P533" s="156"/>
      <c r="Q533" s="156"/>
      <c r="R533" s="156"/>
      <c r="S533" s="156"/>
      <c r="T533" s="156"/>
    </row>
    <row r="534" ht="26.25" customHeight="1">
      <c r="A534" s="167"/>
      <c r="B534" s="174"/>
      <c r="C534" s="174"/>
      <c r="D534" s="175"/>
      <c r="E534" s="156"/>
      <c r="F534" s="156"/>
      <c r="G534" s="156"/>
      <c r="H534" s="174"/>
      <c r="I534" s="174"/>
      <c r="J534" s="174"/>
      <c r="K534" s="156"/>
      <c r="L534" s="156"/>
      <c r="M534" s="156"/>
      <c r="N534" s="156"/>
      <c r="O534" s="156"/>
      <c r="P534" s="156"/>
      <c r="Q534" s="156"/>
      <c r="R534" s="156"/>
      <c r="S534" s="156"/>
      <c r="T534" s="156"/>
    </row>
    <row r="535" ht="26.25" customHeight="1">
      <c r="A535" s="167"/>
      <c r="B535" s="174"/>
      <c r="C535" s="174"/>
      <c r="D535" s="175"/>
      <c r="E535" s="156"/>
      <c r="F535" s="156"/>
      <c r="G535" s="156"/>
      <c r="H535" s="174"/>
      <c r="I535" s="174"/>
      <c r="J535" s="174"/>
      <c r="K535" s="156"/>
      <c r="L535" s="156"/>
      <c r="M535" s="156"/>
      <c r="N535" s="156"/>
      <c r="O535" s="156"/>
      <c r="P535" s="156"/>
      <c r="Q535" s="156"/>
      <c r="R535" s="156"/>
      <c r="S535" s="156"/>
      <c r="T535" s="156"/>
    </row>
    <row r="536" ht="26.25" customHeight="1">
      <c r="A536" s="167"/>
      <c r="B536" s="174"/>
      <c r="C536" s="174"/>
      <c r="D536" s="175"/>
      <c r="E536" s="156"/>
      <c r="F536" s="156"/>
      <c r="G536" s="156"/>
      <c r="H536" s="174"/>
      <c r="I536" s="174"/>
      <c r="J536" s="174"/>
      <c r="K536" s="156"/>
      <c r="L536" s="156"/>
      <c r="M536" s="156"/>
      <c r="N536" s="156"/>
      <c r="O536" s="156"/>
      <c r="P536" s="156"/>
      <c r="Q536" s="156"/>
      <c r="R536" s="156"/>
      <c r="S536" s="156"/>
      <c r="T536" s="156"/>
    </row>
    <row r="537" ht="26.25" customHeight="1">
      <c r="A537" s="167"/>
      <c r="B537" s="174"/>
      <c r="C537" s="174"/>
      <c r="D537" s="175"/>
      <c r="E537" s="156"/>
      <c r="F537" s="156"/>
      <c r="G537" s="156"/>
      <c r="H537" s="174"/>
      <c r="I537" s="174"/>
      <c r="J537" s="174"/>
      <c r="K537" s="156"/>
      <c r="L537" s="156"/>
      <c r="M537" s="156"/>
      <c r="N537" s="156"/>
      <c r="O537" s="156"/>
      <c r="P537" s="156"/>
      <c r="Q537" s="156"/>
      <c r="R537" s="156"/>
      <c r="S537" s="156"/>
      <c r="T537" s="156"/>
    </row>
    <row r="538" ht="26.25" customHeight="1">
      <c r="A538" s="167"/>
      <c r="B538" s="174"/>
      <c r="C538" s="174"/>
      <c r="D538" s="175"/>
      <c r="E538" s="156"/>
      <c r="F538" s="156"/>
      <c r="G538" s="156"/>
      <c r="H538" s="174"/>
      <c r="I538" s="174"/>
      <c r="J538" s="174"/>
      <c r="K538" s="156"/>
      <c r="L538" s="156"/>
      <c r="M538" s="156"/>
      <c r="N538" s="156"/>
      <c r="O538" s="156"/>
      <c r="P538" s="156"/>
      <c r="Q538" s="156"/>
      <c r="R538" s="156"/>
      <c r="S538" s="156"/>
      <c r="T538" s="156"/>
    </row>
    <row r="539" ht="26.25" customHeight="1">
      <c r="A539" s="167"/>
      <c r="B539" s="174"/>
      <c r="C539" s="174"/>
      <c r="D539" s="175"/>
      <c r="E539" s="156"/>
      <c r="F539" s="156"/>
      <c r="G539" s="156"/>
      <c r="H539" s="174"/>
      <c r="I539" s="174"/>
      <c r="J539" s="174"/>
      <c r="K539" s="156"/>
      <c r="L539" s="156"/>
      <c r="M539" s="156"/>
      <c r="N539" s="156"/>
      <c r="O539" s="156"/>
      <c r="P539" s="156"/>
      <c r="Q539" s="156"/>
      <c r="R539" s="156"/>
      <c r="S539" s="156"/>
      <c r="T539" s="156"/>
    </row>
    <row r="540" ht="26.25" customHeight="1">
      <c r="A540" s="167"/>
      <c r="B540" s="174"/>
      <c r="C540" s="174"/>
      <c r="D540" s="175"/>
      <c r="E540" s="156"/>
      <c r="F540" s="156"/>
      <c r="G540" s="156"/>
      <c r="H540" s="174"/>
      <c r="I540" s="174"/>
      <c r="J540" s="174"/>
      <c r="K540" s="156"/>
      <c r="L540" s="156"/>
      <c r="M540" s="156"/>
      <c r="N540" s="156"/>
      <c r="O540" s="156"/>
      <c r="P540" s="156"/>
      <c r="Q540" s="156"/>
      <c r="R540" s="156"/>
      <c r="S540" s="156"/>
      <c r="T540" s="156"/>
    </row>
    <row r="541" ht="26.25" customHeight="1">
      <c r="A541" s="167"/>
      <c r="B541" s="174"/>
      <c r="C541" s="174"/>
      <c r="D541" s="175"/>
      <c r="E541" s="156"/>
      <c r="F541" s="156"/>
      <c r="G541" s="156"/>
      <c r="H541" s="174"/>
      <c r="I541" s="174"/>
      <c r="J541" s="174"/>
      <c r="K541" s="156"/>
      <c r="L541" s="156"/>
      <c r="M541" s="156"/>
      <c r="N541" s="156"/>
      <c r="O541" s="156"/>
      <c r="P541" s="156"/>
      <c r="Q541" s="156"/>
      <c r="R541" s="156"/>
      <c r="S541" s="156"/>
      <c r="T541" s="156"/>
    </row>
    <row r="542" ht="26.25" customHeight="1">
      <c r="A542" s="167"/>
      <c r="B542" s="174"/>
      <c r="C542" s="174"/>
      <c r="D542" s="175"/>
      <c r="E542" s="156"/>
      <c r="F542" s="156"/>
      <c r="G542" s="156"/>
      <c r="H542" s="174"/>
      <c r="I542" s="174"/>
      <c r="J542" s="174"/>
      <c r="K542" s="156"/>
      <c r="L542" s="156"/>
      <c r="M542" s="156"/>
      <c r="N542" s="156"/>
      <c r="O542" s="156"/>
      <c r="P542" s="156"/>
      <c r="Q542" s="156"/>
      <c r="R542" s="156"/>
      <c r="S542" s="156"/>
      <c r="T542" s="156"/>
    </row>
    <row r="543" ht="26.25" customHeight="1">
      <c r="A543" s="167"/>
      <c r="B543" s="174"/>
      <c r="C543" s="174"/>
      <c r="D543" s="175"/>
      <c r="E543" s="156"/>
      <c r="F543" s="156"/>
      <c r="G543" s="156"/>
      <c r="H543" s="174"/>
      <c r="I543" s="174"/>
      <c r="J543" s="174"/>
      <c r="K543" s="156"/>
      <c r="L543" s="156"/>
      <c r="M543" s="156"/>
      <c r="N543" s="156"/>
      <c r="O543" s="156"/>
      <c r="P543" s="156"/>
      <c r="Q543" s="156"/>
      <c r="R543" s="156"/>
      <c r="S543" s="156"/>
      <c r="T543" s="156"/>
    </row>
    <row r="544" ht="26.25" customHeight="1">
      <c r="A544" s="167"/>
      <c r="B544" s="174"/>
      <c r="C544" s="174"/>
      <c r="D544" s="175"/>
      <c r="E544" s="156"/>
      <c r="F544" s="156"/>
      <c r="G544" s="156"/>
      <c r="H544" s="174"/>
      <c r="I544" s="174"/>
      <c r="J544" s="174"/>
      <c r="K544" s="156"/>
      <c r="L544" s="156"/>
      <c r="M544" s="156"/>
      <c r="N544" s="156"/>
      <c r="O544" s="156"/>
      <c r="P544" s="156"/>
      <c r="Q544" s="156"/>
      <c r="R544" s="156"/>
      <c r="S544" s="156"/>
      <c r="T544" s="156"/>
    </row>
    <row r="545" ht="26.25" customHeight="1">
      <c r="A545" s="167"/>
      <c r="B545" s="174"/>
      <c r="C545" s="174"/>
      <c r="D545" s="175"/>
      <c r="E545" s="156"/>
      <c r="F545" s="156"/>
      <c r="G545" s="156"/>
      <c r="H545" s="174"/>
      <c r="I545" s="174"/>
      <c r="J545" s="174"/>
      <c r="K545" s="156"/>
      <c r="L545" s="156"/>
      <c r="M545" s="156"/>
      <c r="N545" s="156"/>
      <c r="O545" s="156"/>
      <c r="P545" s="156"/>
      <c r="Q545" s="156"/>
      <c r="R545" s="156"/>
      <c r="S545" s="156"/>
      <c r="T545" s="156"/>
    </row>
    <row r="546" ht="26.25" customHeight="1">
      <c r="A546" s="167"/>
      <c r="B546" s="174"/>
      <c r="C546" s="174"/>
      <c r="D546" s="175"/>
      <c r="E546" s="156"/>
      <c r="F546" s="156"/>
      <c r="G546" s="156"/>
      <c r="H546" s="174"/>
      <c r="I546" s="174"/>
      <c r="J546" s="174"/>
      <c r="K546" s="156"/>
      <c r="L546" s="156"/>
      <c r="M546" s="156"/>
      <c r="N546" s="156"/>
      <c r="O546" s="156"/>
      <c r="P546" s="156"/>
      <c r="Q546" s="156"/>
      <c r="R546" s="156"/>
      <c r="S546" s="156"/>
      <c r="T546" s="156"/>
    </row>
    <row r="547" ht="26.25" customHeight="1">
      <c r="A547" s="167"/>
      <c r="B547" s="174"/>
      <c r="C547" s="174"/>
      <c r="D547" s="175"/>
      <c r="E547" s="156"/>
      <c r="F547" s="156"/>
      <c r="G547" s="156"/>
      <c r="H547" s="174"/>
      <c r="I547" s="174"/>
      <c r="J547" s="174"/>
      <c r="K547" s="156"/>
      <c r="L547" s="156"/>
      <c r="M547" s="156"/>
      <c r="N547" s="156"/>
      <c r="O547" s="156"/>
      <c r="P547" s="156"/>
      <c r="Q547" s="156"/>
      <c r="R547" s="156"/>
      <c r="S547" s="156"/>
      <c r="T547" s="156"/>
    </row>
    <row r="548" ht="26.25" customHeight="1">
      <c r="A548" s="167"/>
      <c r="B548" s="174"/>
      <c r="C548" s="174"/>
      <c r="D548" s="175"/>
      <c r="E548" s="156"/>
      <c r="F548" s="156"/>
      <c r="G548" s="156"/>
      <c r="H548" s="174"/>
      <c r="I548" s="174"/>
      <c r="J548" s="174"/>
      <c r="K548" s="156"/>
      <c r="L548" s="156"/>
      <c r="M548" s="156"/>
      <c r="N548" s="156"/>
      <c r="O548" s="156"/>
      <c r="P548" s="156"/>
      <c r="Q548" s="156"/>
      <c r="R548" s="156"/>
      <c r="S548" s="156"/>
      <c r="T548" s="156"/>
    </row>
    <row r="549" ht="26.25" customHeight="1">
      <c r="A549" s="167"/>
      <c r="B549" s="174"/>
      <c r="C549" s="174"/>
      <c r="D549" s="175"/>
      <c r="E549" s="156"/>
      <c r="F549" s="156"/>
      <c r="G549" s="156"/>
      <c r="H549" s="174"/>
      <c r="I549" s="174"/>
      <c r="J549" s="174"/>
      <c r="K549" s="156"/>
      <c r="L549" s="156"/>
      <c r="M549" s="156"/>
      <c r="N549" s="156"/>
      <c r="O549" s="156"/>
      <c r="P549" s="156"/>
      <c r="Q549" s="156"/>
      <c r="R549" s="156"/>
      <c r="S549" s="156"/>
      <c r="T549" s="156"/>
    </row>
    <row r="550" ht="26.25" customHeight="1">
      <c r="A550" s="167"/>
      <c r="B550" s="174"/>
      <c r="C550" s="174"/>
      <c r="D550" s="175"/>
      <c r="E550" s="156"/>
      <c r="F550" s="156"/>
      <c r="G550" s="156"/>
      <c r="H550" s="174"/>
      <c r="I550" s="174"/>
      <c r="J550" s="174"/>
      <c r="K550" s="156"/>
      <c r="L550" s="156"/>
      <c r="M550" s="156"/>
      <c r="N550" s="156"/>
      <c r="O550" s="156"/>
      <c r="P550" s="156"/>
      <c r="Q550" s="156"/>
      <c r="R550" s="156"/>
      <c r="S550" s="156"/>
      <c r="T550" s="156"/>
    </row>
    <row r="551" ht="26.25" customHeight="1">
      <c r="A551" s="167"/>
      <c r="B551" s="174"/>
      <c r="C551" s="174"/>
      <c r="D551" s="175"/>
      <c r="E551" s="156"/>
      <c r="F551" s="156"/>
      <c r="G551" s="156"/>
      <c r="H551" s="174"/>
      <c r="I551" s="174"/>
      <c r="J551" s="174"/>
      <c r="K551" s="156"/>
      <c r="L551" s="156"/>
      <c r="M551" s="156"/>
      <c r="N551" s="156"/>
      <c r="O551" s="156"/>
      <c r="P551" s="156"/>
      <c r="Q551" s="156"/>
      <c r="R551" s="156"/>
      <c r="S551" s="156"/>
      <c r="T551" s="156"/>
    </row>
    <row r="552" ht="26.25" customHeight="1">
      <c r="A552" s="167"/>
      <c r="B552" s="174"/>
      <c r="C552" s="174"/>
      <c r="D552" s="175"/>
      <c r="E552" s="156"/>
      <c r="F552" s="156"/>
      <c r="G552" s="156"/>
      <c r="H552" s="174"/>
      <c r="I552" s="174"/>
      <c r="J552" s="174"/>
      <c r="K552" s="156"/>
      <c r="L552" s="156"/>
      <c r="M552" s="156"/>
      <c r="N552" s="156"/>
      <c r="O552" s="156"/>
      <c r="P552" s="156"/>
      <c r="Q552" s="156"/>
      <c r="R552" s="156"/>
      <c r="S552" s="156"/>
      <c r="T552" s="156"/>
    </row>
    <row r="553" ht="26.25" customHeight="1">
      <c r="A553" s="167"/>
      <c r="B553" s="174"/>
      <c r="C553" s="174"/>
      <c r="D553" s="175"/>
      <c r="E553" s="156"/>
      <c r="F553" s="156"/>
      <c r="G553" s="156"/>
      <c r="H553" s="174"/>
      <c r="I553" s="174"/>
      <c r="J553" s="174"/>
      <c r="K553" s="156"/>
      <c r="L553" s="156"/>
      <c r="M553" s="156"/>
      <c r="N553" s="156"/>
      <c r="O553" s="156"/>
      <c r="P553" s="156"/>
      <c r="Q553" s="156"/>
      <c r="R553" s="156"/>
      <c r="S553" s="156"/>
      <c r="T553" s="156"/>
    </row>
    <row r="554" ht="26.25" customHeight="1">
      <c r="A554" s="167"/>
      <c r="B554" s="174"/>
      <c r="C554" s="174"/>
      <c r="D554" s="175"/>
      <c r="E554" s="156"/>
      <c r="F554" s="156"/>
      <c r="G554" s="156"/>
      <c r="H554" s="174"/>
      <c r="I554" s="174"/>
      <c r="J554" s="174"/>
      <c r="K554" s="156"/>
      <c r="L554" s="156"/>
      <c r="M554" s="156"/>
      <c r="N554" s="156"/>
      <c r="O554" s="156"/>
      <c r="P554" s="156"/>
      <c r="Q554" s="156"/>
      <c r="R554" s="156"/>
      <c r="S554" s="156"/>
      <c r="T554" s="156"/>
    </row>
    <row r="555" ht="26.25" customHeight="1">
      <c r="A555" s="167"/>
      <c r="B555" s="174"/>
      <c r="C555" s="174"/>
      <c r="D555" s="175"/>
      <c r="E555" s="156"/>
      <c r="F555" s="156"/>
      <c r="G555" s="156"/>
      <c r="H555" s="174"/>
      <c r="I555" s="174"/>
      <c r="J555" s="174"/>
      <c r="K555" s="156"/>
      <c r="L555" s="156"/>
      <c r="M555" s="156"/>
      <c r="N555" s="156"/>
      <c r="O555" s="156"/>
      <c r="P555" s="156"/>
      <c r="Q555" s="156"/>
      <c r="R555" s="156"/>
      <c r="S555" s="156"/>
      <c r="T555" s="156"/>
    </row>
    <row r="556" ht="26.25" customHeight="1">
      <c r="A556" s="167"/>
      <c r="B556" s="174"/>
      <c r="C556" s="174"/>
      <c r="D556" s="175"/>
      <c r="E556" s="156"/>
      <c r="F556" s="156"/>
      <c r="G556" s="156"/>
      <c r="H556" s="174"/>
      <c r="I556" s="174"/>
      <c r="J556" s="174"/>
      <c r="K556" s="156"/>
      <c r="L556" s="156"/>
      <c r="M556" s="156"/>
      <c r="N556" s="156"/>
      <c r="O556" s="156"/>
      <c r="P556" s="156"/>
      <c r="Q556" s="156"/>
      <c r="R556" s="156"/>
      <c r="S556" s="156"/>
      <c r="T556" s="156"/>
    </row>
    <row r="557" ht="26.25" customHeight="1">
      <c r="A557" s="167"/>
      <c r="B557" s="174"/>
      <c r="C557" s="174"/>
      <c r="D557" s="175"/>
      <c r="E557" s="156"/>
      <c r="F557" s="156"/>
      <c r="G557" s="156"/>
      <c r="H557" s="174"/>
      <c r="I557" s="174"/>
      <c r="J557" s="174"/>
      <c r="K557" s="156"/>
      <c r="L557" s="156"/>
      <c r="M557" s="156"/>
      <c r="N557" s="156"/>
      <c r="O557" s="156"/>
      <c r="P557" s="156"/>
      <c r="Q557" s="156"/>
      <c r="R557" s="156"/>
      <c r="S557" s="156"/>
      <c r="T557" s="156"/>
    </row>
    <row r="558" ht="26.25" customHeight="1">
      <c r="A558" s="167"/>
      <c r="B558" s="174"/>
      <c r="C558" s="174"/>
      <c r="D558" s="175"/>
      <c r="E558" s="156"/>
      <c r="F558" s="156"/>
      <c r="G558" s="156"/>
      <c r="H558" s="174"/>
      <c r="I558" s="174"/>
      <c r="J558" s="174"/>
      <c r="K558" s="156"/>
      <c r="L558" s="156"/>
      <c r="M558" s="156"/>
      <c r="N558" s="156"/>
      <c r="O558" s="156"/>
      <c r="P558" s="156"/>
      <c r="Q558" s="156"/>
      <c r="R558" s="156"/>
      <c r="S558" s="156"/>
      <c r="T558" s="156"/>
    </row>
    <row r="559" ht="26.25" customHeight="1">
      <c r="A559" s="167"/>
      <c r="B559" s="174"/>
      <c r="C559" s="174"/>
      <c r="D559" s="175"/>
      <c r="E559" s="156"/>
      <c r="F559" s="156"/>
      <c r="G559" s="156"/>
      <c r="H559" s="174"/>
      <c r="I559" s="174"/>
      <c r="J559" s="174"/>
      <c r="K559" s="156"/>
      <c r="L559" s="156"/>
      <c r="M559" s="156"/>
      <c r="N559" s="156"/>
      <c r="O559" s="156"/>
      <c r="P559" s="156"/>
      <c r="Q559" s="156"/>
      <c r="R559" s="156"/>
      <c r="S559" s="156"/>
      <c r="T559" s="156"/>
    </row>
    <row r="560" ht="26.25" customHeight="1">
      <c r="A560" s="167"/>
      <c r="B560" s="174"/>
      <c r="C560" s="174"/>
      <c r="D560" s="175"/>
      <c r="E560" s="156"/>
      <c r="F560" s="156"/>
      <c r="G560" s="156"/>
      <c r="H560" s="174"/>
      <c r="I560" s="174"/>
      <c r="J560" s="174"/>
      <c r="K560" s="156"/>
      <c r="L560" s="156"/>
      <c r="M560" s="156"/>
      <c r="N560" s="156"/>
      <c r="O560" s="156"/>
      <c r="P560" s="156"/>
      <c r="Q560" s="156"/>
      <c r="R560" s="156"/>
      <c r="S560" s="156"/>
      <c r="T560" s="156"/>
    </row>
    <row r="561" ht="26.25" customHeight="1">
      <c r="A561" s="167"/>
      <c r="B561" s="174"/>
      <c r="C561" s="174"/>
      <c r="D561" s="175"/>
      <c r="E561" s="156"/>
      <c r="F561" s="156"/>
      <c r="G561" s="156"/>
      <c r="H561" s="174"/>
      <c r="I561" s="174"/>
      <c r="J561" s="174"/>
      <c r="K561" s="156"/>
      <c r="L561" s="156"/>
      <c r="M561" s="156"/>
      <c r="N561" s="156"/>
      <c r="O561" s="156"/>
      <c r="P561" s="156"/>
      <c r="Q561" s="156"/>
      <c r="R561" s="156"/>
      <c r="S561" s="156"/>
      <c r="T561" s="156"/>
    </row>
    <row r="562" ht="26.25" customHeight="1">
      <c r="A562" s="167"/>
      <c r="B562" s="174"/>
      <c r="C562" s="174"/>
      <c r="D562" s="175"/>
      <c r="E562" s="156"/>
      <c r="F562" s="156"/>
      <c r="G562" s="156"/>
      <c r="H562" s="174"/>
      <c r="I562" s="174"/>
      <c r="J562" s="174"/>
      <c r="K562" s="156"/>
      <c r="L562" s="156"/>
      <c r="M562" s="156"/>
      <c r="N562" s="156"/>
      <c r="O562" s="156"/>
      <c r="P562" s="156"/>
      <c r="Q562" s="156"/>
      <c r="R562" s="156"/>
      <c r="S562" s="156"/>
      <c r="T562" s="156"/>
    </row>
    <row r="563" ht="26.25" customHeight="1">
      <c r="A563" s="167"/>
      <c r="B563" s="174"/>
      <c r="C563" s="174"/>
      <c r="D563" s="175"/>
      <c r="E563" s="156"/>
      <c r="F563" s="156"/>
      <c r="G563" s="156"/>
      <c r="H563" s="174"/>
      <c r="I563" s="174"/>
      <c r="J563" s="174"/>
      <c r="K563" s="156"/>
      <c r="L563" s="156"/>
      <c r="M563" s="156"/>
      <c r="N563" s="156"/>
      <c r="O563" s="156"/>
      <c r="P563" s="156"/>
      <c r="Q563" s="156"/>
      <c r="R563" s="156"/>
      <c r="S563" s="156"/>
      <c r="T563" s="156"/>
    </row>
    <row r="564" ht="26.25" customHeight="1">
      <c r="A564" s="167"/>
      <c r="B564" s="174"/>
      <c r="C564" s="174"/>
      <c r="D564" s="175"/>
      <c r="E564" s="156"/>
      <c r="F564" s="156"/>
      <c r="G564" s="156"/>
      <c r="H564" s="174"/>
      <c r="I564" s="174"/>
      <c r="J564" s="174"/>
      <c r="K564" s="156"/>
      <c r="L564" s="156"/>
      <c r="M564" s="156"/>
      <c r="N564" s="156"/>
      <c r="O564" s="156"/>
      <c r="P564" s="156"/>
      <c r="Q564" s="156"/>
      <c r="R564" s="156"/>
      <c r="S564" s="156"/>
      <c r="T564" s="156"/>
    </row>
    <row r="565" ht="26.25" customHeight="1">
      <c r="A565" s="167"/>
      <c r="B565" s="174"/>
      <c r="C565" s="174"/>
      <c r="D565" s="175"/>
      <c r="E565" s="156"/>
      <c r="F565" s="156"/>
      <c r="G565" s="156"/>
      <c r="H565" s="174"/>
      <c r="I565" s="174"/>
      <c r="J565" s="174"/>
      <c r="K565" s="156"/>
      <c r="L565" s="156"/>
      <c r="M565" s="156"/>
      <c r="N565" s="156"/>
      <c r="O565" s="156"/>
      <c r="P565" s="156"/>
      <c r="Q565" s="156"/>
      <c r="R565" s="156"/>
      <c r="S565" s="156"/>
      <c r="T565" s="156"/>
    </row>
    <row r="566" ht="26.25" customHeight="1">
      <c r="A566" s="167"/>
      <c r="B566" s="174"/>
      <c r="C566" s="174"/>
      <c r="D566" s="175"/>
      <c r="E566" s="156"/>
      <c r="F566" s="156"/>
      <c r="G566" s="156"/>
      <c r="H566" s="174"/>
      <c r="I566" s="174"/>
      <c r="J566" s="174"/>
      <c r="K566" s="156"/>
      <c r="L566" s="156"/>
      <c r="M566" s="156"/>
      <c r="N566" s="156"/>
      <c r="O566" s="156"/>
      <c r="P566" s="156"/>
      <c r="Q566" s="156"/>
      <c r="R566" s="156"/>
      <c r="S566" s="156"/>
      <c r="T566" s="156"/>
    </row>
    <row r="567" ht="26.25" customHeight="1">
      <c r="A567" s="167"/>
      <c r="B567" s="174"/>
      <c r="C567" s="174"/>
      <c r="D567" s="175"/>
      <c r="E567" s="156"/>
      <c r="F567" s="156"/>
      <c r="G567" s="156"/>
      <c r="H567" s="174"/>
      <c r="I567" s="174"/>
      <c r="J567" s="174"/>
      <c r="K567" s="156"/>
      <c r="L567" s="156"/>
      <c r="M567" s="156"/>
      <c r="N567" s="156"/>
      <c r="O567" s="156"/>
      <c r="P567" s="156"/>
      <c r="Q567" s="156"/>
      <c r="R567" s="156"/>
      <c r="S567" s="156"/>
      <c r="T567" s="156"/>
    </row>
    <row r="568" ht="26.25" customHeight="1">
      <c r="A568" s="167"/>
      <c r="B568" s="174"/>
      <c r="C568" s="174"/>
      <c r="D568" s="175"/>
      <c r="E568" s="156"/>
      <c r="F568" s="156"/>
      <c r="G568" s="156"/>
      <c r="H568" s="174"/>
      <c r="I568" s="174"/>
      <c r="J568" s="174"/>
      <c r="K568" s="156"/>
      <c r="L568" s="156"/>
      <c r="M568" s="156"/>
      <c r="N568" s="156"/>
      <c r="O568" s="156"/>
      <c r="P568" s="156"/>
      <c r="Q568" s="156"/>
      <c r="R568" s="156"/>
      <c r="S568" s="156"/>
      <c r="T568" s="156"/>
    </row>
    <row r="569" ht="26.25" customHeight="1">
      <c r="A569" s="167"/>
      <c r="B569" s="174"/>
      <c r="C569" s="174"/>
      <c r="D569" s="175"/>
      <c r="E569" s="156"/>
      <c r="F569" s="156"/>
      <c r="G569" s="156"/>
      <c r="H569" s="174"/>
      <c r="I569" s="174"/>
      <c r="J569" s="174"/>
      <c r="K569" s="156"/>
      <c r="L569" s="156"/>
      <c r="M569" s="156"/>
      <c r="N569" s="156"/>
      <c r="O569" s="156"/>
      <c r="P569" s="156"/>
      <c r="Q569" s="156"/>
      <c r="R569" s="156"/>
      <c r="S569" s="156"/>
      <c r="T569" s="156"/>
    </row>
    <row r="570" ht="26.25" customHeight="1">
      <c r="A570" s="167"/>
      <c r="B570" s="174"/>
      <c r="C570" s="174"/>
      <c r="D570" s="175"/>
      <c r="E570" s="156"/>
      <c r="F570" s="156"/>
      <c r="G570" s="156"/>
      <c r="H570" s="174"/>
      <c r="I570" s="174"/>
      <c r="J570" s="174"/>
      <c r="K570" s="156"/>
      <c r="L570" s="156"/>
      <c r="M570" s="156"/>
      <c r="N570" s="156"/>
      <c r="O570" s="156"/>
      <c r="P570" s="156"/>
      <c r="Q570" s="156"/>
      <c r="R570" s="156"/>
      <c r="S570" s="156"/>
      <c r="T570" s="156"/>
    </row>
    <row r="571" ht="26.25" customHeight="1">
      <c r="A571" s="167"/>
      <c r="B571" s="174"/>
      <c r="C571" s="174"/>
      <c r="D571" s="175"/>
      <c r="E571" s="156"/>
      <c r="F571" s="156"/>
      <c r="G571" s="156"/>
      <c r="H571" s="174"/>
      <c r="I571" s="174"/>
      <c r="J571" s="174"/>
      <c r="K571" s="156"/>
      <c r="L571" s="156"/>
      <c r="M571" s="156"/>
      <c r="N571" s="156"/>
      <c r="O571" s="156"/>
      <c r="P571" s="156"/>
      <c r="Q571" s="156"/>
      <c r="R571" s="156"/>
      <c r="S571" s="156"/>
      <c r="T571" s="156"/>
    </row>
    <row r="572" ht="26.25" customHeight="1">
      <c r="A572" s="167"/>
      <c r="B572" s="174"/>
      <c r="C572" s="174"/>
      <c r="D572" s="175"/>
      <c r="E572" s="156"/>
      <c r="F572" s="156"/>
      <c r="G572" s="156"/>
      <c r="H572" s="174"/>
      <c r="I572" s="174"/>
      <c r="J572" s="174"/>
      <c r="K572" s="156"/>
      <c r="L572" s="156"/>
      <c r="M572" s="156"/>
      <c r="N572" s="156"/>
      <c r="O572" s="156"/>
      <c r="P572" s="156"/>
      <c r="Q572" s="156"/>
      <c r="R572" s="156"/>
      <c r="S572" s="156"/>
      <c r="T572" s="156"/>
    </row>
    <row r="573" ht="26.25" customHeight="1">
      <c r="A573" s="167"/>
      <c r="B573" s="174"/>
      <c r="C573" s="174"/>
      <c r="D573" s="175"/>
      <c r="E573" s="156"/>
      <c r="F573" s="156"/>
      <c r="G573" s="156"/>
      <c r="H573" s="174"/>
      <c r="I573" s="174"/>
      <c r="J573" s="174"/>
      <c r="K573" s="156"/>
      <c r="L573" s="156"/>
      <c r="M573" s="156"/>
      <c r="N573" s="156"/>
      <c r="O573" s="156"/>
      <c r="P573" s="156"/>
      <c r="Q573" s="156"/>
      <c r="R573" s="156"/>
      <c r="S573" s="156"/>
      <c r="T573" s="156"/>
    </row>
    <row r="574" ht="26.25" customHeight="1">
      <c r="A574" s="167"/>
      <c r="B574" s="174"/>
      <c r="C574" s="174"/>
      <c r="D574" s="175"/>
      <c r="E574" s="156"/>
      <c r="F574" s="156"/>
      <c r="G574" s="156"/>
      <c r="H574" s="174"/>
      <c r="I574" s="174"/>
      <c r="J574" s="174"/>
      <c r="K574" s="156"/>
      <c r="L574" s="156"/>
      <c r="M574" s="156"/>
      <c r="N574" s="156"/>
      <c r="O574" s="156"/>
      <c r="P574" s="156"/>
      <c r="Q574" s="156"/>
      <c r="R574" s="156"/>
      <c r="S574" s="156"/>
      <c r="T574" s="156"/>
    </row>
    <row r="575" ht="26.25" customHeight="1">
      <c r="A575" s="167"/>
      <c r="B575" s="174"/>
      <c r="C575" s="174"/>
      <c r="D575" s="175"/>
      <c r="E575" s="156"/>
      <c r="F575" s="156"/>
      <c r="G575" s="156"/>
      <c r="H575" s="174"/>
      <c r="I575" s="174"/>
      <c r="J575" s="174"/>
      <c r="K575" s="156"/>
      <c r="L575" s="156"/>
      <c r="M575" s="156"/>
      <c r="N575" s="156"/>
      <c r="O575" s="156"/>
      <c r="P575" s="156"/>
      <c r="Q575" s="156"/>
      <c r="R575" s="156"/>
      <c r="S575" s="156"/>
      <c r="T575" s="156"/>
    </row>
    <row r="576" ht="26.25" customHeight="1">
      <c r="A576" s="167"/>
      <c r="B576" s="174"/>
      <c r="C576" s="174"/>
      <c r="D576" s="175"/>
      <c r="E576" s="156"/>
      <c r="F576" s="156"/>
      <c r="G576" s="156"/>
      <c r="H576" s="174"/>
      <c r="I576" s="174"/>
      <c r="J576" s="174"/>
      <c r="K576" s="156"/>
      <c r="L576" s="156"/>
      <c r="M576" s="156"/>
      <c r="N576" s="156"/>
      <c r="O576" s="156"/>
      <c r="P576" s="156"/>
      <c r="Q576" s="156"/>
      <c r="R576" s="156"/>
      <c r="S576" s="156"/>
      <c r="T576" s="156"/>
    </row>
    <row r="577" ht="26.25" customHeight="1">
      <c r="A577" s="167"/>
      <c r="B577" s="174"/>
      <c r="C577" s="174"/>
      <c r="D577" s="175"/>
      <c r="E577" s="156"/>
      <c r="F577" s="156"/>
      <c r="G577" s="156"/>
      <c r="H577" s="174"/>
      <c r="I577" s="174"/>
      <c r="J577" s="174"/>
      <c r="K577" s="156"/>
      <c r="L577" s="156"/>
      <c r="M577" s="156"/>
      <c r="N577" s="156"/>
      <c r="O577" s="156"/>
      <c r="P577" s="156"/>
      <c r="Q577" s="156"/>
      <c r="R577" s="156"/>
      <c r="S577" s="156"/>
      <c r="T577" s="156"/>
    </row>
    <row r="578" ht="26.25" customHeight="1">
      <c r="A578" s="167"/>
      <c r="B578" s="174"/>
      <c r="C578" s="174"/>
      <c r="D578" s="175"/>
      <c r="E578" s="156"/>
      <c r="F578" s="156"/>
      <c r="G578" s="156"/>
      <c r="H578" s="174"/>
      <c r="I578" s="174"/>
      <c r="J578" s="174"/>
      <c r="K578" s="156"/>
      <c r="L578" s="156"/>
      <c r="M578" s="156"/>
      <c r="N578" s="156"/>
      <c r="O578" s="156"/>
      <c r="P578" s="156"/>
      <c r="Q578" s="156"/>
      <c r="R578" s="156"/>
      <c r="S578" s="156"/>
      <c r="T578" s="156"/>
    </row>
    <row r="579" ht="26.25" customHeight="1">
      <c r="A579" s="167"/>
      <c r="B579" s="174"/>
      <c r="C579" s="174"/>
      <c r="D579" s="175"/>
      <c r="E579" s="156"/>
      <c r="F579" s="156"/>
      <c r="G579" s="156"/>
      <c r="H579" s="174"/>
      <c r="I579" s="174"/>
      <c r="J579" s="174"/>
      <c r="K579" s="156"/>
      <c r="L579" s="156"/>
      <c r="M579" s="156"/>
      <c r="N579" s="156"/>
      <c r="O579" s="156"/>
      <c r="P579" s="156"/>
      <c r="Q579" s="156"/>
      <c r="R579" s="156"/>
      <c r="S579" s="156"/>
      <c r="T579" s="156"/>
    </row>
    <row r="580" ht="26.25" customHeight="1">
      <c r="A580" s="167"/>
      <c r="B580" s="174"/>
      <c r="C580" s="174"/>
      <c r="D580" s="175"/>
      <c r="E580" s="156"/>
      <c r="F580" s="156"/>
      <c r="G580" s="156"/>
      <c r="H580" s="174"/>
      <c r="I580" s="174"/>
      <c r="J580" s="174"/>
      <c r="K580" s="156"/>
      <c r="L580" s="156"/>
      <c r="M580" s="156"/>
      <c r="N580" s="156"/>
      <c r="O580" s="156"/>
      <c r="P580" s="156"/>
      <c r="Q580" s="156"/>
      <c r="R580" s="156"/>
      <c r="S580" s="156"/>
      <c r="T580" s="156"/>
    </row>
    <row r="581" ht="26.25" customHeight="1">
      <c r="A581" s="167"/>
      <c r="B581" s="174"/>
      <c r="C581" s="174"/>
      <c r="D581" s="175"/>
      <c r="E581" s="156"/>
      <c r="F581" s="156"/>
      <c r="G581" s="156"/>
      <c r="H581" s="174"/>
      <c r="I581" s="174"/>
      <c r="J581" s="174"/>
      <c r="K581" s="156"/>
      <c r="L581" s="156"/>
      <c r="M581" s="156"/>
      <c r="N581" s="156"/>
      <c r="O581" s="156"/>
      <c r="P581" s="156"/>
      <c r="Q581" s="156"/>
      <c r="R581" s="156"/>
      <c r="S581" s="156"/>
      <c r="T581" s="156"/>
    </row>
    <row r="582" ht="26.25" customHeight="1">
      <c r="A582" s="167"/>
      <c r="B582" s="174"/>
      <c r="C582" s="174"/>
      <c r="D582" s="175"/>
      <c r="E582" s="156"/>
      <c r="F582" s="156"/>
      <c r="G582" s="156"/>
      <c r="H582" s="174"/>
      <c r="I582" s="174"/>
      <c r="J582" s="174"/>
      <c r="K582" s="156"/>
      <c r="L582" s="156"/>
      <c r="M582" s="156"/>
      <c r="N582" s="156"/>
      <c r="O582" s="156"/>
      <c r="P582" s="156"/>
      <c r="Q582" s="156"/>
      <c r="R582" s="156"/>
      <c r="S582" s="156"/>
      <c r="T582" s="156"/>
    </row>
    <row r="583" ht="26.25" customHeight="1">
      <c r="A583" s="167"/>
      <c r="B583" s="174"/>
      <c r="C583" s="174"/>
      <c r="D583" s="175"/>
      <c r="E583" s="156"/>
      <c r="F583" s="156"/>
      <c r="G583" s="156"/>
      <c r="H583" s="174"/>
      <c r="I583" s="174"/>
      <c r="J583" s="174"/>
      <c r="K583" s="156"/>
      <c r="L583" s="156"/>
      <c r="M583" s="156"/>
      <c r="N583" s="156"/>
      <c r="O583" s="156"/>
      <c r="P583" s="156"/>
      <c r="Q583" s="156"/>
      <c r="R583" s="156"/>
      <c r="S583" s="156"/>
      <c r="T583" s="156"/>
    </row>
    <row r="584" ht="26.25" customHeight="1">
      <c r="A584" s="167"/>
      <c r="B584" s="174"/>
      <c r="C584" s="174"/>
      <c r="D584" s="175"/>
      <c r="E584" s="156"/>
      <c r="F584" s="156"/>
      <c r="G584" s="156"/>
      <c r="H584" s="174"/>
      <c r="I584" s="174"/>
      <c r="J584" s="174"/>
      <c r="K584" s="156"/>
      <c r="L584" s="156"/>
      <c r="M584" s="156"/>
      <c r="N584" s="156"/>
      <c r="O584" s="156"/>
      <c r="P584" s="156"/>
      <c r="Q584" s="156"/>
      <c r="R584" s="156"/>
      <c r="S584" s="156"/>
      <c r="T584" s="156"/>
    </row>
    <row r="585" ht="26.25" customHeight="1">
      <c r="A585" s="167"/>
      <c r="B585" s="174"/>
      <c r="C585" s="174"/>
      <c r="D585" s="175"/>
      <c r="E585" s="156"/>
      <c r="F585" s="156"/>
      <c r="G585" s="156"/>
      <c r="H585" s="174"/>
      <c r="I585" s="174"/>
      <c r="J585" s="174"/>
      <c r="K585" s="156"/>
      <c r="L585" s="156"/>
      <c r="M585" s="156"/>
      <c r="N585" s="156"/>
      <c r="O585" s="156"/>
      <c r="P585" s="156"/>
      <c r="Q585" s="156"/>
      <c r="R585" s="156"/>
      <c r="S585" s="156"/>
      <c r="T585" s="156"/>
    </row>
    <row r="586" ht="26.25" customHeight="1">
      <c r="A586" s="167"/>
      <c r="B586" s="174"/>
      <c r="C586" s="174"/>
      <c r="D586" s="175"/>
      <c r="E586" s="156"/>
      <c r="F586" s="156"/>
      <c r="G586" s="156"/>
      <c r="H586" s="174"/>
      <c r="I586" s="174"/>
      <c r="J586" s="174"/>
      <c r="K586" s="156"/>
      <c r="L586" s="156"/>
      <c r="M586" s="156"/>
      <c r="N586" s="156"/>
      <c r="O586" s="156"/>
      <c r="P586" s="156"/>
      <c r="Q586" s="156"/>
      <c r="R586" s="156"/>
      <c r="S586" s="156"/>
      <c r="T586" s="156"/>
    </row>
    <row r="587" ht="26.25" customHeight="1">
      <c r="A587" s="167"/>
      <c r="B587" s="174"/>
      <c r="C587" s="174"/>
      <c r="D587" s="175"/>
      <c r="E587" s="156"/>
      <c r="F587" s="156"/>
      <c r="G587" s="156"/>
      <c r="H587" s="174"/>
      <c r="I587" s="174"/>
      <c r="J587" s="174"/>
      <c r="K587" s="156"/>
      <c r="L587" s="156"/>
      <c r="M587" s="156"/>
      <c r="N587" s="156"/>
      <c r="O587" s="156"/>
      <c r="P587" s="156"/>
      <c r="Q587" s="156"/>
      <c r="R587" s="156"/>
      <c r="S587" s="156"/>
      <c r="T587" s="156"/>
    </row>
    <row r="588" ht="26.25" customHeight="1">
      <c r="A588" s="167"/>
      <c r="B588" s="174"/>
      <c r="C588" s="174"/>
      <c r="D588" s="175"/>
      <c r="E588" s="156"/>
      <c r="F588" s="156"/>
      <c r="G588" s="156"/>
      <c r="H588" s="174"/>
      <c r="I588" s="174"/>
      <c r="J588" s="174"/>
      <c r="K588" s="156"/>
      <c r="L588" s="156"/>
      <c r="M588" s="156"/>
      <c r="N588" s="156"/>
      <c r="O588" s="156"/>
      <c r="P588" s="156"/>
      <c r="Q588" s="156"/>
      <c r="R588" s="156"/>
      <c r="S588" s="156"/>
      <c r="T588" s="156"/>
    </row>
    <row r="589" ht="26.25" customHeight="1">
      <c r="A589" s="167"/>
      <c r="B589" s="174"/>
      <c r="C589" s="174"/>
      <c r="D589" s="175"/>
      <c r="E589" s="156"/>
      <c r="F589" s="156"/>
      <c r="G589" s="156"/>
      <c r="H589" s="174"/>
      <c r="I589" s="174"/>
      <c r="J589" s="174"/>
      <c r="K589" s="156"/>
      <c r="L589" s="156"/>
      <c r="M589" s="156"/>
      <c r="N589" s="156"/>
      <c r="O589" s="156"/>
      <c r="P589" s="156"/>
      <c r="Q589" s="156"/>
      <c r="R589" s="156"/>
      <c r="S589" s="156"/>
      <c r="T589" s="156"/>
    </row>
    <row r="590" ht="26.25" customHeight="1">
      <c r="A590" s="167"/>
      <c r="B590" s="174"/>
      <c r="C590" s="174"/>
      <c r="D590" s="175"/>
      <c r="E590" s="156"/>
      <c r="F590" s="156"/>
      <c r="G590" s="156"/>
      <c r="H590" s="174"/>
      <c r="I590" s="174"/>
      <c r="J590" s="174"/>
      <c r="K590" s="156"/>
      <c r="L590" s="156"/>
      <c r="M590" s="156"/>
      <c r="N590" s="156"/>
      <c r="O590" s="156"/>
      <c r="P590" s="156"/>
      <c r="Q590" s="156"/>
      <c r="R590" s="156"/>
      <c r="S590" s="156"/>
      <c r="T590" s="156"/>
    </row>
    <row r="591" ht="26.25" customHeight="1">
      <c r="A591" s="167"/>
      <c r="B591" s="174"/>
      <c r="C591" s="174"/>
      <c r="D591" s="175"/>
      <c r="E591" s="156"/>
      <c r="F591" s="156"/>
      <c r="G591" s="156"/>
      <c r="H591" s="174"/>
      <c r="I591" s="174"/>
      <c r="J591" s="174"/>
      <c r="K591" s="156"/>
      <c r="L591" s="156"/>
      <c r="M591" s="156"/>
      <c r="N591" s="156"/>
      <c r="O591" s="156"/>
      <c r="P591" s="156"/>
      <c r="Q591" s="156"/>
      <c r="R591" s="156"/>
      <c r="S591" s="156"/>
      <c r="T591" s="156"/>
    </row>
    <row r="592" ht="26.25" customHeight="1">
      <c r="A592" s="167"/>
      <c r="B592" s="174"/>
      <c r="C592" s="174"/>
      <c r="D592" s="175"/>
      <c r="E592" s="156"/>
      <c r="F592" s="156"/>
      <c r="G592" s="156"/>
      <c r="H592" s="174"/>
      <c r="I592" s="174"/>
      <c r="J592" s="174"/>
      <c r="K592" s="156"/>
      <c r="L592" s="156"/>
      <c r="M592" s="156"/>
      <c r="N592" s="156"/>
      <c r="O592" s="156"/>
      <c r="P592" s="156"/>
      <c r="Q592" s="156"/>
      <c r="R592" s="156"/>
      <c r="S592" s="156"/>
      <c r="T592" s="156"/>
    </row>
    <row r="593" ht="26.25" customHeight="1">
      <c r="A593" s="167"/>
      <c r="B593" s="174"/>
      <c r="C593" s="174"/>
      <c r="D593" s="175"/>
      <c r="E593" s="156"/>
      <c r="F593" s="156"/>
      <c r="G593" s="156"/>
      <c r="H593" s="174"/>
      <c r="I593" s="174"/>
      <c r="J593" s="174"/>
      <c r="K593" s="156"/>
      <c r="L593" s="156"/>
      <c r="M593" s="156"/>
      <c r="N593" s="156"/>
      <c r="O593" s="156"/>
      <c r="P593" s="156"/>
      <c r="Q593" s="156"/>
      <c r="R593" s="156"/>
      <c r="S593" s="156"/>
      <c r="T593" s="156"/>
    </row>
    <row r="594" ht="26.25" customHeight="1">
      <c r="A594" s="167"/>
      <c r="B594" s="174"/>
      <c r="C594" s="174"/>
      <c r="D594" s="175"/>
      <c r="E594" s="156"/>
      <c r="F594" s="156"/>
      <c r="G594" s="156"/>
      <c r="H594" s="174"/>
      <c r="I594" s="174"/>
      <c r="J594" s="174"/>
      <c r="K594" s="156"/>
      <c r="L594" s="156"/>
      <c r="M594" s="156"/>
      <c r="N594" s="156"/>
      <c r="O594" s="156"/>
      <c r="P594" s="156"/>
      <c r="Q594" s="156"/>
      <c r="R594" s="156"/>
      <c r="S594" s="156"/>
      <c r="T594" s="156"/>
    </row>
    <row r="595" ht="26.25" customHeight="1">
      <c r="A595" s="167"/>
      <c r="B595" s="174"/>
      <c r="C595" s="174"/>
      <c r="D595" s="175"/>
      <c r="E595" s="156"/>
      <c r="F595" s="156"/>
      <c r="G595" s="156"/>
      <c r="H595" s="174"/>
      <c r="I595" s="174"/>
      <c r="J595" s="174"/>
      <c r="K595" s="156"/>
      <c r="L595" s="156"/>
      <c r="M595" s="156"/>
      <c r="N595" s="156"/>
      <c r="O595" s="156"/>
      <c r="P595" s="156"/>
      <c r="Q595" s="156"/>
      <c r="R595" s="156"/>
      <c r="S595" s="156"/>
      <c r="T595" s="156"/>
    </row>
    <row r="596" ht="26.25" customHeight="1">
      <c r="A596" s="167"/>
      <c r="B596" s="174"/>
      <c r="C596" s="174"/>
      <c r="D596" s="175"/>
      <c r="E596" s="156"/>
      <c r="F596" s="156"/>
      <c r="G596" s="156"/>
      <c r="H596" s="174"/>
      <c r="I596" s="174"/>
      <c r="J596" s="174"/>
      <c r="K596" s="156"/>
      <c r="L596" s="156"/>
      <c r="M596" s="156"/>
      <c r="N596" s="156"/>
      <c r="O596" s="156"/>
      <c r="P596" s="156"/>
      <c r="Q596" s="156"/>
      <c r="R596" s="156"/>
      <c r="S596" s="156"/>
      <c r="T596" s="156"/>
    </row>
    <row r="597" ht="26.25" customHeight="1">
      <c r="A597" s="167"/>
      <c r="B597" s="174"/>
      <c r="C597" s="174"/>
      <c r="D597" s="175"/>
      <c r="E597" s="156"/>
      <c r="F597" s="156"/>
      <c r="G597" s="156"/>
      <c r="H597" s="174"/>
      <c r="I597" s="174"/>
      <c r="J597" s="174"/>
      <c r="K597" s="156"/>
      <c r="L597" s="156"/>
      <c r="M597" s="156"/>
      <c r="N597" s="156"/>
      <c r="O597" s="156"/>
      <c r="P597" s="156"/>
      <c r="Q597" s="156"/>
      <c r="R597" s="156"/>
      <c r="S597" s="156"/>
      <c r="T597" s="156"/>
    </row>
    <row r="598" ht="26.25" customHeight="1">
      <c r="A598" s="167"/>
      <c r="B598" s="174"/>
      <c r="C598" s="174"/>
      <c r="D598" s="175"/>
      <c r="E598" s="156"/>
      <c r="F598" s="156"/>
      <c r="G598" s="156"/>
      <c r="H598" s="174"/>
      <c r="I598" s="174"/>
      <c r="J598" s="174"/>
      <c r="K598" s="156"/>
      <c r="L598" s="156"/>
      <c r="M598" s="156"/>
      <c r="N598" s="156"/>
      <c r="O598" s="156"/>
      <c r="P598" s="156"/>
      <c r="Q598" s="156"/>
      <c r="R598" s="156"/>
      <c r="S598" s="156"/>
      <c r="T598" s="156"/>
    </row>
    <row r="599" ht="26.25" customHeight="1">
      <c r="A599" s="167"/>
      <c r="B599" s="174"/>
      <c r="C599" s="174"/>
      <c r="D599" s="175"/>
      <c r="E599" s="156"/>
      <c r="F599" s="156"/>
      <c r="G599" s="156"/>
      <c r="H599" s="174"/>
      <c r="I599" s="174"/>
      <c r="J599" s="174"/>
      <c r="K599" s="156"/>
      <c r="L599" s="156"/>
      <c r="M599" s="156"/>
      <c r="N599" s="156"/>
      <c r="O599" s="156"/>
      <c r="P599" s="156"/>
      <c r="Q599" s="156"/>
      <c r="R599" s="156"/>
      <c r="S599" s="156"/>
      <c r="T599" s="156"/>
    </row>
    <row r="600" ht="26.25" customHeight="1">
      <c r="A600" s="167"/>
      <c r="B600" s="174"/>
      <c r="C600" s="174"/>
      <c r="D600" s="175"/>
      <c r="E600" s="156"/>
      <c r="F600" s="156"/>
      <c r="G600" s="156"/>
      <c r="H600" s="174"/>
      <c r="I600" s="174"/>
      <c r="J600" s="174"/>
      <c r="K600" s="156"/>
      <c r="L600" s="156"/>
      <c r="M600" s="156"/>
      <c r="N600" s="156"/>
      <c r="O600" s="156"/>
      <c r="P600" s="156"/>
      <c r="Q600" s="156"/>
      <c r="R600" s="156"/>
      <c r="S600" s="156"/>
      <c r="T600" s="156"/>
    </row>
    <row r="601" ht="26.25" customHeight="1">
      <c r="A601" s="167"/>
      <c r="B601" s="174"/>
      <c r="C601" s="174"/>
      <c r="D601" s="175"/>
      <c r="E601" s="156"/>
      <c r="F601" s="156"/>
      <c r="G601" s="156"/>
      <c r="H601" s="174"/>
      <c r="I601" s="174"/>
      <c r="J601" s="174"/>
      <c r="K601" s="156"/>
      <c r="L601" s="156"/>
      <c r="M601" s="156"/>
      <c r="N601" s="156"/>
      <c r="O601" s="156"/>
      <c r="P601" s="156"/>
      <c r="Q601" s="156"/>
      <c r="R601" s="156"/>
      <c r="S601" s="156"/>
      <c r="T601" s="156"/>
    </row>
    <row r="602" ht="26.25" customHeight="1">
      <c r="A602" s="167"/>
      <c r="B602" s="174"/>
      <c r="C602" s="174"/>
      <c r="D602" s="175"/>
      <c r="E602" s="156"/>
      <c r="F602" s="156"/>
      <c r="G602" s="156"/>
      <c r="H602" s="174"/>
      <c r="I602" s="174"/>
      <c r="J602" s="174"/>
      <c r="K602" s="156"/>
      <c r="L602" s="156"/>
      <c r="M602" s="156"/>
      <c r="N602" s="156"/>
      <c r="O602" s="156"/>
      <c r="P602" s="156"/>
      <c r="Q602" s="156"/>
      <c r="R602" s="156"/>
      <c r="S602" s="156"/>
      <c r="T602" s="156"/>
    </row>
    <row r="603" ht="26.25" customHeight="1">
      <c r="A603" s="167"/>
      <c r="B603" s="174"/>
      <c r="C603" s="174"/>
      <c r="D603" s="175"/>
      <c r="E603" s="156"/>
      <c r="F603" s="156"/>
      <c r="G603" s="156"/>
      <c r="H603" s="174"/>
      <c r="I603" s="174"/>
      <c r="J603" s="174"/>
      <c r="K603" s="156"/>
      <c r="L603" s="156"/>
      <c r="M603" s="156"/>
      <c r="N603" s="156"/>
      <c r="O603" s="156"/>
      <c r="P603" s="156"/>
      <c r="Q603" s="156"/>
      <c r="R603" s="156"/>
      <c r="S603" s="156"/>
      <c r="T603" s="156"/>
    </row>
    <row r="604" ht="26.25" customHeight="1">
      <c r="A604" s="167"/>
      <c r="B604" s="174"/>
      <c r="C604" s="174"/>
      <c r="D604" s="175"/>
      <c r="E604" s="156"/>
      <c r="F604" s="156"/>
      <c r="G604" s="156"/>
      <c r="H604" s="174"/>
      <c r="I604" s="174"/>
      <c r="J604" s="174"/>
      <c r="K604" s="156"/>
      <c r="L604" s="156"/>
      <c r="M604" s="156"/>
      <c r="N604" s="156"/>
      <c r="O604" s="156"/>
      <c r="P604" s="156"/>
      <c r="Q604" s="156"/>
      <c r="R604" s="156"/>
      <c r="S604" s="156"/>
      <c r="T604" s="156"/>
    </row>
    <row r="605" ht="26.25" customHeight="1">
      <c r="A605" s="167"/>
      <c r="B605" s="174"/>
      <c r="C605" s="174"/>
      <c r="D605" s="175"/>
      <c r="E605" s="156"/>
      <c r="F605" s="156"/>
      <c r="G605" s="156"/>
      <c r="H605" s="174"/>
      <c r="I605" s="174"/>
      <c r="J605" s="174"/>
      <c r="K605" s="156"/>
      <c r="L605" s="156"/>
      <c r="M605" s="156"/>
      <c r="N605" s="156"/>
      <c r="O605" s="156"/>
      <c r="P605" s="156"/>
      <c r="Q605" s="156"/>
      <c r="R605" s="156"/>
      <c r="S605" s="156"/>
      <c r="T605" s="156"/>
    </row>
    <row r="606" ht="26.25" customHeight="1">
      <c r="A606" s="167"/>
      <c r="B606" s="174"/>
      <c r="C606" s="174"/>
      <c r="D606" s="175"/>
      <c r="E606" s="156"/>
      <c r="F606" s="156"/>
      <c r="G606" s="156"/>
      <c r="H606" s="174"/>
      <c r="I606" s="174"/>
      <c r="J606" s="174"/>
      <c r="K606" s="156"/>
      <c r="L606" s="156"/>
      <c r="M606" s="156"/>
      <c r="N606" s="156"/>
      <c r="O606" s="156"/>
      <c r="P606" s="156"/>
      <c r="Q606" s="156"/>
      <c r="R606" s="156"/>
      <c r="S606" s="156"/>
      <c r="T606" s="156"/>
    </row>
    <row r="607" ht="26.25" customHeight="1">
      <c r="A607" s="167"/>
      <c r="B607" s="174"/>
      <c r="C607" s="174"/>
      <c r="D607" s="175"/>
      <c r="E607" s="156"/>
      <c r="F607" s="156"/>
      <c r="G607" s="156"/>
      <c r="H607" s="174"/>
      <c r="I607" s="174"/>
      <c r="J607" s="174"/>
      <c r="K607" s="156"/>
      <c r="L607" s="156"/>
      <c r="M607" s="156"/>
      <c r="N607" s="156"/>
      <c r="O607" s="156"/>
      <c r="P607" s="156"/>
      <c r="Q607" s="156"/>
      <c r="R607" s="156"/>
      <c r="S607" s="156"/>
      <c r="T607" s="156"/>
    </row>
    <row r="608" ht="26.25" customHeight="1">
      <c r="A608" s="167"/>
      <c r="B608" s="174"/>
      <c r="C608" s="174"/>
      <c r="D608" s="175"/>
      <c r="E608" s="156"/>
      <c r="F608" s="156"/>
      <c r="G608" s="156"/>
      <c r="H608" s="174"/>
      <c r="I608" s="174"/>
      <c r="J608" s="174"/>
      <c r="K608" s="156"/>
      <c r="L608" s="156"/>
      <c r="M608" s="156"/>
      <c r="N608" s="156"/>
      <c r="O608" s="156"/>
      <c r="P608" s="156"/>
      <c r="Q608" s="156"/>
      <c r="R608" s="156"/>
      <c r="S608" s="156"/>
      <c r="T608" s="156"/>
    </row>
    <row r="609" ht="26.25" customHeight="1">
      <c r="A609" s="167"/>
      <c r="B609" s="174"/>
      <c r="C609" s="174"/>
      <c r="D609" s="175"/>
      <c r="E609" s="156"/>
      <c r="F609" s="156"/>
      <c r="G609" s="156"/>
      <c r="H609" s="174"/>
      <c r="I609" s="174"/>
      <c r="J609" s="174"/>
      <c r="K609" s="156"/>
      <c r="L609" s="156"/>
      <c r="M609" s="156"/>
      <c r="N609" s="156"/>
      <c r="O609" s="156"/>
      <c r="P609" s="156"/>
      <c r="Q609" s="156"/>
      <c r="R609" s="156"/>
      <c r="S609" s="156"/>
      <c r="T609" s="156"/>
    </row>
    <row r="610" ht="26.25" customHeight="1">
      <c r="A610" s="167"/>
      <c r="B610" s="174"/>
      <c r="C610" s="174"/>
      <c r="D610" s="175"/>
      <c r="E610" s="156"/>
      <c r="F610" s="156"/>
      <c r="G610" s="156"/>
      <c r="H610" s="174"/>
      <c r="I610" s="174"/>
      <c r="J610" s="174"/>
      <c r="K610" s="156"/>
      <c r="L610" s="156"/>
      <c r="M610" s="156"/>
      <c r="N610" s="156"/>
      <c r="O610" s="156"/>
      <c r="P610" s="156"/>
      <c r="Q610" s="156"/>
      <c r="R610" s="156"/>
      <c r="S610" s="156"/>
      <c r="T610" s="156"/>
    </row>
    <row r="611" ht="26.25" customHeight="1">
      <c r="A611" s="167"/>
      <c r="B611" s="174"/>
      <c r="C611" s="174"/>
      <c r="D611" s="175"/>
      <c r="E611" s="156"/>
      <c r="F611" s="156"/>
      <c r="G611" s="156"/>
      <c r="H611" s="174"/>
      <c r="I611" s="174"/>
      <c r="J611" s="174"/>
      <c r="K611" s="156"/>
      <c r="L611" s="156"/>
      <c r="M611" s="156"/>
      <c r="N611" s="156"/>
      <c r="O611" s="156"/>
      <c r="P611" s="156"/>
      <c r="Q611" s="156"/>
      <c r="R611" s="156"/>
      <c r="S611" s="156"/>
      <c r="T611" s="156"/>
    </row>
    <row r="612" ht="26.25" customHeight="1">
      <c r="A612" s="167"/>
      <c r="B612" s="174"/>
      <c r="C612" s="174"/>
      <c r="D612" s="175"/>
      <c r="E612" s="156"/>
      <c r="F612" s="156"/>
      <c r="G612" s="156"/>
      <c r="H612" s="174"/>
      <c r="I612" s="174"/>
      <c r="J612" s="174"/>
      <c r="K612" s="156"/>
      <c r="L612" s="156"/>
      <c r="M612" s="156"/>
      <c r="N612" s="156"/>
      <c r="O612" s="156"/>
      <c r="P612" s="156"/>
      <c r="Q612" s="156"/>
      <c r="R612" s="156"/>
      <c r="S612" s="156"/>
      <c r="T612" s="156"/>
    </row>
    <row r="613" ht="26.25" customHeight="1">
      <c r="A613" s="167"/>
      <c r="B613" s="174"/>
      <c r="C613" s="174"/>
      <c r="D613" s="175"/>
      <c r="E613" s="156"/>
      <c r="F613" s="156"/>
      <c r="G613" s="156"/>
      <c r="H613" s="174"/>
      <c r="I613" s="174"/>
      <c r="J613" s="174"/>
      <c r="K613" s="156"/>
      <c r="L613" s="156"/>
      <c r="M613" s="156"/>
      <c r="N613" s="156"/>
      <c r="O613" s="156"/>
      <c r="P613" s="156"/>
      <c r="Q613" s="156"/>
      <c r="R613" s="156"/>
      <c r="S613" s="156"/>
      <c r="T613" s="156"/>
    </row>
    <row r="614" ht="26.25" customHeight="1">
      <c r="A614" s="167"/>
      <c r="B614" s="174"/>
      <c r="C614" s="174"/>
      <c r="D614" s="175"/>
      <c r="E614" s="156"/>
      <c r="F614" s="156"/>
      <c r="G614" s="156"/>
      <c r="H614" s="174"/>
      <c r="I614" s="174"/>
      <c r="J614" s="174"/>
      <c r="K614" s="156"/>
      <c r="L614" s="156"/>
      <c r="M614" s="156"/>
      <c r="N614" s="156"/>
      <c r="O614" s="156"/>
      <c r="P614" s="156"/>
      <c r="Q614" s="156"/>
      <c r="R614" s="156"/>
      <c r="S614" s="156"/>
      <c r="T614" s="156"/>
    </row>
    <row r="615" ht="26.25" customHeight="1">
      <c r="A615" s="167"/>
      <c r="B615" s="174"/>
      <c r="C615" s="174"/>
      <c r="D615" s="175"/>
      <c r="E615" s="156"/>
      <c r="F615" s="156"/>
      <c r="G615" s="156"/>
      <c r="H615" s="174"/>
      <c r="I615" s="174"/>
      <c r="J615" s="174"/>
      <c r="K615" s="156"/>
      <c r="L615" s="156"/>
      <c r="M615" s="156"/>
      <c r="N615" s="156"/>
      <c r="O615" s="156"/>
      <c r="P615" s="156"/>
      <c r="Q615" s="156"/>
      <c r="R615" s="156"/>
      <c r="S615" s="156"/>
      <c r="T615" s="156"/>
    </row>
    <row r="616" ht="26.25" customHeight="1">
      <c r="A616" s="167"/>
      <c r="B616" s="174"/>
      <c r="C616" s="174"/>
      <c r="D616" s="175"/>
      <c r="E616" s="156"/>
      <c r="F616" s="156"/>
      <c r="G616" s="156"/>
      <c r="H616" s="174"/>
      <c r="I616" s="174"/>
      <c r="J616" s="174"/>
      <c r="K616" s="156"/>
      <c r="L616" s="156"/>
      <c r="M616" s="156"/>
      <c r="N616" s="156"/>
      <c r="O616" s="156"/>
      <c r="P616" s="156"/>
      <c r="Q616" s="156"/>
      <c r="R616" s="156"/>
      <c r="S616" s="156"/>
      <c r="T616" s="156"/>
    </row>
    <row r="617" ht="26.25" customHeight="1">
      <c r="A617" s="167"/>
      <c r="B617" s="174"/>
      <c r="C617" s="174"/>
      <c r="D617" s="175"/>
      <c r="E617" s="156"/>
      <c r="F617" s="156"/>
      <c r="G617" s="156"/>
      <c r="H617" s="174"/>
      <c r="I617" s="174"/>
      <c r="J617" s="174"/>
      <c r="K617" s="156"/>
      <c r="L617" s="156"/>
      <c r="M617" s="156"/>
      <c r="N617" s="156"/>
      <c r="O617" s="156"/>
      <c r="P617" s="156"/>
      <c r="Q617" s="156"/>
      <c r="R617" s="156"/>
      <c r="S617" s="156"/>
      <c r="T617" s="156"/>
    </row>
    <row r="618" ht="26.25" customHeight="1">
      <c r="A618" s="167"/>
      <c r="B618" s="174"/>
      <c r="C618" s="174"/>
      <c r="D618" s="175"/>
      <c r="E618" s="156"/>
      <c r="F618" s="156"/>
      <c r="G618" s="156"/>
      <c r="H618" s="174"/>
      <c r="I618" s="174"/>
      <c r="J618" s="174"/>
      <c r="K618" s="156"/>
      <c r="L618" s="156"/>
      <c r="M618" s="156"/>
      <c r="N618" s="156"/>
      <c r="O618" s="156"/>
      <c r="P618" s="156"/>
      <c r="Q618" s="156"/>
      <c r="R618" s="156"/>
      <c r="S618" s="156"/>
      <c r="T618" s="156"/>
    </row>
    <row r="619" ht="26.25" customHeight="1">
      <c r="A619" s="167"/>
      <c r="B619" s="174"/>
      <c r="C619" s="174"/>
      <c r="D619" s="175"/>
      <c r="E619" s="156"/>
      <c r="F619" s="156"/>
      <c r="G619" s="156"/>
      <c r="H619" s="174"/>
      <c r="I619" s="174"/>
      <c r="J619" s="174"/>
      <c r="K619" s="156"/>
      <c r="L619" s="156"/>
      <c r="M619" s="156"/>
      <c r="N619" s="156"/>
      <c r="O619" s="156"/>
      <c r="P619" s="156"/>
      <c r="Q619" s="156"/>
      <c r="R619" s="156"/>
      <c r="S619" s="156"/>
      <c r="T619" s="156"/>
    </row>
    <row r="620" ht="26.25" customHeight="1">
      <c r="A620" s="167"/>
      <c r="B620" s="174"/>
      <c r="C620" s="174"/>
      <c r="D620" s="175"/>
      <c r="E620" s="156"/>
      <c r="F620" s="156"/>
      <c r="G620" s="156"/>
      <c r="H620" s="174"/>
      <c r="I620" s="174"/>
      <c r="J620" s="174"/>
      <c r="K620" s="156"/>
      <c r="L620" s="156"/>
      <c r="M620" s="156"/>
      <c r="N620" s="156"/>
      <c r="O620" s="156"/>
      <c r="P620" s="156"/>
      <c r="Q620" s="156"/>
      <c r="R620" s="156"/>
      <c r="S620" s="156"/>
      <c r="T620" s="156"/>
    </row>
    <row r="621" ht="26.25" customHeight="1">
      <c r="A621" s="167"/>
      <c r="B621" s="174"/>
      <c r="C621" s="174"/>
      <c r="D621" s="175"/>
      <c r="E621" s="156"/>
      <c r="F621" s="156"/>
      <c r="G621" s="156"/>
      <c r="H621" s="174"/>
      <c r="I621" s="174"/>
      <c r="J621" s="174"/>
      <c r="K621" s="156"/>
      <c r="L621" s="156"/>
      <c r="M621" s="156"/>
      <c r="N621" s="156"/>
      <c r="O621" s="156"/>
      <c r="P621" s="156"/>
      <c r="Q621" s="156"/>
      <c r="R621" s="156"/>
      <c r="S621" s="156"/>
      <c r="T621" s="156"/>
    </row>
    <row r="622" ht="26.25" customHeight="1">
      <c r="A622" s="167"/>
      <c r="B622" s="174"/>
      <c r="C622" s="174"/>
      <c r="D622" s="175"/>
      <c r="E622" s="156"/>
      <c r="F622" s="156"/>
      <c r="G622" s="156"/>
      <c r="H622" s="174"/>
      <c r="I622" s="174"/>
      <c r="J622" s="174"/>
      <c r="K622" s="156"/>
      <c r="L622" s="156"/>
      <c r="M622" s="156"/>
      <c r="N622" s="156"/>
      <c r="O622" s="156"/>
      <c r="P622" s="156"/>
      <c r="Q622" s="156"/>
      <c r="R622" s="156"/>
      <c r="S622" s="156"/>
      <c r="T622" s="156"/>
    </row>
    <row r="623" ht="26.25" customHeight="1">
      <c r="A623" s="167"/>
      <c r="B623" s="174"/>
      <c r="C623" s="174"/>
      <c r="D623" s="175"/>
      <c r="E623" s="156"/>
      <c r="F623" s="156"/>
      <c r="G623" s="156"/>
      <c r="H623" s="174"/>
      <c r="I623" s="174"/>
      <c r="J623" s="174"/>
      <c r="K623" s="156"/>
      <c r="L623" s="156"/>
      <c r="M623" s="156"/>
      <c r="N623" s="156"/>
      <c r="O623" s="156"/>
      <c r="P623" s="156"/>
      <c r="Q623" s="156"/>
      <c r="R623" s="156"/>
      <c r="S623" s="156"/>
      <c r="T623" s="156"/>
    </row>
    <row r="624" ht="26.25" customHeight="1">
      <c r="A624" s="167"/>
      <c r="B624" s="174"/>
      <c r="C624" s="174"/>
      <c r="D624" s="175"/>
      <c r="E624" s="156"/>
      <c r="F624" s="156"/>
      <c r="G624" s="156"/>
      <c r="H624" s="174"/>
      <c r="I624" s="174"/>
      <c r="J624" s="174"/>
      <c r="K624" s="156"/>
      <c r="L624" s="156"/>
      <c r="M624" s="156"/>
      <c r="N624" s="156"/>
      <c r="O624" s="156"/>
      <c r="P624" s="156"/>
      <c r="Q624" s="156"/>
      <c r="R624" s="156"/>
      <c r="S624" s="156"/>
      <c r="T624" s="156"/>
    </row>
    <row r="625" ht="26.25" customHeight="1">
      <c r="A625" s="167"/>
      <c r="B625" s="174"/>
      <c r="C625" s="174"/>
      <c r="D625" s="175"/>
      <c r="E625" s="156"/>
      <c r="F625" s="156"/>
      <c r="G625" s="156"/>
      <c r="H625" s="174"/>
      <c r="I625" s="174"/>
      <c r="J625" s="174"/>
      <c r="K625" s="156"/>
      <c r="L625" s="156"/>
      <c r="M625" s="156"/>
      <c r="N625" s="156"/>
      <c r="O625" s="156"/>
      <c r="P625" s="156"/>
      <c r="Q625" s="156"/>
      <c r="R625" s="156"/>
      <c r="S625" s="156"/>
      <c r="T625" s="156"/>
    </row>
    <row r="626" ht="26.25" customHeight="1">
      <c r="A626" s="167"/>
      <c r="B626" s="174"/>
      <c r="C626" s="174"/>
      <c r="D626" s="175"/>
      <c r="E626" s="156"/>
      <c r="F626" s="156"/>
      <c r="G626" s="156"/>
      <c r="H626" s="174"/>
      <c r="I626" s="174"/>
      <c r="J626" s="174"/>
      <c r="K626" s="156"/>
      <c r="L626" s="156"/>
      <c r="M626" s="156"/>
      <c r="N626" s="156"/>
      <c r="O626" s="156"/>
      <c r="P626" s="156"/>
      <c r="Q626" s="156"/>
      <c r="R626" s="156"/>
      <c r="S626" s="156"/>
      <c r="T626" s="156"/>
    </row>
    <row r="627" ht="26.25" customHeight="1">
      <c r="A627" s="167"/>
      <c r="B627" s="174"/>
      <c r="C627" s="174"/>
      <c r="D627" s="175"/>
      <c r="E627" s="156"/>
      <c r="F627" s="156"/>
      <c r="G627" s="156"/>
      <c r="H627" s="174"/>
      <c r="I627" s="174"/>
      <c r="J627" s="174"/>
      <c r="K627" s="156"/>
      <c r="L627" s="156"/>
      <c r="M627" s="156"/>
      <c r="N627" s="156"/>
      <c r="O627" s="156"/>
      <c r="P627" s="156"/>
      <c r="Q627" s="156"/>
      <c r="R627" s="156"/>
      <c r="S627" s="156"/>
      <c r="T627" s="156"/>
    </row>
    <row r="628" ht="26.25" customHeight="1">
      <c r="A628" s="167"/>
      <c r="B628" s="174"/>
      <c r="C628" s="174"/>
      <c r="D628" s="175"/>
      <c r="E628" s="156"/>
      <c r="F628" s="156"/>
      <c r="G628" s="156"/>
      <c r="H628" s="174"/>
      <c r="I628" s="174"/>
      <c r="J628" s="174"/>
      <c r="K628" s="156"/>
      <c r="L628" s="156"/>
      <c r="M628" s="156"/>
      <c r="N628" s="156"/>
      <c r="O628" s="156"/>
      <c r="P628" s="156"/>
      <c r="Q628" s="156"/>
      <c r="R628" s="156"/>
      <c r="S628" s="156"/>
      <c r="T628" s="156"/>
    </row>
    <row r="629" ht="26.25" customHeight="1">
      <c r="A629" s="167"/>
      <c r="B629" s="174"/>
      <c r="C629" s="174"/>
      <c r="D629" s="175"/>
      <c r="E629" s="156"/>
      <c r="F629" s="156"/>
      <c r="G629" s="156"/>
      <c r="H629" s="174"/>
      <c r="I629" s="174"/>
      <c r="J629" s="174"/>
      <c r="K629" s="156"/>
      <c r="L629" s="156"/>
      <c r="M629" s="156"/>
      <c r="N629" s="156"/>
      <c r="O629" s="156"/>
      <c r="P629" s="156"/>
      <c r="Q629" s="156"/>
      <c r="R629" s="156"/>
      <c r="S629" s="156"/>
      <c r="T629" s="156"/>
    </row>
    <row r="630" ht="26.25" customHeight="1">
      <c r="A630" s="167"/>
      <c r="B630" s="174"/>
      <c r="C630" s="174"/>
      <c r="D630" s="175"/>
      <c r="E630" s="156"/>
      <c r="F630" s="156"/>
      <c r="G630" s="156"/>
      <c r="H630" s="174"/>
      <c r="I630" s="174"/>
      <c r="J630" s="174"/>
      <c r="K630" s="156"/>
      <c r="L630" s="156"/>
      <c r="M630" s="156"/>
      <c r="N630" s="156"/>
      <c r="O630" s="156"/>
      <c r="P630" s="156"/>
      <c r="Q630" s="156"/>
      <c r="R630" s="156"/>
      <c r="S630" s="156"/>
      <c r="T630" s="156"/>
    </row>
    <row r="631" ht="26.25" customHeight="1">
      <c r="A631" s="167"/>
      <c r="B631" s="174"/>
      <c r="C631" s="174"/>
      <c r="D631" s="175"/>
      <c r="E631" s="156"/>
      <c r="F631" s="156"/>
      <c r="G631" s="156"/>
      <c r="H631" s="174"/>
      <c r="I631" s="174"/>
      <c r="J631" s="174"/>
      <c r="K631" s="156"/>
      <c r="L631" s="156"/>
      <c r="M631" s="156"/>
      <c r="N631" s="156"/>
      <c r="O631" s="156"/>
      <c r="P631" s="156"/>
      <c r="Q631" s="156"/>
      <c r="R631" s="156"/>
      <c r="S631" s="156"/>
      <c r="T631" s="156"/>
    </row>
    <row r="632" ht="26.25" customHeight="1">
      <c r="A632" s="167"/>
      <c r="B632" s="174"/>
      <c r="C632" s="174"/>
      <c r="D632" s="175"/>
      <c r="E632" s="156"/>
      <c r="F632" s="156"/>
      <c r="G632" s="156"/>
      <c r="H632" s="174"/>
      <c r="I632" s="174"/>
      <c r="J632" s="174"/>
      <c r="K632" s="156"/>
      <c r="L632" s="156"/>
      <c r="M632" s="156"/>
      <c r="N632" s="156"/>
      <c r="O632" s="156"/>
      <c r="P632" s="156"/>
      <c r="Q632" s="156"/>
      <c r="R632" s="156"/>
      <c r="S632" s="156"/>
      <c r="T632" s="156"/>
    </row>
    <row r="633" ht="26.25" customHeight="1">
      <c r="A633" s="167"/>
      <c r="B633" s="174"/>
      <c r="C633" s="174"/>
      <c r="D633" s="175"/>
      <c r="E633" s="156"/>
      <c r="F633" s="156"/>
      <c r="G633" s="156"/>
      <c r="H633" s="174"/>
      <c r="I633" s="174"/>
      <c r="J633" s="174"/>
      <c r="K633" s="156"/>
      <c r="L633" s="156"/>
      <c r="M633" s="156"/>
      <c r="N633" s="156"/>
      <c r="O633" s="156"/>
      <c r="P633" s="156"/>
      <c r="Q633" s="156"/>
      <c r="R633" s="156"/>
      <c r="S633" s="156"/>
      <c r="T633" s="156"/>
    </row>
    <row r="634" ht="26.25" customHeight="1">
      <c r="A634" s="167"/>
      <c r="B634" s="174"/>
      <c r="C634" s="174"/>
      <c r="D634" s="175"/>
      <c r="E634" s="156"/>
      <c r="F634" s="156"/>
      <c r="G634" s="156"/>
      <c r="H634" s="174"/>
      <c r="I634" s="174"/>
      <c r="J634" s="174"/>
      <c r="K634" s="156"/>
      <c r="L634" s="156"/>
      <c r="M634" s="156"/>
      <c r="N634" s="156"/>
      <c r="O634" s="156"/>
      <c r="P634" s="156"/>
      <c r="Q634" s="156"/>
      <c r="R634" s="156"/>
      <c r="S634" s="156"/>
      <c r="T634" s="156"/>
    </row>
    <row r="635" ht="26.25" customHeight="1">
      <c r="A635" s="167"/>
      <c r="B635" s="174"/>
      <c r="C635" s="174"/>
      <c r="D635" s="175"/>
      <c r="E635" s="156"/>
      <c r="F635" s="156"/>
      <c r="G635" s="156"/>
      <c r="H635" s="174"/>
      <c r="I635" s="174"/>
      <c r="J635" s="174"/>
      <c r="K635" s="156"/>
      <c r="L635" s="156"/>
      <c r="M635" s="156"/>
      <c r="N635" s="156"/>
      <c r="O635" s="156"/>
      <c r="P635" s="156"/>
      <c r="Q635" s="156"/>
      <c r="R635" s="156"/>
      <c r="S635" s="156"/>
      <c r="T635" s="156"/>
    </row>
    <row r="636" ht="26.25" customHeight="1">
      <c r="A636" s="167"/>
      <c r="B636" s="174"/>
      <c r="C636" s="174"/>
      <c r="D636" s="175"/>
      <c r="E636" s="156"/>
      <c r="F636" s="156"/>
      <c r="G636" s="156"/>
      <c r="H636" s="174"/>
      <c r="I636" s="174"/>
      <c r="J636" s="174"/>
      <c r="K636" s="156"/>
      <c r="L636" s="156"/>
      <c r="M636" s="156"/>
      <c r="N636" s="156"/>
      <c r="O636" s="156"/>
      <c r="P636" s="156"/>
      <c r="Q636" s="156"/>
      <c r="R636" s="156"/>
      <c r="S636" s="156"/>
      <c r="T636" s="156"/>
    </row>
    <row r="637" ht="26.25" customHeight="1">
      <c r="A637" s="167"/>
      <c r="B637" s="174"/>
      <c r="C637" s="174"/>
      <c r="D637" s="175"/>
      <c r="E637" s="156"/>
      <c r="F637" s="156"/>
      <c r="G637" s="156"/>
      <c r="H637" s="174"/>
      <c r="I637" s="174"/>
      <c r="J637" s="174"/>
      <c r="K637" s="156"/>
      <c r="L637" s="156"/>
      <c r="M637" s="156"/>
      <c r="N637" s="156"/>
      <c r="O637" s="156"/>
      <c r="P637" s="156"/>
      <c r="Q637" s="156"/>
      <c r="R637" s="156"/>
      <c r="S637" s="156"/>
      <c r="T637" s="156"/>
    </row>
    <row r="638" ht="26.25" customHeight="1">
      <c r="A638" s="167"/>
      <c r="B638" s="174"/>
      <c r="C638" s="174"/>
      <c r="D638" s="175"/>
      <c r="E638" s="156"/>
      <c r="F638" s="156"/>
      <c r="G638" s="156"/>
      <c r="H638" s="174"/>
      <c r="I638" s="174"/>
      <c r="J638" s="174"/>
      <c r="K638" s="156"/>
      <c r="L638" s="156"/>
      <c r="M638" s="156"/>
      <c r="N638" s="156"/>
      <c r="O638" s="156"/>
      <c r="P638" s="156"/>
      <c r="Q638" s="156"/>
      <c r="R638" s="156"/>
      <c r="S638" s="156"/>
      <c r="T638" s="156"/>
    </row>
    <row r="639" ht="26.25" customHeight="1">
      <c r="A639" s="167"/>
      <c r="B639" s="174"/>
      <c r="C639" s="174"/>
      <c r="D639" s="175"/>
      <c r="E639" s="156"/>
      <c r="F639" s="156"/>
      <c r="G639" s="156"/>
      <c r="H639" s="174"/>
      <c r="I639" s="174"/>
      <c r="J639" s="174"/>
      <c r="K639" s="156"/>
      <c r="L639" s="156"/>
      <c r="M639" s="156"/>
      <c r="N639" s="156"/>
      <c r="O639" s="156"/>
      <c r="P639" s="156"/>
      <c r="Q639" s="156"/>
      <c r="R639" s="156"/>
      <c r="S639" s="156"/>
      <c r="T639" s="156"/>
    </row>
    <row r="640" ht="26.25" customHeight="1">
      <c r="A640" s="167"/>
      <c r="B640" s="174"/>
      <c r="C640" s="174"/>
      <c r="D640" s="175"/>
      <c r="E640" s="156"/>
      <c r="F640" s="156"/>
      <c r="G640" s="156"/>
      <c r="H640" s="174"/>
      <c r="I640" s="174"/>
      <c r="J640" s="174"/>
      <c r="K640" s="156"/>
      <c r="L640" s="156"/>
      <c r="M640" s="156"/>
      <c r="N640" s="156"/>
      <c r="O640" s="156"/>
      <c r="P640" s="156"/>
      <c r="Q640" s="156"/>
      <c r="R640" s="156"/>
      <c r="S640" s="156"/>
      <c r="T640" s="156"/>
    </row>
    <row r="641" ht="26.25" customHeight="1">
      <c r="A641" s="167"/>
      <c r="B641" s="174"/>
      <c r="C641" s="174"/>
      <c r="D641" s="175"/>
      <c r="E641" s="156"/>
      <c r="F641" s="156"/>
      <c r="G641" s="156"/>
      <c r="H641" s="174"/>
      <c r="I641" s="174"/>
      <c r="J641" s="174"/>
      <c r="K641" s="156"/>
      <c r="L641" s="156"/>
      <c r="M641" s="156"/>
      <c r="N641" s="156"/>
      <c r="O641" s="156"/>
      <c r="P641" s="156"/>
      <c r="Q641" s="156"/>
      <c r="R641" s="156"/>
      <c r="S641" s="156"/>
      <c r="T641" s="156"/>
    </row>
    <row r="642" ht="26.25" customHeight="1">
      <c r="A642" s="167"/>
      <c r="B642" s="174"/>
      <c r="C642" s="174"/>
      <c r="D642" s="175"/>
      <c r="E642" s="156"/>
      <c r="F642" s="156"/>
      <c r="G642" s="156"/>
      <c r="H642" s="174"/>
      <c r="I642" s="174"/>
      <c r="J642" s="174"/>
      <c r="K642" s="156"/>
      <c r="L642" s="156"/>
      <c r="M642" s="156"/>
      <c r="N642" s="156"/>
      <c r="O642" s="156"/>
      <c r="P642" s="156"/>
      <c r="Q642" s="156"/>
      <c r="R642" s="156"/>
      <c r="S642" s="156"/>
      <c r="T642" s="156"/>
    </row>
    <row r="643" ht="26.25" customHeight="1">
      <c r="A643" s="167"/>
      <c r="B643" s="174"/>
      <c r="C643" s="174"/>
      <c r="D643" s="175"/>
      <c r="E643" s="156"/>
      <c r="F643" s="156"/>
      <c r="G643" s="156"/>
      <c r="H643" s="174"/>
      <c r="I643" s="174"/>
      <c r="J643" s="174"/>
      <c r="K643" s="156"/>
      <c r="L643" s="156"/>
      <c r="M643" s="156"/>
      <c r="N643" s="156"/>
      <c r="O643" s="156"/>
      <c r="P643" s="156"/>
      <c r="Q643" s="156"/>
      <c r="R643" s="156"/>
      <c r="S643" s="156"/>
      <c r="T643" s="156"/>
    </row>
    <row r="644" ht="26.25" customHeight="1">
      <c r="A644" s="167"/>
      <c r="B644" s="174"/>
      <c r="C644" s="174"/>
      <c r="D644" s="175"/>
      <c r="E644" s="156"/>
      <c r="F644" s="156"/>
      <c r="G644" s="156"/>
      <c r="H644" s="174"/>
      <c r="I644" s="174"/>
      <c r="J644" s="174"/>
      <c r="K644" s="156"/>
      <c r="L644" s="156"/>
      <c r="M644" s="156"/>
      <c r="N644" s="156"/>
      <c r="O644" s="156"/>
      <c r="P644" s="156"/>
      <c r="Q644" s="156"/>
      <c r="R644" s="156"/>
      <c r="S644" s="156"/>
      <c r="T644" s="156"/>
    </row>
    <row r="645" ht="26.25" customHeight="1">
      <c r="A645" s="167"/>
      <c r="B645" s="174"/>
      <c r="C645" s="174"/>
      <c r="D645" s="175"/>
      <c r="E645" s="156"/>
      <c r="F645" s="156"/>
      <c r="G645" s="156"/>
      <c r="H645" s="174"/>
      <c r="I645" s="174"/>
      <c r="J645" s="174"/>
      <c r="K645" s="156"/>
      <c r="L645" s="156"/>
      <c r="M645" s="156"/>
      <c r="N645" s="156"/>
      <c r="O645" s="156"/>
      <c r="P645" s="156"/>
      <c r="Q645" s="156"/>
      <c r="R645" s="156"/>
      <c r="S645" s="156"/>
      <c r="T645" s="156"/>
    </row>
    <row r="646" ht="26.25" customHeight="1">
      <c r="A646" s="167"/>
      <c r="B646" s="174"/>
      <c r="C646" s="174"/>
      <c r="D646" s="175"/>
      <c r="E646" s="156"/>
      <c r="F646" s="156"/>
      <c r="G646" s="156"/>
      <c r="H646" s="174"/>
      <c r="I646" s="174"/>
      <c r="J646" s="174"/>
      <c r="K646" s="156"/>
      <c r="L646" s="156"/>
      <c r="M646" s="156"/>
      <c r="N646" s="156"/>
      <c r="O646" s="156"/>
      <c r="P646" s="156"/>
      <c r="Q646" s="156"/>
      <c r="R646" s="156"/>
      <c r="S646" s="156"/>
      <c r="T646" s="156"/>
    </row>
    <row r="647" ht="26.25" customHeight="1">
      <c r="A647" s="167"/>
      <c r="B647" s="174"/>
      <c r="C647" s="174"/>
      <c r="D647" s="175"/>
      <c r="E647" s="156"/>
      <c r="F647" s="156"/>
      <c r="G647" s="156"/>
      <c r="H647" s="174"/>
      <c r="I647" s="174"/>
      <c r="J647" s="174"/>
      <c r="K647" s="156"/>
      <c r="L647" s="156"/>
      <c r="M647" s="156"/>
      <c r="N647" s="156"/>
      <c r="O647" s="156"/>
      <c r="P647" s="156"/>
      <c r="Q647" s="156"/>
      <c r="R647" s="156"/>
      <c r="S647" s="156"/>
      <c r="T647" s="156"/>
    </row>
    <row r="648" ht="26.25" customHeight="1">
      <c r="A648" s="167"/>
      <c r="B648" s="174"/>
      <c r="C648" s="174"/>
      <c r="D648" s="175"/>
      <c r="E648" s="156"/>
      <c r="F648" s="156"/>
      <c r="G648" s="156"/>
      <c r="H648" s="174"/>
      <c r="I648" s="174"/>
      <c r="J648" s="174"/>
      <c r="K648" s="156"/>
      <c r="L648" s="156"/>
      <c r="M648" s="156"/>
      <c r="N648" s="156"/>
      <c r="O648" s="156"/>
      <c r="P648" s="156"/>
      <c r="Q648" s="156"/>
      <c r="R648" s="156"/>
      <c r="S648" s="156"/>
      <c r="T648" s="156"/>
    </row>
    <row r="649" ht="26.25" customHeight="1">
      <c r="A649" s="167"/>
      <c r="B649" s="174"/>
      <c r="C649" s="174"/>
      <c r="D649" s="175"/>
      <c r="E649" s="156"/>
      <c r="F649" s="156"/>
      <c r="G649" s="156"/>
      <c r="H649" s="174"/>
      <c r="I649" s="174"/>
      <c r="J649" s="174"/>
      <c r="K649" s="156"/>
      <c r="L649" s="156"/>
      <c r="M649" s="156"/>
      <c r="N649" s="156"/>
      <c r="O649" s="156"/>
      <c r="P649" s="156"/>
      <c r="Q649" s="156"/>
      <c r="R649" s="156"/>
      <c r="S649" s="156"/>
      <c r="T649" s="156"/>
    </row>
    <row r="650" ht="26.25" customHeight="1">
      <c r="A650" s="167"/>
      <c r="B650" s="174"/>
      <c r="C650" s="174"/>
      <c r="D650" s="175"/>
      <c r="E650" s="156"/>
      <c r="F650" s="156"/>
      <c r="G650" s="156"/>
      <c r="H650" s="174"/>
      <c r="I650" s="174"/>
      <c r="J650" s="174"/>
      <c r="K650" s="156"/>
      <c r="L650" s="156"/>
      <c r="M650" s="156"/>
      <c r="N650" s="156"/>
      <c r="O650" s="156"/>
      <c r="P650" s="156"/>
      <c r="Q650" s="156"/>
      <c r="R650" s="156"/>
      <c r="S650" s="156"/>
      <c r="T650" s="156"/>
    </row>
    <row r="651" ht="26.25" customHeight="1">
      <c r="A651" s="167"/>
      <c r="B651" s="174"/>
      <c r="C651" s="174"/>
      <c r="D651" s="175"/>
      <c r="E651" s="156"/>
      <c r="F651" s="156"/>
      <c r="G651" s="156"/>
      <c r="H651" s="174"/>
      <c r="I651" s="174"/>
      <c r="J651" s="174"/>
      <c r="K651" s="156"/>
      <c r="L651" s="156"/>
      <c r="M651" s="156"/>
      <c r="N651" s="156"/>
      <c r="O651" s="156"/>
      <c r="P651" s="156"/>
      <c r="Q651" s="156"/>
      <c r="R651" s="156"/>
      <c r="S651" s="156"/>
      <c r="T651" s="156"/>
    </row>
    <row r="652" ht="26.25" customHeight="1">
      <c r="A652" s="167"/>
      <c r="B652" s="174"/>
      <c r="C652" s="174"/>
      <c r="D652" s="175"/>
      <c r="E652" s="156"/>
      <c r="F652" s="156"/>
      <c r="G652" s="156"/>
      <c r="H652" s="174"/>
      <c r="I652" s="174"/>
      <c r="J652" s="174"/>
      <c r="K652" s="156"/>
      <c r="L652" s="156"/>
      <c r="M652" s="156"/>
      <c r="N652" s="156"/>
      <c r="O652" s="156"/>
      <c r="P652" s="156"/>
      <c r="Q652" s="156"/>
      <c r="R652" s="156"/>
      <c r="S652" s="156"/>
      <c r="T652" s="156"/>
    </row>
    <row r="653" ht="26.25" customHeight="1">
      <c r="A653" s="167"/>
      <c r="B653" s="174"/>
      <c r="C653" s="174"/>
      <c r="D653" s="175"/>
      <c r="E653" s="156"/>
      <c r="F653" s="156"/>
      <c r="G653" s="156"/>
      <c r="H653" s="174"/>
      <c r="I653" s="174"/>
      <c r="J653" s="174"/>
      <c r="K653" s="156"/>
      <c r="L653" s="156"/>
      <c r="M653" s="156"/>
      <c r="N653" s="156"/>
      <c r="O653" s="156"/>
      <c r="P653" s="156"/>
      <c r="Q653" s="156"/>
      <c r="R653" s="156"/>
      <c r="S653" s="156"/>
      <c r="T653" s="156"/>
    </row>
    <row r="654" ht="26.25" customHeight="1">
      <c r="A654" s="167"/>
      <c r="B654" s="174"/>
      <c r="C654" s="174"/>
      <c r="D654" s="175"/>
      <c r="E654" s="156"/>
      <c r="F654" s="156"/>
      <c r="G654" s="156"/>
      <c r="H654" s="174"/>
      <c r="I654" s="174"/>
      <c r="J654" s="174"/>
      <c r="K654" s="156"/>
      <c r="L654" s="156"/>
      <c r="M654" s="156"/>
      <c r="N654" s="156"/>
      <c r="O654" s="156"/>
      <c r="P654" s="156"/>
      <c r="Q654" s="156"/>
      <c r="R654" s="156"/>
      <c r="S654" s="156"/>
      <c r="T654" s="156"/>
    </row>
    <row r="655" ht="26.25" customHeight="1">
      <c r="A655" s="167"/>
      <c r="B655" s="174"/>
      <c r="C655" s="174"/>
      <c r="D655" s="175"/>
      <c r="E655" s="156"/>
      <c r="F655" s="156"/>
      <c r="G655" s="156"/>
      <c r="H655" s="174"/>
      <c r="I655" s="174"/>
      <c r="J655" s="174"/>
      <c r="K655" s="156"/>
      <c r="L655" s="156"/>
      <c r="M655" s="156"/>
      <c r="N655" s="156"/>
      <c r="O655" s="156"/>
      <c r="P655" s="156"/>
      <c r="Q655" s="156"/>
      <c r="R655" s="156"/>
      <c r="S655" s="156"/>
      <c r="T655" s="156"/>
    </row>
    <row r="656" ht="26.25" customHeight="1">
      <c r="A656" s="167"/>
      <c r="B656" s="174"/>
      <c r="C656" s="174"/>
      <c r="D656" s="175"/>
      <c r="E656" s="156"/>
      <c r="F656" s="156"/>
      <c r="G656" s="156"/>
      <c r="H656" s="174"/>
      <c r="I656" s="174"/>
      <c r="J656" s="174"/>
      <c r="K656" s="156"/>
      <c r="L656" s="156"/>
      <c r="M656" s="156"/>
      <c r="N656" s="156"/>
      <c r="O656" s="156"/>
      <c r="P656" s="156"/>
      <c r="Q656" s="156"/>
      <c r="R656" s="156"/>
      <c r="S656" s="156"/>
      <c r="T656" s="156"/>
    </row>
    <row r="657" ht="26.25" customHeight="1">
      <c r="A657" s="167"/>
      <c r="B657" s="174"/>
      <c r="C657" s="174"/>
      <c r="D657" s="175"/>
      <c r="E657" s="156"/>
      <c r="F657" s="156"/>
      <c r="G657" s="156"/>
      <c r="H657" s="174"/>
      <c r="I657" s="174"/>
      <c r="J657" s="174"/>
      <c r="K657" s="156"/>
      <c r="L657" s="156"/>
      <c r="M657" s="156"/>
      <c r="N657" s="156"/>
      <c r="O657" s="156"/>
      <c r="P657" s="156"/>
      <c r="Q657" s="156"/>
      <c r="R657" s="156"/>
      <c r="S657" s="156"/>
      <c r="T657" s="156"/>
    </row>
    <row r="658" ht="26.25" customHeight="1">
      <c r="A658" s="167"/>
      <c r="B658" s="174"/>
      <c r="C658" s="174"/>
      <c r="D658" s="175"/>
      <c r="E658" s="156"/>
      <c r="F658" s="156"/>
      <c r="G658" s="156"/>
      <c r="H658" s="174"/>
      <c r="I658" s="174"/>
      <c r="J658" s="174"/>
      <c r="K658" s="156"/>
      <c r="L658" s="156"/>
      <c r="M658" s="156"/>
      <c r="N658" s="156"/>
      <c r="O658" s="156"/>
      <c r="P658" s="156"/>
      <c r="Q658" s="156"/>
      <c r="R658" s="156"/>
      <c r="S658" s="156"/>
      <c r="T658" s="156"/>
    </row>
    <row r="659" ht="26.25" customHeight="1">
      <c r="A659" s="167"/>
      <c r="B659" s="174"/>
      <c r="C659" s="174"/>
      <c r="D659" s="175"/>
      <c r="E659" s="156"/>
      <c r="F659" s="156"/>
      <c r="G659" s="156"/>
      <c r="H659" s="174"/>
      <c r="I659" s="174"/>
      <c r="J659" s="174"/>
      <c r="K659" s="156"/>
      <c r="L659" s="156"/>
      <c r="M659" s="156"/>
      <c r="N659" s="156"/>
      <c r="O659" s="156"/>
      <c r="P659" s="156"/>
      <c r="Q659" s="156"/>
      <c r="R659" s="156"/>
      <c r="S659" s="156"/>
      <c r="T659" s="156"/>
    </row>
    <row r="660" ht="26.25" customHeight="1">
      <c r="A660" s="167"/>
      <c r="B660" s="174"/>
      <c r="C660" s="174"/>
      <c r="D660" s="175"/>
      <c r="E660" s="156"/>
      <c r="F660" s="156"/>
      <c r="G660" s="156"/>
      <c r="H660" s="174"/>
      <c r="I660" s="174"/>
      <c r="J660" s="174"/>
      <c r="K660" s="156"/>
      <c r="L660" s="156"/>
      <c r="M660" s="156"/>
      <c r="N660" s="156"/>
      <c r="O660" s="156"/>
      <c r="P660" s="156"/>
      <c r="Q660" s="156"/>
      <c r="R660" s="156"/>
      <c r="S660" s="156"/>
      <c r="T660" s="156"/>
    </row>
    <row r="661" ht="26.25" customHeight="1">
      <c r="A661" s="167"/>
      <c r="B661" s="174"/>
      <c r="C661" s="174"/>
      <c r="D661" s="175"/>
      <c r="E661" s="156"/>
      <c r="F661" s="156"/>
      <c r="G661" s="156"/>
      <c r="H661" s="174"/>
      <c r="I661" s="174"/>
      <c r="J661" s="174"/>
      <c r="K661" s="156"/>
      <c r="L661" s="156"/>
      <c r="M661" s="156"/>
      <c r="N661" s="156"/>
      <c r="O661" s="156"/>
      <c r="P661" s="156"/>
      <c r="Q661" s="156"/>
      <c r="R661" s="156"/>
      <c r="S661" s="156"/>
      <c r="T661" s="156"/>
    </row>
    <row r="662" ht="26.25" customHeight="1">
      <c r="A662" s="167"/>
      <c r="B662" s="174"/>
      <c r="C662" s="174"/>
      <c r="D662" s="175"/>
      <c r="E662" s="156"/>
      <c r="F662" s="156"/>
      <c r="G662" s="156"/>
      <c r="H662" s="174"/>
      <c r="I662" s="174"/>
      <c r="J662" s="174"/>
      <c r="K662" s="156"/>
      <c r="L662" s="156"/>
      <c r="M662" s="156"/>
      <c r="N662" s="156"/>
      <c r="O662" s="156"/>
      <c r="P662" s="156"/>
      <c r="Q662" s="156"/>
      <c r="R662" s="156"/>
      <c r="S662" s="156"/>
      <c r="T662" s="156"/>
    </row>
    <row r="663" ht="26.25" customHeight="1">
      <c r="A663" s="167"/>
      <c r="B663" s="174"/>
      <c r="C663" s="174"/>
      <c r="D663" s="175"/>
      <c r="E663" s="156"/>
      <c r="F663" s="156"/>
      <c r="G663" s="156"/>
      <c r="H663" s="174"/>
      <c r="I663" s="174"/>
      <c r="J663" s="174"/>
      <c r="K663" s="156"/>
      <c r="L663" s="156"/>
      <c r="M663" s="156"/>
      <c r="N663" s="156"/>
      <c r="O663" s="156"/>
      <c r="P663" s="156"/>
      <c r="Q663" s="156"/>
      <c r="R663" s="156"/>
      <c r="S663" s="156"/>
      <c r="T663" s="156"/>
    </row>
    <row r="664" ht="26.25" customHeight="1">
      <c r="A664" s="167"/>
      <c r="B664" s="174"/>
      <c r="C664" s="174"/>
      <c r="D664" s="175"/>
      <c r="E664" s="156"/>
      <c r="F664" s="156"/>
      <c r="G664" s="156"/>
      <c r="H664" s="174"/>
      <c r="I664" s="174"/>
      <c r="J664" s="174"/>
      <c r="K664" s="156"/>
      <c r="L664" s="156"/>
      <c r="M664" s="156"/>
      <c r="N664" s="156"/>
      <c r="O664" s="156"/>
      <c r="P664" s="156"/>
      <c r="Q664" s="156"/>
      <c r="R664" s="156"/>
      <c r="S664" s="156"/>
      <c r="T664" s="156"/>
    </row>
    <row r="665" ht="26.25" customHeight="1">
      <c r="A665" s="167"/>
      <c r="B665" s="174"/>
      <c r="C665" s="174"/>
      <c r="D665" s="175"/>
      <c r="E665" s="156"/>
      <c r="F665" s="156"/>
      <c r="G665" s="156"/>
      <c r="H665" s="174"/>
      <c r="I665" s="174"/>
      <c r="J665" s="174"/>
      <c r="K665" s="156"/>
      <c r="L665" s="156"/>
      <c r="M665" s="156"/>
      <c r="N665" s="156"/>
      <c r="O665" s="156"/>
      <c r="P665" s="156"/>
      <c r="Q665" s="156"/>
      <c r="R665" s="156"/>
      <c r="S665" s="156"/>
      <c r="T665" s="156"/>
    </row>
    <row r="666" ht="26.25" customHeight="1">
      <c r="A666" s="167"/>
      <c r="B666" s="174"/>
      <c r="C666" s="174"/>
      <c r="D666" s="175"/>
      <c r="E666" s="156"/>
      <c r="F666" s="156"/>
      <c r="G666" s="156"/>
      <c r="H666" s="174"/>
      <c r="I666" s="174"/>
      <c r="J666" s="174"/>
      <c r="K666" s="156"/>
      <c r="L666" s="156"/>
      <c r="M666" s="156"/>
      <c r="N666" s="156"/>
      <c r="O666" s="156"/>
      <c r="P666" s="156"/>
      <c r="Q666" s="156"/>
      <c r="R666" s="156"/>
      <c r="S666" s="156"/>
      <c r="T666" s="156"/>
    </row>
    <row r="667" ht="26.25" customHeight="1">
      <c r="A667" s="167"/>
      <c r="B667" s="174"/>
      <c r="C667" s="174"/>
      <c r="D667" s="175"/>
      <c r="E667" s="156"/>
      <c r="F667" s="156"/>
      <c r="G667" s="156"/>
      <c r="H667" s="174"/>
      <c r="I667" s="174"/>
      <c r="J667" s="174"/>
      <c r="K667" s="156"/>
      <c r="L667" s="156"/>
      <c r="M667" s="156"/>
      <c r="N667" s="156"/>
      <c r="O667" s="156"/>
      <c r="P667" s="156"/>
      <c r="Q667" s="156"/>
      <c r="R667" s="156"/>
      <c r="S667" s="156"/>
      <c r="T667" s="156"/>
    </row>
    <row r="668" ht="26.25" customHeight="1">
      <c r="A668" s="167"/>
      <c r="B668" s="174"/>
      <c r="C668" s="174"/>
      <c r="D668" s="175"/>
      <c r="E668" s="156"/>
      <c r="F668" s="156"/>
      <c r="G668" s="156"/>
      <c r="H668" s="174"/>
      <c r="I668" s="174"/>
      <c r="J668" s="174"/>
      <c r="K668" s="156"/>
      <c r="L668" s="156"/>
      <c r="M668" s="156"/>
      <c r="N668" s="156"/>
      <c r="O668" s="156"/>
      <c r="P668" s="156"/>
      <c r="Q668" s="156"/>
      <c r="R668" s="156"/>
      <c r="S668" s="156"/>
      <c r="T668" s="156"/>
    </row>
    <row r="669" ht="26.25" customHeight="1">
      <c r="A669" s="167"/>
      <c r="B669" s="174"/>
      <c r="C669" s="174"/>
      <c r="D669" s="175"/>
      <c r="E669" s="156"/>
      <c r="F669" s="156"/>
      <c r="G669" s="156"/>
      <c r="H669" s="174"/>
      <c r="I669" s="174"/>
      <c r="J669" s="174"/>
      <c r="K669" s="156"/>
      <c r="L669" s="156"/>
      <c r="M669" s="156"/>
      <c r="N669" s="156"/>
      <c r="O669" s="156"/>
      <c r="P669" s="156"/>
      <c r="Q669" s="156"/>
      <c r="R669" s="156"/>
      <c r="S669" s="156"/>
      <c r="T669" s="156"/>
    </row>
    <row r="670" ht="26.25" customHeight="1">
      <c r="A670" s="167"/>
      <c r="B670" s="174"/>
      <c r="C670" s="174"/>
      <c r="D670" s="175"/>
      <c r="E670" s="156"/>
      <c r="F670" s="156"/>
      <c r="G670" s="156"/>
      <c r="H670" s="174"/>
      <c r="I670" s="174"/>
      <c r="J670" s="174"/>
      <c r="K670" s="156"/>
      <c r="L670" s="156"/>
      <c r="M670" s="156"/>
      <c r="N670" s="156"/>
      <c r="O670" s="156"/>
      <c r="P670" s="156"/>
      <c r="Q670" s="156"/>
      <c r="R670" s="156"/>
      <c r="S670" s="156"/>
      <c r="T670" s="156"/>
    </row>
    <row r="671" ht="26.25" customHeight="1">
      <c r="A671" s="167"/>
      <c r="B671" s="174"/>
      <c r="C671" s="174"/>
      <c r="D671" s="175"/>
      <c r="E671" s="156"/>
      <c r="F671" s="156"/>
      <c r="G671" s="156"/>
      <c r="H671" s="174"/>
      <c r="I671" s="174"/>
      <c r="J671" s="174"/>
      <c r="K671" s="156"/>
      <c r="L671" s="156"/>
      <c r="M671" s="156"/>
      <c r="N671" s="156"/>
      <c r="O671" s="156"/>
      <c r="P671" s="156"/>
      <c r="Q671" s="156"/>
      <c r="R671" s="156"/>
      <c r="S671" s="156"/>
      <c r="T671" s="156"/>
    </row>
    <row r="672" ht="26.25" customHeight="1">
      <c r="A672" s="167"/>
      <c r="B672" s="174"/>
      <c r="C672" s="174"/>
      <c r="D672" s="175"/>
      <c r="E672" s="156"/>
      <c r="F672" s="156"/>
      <c r="G672" s="156"/>
      <c r="H672" s="174"/>
      <c r="I672" s="174"/>
      <c r="J672" s="174"/>
      <c r="K672" s="156"/>
      <c r="L672" s="156"/>
      <c r="M672" s="156"/>
      <c r="N672" s="156"/>
      <c r="O672" s="156"/>
      <c r="P672" s="156"/>
      <c r="Q672" s="156"/>
      <c r="R672" s="156"/>
      <c r="S672" s="156"/>
      <c r="T672" s="156"/>
    </row>
    <row r="673" ht="26.25" customHeight="1">
      <c r="A673" s="167"/>
      <c r="B673" s="174"/>
      <c r="C673" s="174"/>
      <c r="D673" s="175"/>
      <c r="E673" s="156"/>
      <c r="F673" s="156"/>
      <c r="G673" s="156"/>
      <c r="H673" s="174"/>
      <c r="I673" s="174"/>
      <c r="J673" s="174"/>
      <c r="K673" s="156"/>
      <c r="L673" s="156"/>
      <c r="M673" s="156"/>
      <c r="N673" s="156"/>
      <c r="O673" s="156"/>
      <c r="P673" s="156"/>
      <c r="Q673" s="156"/>
      <c r="R673" s="156"/>
      <c r="S673" s="156"/>
      <c r="T673" s="156"/>
    </row>
    <row r="674" ht="26.25" customHeight="1">
      <c r="A674" s="167"/>
      <c r="B674" s="174"/>
      <c r="C674" s="174"/>
      <c r="D674" s="175"/>
      <c r="E674" s="156"/>
      <c r="F674" s="156"/>
      <c r="G674" s="156"/>
      <c r="H674" s="174"/>
      <c r="I674" s="174"/>
      <c r="J674" s="174"/>
      <c r="K674" s="156"/>
      <c r="L674" s="156"/>
      <c r="M674" s="156"/>
      <c r="N674" s="156"/>
      <c r="O674" s="156"/>
      <c r="P674" s="156"/>
      <c r="Q674" s="156"/>
      <c r="R674" s="156"/>
      <c r="S674" s="156"/>
      <c r="T674" s="156"/>
    </row>
    <row r="675" ht="26.25" customHeight="1">
      <c r="A675" s="167"/>
      <c r="B675" s="174"/>
      <c r="C675" s="174"/>
      <c r="D675" s="175"/>
      <c r="E675" s="156"/>
      <c r="F675" s="156"/>
      <c r="G675" s="156"/>
      <c r="H675" s="174"/>
      <c r="I675" s="174"/>
      <c r="J675" s="174"/>
      <c r="K675" s="156"/>
      <c r="L675" s="156"/>
      <c r="M675" s="156"/>
      <c r="N675" s="156"/>
      <c r="O675" s="156"/>
      <c r="P675" s="156"/>
      <c r="Q675" s="156"/>
      <c r="R675" s="156"/>
      <c r="S675" s="156"/>
      <c r="T675" s="156"/>
    </row>
    <row r="676" ht="26.25" customHeight="1">
      <c r="A676" s="167"/>
      <c r="B676" s="174"/>
      <c r="C676" s="174"/>
      <c r="D676" s="175"/>
      <c r="E676" s="156"/>
      <c r="F676" s="156"/>
      <c r="G676" s="156"/>
      <c r="H676" s="174"/>
      <c r="I676" s="174"/>
      <c r="J676" s="174"/>
      <c r="K676" s="156"/>
      <c r="L676" s="156"/>
      <c r="M676" s="156"/>
      <c r="N676" s="156"/>
      <c r="O676" s="156"/>
      <c r="P676" s="156"/>
      <c r="Q676" s="156"/>
      <c r="R676" s="156"/>
      <c r="S676" s="156"/>
      <c r="T676" s="156"/>
    </row>
    <row r="677" ht="26.25" customHeight="1">
      <c r="A677" s="167"/>
      <c r="B677" s="174"/>
      <c r="C677" s="174"/>
      <c r="D677" s="175"/>
      <c r="E677" s="156"/>
      <c r="F677" s="156"/>
      <c r="G677" s="156"/>
      <c r="H677" s="174"/>
      <c r="I677" s="174"/>
      <c r="J677" s="174"/>
      <c r="K677" s="156"/>
      <c r="L677" s="156"/>
      <c r="M677" s="156"/>
      <c r="N677" s="156"/>
      <c r="O677" s="156"/>
      <c r="P677" s="156"/>
      <c r="Q677" s="156"/>
      <c r="R677" s="156"/>
      <c r="S677" s="156"/>
      <c r="T677" s="156"/>
    </row>
    <row r="678" ht="26.25" customHeight="1">
      <c r="A678" s="167"/>
      <c r="B678" s="174"/>
      <c r="C678" s="174"/>
      <c r="D678" s="175"/>
      <c r="E678" s="156"/>
      <c r="F678" s="156"/>
      <c r="G678" s="156"/>
      <c r="H678" s="174"/>
      <c r="I678" s="174"/>
      <c r="J678" s="174"/>
      <c r="K678" s="156"/>
      <c r="L678" s="156"/>
      <c r="M678" s="156"/>
      <c r="N678" s="156"/>
      <c r="O678" s="156"/>
      <c r="P678" s="156"/>
      <c r="Q678" s="156"/>
      <c r="R678" s="156"/>
      <c r="S678" s="156"/>
      <c r="T678" s="156"/>
    </row>
    <row r="679" ht="26.25" customHeight="1">
      <c r="A679" s="167"/>
      <c r="B679" s="174"/>
      <c r="C679" s="174"/>
      <c r="D679" s="175"/>
      <c r="E679" s="156"/>
      <c r="F679" s="156"/>
      <c r="G679" s="156"/>
      <c r="H679" s="174"/>
      <c r="I679" s="174"/>
      <c r="J679" s="174"/>
      <c r="K679" s="156"/>
      <c r="L679" s="156"/>
      <c r="M679" s="156"/>
      <c r="N679" s="156"/>
      <c r="O679" s="156"/>
      <c r="P679" s="156"/>
      <c r="Q679" s="156"/>
      <c r="R679" s="156"/>
      <c r="S679" s="156"/>
      <c r="T679" s="156"/>
    </row>
    <row r="680" ht="26.25" customHeight="1">
      <c r="A680" s="167"/>
      <c r="B680" s="174"/>
      <c r="C680" s="174"/>
      <c r="D680" s="175"/>
      <c r="E680" s="156"/>
      <c r="F680" s="156"/>
      <c r="G680" s="156"/>
      <c r="H680" s="174"/>
      <c r="I680" s="174"/>
      <c r="J680" s="174"/>
      <c r="K680" s="156"/>
      <c r="L680" s="156"/>
      <c r="M680" s="156"/>
      <c r="N680" s="156"/>
      <c r="O680" s="156"/>
      <c r="P680" s="156"/>
      <c r="Q680" s="156"/>
      <c r="R680" s="156"/>
      <c r="S680" s="156"/>
      <c r="T680" s="156"/>
    </row>
    <row r="681" ht="26.25" customHeight="1">
      <c r="A681" s="167"/>
      <c r="B681" s="174"/>
      <c r="C681" s="174"/>
      <c r="D681" s="175"/>
      <c r="E681" s="156"/>
      <c r="F681" s="156"/>
      <c r="G681" s="156"/>
      <c r="H681" s="174"/>
      <c r="I681" s="174"/>
      <c r="J681" s="174"/>
      <c r="K681" s="156"/>
      <c r="L681" s="156"/>
      <c r="M681" s="156"/>
      <c r="N681" s="156"/>
      <c r="O681" s="156"/>
      <c r="P681" s="156"/>
      <c r="Q681" s="156"/>
      <c r="R681" s="156"/>
      <c r="S681" s="156"/>
      <c r="T681" s="156"/>
    </row>
    <row r="682" ht="26.25" customHeight="1">
      <c r="A682" s="167"/>
      <c r="B682" s="174"/>
      <c r="C682" s="174"/>
      <c r="D682" s="175"/>
      <c r="E682" s="156"/>
      <c r="F682" s="156"/>
      <c r="G682" s="156"/>
      <c r="H682" s="174"/>
      <c r="I682" s="174"/>
      <c r="J682" s="174"/>
      <c r="K682" s="156"/>
      <c r="L682" s="156"/>
      <c r="M682" s="156"/>
      <c r="N682" s="156"/>
      <c r="O682" s="156"/>
      <c r="P682" s="156"/>
      <c r="Q682" s="156"/>
      <c r="R682" s="156"/>
      <c r="S682" s="156"/>
      <c r="T682" s="156"/>
    </row>
    <row r="683" ht="26.25" customHeight="1">
      <c r="A683" s="167"/>
      <c r="B683" s="174"/>
      <c r="C683" s="174"/>
      <c r="D683" s="175"/>
      <c r="E683" s="156"/>
      <c r="F683" s="156"/>
      <c r="G683" s="156"/>
      <c r="H683" s="174"/>
      <c r="I683" s="174"/>
      <c r="J683" s="174"/>
      <c r="K683" s="156"/>
      <c r="L683" s="156"/>
      <c r="M683" s="156"/>
      <c r="N683" s="156"/>
      <c r="O683" s="156"/>
      <c r="P683" s="156"/>
      <c r="Q683" s="156"/>
      <c r="R683" s="156"/>
      <c r="S683" s="156"/>
      <c r="T683" s="156"/>
    </row>
    <row r="684" ht="26.25" customHeight="1">
      <c r="A684" s="167"/>
      <c r="B684" s="174"/>
      <c r="C684" s="174"/>
      <c r="D684" s="175"/>
      <c r="E684" s="156"/>
      <c r="F684" s="156"/>
      <c r="G684" s="156"/>
      <c r="H684" s="174"/>
      <c r="I684" s="174"/>
      <c r="J684" s="174"/>
      <c r="K684" s="156"/>
      <c r="L684" s="156"/>
      <c r="M684" s="156"/>
      <c r="N684" s="156"/>
      <c r="O684" s="156"/>
      <c r="P684" s="156"/>
      <c r="Q684" s="156"/>
      <c r="R684" s="156"/>
      <c r="S684" s="156"/>
      <c r="T684" s="156"/>
    </row>
    <row r="685" ht="26.25" customHeight="1">
      <c r="A685" s="167"/>
      <c r="B685" s="174"/>
      <c r="C685" s="174"/>
      <c r="D685" s="175"/>
      <c r="E685" s="156"/>
      <c r="F685" s="156"/>
      <c r="G685" s="156"/>
      <c r="H685" s="174"/>
      <c r="I685" s="174"/>
      <c r="J685" s="174"/>
      <c r="K685" s="156"/>
      <c r="L685" s="156"/>
      <c r="M685" s="156"/>
      <c r="N685" s="156"/>
      <c r="O685" s="156"/>
      <c r="P685" s="156"/>
      <c r="Q685" s="156"/>
      <c r="R685" s="156"/>
      <c r="S685" s="156"/>
      <c r="T685" s="156"/>
    </row>
    <row r="686" ht="26.25" customHeight="1">
      <c r="A686" s="167"/>
      <c r="B686" s="174"/>
      <c r="C686" s="174"/>
      <c r="D686" s="175"/>
      <c r="E686" s="156"/>
      <c r="F686" s="156"/>
      <c r="G686" s="156"/>
      <c r="H686" s="174"/>
      <c r="I686" s="174"/>
      <c r="J686" s="174"/>
      <c r="K686" s="156"/>
      <c r="L686" s="156"/>
      <c r="M686" s="156"/>
      <c r="N686" s="156"/>
      <c r="O686" s="156"/>
      <c r="P686" s="156"/>
      <c r="Q686" s="156"/>
      <c r="R686" s="156"/>
      <c r="S686" s="156"/>
      <c r="T686" s="156"/>
    </row>
    <row r="687" ht="26.25" customHeight="1">
      <c r="A687" s="167"/>
      <c r="B687" s="174"/>
      <c r="C687" s="174"/>
      <c r="D687" s="175"/>
      <c r="E687" s="156"/>
      <c r="F687" s="156"/>
      <c r="G687" s="156"/>
      <c r="H687" s="174"/>
      <c r="I687" s="174"/>
      <c r="J687" s="174"/>
      <c r="K687" s="156"/>
      <c r="L687" s="156"/>
      <c r="M687" s="156"/>
      <c r="N687" s="156"/>
      <c r="O687" s="156"/>
      <c r="P687" s="156"/>
      <c r="Q687" s="156"/>
      <c r="R687" s="156"/>
      <c r="S687" s="156"/>
      <c r="T687" s="156"/>
    </row>
    <row r="688" ht="26.25" customHeight="1">
      <c r="A688" s="167"/>
      <c r="B688" s="174"/>
      <c r="C688" s="174"/>
      <c r="D688" s="175"/>
      <c r="E688" s="156"/>
      <c r="F688" s="156"/>
      <c r="G688" s="156"/>
      <c r="H688" s="174"/>
      <c r="I688" s="174"/>
      <c r="J688" s="174"/>
      <c r="K688" s="156"/>
      <c r="L688" s="156"/>
      <c r="M688" s="156"/>
      <c r="N688" s="156"/>
      <c r="O688" s="156"/>
      <c r="P688" s="156"/>
      <c r="Q688" s="156"/>
      <c r="R688" s="156"/>
      <c r="S688" s="156"/>
      <c r="T688" s="156"/>
    </row>
    <row r="689" ht="26.25" customHeight="1">
      <c r="A689" s="167"/>
      <c r="B689" s="174"/>
      <c r="C689" s="174"/>
      <c r="D689" s="175"/>
      <c r="E689" s="156"/>
      <c r="F689" s="156"/>
      <c r="G689" s="156"/>
      <c r="H689" s="174"/>
      <c r="I689" s="174"/>
      <c r="J689" s="174"/>
      <c r="K689" s="156"/>
      <c r="L689" s="156"/>
      <c r="M689" s="156"/>
      <c r="N689" s="156"/>
      <c r="O689" s="156"/>
      <c r="P689" s="156"/>
      <c r="Q689" s="156"/>
      <c r="R689" s="156"/>
      <c r="S689" s="156"/>
      <c r="T689" s="156"/>
    </row>
    <row r="690" ht="26.25" customHeight="1">
      <c r="A690" s="167"/>
      <c r="B690" s="174"/>
      <c r="C690" s="174"/>
      <c r="D690" s="175"/>
      <c r="E690" s="156"/>
      <c r="F690" s="156"/>
      <c r="G690" s="156"/>
      <c r="H690" s="174"/>
      <c r="I690" s="174"/>
      <c r="J690" s="174"/>
      <c r="K690" s="156"/>
      <c r="L690" s="156"/>
      <c r="M690" s="156"/>
      <c r="N690" s="156"/>
      <c r="O690" s="156"/>
      <c r="P690" s="156"/>
      <c r="Q690" s="156"/>
      <c r="R690" s="156"/>
      <c r="S690" s="156"/>
      <c r="T690" s="156"/>
    </row>
    <row r="691" ht="26.25" customHeight="1">
      <c r="A691" s="167"/>
      <c r="B691" s="174"/>
      <c r="C691" s="174"/>
      <c r="D691" s="175"/>
      <c r="E691" s="156"/>
      <c r="F691" s="156"/>
      <c r="G691" s="156"/>
      <c r="H691" s="174"/>
      <c r="I691" s="174"/>
      <c r="J691" s="174"/>
      <c r="K691" s="156"/>
      <c r="L691" s="156"/>
      <c r="M691" s="156"/>
      <c r="N691" s="156"/>
      <c r="O691" s="156"/>
      <c r="P691" s="156"/>
      <c r="Q691" s="156"/>
      <c r="R691" s="156"/>
      <c r="S691" s="156"/>
      <c r="T691" s="156"/>
    </row>
    <row r="692" ht="26.25" customHeight="1">
      <c r="A692" s="167"/>
      <c r="B692" s="174"/>
      <c r="C692" s="174"/>
      <c r="D692" s="175"/>
      <c r="E692" s="156"/>
      <c r="F692" s="156"/>
      <c r="G692" s="156"/>
      <c r="H692" s="174"/>
      <c r="I692" s="174"/>
      <c r="J692" s="174"/>
      <c r="K692" s="156"/>
      <c r="L692" s="156"/>
      <c r="M692" s="156"/>
      <c r="N692" s="156"/>
      <c r="O692" s="156"/>
      <c r="P692" s="156"/>
      <c r="Q692" s="156"/>
      <c r="R692" s="156"/>
      <c r="S692" s="156"/>
      <c r="T692" s="156"/>
    </row>
    <row r="693" ht="26.25" customHeight="1">
      <c r="A693" s="167"/>
      <c r="B693" s="174"/>
      <c r="C693" s="174"/>
      <c r="D693" s="175"/>
      <c r="E693" s="156"/>
      <c r="F693" s="156"/>
      <c r="G693" s="156"/>
      <c r="H693" s="174"/>
      <c r="I693" s="174"/>
      <c r="J693" s="174"/>
      <c r="K693" s="156"/>
      <c r="L693" s="156"/>
      <c r="M693" s="156"/>
      <c r="N693" s="156"/>
      <c r="O693" s="156"/>
      <c r="P693" s="156"/>
      <c r="Q693" s="156"/>
      <c r="R693" s="156"/>
      <c r="S693" s="156"/>
      <c r="T693" s="156"/>
    </row>
    <row r="694" ht="26.25" customHeight="1">
      <c r="A694" s="167"/>
      <c r="B694" s="174"/>
      <c r="C694" s="174"/>
      <c r="D694" s="175"/>
      <c r="E694" s="156"/>
      <c r="F694" s="156"/>
      <c r="G694" s="156"/>
      <c r="H694" s="174"/>
      <c r="I694" s="174"/>
      <c r="J694" s="174"/>
      <c r="K694" s="156"/>
      <c r="L694" s="156"/>
      <c r="M694" s="156"/>
      <c r="N694" s="156"/>
      <c r="O694" s="156"/>
      <c r="P694" s="156"/>
      <c r="Q694" s="156"/>
      <c r="R694" s="156"/>
      <c r="S694" s="156"/>
      <c r="T694" s="156"/>
    </row>
    <row r="695" ht="26.25" customHeight="1">
      <c r="A695" s="167"/>
      <c r="B695" s="174"/>
      <c r="C695" s="174"/>
      <c r="D695" s="175"/>
      <c r="E695" s="156"/>
      <c r="F695" s="156"/>
      <c r="G695" s="156"/>
      <c r="H695" s="174"/>
      <c r="I695" s="174"/>
      <c r="J695" s="174"/>
      <c r="K695" s="156"/>
      <c r="L695" s="156"/>
      <c r="M695" s="156"/>
      <c r="N695" s="156"/>
      <c r="O695" s="156"/>
      <c r="P695" s="156"/>
      <c r="Q695" s="156"/>
      <c r="R695" s="156"/>
      <c r="S695" s="156"/>
      <c r="T695" s="156"/>
    </row>
    <row r="696" ht="26.25" customHeight="1">
      <c r="A696" s="167"/>
      <c r="B696" s="174"/>
      <c r="C696" s="174"/>
      <c r="D696" s="175"/>
      <c r="E696" s="156"/>
      <c r="F696" s="156"/>
      <c r="G696" s="156"/>
      <c r="H696" s="174"/>
      <c r="I696" s="174"/>
      <c r="J696" s="174"/>
      <c r="K696" s="156"/>
      <c r="L696" s="156"/>
      <c r="M696" s="156"/>
      <c r="N696" s="156"/>
      <c r="O696" s="156"/>
      <c r="P696" s="156"/>
      <c r="Q696" s="156"/>
      <c r="R696" s="156"/>
      <c r="S696" s="156"/>
      <c r="T696" s="156"/>
    </row>
    <row r="697" ht="26.25" customHeight="1">
      <c r="A697" s="167"/>
      <c r="B697" s="174"/>
      <c r="C697" s="174"/>
      <c r="D697" s="175"/>
      <c r="E697" s="156"/>
      <c r="F697" s="156"/>
      <c r="G697" s="156"/>
      <c r="H697" s="174"/>
      <c r="I697" s="174"/>
      <c r="J697" s="174"/>
      <c r="K697" s="156"/>
      <c r="L697" s="156"/>
      <c r="M697" s="156"/>
      <c r="N697" s="156"/>
      <c r="O697" s="156"/>
      <c r="P697" s="156"/>
      <c r="Q697" s="156"/>
      <c r="R697" s="156"/>
      <c r="S697" s="156"/>
      <c r="T697" s="156"/>
    </row>
    <row r="698" ht="26.25" customHeight="1">
      <c r="A698" s="167"/>
      <c r="B698" s="174"/>
      <c r="C698" s="174"/>
      <c r="D698" s="175"/>
      <c r="E698" s="156"/>
      <c r="F698" s="156"/>
      <c r="G698" s="156"/>
      <c r="H698" s="174"/>
      <c r="I698" s="174"/>
      <c r="J698" s="174"/>
      <c r="K698" s="156"/>
      <c r="L698" s="156"/>
      <c r="M698" s="156"/>
      <c r="N698" s="156"/>
      <c r="O698" s="156"/>
      <c r="P698" s="156"/>
      <c r="Q698" s="156"/>
      <c r="R698" s="156"/>
      <c r="S698" s="156"/>
      <c r="T698" s="156"/>
    </row>
    <row r="699" ht="26.25" customHeight="1">
      <c r="A699" s="167"/>
      <c r="B699" s="174"/>
      <c r="C699" s="174"/>
      <c r="D699" s="175"/>
      <c r="E699" s="156"/>
      <c r="F699" s="156"/>
      <c r="G699" s="156"/>
      <c r="H699" s="174"/>
      <c r="I699" s="174"/>
      <c r="J699" s="174"/>
      <c r="K699" s="156"/>
      <c r="L699" s="156"/>
      <c r="M699" s="156"/>
      <c r="N699" s="156"/>
      <c r="O699" s="156"/>
      <c r="P699" s="156"/>
      <c r="Q699" s="156"/>
      <c r="R699" s="156"/>
      <c r="S699" s="156"/>
      <c r="T699" s="156"/>
    </row>
    <row r="700" ht="26.25" customHeight="1">
      <c r="A700" s="167"/>
      <c r="B700" s="174"/>
      <c r="C700" s="174"/>
      <c r="D700" s="175"/>
      <c r="E700" s="156"/>
      <c r="F700" s="156"/>
      <c r="G700" s="156"/>
      <c r="H700" s="174"/>
      <c r="I700" s="174"/>
      <c r="J700" s="174"/>
      <c r="K700" s="156"/>
      <c r="L700" s="156"/>
      <c r="M700" s="156"/>
      <c r="N700" s="156"/>
      <c r="O700" s="156"/>
      <c r="P700" s="156"/>
      <c r="Q700" s="156"/>
      <c r="R700" s="156"/>
      <c r="S700" s="156"/>
      <c r="T700" s="156"/>
    </row>
    <row r="701" ht="26.25" customHeight="1">
      <c r="A701" s="167"/>
      <c r="B701" s="174"/>
      <c r="C701" s="174"/>
      <c r="D701" s="175"/>
      <c r="E701" s="156"/>
      <c r="F701" s="156"/>
      <c r="G701" s="156"/>
      <c r="H701" s="174"/>
      <c r="I701" s="174"/>
      <c r="J701" s="174"/>
      <c r="K701" s="156"/>
      <c r="L701" s="156"/>
      <c r="M701" s="156"/>
      <c r="N701" s="156"/>
      <c r="O701" s="156"/>
      <c r="P701" s="156"/>
      <c r="Q701" s="156"/>
      <c r="R701" s="156"/>
      <c r="S701" s="156"/>
      <c r="T701" s="156"/>
    </row>
    <row r="702" ht="26.25" customHeight="1">
      <c r="A702" s="167"/>
      <c r="B702" s="174"/>
      <c r="C702" s="174"/>
      <c r="D702" s="175"/>
      <c r="E702" s="156"/>
      <c r="F702" s="156"/>
      <c r="G702" s="156"/>
      <c r="H702" s="174"/>
      <c r="I702" s="174"/>
      <c r="J702" s="174"/>
      <c r="K702" s="156"/>
      <c r="L702" s="156"/>
      <c r="M702" s="156"/>
      <c r="N702" s="156"/>
      <c r="O702" s="156"/>
      <c r="P702" s="156"/>
      <c r="Q702" s="156"/>
      <c r="R702" s="156"/>
      <c r="S702" s="156"/>
      <c r="T702" s="156"/>
    </row>
    <row r="703" ht="26.25" customHeight="1">
      <c r="A703" s="167"/>
      <c r="B703" s="174"/>
      <c r="C703" s="174"/>
      <c r="D703" s="175"/>
      <c r="E703" s="156"/>
      <c r="F703" s="156"/>
      <c r="G703" s="156"/>
      <c r="H703" s="174"/>
      <c r="I703" s="174"/>
      <c r="J703" s="174"/>
      <c r="K703" s="156"/>
      <c r="L703" s="156"/>
      <c r="M703" s="156"/>
      <c r="N703" s="156"/>
      <c r="O703" s="156"/>
      <c r="P703" s="156"/>
      <c r="Q703" s="156"/>
      <c r="R703" s="156"/>
      <c r="S703" s="156"/>
      <c r="T703" s="156"/>
    </row>
    <row r="704" ht="26.25" customHeight="1">
      <c r="A704" s="167"/>
      <c r="B704" s="174"/>
      <c r="C704" s="174"/>
      <c r="D704" s="175"/>
      <c r="E704" s="156"/>
      <c r="F704" s="156"/>
      <c r="G704" s="156"/>
      <c r="H704" s="174"/>
      <c r="I704" s="174"/>
      <c r="J704" s="174"/>
      <c r="K704" s="156"/>
      <c r="L704" s="156"/>
      <c r="M704" s="156"/>
      <c r="N704" s="156"/>
      <c r="O704" s="156"/>
      <c r="P704" s="156"/>
      <c r="Q704" s="156"/>
      <c r="R704" s="156"/>
      <c r="S704" s="156"/>
      <c r="T704" s="156"/>
    </row>
    <row r="705" ht="26.25" customHeight="1">
      <c r="A705" s="167"/>
      <c r="B705" s="174"/>
      <c r="C705" s="174"/>
      <c r="D705" s="175"/>
      <c r="E705" s="156"/>
      <c r="F705" s="156"/>
      <c r="G705" s="156"/>
      <c r="H705" s="174"/>
      <c r="I705" s="174"/>
      <c r="J705" s="174"/>
      <c r="K705" s="156"/>
      <c r="L705" s="156"/>
      <c r="M705" s="156"/>
      <c r="N705" s="156"/>
      <c r="O705" s="156"/>
      <c r="P705" s="156"/>
      <c r="Q705" s="156"/>
      <c r="R705" s="156"/>
      <c r="S705" s="156"/>
      <c r="T705" s="156"/>
    </row>
    <row r="706" ht="26.25" customHeight="1">
      <c r="A706" s="167"/>
      <c r="B706" s="174"/>
      <c r="C706" s="174"/>
      <c r="D706" s="175"/>
      <c r="E706" s="156"/>
      <c r="F706" s="156"/>
      <c r="G706" s="156"/>
      <c r="H706" s="174"/>
      <c r="I706" s="174"/>
      <c r="J706" s="174"/>
      <c r="K706" s="156"/>
      <c r="L706" s="156"/>
      <c r="M706" s="156"/>
      <c r="N706" s="156"/>
      <c r="O706" s="156"/>
      <c r="P706" s="156"/>
      <c r="Q706" s="156"/>
      <c r="R706" s="156"/>
      <c r="S706" s="156"/>
      <c r="T706" s="156"/>
    </row>
    <row r="707" ht="26.25" customHeight="1">
      <c r="A707" s="167"/>
      <c r="B707" s="174"/>
      <c r="C707" s="174"/>
      <c r="D707" s="175"/>
      <c r="E707" s="156"/>
      <c r="F707" s="156"/>
      <c r="G707" s="156"/>
      <c r="H707" s="174"/>
      <c r="I707" s="174"/>
      <c r="J707" s="174"/>
      <c r="K707" s="156"/>
      <c r="L707" s="156"/>
      <c r="M707" s="156"/>
      <c r="N707" s="156"/>
      <c r="O707" s="156"/>
      <c r="P707" s="156"/>
      <c r="Q707" s="156"/>
      <c r="R707" s="156"/>
      <c r="S707" s="156"/>
      <c r="T707" s="156"/>
    </row>
    <row r="708" ht="26.25" customHeight="1">
      <c r="A708" s="167"/>
      <c r="B708" s="174"/>
      <c r="C708" s="174"/>
      <c r="D708" s="175"/>
      <c r="E708" s="156"/>
      <c r="F708" s="156"/>
      <c r="G708" s="156"/>
      <c r="H708" s="174"/>
      <c r="I708" s="174"/>
      <c r="J708" s="174"/>
      <c r="K708" s="156"/>
      <c r="L708" s="156"/>
      <c r="M708" s="156"/>
      <c r="N708" s="156"/>
      <c r="O708" s="156"/>
      <c r="P708" s="156"/>
      <c r="Q708" s="156"/>
      <c r="R708" s="156"/>
      <c r="S708" s="156"/>
      <c r="T708" s="156"/>
    </row>
    <row r="709" ht="26.25" customHeight="1">
      <c r="A709" s="167"/>
      <c r="B709" s="174"/>
      <c r="C709" s="174"/>
      <c r="D709" s="175"/>
      <c r="E709" s="156"/>
      <c r="F709" s="156"/>
      <c r="G709" s="156"/>
      <c r="H709" s="174"/>
      <c r="I709" s="174"/>
      <c r="J709" s="174"/>
      <c r="K709" s="156"/>
      <c r="L709" s="156"/>
      <c r="M709" s="156"/>
      <c r="N709" s="156"/>
      <c r="O709" s="156"/>
      <c r="P709" s="156"/>
      <c r="Q709" s="156"/>
      <c r="R709" s="156"/>
      <c r="S709" s="156"/>
      <c r="T709" s="156"/>
    </row>
    <row r="710" ht="26.25" customHeight="1">
      <c r="A710" s="167"/>
      <c r="B710" s="174"/>
      <c r="C710" s="174"/>
      <c r="D710" s="175"/>
      <c r="E710" s="156"/>
      <c r="F710" s="156"/>
      <c r="G710" s="156"/>
      <c r="H710" s="174"/>
      <c r="I710" s="174"/>
      <c r="J710" s="174"/>
      <c r="K710" s="156"/>
      <c r="L710" s="156"/>
      <c r="M710" s="156"/>
      <c r="N710" s="156"/>
      <c r="O710" s="156"/>
      <c r="P710" s="156"/>
      <c r="Q710" s="156"/>
      <c r="R710" s="156"/>
      <c r="S710" s="156"/>
      <c r="T710" s="156"/>
    </row>
    <row r="711" ht="26.25" customHeight="1">
      <c r="A711" s="167"/>
      <c r="B711" s="174"/>
      <c r="C711" s="174"/>
      <c r="D711" s="175"/>
      <c r="E711" s="156"/>
      <c r="F711" s="156"/>
      <c r="G711" s="156"/>
      <c r="H711" s="174"/>
      <c r="I711" s="174"/>
      <c r="J711" s="174"/>
      <c r="K711" s="156"/>
      <c r="L711" s="156"/>
      <c r="M711" s="156"/>
      <c r="N711" s="156"/>
      <c r="O711" s="156"/>
      <c r="P711" s="156"/>
      <c r="Q711" s="156"/>
      <c r="R711" s="156"/>
      <c r="S711" s="156"/>
      <c r="T711" s="156"/>
    </row>
    <row r="712" ht="26.25" customHeight="1">
      <c r="A712" s="167"/>
      <c r="B712" s="174"/>
      <c r="C712" s="174"/>
      <c r="D712" s="175"/>
      <c r="E712" s="156"/>
      <c r="F712" s="156"/>
      <c r="G712" s="156"/>
      <c r="H712" s="174"/>
      <c r="I712" s="174"/>
      <c r="J712" s="174"/>
      <c r="K712" s="156"/>
      <c r="L712" s="156"/>
      <c r="M712" s="156"/>
      <c r="N712" s="156"/>
      <c r="O712" s="156"/>
      <c r="P712" s="156"/>
      <c r="Q712" s="156"/>
      <c r="R712" s="156"/>
      <c r="S712" s="156"/>
      <c r="T712" s="156"/>
    </row>
    <row r="713" ht="26.25" customHeight="1">
      <c r="A713" s="167"/>
      <c r="B713" s="174"/>
      <c r="C713" s="174"/>
      <c r="D713" s="175"/>
      <c r="E713" s="156"/>
      <c r="F713" s="156"/>
      <c r="G713" s="156"/>
      <c r="H713" s="174"/>
      <c r="I713" s="174"/>
      <c r="J713" s="174"/>
      <c r="K713" s="156"/>
      <c r="L713" s="156"/>
      <c r="M713" s="156"/>
      <c r="N713" s="156"/>
      <c r="O713" s="156"/>
      <c r="P713" s="156"/>
      <c r="Q713" s="156"/>
      <c r="R713" s="156"/>
      <c r="S713" s="156"/>
      <c r="T713" s="156"/>
    </row>
    <row r="714" ht="26.25" customHeight="1">
      <c r="A714" s="167"/>
      <c r="B714" s="174"/>
      <c r="C714" s="174"/>
      <c r="D714" s="175"/>
      <c r="E714" s="156"/>
      <c r="F714" s="156"/>
      <c r="G714" s="156"/>
      <c r="H714" s="174"/>
      <c r="I714" s="174"/>
      <c r="J714" s="174"/>
      <c r="K714" s="156"/>
      <c r="L714" s="156"/>
      <c r="M714" s="156"/>
      <c r="N714" s="156"/>
      <c r="O714" s="156"/>
      <c r="P714" s="156"/>
      <c r="Q714" s="156"/>
      <c r="R714" s="156"/>
      <c r="S714" s="156"/>
      <c r="T714" s="156"/>
    </row>
    <row r="715" ht="26.25" customHeight="1">
      <c r="A715" s="167"/>
      <c r="B715" s="174"/>
      <c r="C715" s="174"/>
      <c r="D715" s="175"/>
      <c r="E715" s="156"/>
      <c r="F715" s="156"/>
      <c r="G715" s="156"/>
      <c r="H715" s="174"/>
      <c r="I715" s="174"/>
      <c r="J715" s="174"/>
      <c r="K715" s="156"/>
      <c r="L715" s="156"/>
      <c r="M715" s="156"/>
      <c r="N715" s="156"/>
      <c r="O715" s="156"/>
      <c r="P715" s="156"/>
      <c r="Q715" s="156"/>
      <c r="R715" s="156"/>
      <c r="S715" s="156"/>
      <c r="T715" s="156"/>
    </row>
    <row r="716" ht="26.25" customHeight="1">
      <c r="A716" s="167"/>
      <c r="B716" s="174"/>
      <c r="C716" s="174"/>
      <c r="D716" s="175"/>
      <c r="E716" s="156"/>
      <c r="F716" s="156"/>
      <c r="G716" s="156"/>
      <c r="H716" s="174"/>
      <c r="I716" s="174"/>
      <c r="J716" s="174"/>
      <c r="K716" s="156"/>
      <c r="L716" s="156"/>
      <c r="M716" s="156"/>
      <c r="N716" s="156"/>
      <c r="O716" s="156"/>
      <c r="P716" s="156"/>
      <c r="Q716" s="156"/>
      <c r="R716" s="156"/>
      <c r="S716" s="156"/>
      <c r="T716" s="156"/>
    </row>
    <row r="717" ht="26.25" customHeight="1">
      <c r="A717" s="167"/>
      <c r="B717" s="174"/>
      <c r="C717" s="174"/>
      <c r="D717" s="175"/>
      <c r="E717" s="156"/>
      <c r="F717" s="156"/>
      <c r="G717" s="156"/>
      <c r="H717" s="174"/>
      <c r="I717" s="174"/>
      <c r="J717" s="174"/>
      <c r="K717" s="156"/>
      <c r="L717" s="156"/>
      <c r="M717" s="156"/>
      <c r="N717" s="156"/>
      <c r="O717" s="156"/>
      <c r="P717" s="156"/>
      <c r="Q717" s="156"/>
      <c r="R717" s="156"/>
      <c r="S717" s="156"/>
      <c r="T717" s="156"/>
    </row>
    <row r="718" ht="26.25" customHeight="1">
      <c r="A718" s="167"/>
      <c r="B718" s="174"/>
      <c r="C718" s="174"/>
      <c r="D718" s="175"/>
      <c r="E718" s="156"/>
      <c r="F718" s="156"/>
      <c r="G718" s="156"/>
      <c r="H718" s="174"/>
      <c r="I718" s="174"/>
      <c r="J718" s="174"/>
      <c r="K718" s="156"/>
      <c r="L718" s="156"/>
      <c r="M718" s="156"/>
      <c r="N718" s="156"/>
      <c r="O718" s="156"/>
      <c r="P718" s="156"/>
      <c r="Q718" s="156"/>
      <c r="R718" s="156"/>
      <c r="S718" s="156"/>
      <c r="T718" s="156"/>
    </row>
    <row r="719" ht="26.25" customHeight="1">
      <c r="A719" s="167"/>
      <c r="B719" s="174"/>
      <c r="C719" s="174"/>
      <c r="D719" s="175"/>
      <c r="E719" s="156"/>
      <c r="F719" s="156"/>
      <c r="G719" s="156"/>
      <c r="H719" s="174"/>
      <c r="I719" s="174"/>
      <c r="J719" s="174"/>
      <c r="K719" s="156"/>
      <c r="L719" s="156"/>
      <c r="M719" s="156"/>
      <c r="N719" s="156"/>
      <c r="O719" s="156"/>
      <c r="P719" s="156"/>
      <c r="Q719" s="156"/>
      <c r="R719" s="156"/>
      <c r="S719" s="156"/>
      <c r="T719" s="156"/>
    </row>
    <row r="720" ht="26.25" customHeight="1">
      <c r="A720" s="167"/>
      <c r="B720" s="174"/>
      <c r="C720" s="174"/>
      <c r="D720" s="175"/>
      <c r="E720" s="156"/>
      <c r="F720" s="156"/>
      <c r="G720" s="156"/>
      <c r="H720" s="174"/>
      <c r="I720" s="174"/>
      <c r="J720" s="174"/>
      <c r="K720" s="156"/>
      <c r="L720" s="156"/>
      <c r="M720" s="156"/>
      <c r="N720" s="156"/>
      <c r="O720" s="156"/>
      <c r="P720" s="156"/>
      <c r="Q720" s="156"/>
      <c r="R720" s="156"/>
      <c r="S720" s="156"/>
      <c r="T720" s="156"/>
    </row>
    <row r="721" ht="26.25" customHeight="1">
      <c r="A721" s="167"/>
      <c r="B721" s="174"/>
      <c r="C721" s="174"/>
      <c r="D721" s="175"/>
      <c r="E721" s="156"/>
      <c r="F721" s="156"/>
      <c r="G721" s="156"/>
      <c r="H721" s="174"/>
      <c r="I721" s="174"/>
      <c r="J721" s="174"/>
      <c r="K721" s="156"/>
      <c r="L721" s="156"/>
      <c r="M721" s="156"/>
      <c r="N721" s="156"/>
      <c r="O721" s="156"/>
      <c r="P721" s="156"/>
      <c r="Q721" s="156"/>
      <c r="R721" s="156"/>
      <c r="S721" s="156"/>
      <c r="T721" s="156"/>
    </row>
    <row r="722" ht="26.25" customHeight="1">
      <c r="A722" s="167"/>
      <c r="B722" s="174"/>
      <c r="C722" s="174"/>
      <c r="D722" s="175"/>
      <c r="E722" s="156"/>
      <c r="F722" s="156"/>
      <c r="G722" s="156"/>
      <c r="H722" s="174"/>
      <c r="I722" s="174"/>
      <c r="J722" s="174"/>
      <c r="K722" s="156"/>
      <c r="L722" s="156"/>
      <c r="M722" s="156"/>
      <c r="N722" s="156"/>
      <c r="O722" s="156"/>
      <c r="P722" s="156"/>
      <c r="Q722" s="156"/>
      <c r="R722" s="156"/>
      <c r="S722" s="156"/>
      <c r="T722" s="156"/>
    </row>
    <row r="723" ht="26.25" customHeight="1">
      <c r="A723" s="167"/>
      <c r="B723" s="174"/>
      <c r="C723" s="174"/>
      <c r="D723" s="175"/>
      <c r="E723" s="156"/>
      <c r="F723" s="156"/>
      <c r="G723" s="156"/>
      <c r="H723" s="174"/>
      <c r="I723" s="174"/>
      <c r="J723" s="174"/>
      <c r="K723" s="156"/>
      <c r="L723" s="156"/>
      <c r="M723" s="156"/>
      <c r="N723" s="156"/>
      <c r="O723" s="156"/>
      <c r="P723" s="156"/>
      <c r="Q723" s="156"/>
      <c r="R723" s="156"/>
      <c r="S723" s="156"/>
      <c r="T723" s="156"/>
    </row>
    <row r="724" ht="26.25" customHeight="1">
      <c r="A724" s="167"/>
      <c r="B724" s="174"/>
      <c r="C724" s="174"/>
      <c r="D724" s="175"/>
      <c r="E724" s="156"/>
      <c r="F724" s="156"/>
      <c r="G724" s="156"/>
      <c r="H724" s="174"/>
      <c r="I724" s="174"/>
      <c r="J724" s="174"/>
      <c r="K724" s="156"/>
      <c r="L724" s="156"/>
      <c r="M724" s="156"/>
      <c r="N724" s="156"/>
      <c r="O724" s="156"/>
      <c r="P724" s="156"/>
      <c r="Q724" s="156"/>
      <c r="R724" s="156"/>
      <c r="S724" s="156"/>
      <c r="T724" s="156"/>
    </row>
    <row r="725" ht="26.25" customHeight="1">
      <c r="A725" s="167"/>
      <c r="B725" s="174"/>
      <c r="C725" s="174"/>
      <c r="D725" s="175"/>
      <c r="E725" s="156"/>
      <c r="F725" s="156"/>
      <c r="G725" s="156"/>
      <c r="H725" s="174"/>
      <c r="I725" s="174"/>
      <c r="J725" s="174"/>
      <c r="K725" s="156"/>
      <c r="L725" s="156"/>
      <c r="M725" s="156"/>
      <c r="N725" s="156"/>
      <c r="O725" s="156"/>
      <c r="P725" s="156"/>
      <c r="Q725" s="156"/>
      <c r="R725" s="156"/>
      <c r="S725" s="156"/>
      <c r="T725" s="156"/>
    </row>
    <row r="726" ht="26.25" customHeight="1">
      <c r="A726" s="167"/>
      <c r="B726" s="174"/>
      <c r="C726" s="174"/>
      <c r="D726" s="175"/>
      <c r="E726" s="156"/>
      <c r="F726" s="156"/>
      <c r="G726" s="156"/>
      <c r="H726" s="174"/>
      <c r="I726" s="174"/>
      <c r="J726" s="174"/>
      <c r="K726" s="156"/>
      <c r="L726" s="156"/>
      <c r="M726" s="156"/>
      <c r="N726" s="156"/>
      <c r="O726" s="156"/>
      <c r="P726" s="156"/>
      <c r="Q726" s="156"/>
      <c r="R726" s="156"/>
      <c r="S726" s="156"/>
      <c r="T726" s="156"/>
    </row>
    <row r="727" ht="26.25" customHeight="1">
      <c r="A727" s="167"/>
      <c r="B727" s="174"/>
      <c r="C727" s="174"/>
      <c r="D727" s="175"/>
      <c r="E727" s="156"/>
      <c r="F727" s="156"/>
      <c r="G727" s="156"/>
      <c r="H727" s="174"/>
      <c r="I727" s="174"/>
      <c r="J727" s="174"/>
      <c r="K727" s="156"/>
      <c r="L727" s="156"/>
      <c r="M727" s="156"/>
      <c r="N727" s="156"/>
      <c r="O727" s="156"/>
      <c r="P727" s="156"/>
      <c r="Q727" s="156"/>
      <c r="R727" s="156"/>
      <c r="S727" s="156"/>
      <c r="T727" s="156"/>
    </row>
    <row r="728" ht="26.25" customHeight="1">
      <c r="A728" s="167"/>
      <c r="B728" s="174"/>
      <c r="C728" s="174"/>
      <c r="D728" s="175"/>
      <c r="E728" s="156"/>
      <c r="F728" s="156"/>
      <c r="G728" s="156"/>
      <c r="H728" s="174"/>
      <c r="I728" s="174"/>
      <c r="J728" s="174"/>
      <c r="K728" s="156"/>
      <c r="L728" s="156"/>
      <c r="M728" s="156"/>
      <c r="N728" s="156"/>
      <c r="O728" s="156"/>
      <c r="P728" s="156"/>
      <c r="Q728" s="156"/>
      <c r="R728" s="156"/>
      <c r="S728" s="156"/>
      <c r="T728" s="156"/>
    </row>
    <row r="729" ht="26.25" customHeight="1">
      <c r="A729" s="167"/>
      <c r="B729" s="174"/>
      <c r="C729" s="174"/>
      <c r="D729" s="175"/>
      <c r="E729" s="156"/>
      <c r="F729" s="156"/>
      <c r="G729" s="156"/>
      <c r="H729" s="174"/>
      <c r="I729" s="174"/>
      <c r="J729" s="174"/>
      <c r="K729" s="156"/>
      <c r="L729" s="156"/>
      <c r="M729" s="156"/>
      <c r="N729" s="156"/>
      <c r="O729" s="156"/>
      <c r="P729" s="156"/>
      <c r="Q729" s="156"/>
      <c r="R729" s="156"/>
      <c r="S729" s="156"/>
      <c r="T729" s="156"/>
    </row>
    <row r="730" ht="26.25" customHeight="1">
      <c r="A730" s="167"/>
      <c r="B730" s="174"/>
      <c r="C730" s="174"/>
      <c r="D730" s="175"/>
      <c r="E730" s="156"/>
      <c r="F730" s="156"/>
      <c r="G730" s="156"/>
      <c r="H730" s="174"/>
      <c r="I730" s="174"/>
      <c r="J730" s="174"/>
      <c r="K730" s="156"/>
      <c r="L730" s="156"/>
      <c r="M730" s="156"/>
      <c r="N730" s="156"/>
      <c r="O730" s="156"/>
      <c r="P730" s="156"/>
      <c r="Q730" s="156"/>
      <c r="R730" s="156"/>
      <c r="S730" s="156"/>
      <c r="T730" s="156"/>
    </row>
    <row r="731" ht="26.25" customHeight="1">
      <c r="A731" s="167"/>
      <c r="B731" s="174"/>
      <c r="C731" s="174"/>
      <c r="D731" s="175"/>
      <c r="E731" s="156"/>
      <c r="F731" s="156"/>
      <c r="G731" s="156"/>
      <c r="H731" s="174"/>
      <c r="I731" s="174"/>
      <c r="J731" s="174"/>
      <c r="K731" s="156"/>
      <c r="L731" s="156"/>
      <c r="M731" s="156"/>
      <c r="N731" s="156"/>
      <c r="O731" s="156"/>
      <c r="P731" s="156"/>
      <c r="Q731" s="156"/>
      <c r="R731" s="156"/>
      <c r="S731" s="156"/>
      <c r="T731" s="156"/>
    </row>
    <row r="732" ht="26.25" customHeight="1">
      <c r="A732" s="167"/>
      <c r="B732" s="174"/>
      <c r="C732" s="174"/>
      <c r="D732" s="175"/>
      <c r="E732" s="156"/>
      <c r="F732" s="156"/>
      <c r="G732" s="156"/>
      <c r="H732" s="174"/>
      <c r="I732" s="174"/>
      <c r="J732" s="174"/>
      <c r="K732" s="156"/>
      <c r="L732" s="156"/>
      <c r="M732" s="156"/>
      <c r="N732" s="156"/>
      <c r="O732" s="156"/>
      <c r="P732" s="156"/>
      <c r="Q732" s="156"/>
      <c r="R732" s="156"/>
      <c r="S732" s="156"/>
      <c r="T732" s="156"/>
    </row>
    <row r="733" ht="26.25" customHeight="1">
      <c r="A733" s="167"/>
      <c r="B733" s="174"/>
      <c r="C733" s="174"/>
      <c r="D733" s="175"/>
      <c r="E733" s="156"/>
      <c r="F733" s="156"/>
      <c r="G733" s="156"/>
      <c r="H733" s="174"/>
      <c r="I733" s="174"/>
      <c r="J733" s="174"/>
      <c r="K733" s="156"/>
      <c r="L733" s="156"/>
      <c r="M733" s="156"/>
      <c r="N733" s="156"/>
      <c r="O733" s="156"/>
      <c r="P733" s="156"/>
      <c r="Q733" s="156"/>
      <c r="R733" s="156"/>
      <c r="S733" s="156"/>
      <c r="T733" s="156"/>
    </row>
    <row r="734" ht="26.25" customHeight="1">
      <c r="A734" s="167"/>
      <c r="B734" s="174"/>
      <c r="C734" s="174"/>
      <c r="D734" s="175"/>
      <c r="E734" s="156"/>
      <c r="F734" s="156"/>
      <c r="G734" s="156"/>
      <c r="H734" s="174"/>
      <c r="I734" s="174"/>
      <c r="J734" s="174"/>
      <c r="K734" s="156"/>
      <c r="L734" s="156"/>
      <c r="M734" s="156"/>
      <c r="N734" s="156"/>
      <c r="O734" s="156"/>
      <c r="P734" s="156"/>
      <c r="Q734" s="156"/>
      <c r="R734" s="156"/>
      <c r="S734" s="156"/>
      <c r="T734" s="156"/>
    </row>
    <row r="735" ht="26.25" customHeight="1">
      <c r="A735" s="167"/>
      <c r="B735" s="174"/>
      <c r="C735" s="174"/>
      <c r="D735" s="175"/>
      <c r="E735" s="156"/>
      <c r="F735" s="156"/>
      <c r="G735" s="156"/>
      <c r="H735" s="174"/>
      <c r="I735" s="174"/>
      <c r="J735" s="174"/>
      <c r="K735" s="156"/>
      <c r="L735" s="156"/>
      <c r="M735" s="156"/>
      <c r="N735" s="156"/>
      <c r="O735" s="156"/>
      <c r="P735" s="156"/>
      <c r="Q735" s="156"/>
      <c r="R735" s="156"/>
      <c r="S735" s="156"/>
      <c r="T735" s="156"/>
    </row>
    <row r="736" ht="26.25" customHeight="1">
      <c r="A736" s="167"/>
      <c r="B736" s="174"/>
      <c r="C736" s="174"/>
      <c r="D736" s="175"/>
      <c r="E736" s="156"/>
      <c r="F736" s="156"/>
      <c r="G736" s="156"/>
      <c r="H736" s="174"/>
      <c r="I736" s="174"/>
      <c r="J736" s="174"/>
      <c r="K736" s="156"/>
      <c r="L736" s="156"/>
      <c r="M736" s="156"/>
      <c r="N736" s="156"/>
      <c r="O736" s="156"/>
      <c r="P736" s="156"/>
      <c r="Q736" s="156"/>
      <c r="R736" s="156"/>
      <c r="S736" s="156"/>
      <c r="T736" s="156"/>
    </row>
    <row r="737" ht="26.25" customHeight="1">
      <c r="A737" s="167"/>
      <c r="B737" s="174"/>
      <c r="C737" s="174"/>
      <c r="D737" s="175"/>
      <c r="E737" s="156"/>
      <c r="F737" s="156"/>
      <c r="G737" s="156"/>
      <c r="H737" s="174"/>
      <c r="I737" s="174"/>
      <c r="J737" s="174"/>
      <c r="K737" s="156"/>
      <c r="L737" s="156"/>
      <c r="M737" s="156"/>
      <c r="N737" s="156"/>
      <c r="O737" s="156"/>
      <c r="P737" s="156"/>
      <c r="Q737" s="156"/>
      <c r="R737" s="156"/>
      <c r="S737" s="156"/>
      <c r="T737" s="156"/>
    </row>
    <row r="738" ht="26.25" customHeight="1">
      <c r="A738" s="167"/>
      <c r="B738" s="174"/>
      <c r="C738" s="174"/>
      <c r="D738" s="175"/>
      <c r="E738" s="156"/>
      <c r="F738" s="156"/>
      <c r="G738" s="156"/>
      <c r="H738" s="174"/>
      <c r="I738" s="174"/>
      <c r="J738" s="174"/>
      <c r="K738" s="156"/>
      <c r="L738" s="156"/>
      <c r="M738" s="156"/>
      <c r="N738" s="156"/>
      <c r="O738" s="156"/>
      <c r="P738" s="156"/>
      <c r="Q738" s="156"/>
      <c r="R738" s="156"/>
      <c r="S738" s="156"/>
      <c r="T738" s="156"/>
    </row>
    <row r="739" ht="26.25" customHeight="1">
      <c r="A739" s="167"/>
      <c r="B739" s="174"/>
      <c r="C739" s="174"/>
      <c r="D739" s="175"/>
      <c r="E739" s="156"/>
      <c r="F739" s="156"/>
      <c r="G739" s="156"/>
      <c r="H739" s="174"/>
      <c r="I739" s="174"/>
      <c r="J739" s="174"/>
      <c r="K739" s="156"/>
      <c r="L739" s="156"/>
      <c r="M739" s="156"/>
      <c r="N739" s="156"/>
      <c r="O739" s="156"/>
      <c r="P739" s="156"/>
      <c r="Q739" s="156"/>
      <c r="R739" s="156"/>
      <c r="S739" s="156"/>
      <c r="T739" s="156"/>
    </row>
    <row r="740" ht="26.25" customHeight="1">
      <c r="A740" s="167"/>
      <c r="B740" s="174"/>
      <c r="C740" s="174"/>
      <c r="D740" s="175"/>
      <c r="E740" s="156"/>
      <c r="F740" s="156"/>
      <c r="G740" s="156"/>
      <c r="H740" s="174"/>
      <c r="I740" s="174"/>
      <c r="J740" s="174"/>
      <c r="K740" s="156"/>
      <c r="L740" s="156"/>
      <c r="M740" s="156"/>
      <c r="N740" s="156"/>
      <c r="O740" s="156"/>
      <c r="P740" s="156"/>
      <c r="Q740" s="156"/>
      <c r="R740" s="156"/>
      <c r="S740" s="156"/>
      <c r="T740" s="156"/>
    </row>
    <row r="741" ht="26.25" customHeight="1">
      <c r="A741" s="167"/>
      <c r="B741" s="174"/>
      <c r="C741" s="174"/>
      <c r="D741" s="175"/>
      <c r="E741" s="156"/>
      <c r="F741" s="156"/>
      <c r="G741" s="156"/>
      <c r="H741" s="174"/>
      <c r="I741" s="174"/>
      <c r="J741" s="174"/>
      <c r="K741" s="156"/>
      <c r="L741" s="156"/>
      <c r="M741" s="156"/>
      <c r="N741" s="156"/>
      <c r="O741" s="156"/>
      <c r="P741" s="156"/>
      <c r="Q741" s="156"/>
      <c r="R741" s="156"/>
      <c r="S741" s="156"/>
      <c r="T741" s="156"/>
    </row>
    <row r="742" ht="26.25" customHeight="1">
      <c r="A742" s="167"/>
      <c r="B742" s="174"/>
      <c r="C742" s="174"/>
      <c r="D742" s="175"/>
      <c r="E742" s="156"/>
      <c r="F742" s="156"/>
      <c r="G742" s="156"/>
      <c r="H742" s="174"/>
      <c r="I742" s="174"/>
      <c r="J742" s="174"/>
      <c r="K742" s="156"/>
      <c r="L742" s="156"/>
      <c r="M742" s="156"/>
      <c r="N742" s="156"/>
      <c r="O742" s="156"/>
      <c r="P742" s="156"/>
      <c r="Q742" s="156"/>
      <c r="R742" s="156"/>
      <c r="S742" s="156"/>
      <c r="T742" s="156"/>
    </row>
    <row r="743" ht="26.25" customHeight="1">
      <c r="A743" s="167"/>
      <c r="B743" s="174"/>
      <c r="C743" s="174"/>
      <c r="D743" s="175"/>
      <c r="E743" s="156"/>
      <c r="F743" s="156"/>
      <c r="G743" s="156"/>
      <c r="H743" s="174"/>
      <c r="I743" s="174"/>
      <c r="J743" s="174"/>
      <c r="K743" s="156"/>
      <c r="L743" s="156"/>
      <c r="M743" s="156"/>
      <c r="N743" s="156"/>
      <c r="O743" s="156"/>
      <c r="P743" s="156"/>
      <c r="Q743" s="156"/>
      <c r="R743" s="156"/>
      <c r="S743" s="156"/>
      <c r="T743" s="156"/>
    </row>
    <row r="744" ht="26.25" customHeight="1">
      <c r="A744" s="167"/>
      <c r="B744" s="174"/>
      <c r="C744" s="174"/>
      <c r="D744" s="175"/>
      <c r="E744" s="156"/>
      <c r="F744" s="156"/>
      <c r="G744" s="156"/>
      <c r="H744" s="174"/>
      <c r="I744" s="174"/>
      <c r="J744" s="174"/>
      <c r="K744" s="156"/>
      <c r="L744" s="156"/>
      <c r="M744" s="156"/>
      <c r="N744" s="156"/>
      <c r="O744" s="156"/>
      <c r="P744" s="156"/>
      <c r="Q744" s="156"/>
      <c r="R744" s="156"/>
      <c r="S744" s="156"/>
      <c r="T744" s="156"/>
    </row>
    <row r="745" ht="26.25" customHeight="1">
      <c r="A745" s="167"/>
      <c r="B745" s="174"/>
      <c r="C745" s="174"/>
      <c r="D745" s="175"/>
      <c r="E745" s="156"/>
      <c r="F745" s="156"/>
      <c r="G745" s="156"/>
      <c r="H745" s="174"/>
      <c r="I745" s="174"/>
      <c r="J745" s="174"/>
      <c r="K745" s="156"/>
      <c r="L745" s="156"/>
      <c r="M745" s="156"/>
      <c r="N745" s="156"/>
      <c r="O745" s="156"/>
      <c r="P745" s="156"/>
      <c r="Q745" s="156"/>
      <c r="R745" s="156"/>
      <c r="S745" s="156"/>
      <c r="T745" s="156"/>
    </row>
    <row r="746" ht="26.25" customHeight="1">
      <c r="A746" s="167"/>
      <c r="B746" s="174"/>
      <c r="C746" s="174"/>
      <c r="D746" s="175"/>
      <c r="E746" s="156"/>
      <c r="F746" s="156"/>
      <c r="G746" s="156"/>
      <c r="H746" s="174"/>
      <c r="I746" s="174"/>
      <c r="J746" s="174"/>
      <c r="K746" s="156"/>
      <c r="L746" s="156"/>
      <c r="M746" s="156"/>
      <c r="N746" s="156"/>
      <c r="O746" s="156"/>
      <c r="P746" s="156"/>
      <c r="Q746" s="156"/>
      <c r="R746" s="156"/>
      <c r="S746" s="156"/>
      <c r="T746" s="156"/>
    </row>
    <row r="747" ht="26.25" customHeight="1">
      <c r="A747" s="167"/>
      <c r="B747" s="174"/>
      <c r="C747" s="174"/>
      <c r="D747" s="175"/>
      <c r="E747" s="156"/>
      <c r="F747" s="156"/>
      <c r="G747" s="156"/>
      <c r="H747" s="174"/>
      <c r="I747" s="174"/>
      <c r="J747" s="174"/>
      <c r="K747" s="156"/>
      <c r="L747" s="156"/>
      <c r="M747" s="156"/>
      <c r="N747" s="156"/>
      <c r="O747" s="156"/>
      <c r="P747" s="156"/>
      <c r="Q747" s="156"/>
      <c r="R747" s="156"/>
      <c r="S747" s="156"/>
      <c r="T747" s="156"/>
    </row>
    <row r="748" ht="26.25" customHeight="1">
      <c r="A748" s="167"/>
      <c r="B748" s="174"/>
      <c r="C748" s="174"/>
      <c r="D748" s="175"/>
      <c r="E748" s="156"/>
      <c r="F748" s="156"/>
      <c r="G748" s="156"/>
      <c r="H748" s="174"/>
      <c r="I748" s="174"/>
      <c r="J748" s="174"/>
      <c r="K748" s="156"/>
      <c r="L748" s="156"/>
      <c r="M748" s="156"/>
      <c r="N748" s="156"/>
      <c r="O748" s="156"/>
      <c r="P748" s="156"/>
      <c r="Q748" s="156"/>
      <c r="R748" s="156"/>
      <c r="S748" s="156"/>
      <c r="T748" s="156"/>
    </row>
    <row r="749" ht="26.25" customHeight="1">
      <c r="A749" s="167"/>
      <c r="B749" s="174"/>
      <c r="C749" s="174"/>
      <c r="D749" s="175"/>
      <c r="E749" s="156"/>
      <c r="F749" s="156"/>
      <c r="G749" s="156"/>
      <c r="H749" s="174"/>
      <c r="I749" s="174"/>
      <c r="J749" s="174"/>
      <c r="K749" s="156"/>
      <c r="L749" s="156"/>
      <c r="M749" s="156"/>
      <c r="N749" s="156"/>
      <c r="O749" s="156"/>
      <c r="P749" s="156"/>
      <c r="Q749" s="156"/>
      <c r="R749" s="156"/>
      <c r="S749" s="156"/>
      <c r="T749" s="156"/>
    </row>
    <row r="750" ht="26.25" customHeight="1">
      <c r="A750" s="167"/>
      <c r="B750" s="174"/>
      <c r="C750" s="174"/>
      <c r="D750" s="175"/>
      <c r="E750" s="156"/>
      <c r="F750" s="156"/>
      <c r="G750" s="156"/>
      <c r="H750" s="174"/>
      <c r="I750" s="174"/>
      <c r="J750" s="174"/>
      <c r="K750" s="156"/>
      <c r="L750" s="156"/>
      <c r="M750" s="156"/>
      <c r="N750" s="156"/>
      <c r="O750" s="156"/>
      <c r="P750" s="156"/>
      <c r="Q750" s="156"/>
      <c r="R750" s="156"/>
      <c r="S750" s="156"/>
      <c r="T750" s="156"/>
    </row>
    <row r="751" ht="26.25" customHeight="1">
      <c r="A751" s="167"/>
      <c r="B751" s="174"/>
      <c r="C751" s="174"/>
      <c r="D751" s="175"/>
      <c r="E751" s="156"/>
      <c r="F751" s="156"/>
      <c r="G751" s="156"/>
      <c r="H751" s="174"/>
      <c r="I751" s="174"/>
      <c r="J751" s="174"/>
      <c r="K751" s="156"/>
      <c r="L751" s="156"/>
      <c r="M751" s="156"/>
      <c r="N751" s="156"/>
      <c r="O751" s="156"/>
      <c r="P751" s="156"/>
      <c r="Q751" s="156"/>
      <c r="R751" s="156"/>
      <c r="S751" s="156"/>
      <c r="T751" s="156"/>
    </row>
    <row r="752" ht="26.25" customHeight="1">
      <c r="A752" s="167"/>
      <c r="B752" s="174"/>
      <c r="C752" s="174"/>
      <c r="D752" s="175"/>
      <c r="E752" s="156"/>
      <c r="F752" s="156"/>
      <c r="G752" s="156"/>
      <c r="H752" s="174"/>
      <c r="I752" s="174"/>
      <c r="J752" s="174"/>
      <c r="K752" s="156"/>
      <c r="L752" s="156"/>
      <c r="M752" s="156"/>
      <c r="N752" s="156"/>
      <c r="O752" s="156"/>
      <c r="P752" s="156"/>
      <c r="Q752" s="156"/>
      <c r="R752" s="156"/>
      <c r="S752" s="156"/>
      <c r="T752" s="156"/>
    </row>
    <row r="753" ht="26.25" customHeight="1">
      <c r="A753" s="167"/>
      <c r="B753" s="174"/>
      <c r="C753" s="174"/>
      <c r="D753" s="175"/>
      <c r="E753" s="156"/>
      <c r="F753" s="156"/>
      <c r="G753" s="156"/>
      <c r="H753" s="174"/>
      <c r="I753" s="174"/>
      <c r="J753" s="174"/>
      <c r="K753" s="156"/>
      <c r="L753" s="156"/>
      <c r="M753" s="156"/>
      <c r="N753" s="156"/>
      <c r="O753" s="156"/>
      <c r="P753" s="156"/>
      <c r="Q753" s="156"/>
      <c r="R753" s="156"/>
      <c r="S753" s="156"/>
      <c r="T753" s="156"/>
    </row>
    <row r="754" ht="26.25" customHeight="1">
      <c r="A754" s="167"/>
      <c r="B754" s="174"/>
      <c r="C754" s="174"/>
      <c r="D754" s="175"/>
      <c r="E754" s="156"/>
      <c r="F754" s="156"/>
      <c r="G754" s="156"/>
      <c r="H754" s="174"/>
      <c r="I754" s="174"/>
      <c r="J754" s="174"/>
      <c r="K754" s="156"/>
      <c r="L754" s="156"/>
      <c r="M754" s="156"/>
      <c r="N754" s="156"/>
      <c r="O754" s="156"/>
      <c r="P754" s="156"/>
      <c r="Q754" s="156"/>
      <c r="R754" s="156"/>
      <c r="S754" s="156"/>
      <c r="T754" s="156"/>
    </row>
    <row r="755" ht="26.25" customHeight="1">
      <c r="A755" s="167"/>
      <c r="B755" s="174"/>
      <c r="C755" s="174"/>
      <c r="D755" s="175"/>
      <c r="E755" s="156"/>
      <c r="F755" s="156"/>
      <c r="G755" s="156"/>
      <c r="H755" s="174"/>
      <c r="I755" s="174"/>
      <c r="J755" s="174"/>
      <c r="K755" s="156"/>
      <c r="L755" s="156"/>
      <c r="M755" s="156"/>
      <c r="N755" s="156"/>
      <c r="O755" s="156"/>
      <c r="P755" s="156"/>
      <c r="Q755" s="156"/>
      <c r="R755" s="156"/>
      <c r="S755" s="156"/>
      <c r="T755" s="156"/>
    </row>
    <row r="756" ht="26.25" customHeight="1">
      <c r="A756" s="167"/>
      <c r="B756" s="174"/>
      <c r="C756" s="174"/>
      <c r="D756" s="175"/>
      <c r="E756" s="156"/>
      <c r="F756" s="156"/>
      <c r="G756" s="156"/>
      <c r="H756" s="174"/>
      <c r="I756" s="174"/>
      <c r="J756" s="174"/>
      <c r="K756" s="156"/>
      <c r="L756" s="156"/>
      <c r="M756" s="156"/>
      <c r="N756" s="156"/>
      <c r="O756" s="156"/>
      <c r="P756" s="156"/>
      <c r="Q756" s="156"/>
      <c r="R756" s="156"/>
      <c r="S756" s="156"/>
      <c r="T756" s="156"/>
    </row>
    <row r="757" ht="26.25" customHeight="1">
      <c r="A757" s="167"/>
      <c r="B757" s="174"/>
      <c r="C757" s="174"/>
      <c r="D757" s="175"/>
      <c r="E757" s="156"/>
      <c r="F757" s="156"/>
      <c r="G757" s="156"/>
      <c r="H757" s="174"/>
      <c r="I757" s="174"/>
      <c r="J757" s="174"/>
      <c r="K757" s="156"/>
      <c r="L757" s="156"/>
      <c r="M757" s="156"/>
      <c r="N757" s="156"/>
      <c r="O757" s="156"/>
      <c r="P757" s="156"/>
      <c r="Q757" s="156"/>
      <c r="R757" s="156"/>
      <c r="S757" s="156"/>
      <c r="T757" s="156"/>
    </row>
    <row r="758" ht="26.25" customHeight="1">
      <c r="A758" s="167"/>
      <c r="B758" s="174"/>
      <c r="C758" s="174"/>
      <c r="D758" s="175"/>
      <c r="E758" s="156"/>
      <c r="F758" s="156"/>
      <c r="G758" s="156"/>
      <c r="H758" s="174"/>
      <c r="I758" s="174"/>
      <c r="J758" s="174"/>
      <c r="K758" s="156"/>
      <c r="L758" s="156"/>
      <c r="M758" s="156"/>
      <c r="N758" s="156"/>
      <c r="O758" s="156"/>
      <c r="P758" s="156"/>
      <c r="Q758" s="156"/>
      <c r="R758" s="156"/>
      <c r="S758" s="156"/>
      <c r="T758" s="156"/>
    </row>
    <row r="759" ht="26.25" customHeight="1">
      <c r="A759" s="167"/>
      <c r="B759" s="174"/>
      <c r="C759" s="174"/>
      <c r="D759" s="175"/>
      <c r="E759" s="156"/>
      <c r="F759" s="156"/>
      <c r="G759" s="156"/>
      <c r="H759" s="174"/>
      <c r="I759" s="174"/>
      <c r="J759" s="174"/>
      <c r="K759" s="156"/>
      <c r="L759" s="156"/>
      <c r="M759" s="156"/>
      <c r="N759" s="156"/>
      <c r="O759" s="156"/>
      <c r="P759" s="156"/>
      <c r="Q759" s="156"/>
      <c r="R759" s="156"/>
      <c r="S759" s="156"/>
      <c r="T759" s="156"/>
    </row>
    <row r="760" ht="26.25" customHeight="1">
      <c r="A760" s="167"/>
      <c r="B760" s="174"/>
      <c r="C760" s="174"/>
      <c r="D760" s="175"/>
      <c r="E760" s="156"/>
      <c r="F760" s="156"/>
      <c r="G760" s="156"/>
      <c r="H760" s="174"/>
      <c r="I760" s="174"/>
      <c r="J760" s="174"/>
      <c r="K760" s="156"/>
      <c r="L760" s="156"/>
      <c r="M760" s="156"/>
      <c r="N760" s="156"/>
      <c r="O760" s="156"/>
      <c r="P760" s="156"/>
      <c r="Q760" s="156"/>
      <c r="R760" s="156"/>
      <c r="S760" s="156"/>
      <c r="T760" s="156"/>
    </row>
    <row r="761" ht="26.25" customHeight="1">
      <c r="A761" s="167"/>
      <c r="B761" s="174"/>
      <c r="C761" s="174"/>
      <c r="D761" s="175"/>
      <c r="E761" s="156"/>
      <c r="F761" s="156"/>
      <c r="G761" s="156"/>
      <c r="H761" s="174"/>
      <c r="I761" s="174"/>
      <c r="J761" s="174"/>
      <c r="K761" s="156"/>
      <c r="L761" s="156"/>
      <c r="M761" s="156"/>
      <c r="N761" s="156"/>
      <c r="O761" s="156"/>
      <c r="P761" s="156"/>
      <c r="Q761" s="156"/>
      <c r="R761" s="156"/>
      <c r="S761" s="156"/>
      <c r="T761" s="156"/>
    </row>
    <row r="762" ht="26.25" customHeight="1">
      <c r="A762" s="167"/>
      <c r="B762" s="174"/>
      <c r="C762" s="174"/>
      <c r="D762" s="175"/>
      <c r="E762" s="156"/>
      <c r="F762" s="156"/>
      <c r="G762" s="156"/>
      <c r="H762" s="174"/>
      <c r="I762" s="174"/>
      <c r="J762" s="174"/>
      <c r="K762" s="156"/>
      <c r="L762" s="156"/>
      <c r="M762" s="156"/>
      <c r="N762" s="156"/>
      <c r="O762" s="156"/>
      <c r="P762" s="156"/>
      <c r="Q762" s="156"/>
      <c r="R762" s="156"/>
      <c r="S762" s="156"/>
      <c r="T762" s="156"/>
    </row>
    <row r="763" ht="26.25" customHeight="1">
      <c r="A763" s="167"/>
      <c r="B763" s="174"/>
      <c r="C763" s="174"/>
      <c r="D763" s="175"/>
      <c r="E763" s="156"/>
      <c r="F763" s="156"/>
      <c r="G763" s="156"/>
      <c r="H763" s="174"/>
      <c r="I763" s="174"/>
      <c r="J763" s="174"/>
      <c r="K763" s="156"/>
      <c r="L763" s="156"/>
      <c r="M763" s="156"/>
      <c r="N763" s="156"/>
      <c r="O763" s="156"/>
      <c r="P763" s="156"/>
      <c r="Q763" s="156"/>
      <c r="R763" s="156"/>
      <c r="S763" s="156"/>
      <c r="T763" s="156"/>
    </row>
    <row r="764" ht="26.25" customHeight="1">
      <c r="A764" s="167"/>
      <c r="B764" s="174"/>
      <c r="C764" s="174"/>
      <c r="D764" s="175"/>
      <c r="E764" s="156"/>
      <c r="F764" s="156"/>
      <c r="G764" s="156"/>
      <c r="H764" s="174"/>
      <c r="I764" s="174"/>
      <c r="J764" s="174"/>
      <c r="K764" s="156"/>
      <c r="L764" s="156"/>
      <c r="M764" s="156"/>
      <c r="N764" s="156"/>
      <c r="O764" s="156"/>
      <c r="P764" s="156"/>
      <c r="Q764" s="156"/>
      <c r="R764" s="156"/>
      <c r="S764" s="156"/>
      <c r="T764" s="156"/>
    </row>
    <row r="765" ht="26.25" customHeight="1">
      <c r="A765" s="167"/>
      <c r="B765" s="174"/>
      <c r="C765" s="174"/>
      <c r="D765" s="175"/>
      <c r="E765" s="156"/>
      <c r="F765" s="156"/>
      <c r="G765" s="156"/>
      <c r="H765" s="174"/>
      <c r="I765" s="174"/>
      <c r="J765" s="174"/>
      <c r="K765" s="156"/>
      <c r="L765" s="156"/>
      <c r="M765" s="156"/>
      <c r="N765" s="156"/>
      <c r="O765" s="156"/>
      <c r="P765" s="156"/>
      <c r="Q765" s="156"/>
      <c r="R765" s="156"/>
      <c r="S765" s="156"/>
      <c r="T765" s="156"/>
    </row>
    <row r="766" ht="26.25" customHeight="1">
      <c r="A766" s="167"/>
      <c r="B766" s="174"/>
      <c r="C766" s="174"/>
      <c r="D766" s="175"/>
      <c r="E766" s="156"/>
      <c r="F766" s="156"/>
      <c r="G766" s="156"/>
      <c r="H766" s="174"/>
      <c r="I766" s="174"/>
      <c r="J766" s="174"/>
      <c r="K766" s="156"/>
      <c r="L766" s="156"/>
      <c r="M766" s="156"/>
      <c r="N766" s="156"/>
      <c r="O766" s="156"/>
      <c r="P766" s="156"/>
      <c r="Q766" s="156"/>
      <c r="R766" s="156"/>
      <c r="S766" s="156"/>
      <c r="T766" s="156"/>
    </row>
    <row r="767" ht="26.25" customHeight="1">
      <c r="A767" s="167"/>
      <c r="B767" s="174"/>
      <c r="C767" s="174"/>
      <c r="D767" s="175"/>
      <c r="E767" s="156"/>
      <c r="F767" s="156"/>
      <c r="G767" s="156"/>
      <c r="H767" s="174"/>
      <c r="I767" s="174"/>
      <c r="J767" s="174"/>
      <c r="K767" s="156"/>
      <c r="L767" s="156"/>
      <c r="M767" s="156"/>
      <c r="N767" s="156"/>
      <c r="O767" s="156"/>
      <c r="P767" s="156"/>
      <c r="Q767" s="156"/>
      <c r="R767" s="156"/>
      <c r="S767" s="156"/>
      <c r="T767" s="156"/>
    </row>
    <row r="768" ht="26.25" customHeight="1">
      <c r="A768" s="167"/>
      <c r="B768" s="174"/>
      <c r="C768" s="174"/>
      <c r="D768" s="175"/>
      <c r="E768" s="156"/>
      <c r="F768" s="156"/>
      <c r="G768" s="156"/>
      <c r="H768" s="174"/>
      <c r="I768" s="174"/>
      <c r="J768" s="174"/>
      <c r="K768" s="156"/>
      <c r="L768" s="156"/>
      <c r="M768" s="156"/>
      <c r="N768" s="156"/>
      <c r="O768" s="156"/>
      <c r="P768" s="156"/>
      <c r="Q768" s="156"/>
      <c r="R768" s="156"/>
      <c r="S768" s="156"/>
      <c r="T768" s="156"/>
    </row>
    <row r="769" ht="26.25" customHeight="1">
      <c r="A769" s="167"/>
      <c r="B769" s="174"/>
      <c r="C769" s="174"/>
      <c r="D769" s="175"/>
      <c r="E769" s="156"/>
      <c r="F769" s="156"/>
      <c r="G769" s="156"/>
      <c r="H769" s="174"/>
      <c r="I769" s="174"/>
      <c r="J769" s="174"/>
      <c r="K769" s="156"/>
      <c r="L769" s="156"/>
      <c r="M769" s="156"/>
      <c r="N769" s="156"/>
      <c r="O769" s="156"/>
      <c r="P769" s="156"/>
      <c r="Q769" s="156"/>
      <c r="R769" s="156"/>
      <c r="S769" s="156"/>
      <c r="T769" s="156"/>
    </row>
    <row r="770" ht="26.25" customHeight="1">
      <c r="A770" s="167"/>
      <c r="B770" s="174"/>
      <c r="C770" s="174"/>
      <c r="D770" s="175"/>
      <c r="E770" s="156"/>
      <c r="F770" s="156"/>
      <c r="G770" s="156"/>
      <c r="H770" s="174"/>
      <c r="I770" s="174"/>
      <c r="J770" s="174"/>
      <c r="K770" s="156"/>
      <c r="L770" s="156"/>
      <c r="M770" s="156"/>
      <c r="N770" s="156"/>
      <c r="O770" s="156"/>
      <c r="P770" s="156"/>
      <c r="Q770" s="156"/>
      <c r="R770" s="156"/>
      <c r="S770" s="156"/>
      <c r="T770" s="156"/>
    </row>
    <row r="771" ht="26.25" customHeight="1">
      <c r="A771" s="167"/>
      <c r="B771" s="174"/>
      <c r="C771" s="174"/>
      <c r="D771" s="175"/>
      <c r="E771" s="156"/>
      <c r="F771" s="156"/>
      <c r="G771" s="156"/>
      <c r="H771" s="174"/>
      <c r="I771" s="174"/>
      <c r="J771" s="174"/>
      <c r="K771" s="156"/>
      <c r="L771" s="156"/>
      <c r="M771" s="156"/>
      <c r="N771" s="156"/>
      <c r="O771" s="156"/>
      <c r="P771" s="156"/>
      <c r="Q771" s="156"/>
      <c r="R771" s="156"/>
      <c r="S771" s="156"/>
      <c r="T771" s="156"/>
    </row>
    <row r="772" ht="26.25" customHeight="1">
      <c r="A772" s="167"/>
      <c r="B772" s="174"/>
      <c r="C772" s="174"/>
      <c r="D772" s="175"/>
      <c r="E772" s="156"/>
      <c r="F772" s="156"/>
      <c r="G772" s="156"/>
      <c r="H772" s="174"/>
      <c r="I772" s="174"/>
      <c r="J772" s="174"/>
      <c r="K772" s="156"/>
      <c r="L772" s="156"/>
      <c r="M772" s="156"/>
      <c r="N772" s="156"/>
      <c r="O772" s="156"/>
      <c r="P772" s="156"/>
      <c r="Q772" s="156"/>
      <c r="R772" s="156"/>
      <c r="S772" s="156"/>
      <c r="T772" s="156"/>
    </row>
    <row r="773" ht="26.25" customHeight="1">
      <c r="A773" s="167"/>
      <c r="B773" s="174"/>
      <c r="C773" s="174"/>
      <c r="D773" s="175"/>
      <c r="E773" s="156"/>
      <c r="F773" s="156"/>
      <c r="G773" s="156"/>
      <c r="H773" s="174"/>
      <c r="I773" s="174"/>
      <c r="J773" s="174"/>
      <c r="K773" s="156"/>
      <c r="L773" s="156"/>
      <c r="M773" s="156"/>
      <c r="N773" s="156"/>
      <c r="O773" s="156"/>
      <c r="P773" s="156"/>
      <c r="Q773" s="156"/>
      <c r="R773" s="156"/>
      <c r="S773" s="156"/>
      <c r="T773" s="156"/>
    </row>
    <row r="774" ht="26.25" customHeight="1">
      <c r="A774" s="167"/>
      <c r="B774" s="174"/>
      <c r="C774" s="174"/>
      <c r="D774" s="175"/>
      <c r="E774" s="156"/>
      <c r="F774" s="156"/>
      <c r="G774" s="156"/>
      <c r="H774" s="174"/>
      <c r="I774" s="174"/>
      <c r="J774" s="174"/>
      <c r="K774" s="156"/>
      <c r="L774" s="156"/>
      <c r="M774" s="156"/>
      <c r="N774" s="156"/>
      <c r="O774" s="156"/>
      <c r="P774" s="156"/>
      <c r="Q774" s="156"/>
      <c r="R774" s="156"/>
      <c r="S774" s="156"/>
      <c r="T774" s="156"/>
    </row>
    <row r="775" ht="26.25" customHeight="1">
      <c r="A775" s="167"/>
      <c r="B775" s="174"/>
      <c r="C775" s="174"/>
      <c r="D775" s="175"/>
      <c r="E775" s="156"/>
      <c r="F775" s="156"/>
      <c r="G775" s="156"/>
      <c r="H775" s="174"/>
      <c r="I775" s="174"/>
      <c r="J775" s="174"/>
      <c r="K775" s="156"/>
      <c r="L775" s="156"/>
      <c r="M775" s="156"/>
      <c r="N775" s="156"/>
      <c r="O775" s="156"/>
      <c r="P775" s="156"/>
      <c r="Q775" s="156"/>
      <c r="R775" s="156"/>
      <c r="S775" s="156"/>
      <c r="T775" s="156"/>
    </row>
    <row r="776" ht="26.25" customHeight="1">
      <c r="A776" s="167"/>
      <c r="B776" s="174"/>
      <c r="C776" s="174"/>
      <c r="D776" s="175"/>
      <c r="E776" s="156"/>
      <c r="F776" s="156"/>
      <c r="G776" s="156"/>
      <c r="H776" s="174"/>
      <c r="I776" s="174"/>
      <c r="J776" s="174"/>
      <c r="K776" s="156"/>
      <c r="L776" s="156"/>
      <c r="M776" s="156"/>
      <c r="N776" s="156"/>
      <c r="O776" s="156"/>
      <c r="P776" s="156"/>
      <c r="Q776" s="156"/>
      <c r="R776" s="156"/>
      <c r="S776" s="156"/>
      <c r="T776" s="156"/>
    </row>
    <row r="777" ht="26.25" customHeight="1">
      <c r="A777" s="167"/>
      <c r="B777" s="174"/>
      <c r="C777" s="174"/>
      <c r="D777" s="175"/>
      <c r="E777" s="156"/>
      <c r="F777" s="156"/>
      <c r="G777" s="156"/>
      <c r="H777" s="174"/>
      <c r="I777" s="174"/>
      <c r="J777" s="174"/>
      <c r="K777" s="156"/>
      <c r="L777" s="156"/>
      <c r="M777" s="156"/>
      <c r="N777" s="156"/>
      <c r="O777" s="156"/>
      <c r="P777" s="156"/>
      <c r="Q777" s="156"/>
      <c r="R777" s="156"/>
      <c r="S777" s="156"/>
      <c r="T777" s="156"/>
    </row>
    <row r="778" ht="26.25" customHeight="1">
      <c r="A778" s="167"/>
      <c r="B778" s="174"/>
      <c r="C778" s="174"/>
      <c r="D778" s="175"/>
      <c r="E778" s="156"/>
      <c r="F778" s="156"/>
      <c r="G778" s="156"/>
      <c r="H778" s="174"/>
      <c r="I778" s="174"/>
      <c r="J778" s="174"/>
      <c r="K778" s="156"/>
      <c r="L778" s="156"/>
      <c r="M778" s="156"/>
      <c r="N778" s="156"/>
      <c r="O778" s="156"/>
      <c r="P778" s="156"/>
      <c r="Q778" s="156"/>
      <c r="R778" s="156"/>
      <c r="S778" s="156"/>
      <c r="T778" s="156"/>
    </row>
    <row r="779" ht="26.25" customHeight="1">
      <c r="A779" s="167"/>
      <c r="B779" s="174"/>
      <c r="C779" s="174"/>
      <c r="D779" s="175"/>
      <c r="E779" s="156"/>
      <c r="F779" s="156"/>
      <c r="G779" s="156"/>
      <c r="H779" s="174"/>
      <c r="I779" s="174"/>
      <c r="J779" s="174"/>
      <c r="K779" s="156"/>
      <c r="L779" s="156"/>
      <c r="M779" s="156"/>
      <c r="N779" s="156"/>
      <c r="O779" s="156"/>
      <c r="P779" s="156"/>
      <c r="Q779" s="156"/>
      <c r="R779" s="156"/>
      <c r="S779" s="156"/>
      <c r="T779" s="156"/>
    </row>
    <row r="780" ht="26.25" customHeight="1">
      <c r="A780" s="167"/>
      <c r="B780" s="174"/>
      <c r="C780" s="174"/>
      <c r="D780" s="175"/>
      <c r="E780" s="156"/>
      <c r="F780" s="156"/>
      <c r="G780" s="156"/>
      <c r="H780" s="174"/>
      <c r="I780" s="174"/>
      <c r="J780" s="174"/>
      <c r="K780" s="156"/>
      <c r="L780" s="156"/>
      <c r="M780" s="156"/>
      <c r="N780" s="156"/>
      <c r="O780" s="156"/>
      <c r="P780" s="156"/>
      <c r="Q780" s="156"/>
      <c r="R780" s="156"/>
      <c r="S780" s="156"/>
      <c r="T780" s="156"/>
    </row>
    <row r="781" ht="26.25" customHeight="1">
      <c r="A781" s="167"/>
      <c r="B781" s="174"/>
      <c r="C781" s="174"/>
      <c r="D781" s="175"/>
      <c r="E781" s="156"/>
      <c r="F781" s="156"/>
      <c r="G781" s="156"/>
      <c r="H781" s="174"/>
      <c r="I781" s="174"/>
      <c r="J781" s="174"/>
      <c r="K781" s="156"/>
      <c r="L781" s="156"/>
      <c r="M781" s="156"/>
      <c r="N781" s="156"/>
      <c r="O781" s="156"/>
      <c r="P781" s="156"/>
      <c r="Q781" s="156"/>
      <c r="R781" s="156"/>
      <c r="S781" s="156"/>
      <c r="T781" s="156"/>
    </row>
    <row r="782" ht="26.25" customHeight="1">
      <c r="A782" s="167"/>
      <c r="B782" s="174"/>
      <c r="C782" s="174"/>
      <c r="D782" s="175"/>
      <c r="E782" s="156"/>
      <c r="F782" s="156"/>
      <c r="G782" s="156"/>
      <c r="H782" s="174"/>
      <c r="I782" s="174"/>
      <c r="J782" s="174"/>
      <c r="K782" s="156"/>
      <c r="L782" s="156"/>
      <c r="M782" s="156"/>
      <c r="N782" s="156"/>
      <c r="O782" s="156"/>
      <c r="P782" s="156"/>
      <c r="Q782" s="156"/>
      <c r="R782" s="156"/>
      <c r="S782" s="156"/>
      <c r="T782" s="156"/>
    </row>
    <row r="783" ht="26.25" customHeight="1">
      <c r="A783" s="167"/>
      <c r="B783" s="174"/>
      <c r="C783" s="174"/>
      <c r="D783" s="175"/>
      <c r="E783" s="156"/>
      <c r="F783" s="156"/>
      <c r="G783" s="156"/>
      <c r="H783" s="174"/>
      <c r="I783" s="174"/>
      <c r="J783" s="174"/>
      <c r="K783" s="156"/>
      <c r="L783" s="156"/>
      <c r="M783" s="156"/>
      <c r="N783" s="156"/>
      <c r="O783" s="156"/>
      <c r="P783" s="156"/>
      <c r="Q783" s="156"/>
      <c r="R783" s="156"/>
      <c r="S783" s="156"/>
      <c r="T783" s="156"/>
    </row>
    <row r="784" ht="26.25" customHeight="1">
      <c r="A784" s="167"/>
      <c r="B784" s="174"/>
      <c r="C784" s="174"/>
      <c r="D784" s="175"/>
      <c r="E784" s="156"/>
      <c r="F784" s="156"/>
      <c r="G784" s="156"/>
      <c r="H784" s="174"/>
      <c r="I784" s="174"/>
      <c r="J784" s="174"/>
      <c r="K784" s="156"/>
      <c r="L784" s="156"/>
      <c r="M784" s="156"/>
      <c r="N784" s="156"/>
      <c r="O784" s="156"/>
      <c r="P784" s="156"/>
      <c r="Q784" s="156"/>
      <c r="R784" s="156"/>
      <c r="S784" s="156"/>
      <c r="T784" s="156"/>
    </row>
    <row r="785" ht="26.25" customHeight="1">
      <c r="A785" s="167"/>
      <c r="B785" s="174"/>
      <c r="C785" s="174"/>
      <c r="D785" s="175"/>
      <c r="E785" s="156"/>
      <c r="F785" s="156"/>
      <c r="G785" s="156"/>
      <c r="H785" s="174"/>
      <c r="I785" s="174"/>
      <c r="J785" s="174"/>
      <c r="K785" s="156"/>
      <c r="L785" s="156"/>
      <c r="M785" s="156"/>
      <c r="N785" s="156"/>
      <c r="O785" s="156"/>
      <c r="P785" s="156"/>
      <c r="Q785" s="156"/>
      <c r="R785" s="156"/>
      <c r="S785" s="156"/>
      <c r="T785" s="156"/>
    </row>
    <row r="786" ht="26.25" customHeight="1">
      <c r="A786" s="167"/>
      <c r="B786" s="174"/>
      <c r="C786" s="174"/>
      <c r="D786" s="175"/>
      <c r="E786" s="156"/>
      <c r="F786" s="156"/>
      <c r="G786" s="156"/>
      <c r="H786" s="174"/>
      <c r="I786" s="174"/>
      <c r="J786" s="174"/>
      <c r="K786" s="156"/>
      <c r="L786" s="156"/>
      <c r="M786" s="156"/>
      <c r="N786" s="156"/>
      <c r="O786" s="156"/>
      <c r="P786" s="156"/>
      <c r="Q786" s="156"/>
      <c r="R786" s="156"/>
      <c r="S786" s="156"/>
      <c r="T786" s="156"/>
    </row>
    <row r="787" ht="26.25" customHeight="1">
      <c r="A787" s="167"/>
      <c r="B787" s="174"/>
      <c r="C787" s="174"/>
      <c r="D787" s="175"/>
      <c r="E787" s="156"/>
      <c r="F787" s="156"/>
      <c r="G787" s="156"/>
      <c r="H787" s="174"/>
      <c r="I787" s="174"/>
      <c r="J787" s="174"/>
      <c r="K787" s="156"/>
      <c r="L787" s="156"/>
      <c r="M787" s="156"/>
      <c r="N787" s="156"/>
      <c r="O787" s="156"/>
      <c r="P787" s="156"/>
      <c r="Q787" s="156"/>
      <c r="R787" s="156"/>
      <c r="S787" s="156"/>
      <c r="T787" s="156"/>
    </row>
    <row r="788" ht="26.25" customHeight="1">
      <c r="A788" s="167"/>
      <c r="B788" s="174"/>
      <c r="C788" s="174"/>
      <c r="D788" s="175"/>
      <c r="E788" s="156"/>
      <c r="F788" s="156"/>
      <c r="G788" s="156"/>
      <c r="H788" s="174"/>
      <c r="I788" s="174"/>
      <c r="J788" s="174"/>
      <c r="K788" s="156"/>
      <c r="L788" s="156"/>
      <c r="M788" s="156"/>
      <c r="N788" s="156"/>
      <c r="O788" s="156"/>
      <c r="P788" s="156"/>
      <c r="Q788" s="156"/>
      <c r="R788" s="156"/>
      <c r="S788" s="156"/>
      <c r="T788" s="156"/>
    </row>
    <row r="789" ht="26.25" customHeight="1">
      <c r="A789" s="167"/>
      <c r="B789" s="174"/>
      <c r="C789" s="174"/>
      <c r="D789" s="175"/>
      <c r="E789" s="156"/>
      <c r="F789" s="156"/>
      <c r="G789" s="156"/>
      <c r="H789" s="174"/>
      <c r="I789" s="174"/>
      <c r="J789" s="174"/>
      <c r="K789" s="156"/>
      <c r="L789" s="156"/>
      <c r="M789" s="156"/>
      <c r="N789" s="156"/>
      <c r="O789" s="156"/>
      <c r="P789" s="156"/>
      <c r="Q789" s="156"/>
      <c r="R789" s="156"/>
      <c r="S789" s="156"/>
      <c r="T789" s="156"/>
    </row>
    <row r="790" ht="26.25" customHeight="1">
      <c r="A790" s="167"/>
      <c r="B790" s="174"/>
      <c r="C790" s="174"/>
      <c r="D790" s="175"/>
      <c r="E790" s="156"/>
      <c r="F790" s="156"/>
      <c r="G790" s="156"/>
      <c r="H790" s="174"/>
      <c r="I790" s="174"/>
      <c r="J790" s="174"/>
      <c r="K790" s="156"/>
      <c r="L790" s="156"/>
      <c r="M790" s="156"/>
      <c r="N790" s="156"/>
      <c r="O790" s="156"/>
      <c r="P790" s="156"/>
      <c r="Q790" s="156"/>
      <c r="R790" s="156"/>
      <c r="S790" s="156"/>
      <c r="T790" s="156"/>
    </row>
    <row r="791" ht="26.25" customHeight="1">
      <c r="A791" s="167"/>
      <c r="B791" s="174"/>
      <c r="C791" s="174"/>
      <c r="D791" s="175"/>
      <c r="E791" s="156"/>
      <c r="F791" s="156"/>
      <c r="G791" s="156"/>
      <c r="H791" s="174"/>
      <c r="I791" s="174"/>
      <c r="J791" s="174"/>
      <c r="K791" s="156"/>
      <c r="L791" s="156"/>
      <c r="M791" s="156"/>
      <c r="N791" s="156"/>
      <c r="O791" s="156"/>
      <c r="P791" s="156"/>
      <c r="Q791" s="156"/>
      <c r="R791" s="156"/>
      <c r="S791" s="156"/>
      <c r="T791" s="156"/>
    </row>
    <row r="792" ht="26.25" customHeight="1">
      <c r="A792" s="167"/>
      <c r="B792" s="174"/>
      <c r="C792" s="174"/>
      <c r="D792" s="175"/>
      <c r="E792" s="156"/>
      <c r="F792" s="156"/>
      <c r="G792" s="156"/>
      <c r="H792" s="174"/>
      <c r="I792" s="174"/>
      <c r="J792" s="174"/>
      <c r="K792" s="156"/>
      <c r="L792" s="156"/>
      <c r="M792" s="156"/>
      <c r="N792" s="156"/>
      <c r="O792" s="156"/>
      <c r="P792" s="156"/>
      <c r="Q792" s="156"/>
      <c r="R792" s="156"/>
      <c r="S792" s="156"/>
      <c r="T792" s="156"/>
    </row>
    <row r="793" ht="26.25" customHeight="1">
      <c r="A793" s="167"/>
      <c r="B793" s="174"/>
      <c r="C793" s="174"/>
      <c r="D793" s="175"/>
      <c r="E793" s="156"/>
      <c r="F793" s="156"/>
      <c r="G793" s="156"/>
      <c r="H793" s="174"/>
      <c r="I793" s="174"/>
      <c r="J793" s="174"/>
      <c r="K793" s="156"/>
      <c r="L793" s="156"/>
      <c r="M793" s="156"/>
      <c r="N793" s="156"/>
      <c r="O793" s="156"/>
      <c r="P793" s="156"/>
      <c r="Q793" s="156"/>
      <c r="R793" s="156"/>
      <c r="S793" s="156"/>
      <c r="T793" s="156"/>
    </row>
    <row r="794" ht="26.25" customHeight="1">
      <c r="A794" s="167"/>
      <c r="B794" s="174"/>
      <c r="C794" s="174"/>
      <c r="D794" s="175"/>
      <c r="E794" s="156"/>
      <c r="F794" s="156"/>
      <c r="G794" s="156"/>
      <c r="H794" s="174"/>
      <c r="I794" s="174"/>
      <c r="J794" s="174"/>
      <c r="K794" s="156"/>
      <c r="L794" s="156"/>
      <c r="M794" s="156"/>
      <c r="N794" s="156"/>
      <c r="O794" s="156"/>
      <c r="P794" s="156"/>
      <c r="Q794" s="156"/>
      <c r="R794" s="156"/>
      <c r="S794" s="156"/>
      <c r="T794" s="156"/>
    </row>
    <row r="795" ht="26.25" customHeight="1">
      <c r="A795" s="167"/>
      <c r="B795" s="174"/>
      <c r="C795" s="174"/>
      <c r="D795" s="175"/>
      <c r="E795" s="156"/>
      <c r="F795" s="156"/>
      <c r="G795" s="156"/>
      <c r="H795" s="174"/>
      <c r="I795" s="174"/>
      <c r="J795" s="174"/>
      <c r="K795" s="156"/>
      <c r="L795" s="156"/>
      <c r="M795" s="156"/>
      <c r="N795" s="156"/>
      <c r="O795" s="156"/>
      <c r="P795" s="156"/>
      <c r="Q795" s="156"/>
      <c r="R795" s="156"/>
      <c r="S795" s="156"/>
      <c r="T795" s="156"/>
    </row>
    <row r="796" ht="26.25" customHeight="1">
      <c r="A796" s="167"/>
      <c r="B796" s="174"/>
      <c r="C796" s="174"/>
      <c r="D796" s="175"/>
      <c r="E796" s="156"/>
      <c r="F796" s="156"/>
      <c r="G796" s="156"/>
      <c r="H796" s="174"/>
      <c r="I796" s="174"/>
      <c r="J796" s="174"/>
      <c r="K796" s="156"/>
      <c r="L796" s="156"/>
      <c r="M796" s="156"/>
      <c r="N796" s="156"/>
      <c r="O796" s="156"/>
      <c r="P796" s="156"/>
      <c r="Q796" s="156"/>
      <c r="R796" s="156"/>
      <c r="S796" s="156"/>
      <c r="T796" s="156"/>
    </row>
    <row r="797" ht="26.25" customHeight="1">
      <c r="A797" s="167"/>
      <c r="B797" s="174"/>
      <c r="C797" s="174"/>
      <c r="D797" s="175"/>
      <c r="E797" s="156"/>
      <c r="F797" s="156"/>
      <c r="G797" s="156"/>
      <c r="H797" s="174"/>
      <c r="I797" s="174"/>
      <c r="J797" s="174"/>
      <c r="K797" s="156"/>
      <c r="L797" s="156"/>
      <c r="M797" s="156"/>
      <c r="N797" s="156"/>
      <c r="O797" s="156"/>
      <c r="P797" s="156"/>
      <c r="Q797" s="156"/>
      <c r="R797" s="156"/>
      <c r="S797" s="156"/>
      <c r="T797" s="156"/>
    </row>
    <row r="798" ht="26.25" customHeight="1">
      <c r="A798" s="167"/>
      <c r="B798" s="174"/>
      <c r="C798" s="174"/>
      <c r="D798" s="175"/>
      <c r="E798" s="156"/>
      <c r="F798" s="156"/>
      <c r="G798" s="156"/>
      <c r="H798" s="174"/>
      <c r="I798" s="174"/>
      <c r="J798" s="174"/>
      <c r="K798" s="156"/>
      <c r="L798" s="156"/>
      <c r="M798" s="156"/>
      <c r="N798" s="156"/>
      <c r="O798" s="156"/>
      <c r="P798" s="156"/>
      <c r="Q798" s="156"/>
      <c r="R798" s="156"/>
      <c r="S798" s="156"/>
      <c r="T798" s="156"/>
    </row>
    <row r="799" ht="26.25" customHeight="1">
      <c r="A799" s="167"/>
      <c r="B799" s="174"/>
      <c r="C799" s="174"/>
      <c r="D799" s="175"/>
      <c r="E799" s="156"/>
      <c r="F799" s="156"/>
      <c r="G799" s="156"/>
      <c r="H799" s="174"/>
      <c r="I799" s="174"/>
      <c r="J799" s="174"/>
      <c r="K799" s="156"/>
      <c r="L799" s="156"/>
      <c r="M799" s="156"/>
      <c r="N799" s="156"/>
      <c r="O799" s="156"/>
      <c r="P799" s="156"/>
      <c r="Q799" s="156"/>
      <c r="R799" s="156"/>
      <c r="S799" s="156"/>
      <c r="T799" s="156"/>
    </row>
    <row r="800" ht="26.25" customHeight="1">
      <c r="A800" s="167"/>
      <c r="B800" s="174"/>
      <c r="C800" s="174"/>
      <c r="D800" s="175"/>
      <c r="E800" s="156"/>
      <c r="F800" s="156"/>
      <c r="G800" s="156"/>
      <c r="H800" s="174"/>
      <c r="I800" s="174"/>
      <c r="J800" s="174"/>
      <c r="K800" s="156"/>
      <c r="L800" s="156"/>
      <c r="M800" s="156"/>
      <c r="N800" s="156"/>
      <c r="O800" s="156"/>
      <c r="P800" s="156"/>
      <c r="Q800" s="156"/>
      <c r="R800" s="156"/>
      <c r="S800" s="156"/>
      <c r="T800" s="156"/>
    </row>
    <row r="801" ht="26.25" customHeight="1">
      <c r="A801" s="167"/>
      <c r="B801" s="174"/>
      <c r="C801" s="174"/>
      <c r="D801" s="175"/>
      <c r="E801" s="156"/>
      <c r="F801" s="156"/>
      <c r="G801" s="156"/>
      <c r="H801" s="174"/>
      <c r="I801" s="174"/>
      <c r="J801" s="174"/>
      <c r="K801" s="156"/>
      <c r="L801" s="156"/>
      <c r="M801" s="156"/>
      <c r="N801" s="156"/>
      <c r="O801" s="156"/>
      <c r="P801" s="156"/>
      <c r="Q801" s="156"/>
      <c r="R801" s="156"/>
      <c r="S801" s="156"/>
      <c r="T801" s="156"/>
    </row>
    <row r="802" ht="26.25" customHeight="1">
      <c r="A802" s="167"/>
      <c r="B802" s="174"/>
      <c r="C802" s="174"/>
      <c r="D802" s="175"/>
      <c r="E802" s="156"/>
      <c r="F802" s="156"/>
      <c r="G802" s="156"/>
      <c r="H802" s="174"/>
      <c r="I802" s="174"/>
      <c r="J802" s="174"/>
      <c r="K802" s="156"/>
      <c r="L802" s="156"/>
      <c r="M802" s="156"/>
      <c r="N802" s="156"/>
      <c r="O802" s="156"/>
      <c r="P802" s="156"/>
      <c r="Q802" s="156"/>
      <c r="R802" s="156"/>
      <c r="S802" s="156"/>
      <c r="T802" s="156"/>
    </row>
    <row r="803" ht="26.25" customHeight="1">
      <c r="A803" s="167"/>
      <c r="B803" s="174"/>
      <c r="C803" s="174"/>
      <c r="D803" s="175"/>
      <c r="E803" s="156"/>
      <c r="F803" s="156"/>
      <c r="G803" s="156"/>
      <c r="H803" s="174"/>
      <c r="I803" s="174"/>
      <c r="J803" s="174"/>
      <c r="K803" s="156"/>
      <c r="L803" s="156"/>
      <c r="M803" s="156"/>
      <c r="N803" s="156"/>
      <c r="O803" s="156"/>
      <c r="P803" s="156"/>
      <c r="Q803" s="156"/>
      <c r="R803" s="156"/>
      <c r="S803" s="156"/>
      <c r="T803" s="156"/>
    </row>
    <row r="804" ht="26.25" customHeight="1">
      <c r="A804" s="167"/>
      <c r="B804" s="174"/>
      <c r="C804" s="174"/>
      <c r="D804" s="175"/>
      <c r="E804" s="156"/>
      <c r="F804" s="156"/>
      <c r="G804" s="156"/>
      <c r="H804" s="174"/>
      <c r="I804" s="174"/>
      <c r="J804" s="174"/>
      <c r="K804" s="156"/>
      <c r="L804" s="156"/>
      <c r="M804" s="156"/>
      <c r="N804" s="156"/>
      <c r="O804" s="156"/>
      <c r="P804" s="156"/>
      <c r="Q804" s="156"/>
      <c r="R804" s="156"/>
      <c r="S804" s="156"/>
      <c r="T804" s="156"/>
    </row>
    <row r="805" ht="26.25" customHeight="1">
      <c r="A805" s="167"/>
      <c r="B805" s="174"/>
      <c r="C805" s="174"/>
      <c r="D805" s="175"/>
      <c r="E805" s="156"/>
      <c r="F805" s="156"/>
      <c r="G805" s="156"/>
      <c r="H805" s="174"/>
      <c r="I805" s="174"/>
      <c r="J805" s="174"/>
      <c r="K805" s="156"/>
      <c r="L805" s="156"/>
      <c r="M805" s="156"/>
      <c r="N805" s="156"/>
      <c r="O805" s="156"/>
      <c r="P805" s="156"/>
      <c r="Q805" s="156"/>
      <c r="R805" s="156"/>
      <c r="S805" s="156"/>
      <c r="T805" s="156"/>
    </row>
    <row r="806" ht="26.25" customHeight="1">
      <c r="A806" s="167"/>
      <c r="B806" s="174"/>
      <c r="C806" s="174"/>
      <c r="D806" s="175"/>
      <c r="E806" s="156"/>
      <c r="F806" s="156"/>
      <c r="G806" s="156"/>
      <c r="H806" s="174"/>
      <c r="I806" s="174"/>
      <c r="J806" s="174"/>
      <c r="K806" s="156"/>
      <c r="L806" s="156"/>
      <c r="M806" s="156"/>
      <c r="N806" s="156"/>
      <c r="O806" s="156"/>
      <c r="P806" s="156"/>
      <c r="Q806" s="156"/>
      <c r="R806" s="156"/>
      <c r="S806" s="156"/>
      <c r="T806" s="156"/>
    </row>
    <row r="807" ht="26.25" customHeight="1">
      <c r="A807" s="167"/>
      <c r="B807" s="174"/>
      <c r="C807" s="174"/>
      <c r="D807" s="175"/>
      <c r="E807" s="156"/>
      <c r="F807" s="156"/>
      <c r="G807" s="156"/>
      <c r="H807" s="174"/>
      <c r="I807" s="174"/>
      <c r="J807" s="174"/>
      <c r="K807" s="156"/>
      <c r="L807" s="156"/>
      <c r="M807" s="156"/>
      <c r="N807" s="156"/>
      <c r="O807" s="156"/>
      <c r="P807" s="156"/>
      <c r="Q807" s="156"/>
      <c r="R807" s="156"/>
      <c r="S807" s="156"/>
      <c r="T807" s="156"/>
    </row>
    <row r="808" ht="26.25" customHeight="1">
      <c r="A808" s="167"/>
      <c r="B808" s="174"/>
      <c r="C808" s="174"/>
      <c r="D808" s="175"/>
      <c r="E808" s="156"/>
      <c r="F808" s="156"/>
      <c r="G808" s="156"/>
      <c r="H808" s="174"/>
      <c r="I808" s="174"/>
      <c r="J808" s="174"/>
      <c r="K808" s="156"/>
      <c r="L808" s="156"/>
      <c r="M808" s="156"/>
      <c r="N808" s="156"/>
      <c r="O808" s="156"/>
      <c r="P808" s="156"/>
      <c r="Q808" s="156"/>
      <c r="R808" s="156"/>
      <c r="S808" s="156"/>
      <c r="T808" s="156"/>
    </row>
    <row r="809" ht="26.25" customHeight="1">
      <c r="A809" s="167"/>
      <c r="B809" s="174"/>
      <c r="C809" s="174"/>
      <c r="D809" s="175"/>
      <c r="E809" s="156"/>
      <c r="F809" s="156"/>
      <c r="G809" s="156"/>
      <c r="H809" s="174"/>
      <c r="I809" s="174"/>
      <c r="J809" s="174"/>
      <c r="K809" s="156"/>
      <c r="L809" s="156"/>
      <c r="M809" s="156"/>
      <c r="N809" s="156"/>
      <c r="O809" s="156"/>
      <c r="P809" s="156"/>
      <c r="Q809" s="156"/>
      <c r="R809" s="156"/>
      <c r="S809" s="156"/>
      <c r="T809" s="156"/>
    </row>
    <row r="810" ht="26.25" customHeight="1">
      <c r="A810" s="167"/>
      <c r="B810" s="174"/>
      <c r="C810" s="174"/>
      <c r="D810" s="175"/>
      <c r="E810" s="156"/>
      <c r="F810" s="156"/>
      <c r="G810" s="156"/>
      <c r="H810" s="174"/>
      <c r="I810" s="174"/>
      <c r="J810" s="174"/>
      <c r="K810" s="156"/>
      <c r="L810" s="156"/>
      <c r="M810" s="156"/>
      <c r="N810" s="156"/>
      <c r="O810" s="156"/>
      <c r="P810" s="156"/>
      <c r="Q810" s="156"/>
      <c r="R810" s="156"/>
      <c r="S810" s="156"/>
      <c r="T810" s="156"/>
    </row>
    <row r="811" ht="26.25" customHeight="1">
      <c r="A811" s="167"/>
      <c r="B811" s="174"/>
      <c r="C811" s="174"/>
      <c r="D811" s="175"/>
      <c r="E811" s="156"/>
      <c r="F811" s="156"/>
      <c r="G811" s="156"/>
      <c r="H811" s="174"/>
      <c r="I811" s="174"/>
      <c r="J811" s="174"/>
      <c r="K811" s="156"/>
      <c r="L811" s="156"/>
      <c r="M811" s="156"/>
      <c r="N811" s="156"/>
      <c r="O811" s="156"/>
      <c r="P811" s="156"/>
      <c r="Q811" s="156"/>
      <c r="R811" s="156"/>
      <c r="S811" s="156"/>
      <c r="T811" s="156"/>
    </row>
    <row r="812" ht="26.25" customHeight="1">
      <c r="A812" s="167"/>
      <c r="B812" s="174"/>
      <c r="C812" s="174"/>
      <c r="D812" s="175"/>
      <c r="E812" s="156"/>
      <c r="F812" s="156"/>
      <c r="G812" s="156"/>
      <c r="H812" s="174"/>
      <c r="I812" s="174"/>
      <c r="J812" s="174"/>
      <c r="K812" s="156"/>
      <c r="L812" s="156"/>
      <c r="M812" s="156"/>
      <c r="N812" s="156"/>
      <c r="O812" s="156"/>
      <c r="P812" s="156"/>
      <c r="Q812" s="156"/>
      <c r="R812" s="156"/>
      <c r="S812" s="156"/>
      <c r="T812" s="156"/>
    </row>
    <row r="813" ht="26.25" customHeight="1">
      <c r="A813" s="167"/>
      <c r="B813" s="174"/>
      <c r="C813" s="174"/>
      <c r="D813" s="175"/>
      <c r="E813" s="156"/>
      <c r="F813" s="156"/>
      <c r="G813" s="156"/>
      <c r="H813" s="174"/>
      <c r="I813" s="174"/>
      <c r="J813" s="174"/>
      <c r="K813" s="156"/>
      <c r="L813" s="156"/>
      <c r="M813" s="156"/>
      <c r="N813" s="156"/>
      <c r="O813" s="156"/>
      <c r="P813" s="156"/>
      <c r="Q813" s="156"/>
      <c r="R813" s="156"/>
      <c r="S813" s="156"/>
      <c r="T813" s="156"/>
    </row>
    <row r="814" ht="26.25" customHeight="1">
      <c r="A814" s="167"/>
      <c r="B814" s="174"/>
      <c r="C814" s="174"/>
      <c r="D814" s="175"/>
      <c r="E814" s="156"/>
      <c r="F814" s="156"/>
      <c r="G814" s="156"/>
      <c r="H814" s="174"/>
      <c r="I814" s="174"/>
      <c r="J814" s="174"/>
      <c r="K814" s="156"/>
      <c r="L814" s="156"/>
      <c r="M814" s="156"/>
      <c r="N814" s="156"/>
      <c r="O814" s="156"/>
      <c r="P814" s="156"/>
      <c r="Q814" s="156"/>
      <c r="R814" s="156"/>
      <c r="S814" s="156"/>
      <c r="T814" s="156"/>
    </row>
    <row r="815" ht="26.25" customHeight="1">
      <c r="A815" s="167"/>
      <c r="B815" s="174"/>
      <c r="C815" s="174"/>
      <c r="D815" s="175"/>
      <c r="E815" s="156"/>
      <c r="F815" s="156"/>
      <c r="G815" s="156"/>
      <c r="H815" s="174"/>
      <c r="I815" s="174"/>
      <c r="J815" s="174"/>
      <c r="K815" s="156"/>
      <c r="L815" s="156"/>
      <c r="M815" s="156"/>
      <c r="N815" s="156"/>
      <c r="O815" s="156"/>
      <c r="P815" s="156"/>
      <c r="Q815" s="156"/>
      <c r="R815" s="156"/>
      <c r="S815" s="156"/>
      <c r="T815" s="156"/>
    </row>
    <row r="816" ht="26.25" customHeight="1">
      <c r="A816" s="167"/>
      <c r="B816" s="174"/>
      <c r="C816" s="174"/>
      <c r="D816" s="175"/>
      <c r="E816" s="156"/>
      <c r="F816" s="156"/>
      <c r="G816" s="156"/>
      <c r="H816" s="174"/>
      <c r="I816" s="174"/>
      <c r="J816" s="174"/>
      <c r="K816" s="156"/>
      <c r="L816" s="156"/>
      <c r="M816" s="156"/>
      <c r="N816" s="156"/>
      <c r="O816" s="156"/>
      <c r="P816" s="156"/>
      <c r="Q816" s="156"/>
      <c r="R816" s="156"/>
      <c r="S816" s="156"/>
      <c r="T816" s="156"/>
    </row>
    <row r="817" ht="26.25" customHeight="1">
      <c r="A817" s="167"/>
      <c r="B817" s="174"/>
      <c r="C817" s="174"/>
      <c r="D817" s="175"/>
      <c r="E817" s="156"/>
      <c r="F817" s="156"/>
      <c r="G817" s="156"/>
      <c r="H817" s="174"/>
      <c r="I817" s="174"/>
      <c r="J817" s="174"/>
      <c r="K817" s="156"/>
      <c r="L817" s="156"/>
      <c r="M817" s="156"/>
      <c r="N817" s="156"/>
      <c r="O817" s="156"/>
      <c r="P817" s="156"/>
      <c r="Q817" s="156"/>
      <c r="R817" s="156"/>
      <c r="S817" s="156"/>
      <c r="T817" s="156"/>
    </row>
    <row r="818" ht="26.25" customHeight="1">
      <c r="A818" s="167"/>
      <c r="B818" s="174"/>
      <c r="C818" s="174"/>
      <c r="D818" s="175"/>
      <c r="E818" s="156"/>
      <c r="F818" s="156"/>
      <c r="G818" s="156"/>
      <c r="H818" s="174"/>
      <c r="I818" s="174"/>
      <c r="J818" s="174"/>
      <c r="K818" s="156"/>
      <c r="L818" s="156"/>
      <c r="M818" s="156"/>
      <c r="N818" s="156"/>
      <c r="O818" s="156"/>
      <c r="P818" s="156"/>
      <c r="Q818" s="156"/>
      <c r="R818" s="156"/>
      <c r="S818" s="156"/>
      <c r="T818" s="156"/>
    </row>
    <row r="819" ht="26.25" customHeight="1">
      <c r="A819" s="167"/>
      <c r="B819" s="174"/>
      <c r="C819" s="174"/>
      <c r="D819" s="175"/>
      <c r="E819" s="156"/>
      <c r="F819" s="156"/>
      <c r="G819" s="156"/>
      <c r="H819" s="174"/>
      <c r="I819" s="174"/>
      <c r="J819" s="174"/>
      <c r="K819" s="156"/>
      <c r="L819" s="156"/>
      <c r="M819" s="156"/>
      <c r="N819" s="156"/>
      <c r="O819" s="156"/>
      <c r="P819" s="156"/>
      <c r="Q819" s="156"/>
      <c r="R819" s="156"/>
      <c r="S819" s="156"/>
      <c r="T819" s="156"/>
    </row>
    <row r="820" ht="26.25" customHeight="1">
      <c r="A820" s="167"/>
      <c r="B820" s="174"/>
      <c r="C820" s="174"/>
      <c r="D820" s="175"/>
      <c r="E820" s="156"/>
      <c r="F820" s="156"/>
      <c r="G820" s="156"/>
      <c r="H820" s="174"/>
      <c r="I820" s="174"/>
      <c r="J820" s="174"/>
      <c r="K820" s="156"/>
      <c r="L820" s="156"/>
      <c r="M820" s="156"/>
      <c r="N820" s="156"/>
      <c r="O820" s="156"/>
      <c r="P820" s="156"/>
      <c r="Q820" s="156"/>
      <c r="R820" s="156"/>
      <c r="S820" s="156"/>
      <c r="T820" s="156"/>
    </row>
    <row r="821" ht="26.25" customHeight="1">
      <c r="A821" s="167"/>
      <c r="B821" s="174"/>
      <c r="C821" s="174"/>
      <c r="D821" s="175"/>
      <c r="E821" s="156"/>
      <c r="F821" s="156"/>
      <c r="G821" s="156"/>
      <c r="H821" s="174"/>
      <c r="I821" s="174"/>
      <c r="J821" s="174"/>
      <c r="K821" s="156"/>
      <c r="L821" s="156"/>
      <c r="M821" s="156"/>
      <c r="N821" s="156"/>
      <c r="O821" s="156"/>
      <c r="P821" s="156"/>
      <c r="Q821" s="156"/>
      <c r="R821" s="156"/>
      <c r="S821" s="156"/>
      <c r="T821" s="156"/>
    </row>
    <row r="822" ht="26.25" customHeight="1">
      <c r="A822" s="167"/>
      <c r="B822" s="174"/>
      <c r="C822" s="174"/>
      <c r="D822" s="175"/>
      <c r="E822" s="156"/>
      <c r="F822" s="156"/>
      <c r="G822" s="156"/>
      <c r="H822" s="174"/>
      <c r="I822" s="174"/>
      <c r="J822" s="174"/>
      <c r="K822" s="156"/>
      <c r="L822" s="156"/>
      <c r="M822" s="156"/>
      <c r="N822" s="156"/>
      <c r="O822" s="156"/>
      <c r="P822" s="156"/>
      <c r="Q822" s="156"/>
      <c r="R822" s="156"/>
      <c r="S822" s="156"/>
      <c r="T822" s="156"/>
    </row>
    <row r="823" ht="26.25" customHeight="1">
      <c r="A823" s="167"/>
      <c r="B823" s="174"/>
      <c r="C823" s="174"/>
      <c r="D823" s="175"/>
      <c r="E823" s="156"/>
      <c r="F823" s="156"/>
      <c r="G823" s="156"/>
      <c r="H823" s="174"/>
      <c r="I823" s="174"/>
      <c r="J823" s="174"/>
      <c r="K823" s="156"/>
      <c r="L823" s="156"/>
      <c r="M823" s="156"/>
      <c r="N823" s="156"/>
      <c r="O823" s="156"/>
      <c r="P823" s="156"/>
      <c r="Q823" s="156"/>
      <c r="R823" s="156"/>
      <c r="S823" s="156"/>
      <c r="T823" s="156"/>
    </row>
    <row r="824" ht="26.25" customHeight="1">
      <c r="A824" s="167"/>
      <c r="B824" s="174"/>
      <c r="C824" s="174"/>
      <c r="D824" s="175"/>
      <c r="E824" s="156"/>
      <c r="F824" s="156"/>
      <c r="G824" s="156"/>
      <c r="H824" s="174"/>
      <c r="I824" s="174"/>
      <c r="J824" s="174"/>
      <c r="K824" s="156"/>
      <c r="L824" s="156"/>
      <c r="M824" s="156"/>
      <c r="N824" s="156"/>
      <c r="O824" s="156"/>
      <c r="P824" s="156"/>
      <c r="Q824" s="156"/>
      <c r="R824" s="156"/>
      <c r="S824" s="156"/>
      <c r="T824" s="156"/>
    </row>
    <row r="825" ht="26.25" customHeight="1">
      <c r="A825" s="167"/>
      <c r="B825" s="174"/>
      <c r="C825" s="174"/>
      <c r="D825" s="175"/>
      <c r="E825" s="156"/>
      <c r="F825" s="156"/>
      <c r="G825" s="156"/>
      <c r="H825" s="174"/>
      <c r="I825" s="174"/>
      <c r="J825" s="174"/>
      <c r="K825" s="156"/>
      <c r="L825" s="156"/>
      <c r="M825" s="156"/>
      <c r="N825" s="156"/>
      <c r="O825" s="156"/>
      <c r="P825" s="156"/>
      <c r="Q825" s="156"/>
      <c r="R825" s="156"/>
      <c r="S825" s="156"/>
      <c r="T825" s="156"/>
    </row>
    <row r="826" ht="26.25" customHeight="1">
      <c r="A826" s="167"/>
      <c r="B826" s="174"/>
      <c r="C826" s="174"/>
      <c r="D826" s="175"/>
      <c r="E826" s="156"/>
      <c r="F826" s="156"/>
      <c r="G826" s="156"/>
      <c r="H826" s="174"/>
      <c r="I826" s="174"/>
      <c r="J826" s="174"/>
      <c r="K826" s="156"/>
      <c r="L826" s="156"/>
      <c r="M826" s="156"/>
      <c r="N826" s="156"/>
      <c r="O826" s="156"/>
      <c r="P826" s="156"/>
      <c r="Q826" s="156"/>
      <c r="R826" s="156"/>
      <c r="S826" s="156"/>
      <c r="T826" s="156"/>
    </row>
    <row r="827" ht="26.25" customHeight="1">
      <c r="A827" s="167"/>
      <c r="B827" s="174"/>
      <c r="C827" s="174"/>
      <c r="D827" s="175"/>
      <c r="E827" s="156"/>
      <c r="F827" s="156"/>
      <c r="G827" s="156"/>
      <c r="H827" s="174"/>
      <c r="I827" s="174"/>
      <c r="J827" s="174"/>
      <c r="K827" s="156"/>
      <c r="L827" s="156"/>
      <c r="M827" s="156"/>
      <c r="N827" s="156"/>
      <c r="O827" s="156"/>
      <c r="P827" s="156"/>
      <c r="Q827" s="156"/>
      <c r="R827" s="156"/>
      <c r="S827" s="156"/>
      <c r="T827" s="156"/>
    </row>
    <row r="828" ht="26.25" customHeight="1">
      <c r="A828" s="167"/>
      <c r="B828" s="174"/>
      <c r="C828" s="174"/>
      <c r="D828" s="175"/>
      <c r="E828" s="156"/>
      <c r="F828" s="156"/>
      <c r="G828" s="156"/>
      <c r="H828" s="174"/>
      <c r="I828" s="174"/>
      <c r="J828" s="174"/>
      <c r="K828" s="156"/>
      <c r="L828" s="156"/>
      <c r="M828" s="156"/>
      <c r="N828" s="156"/>
      <c r="O828" s="156"/>
      <c r="P828" s="156"/>
      <c r="Q828" s="156"/>
      <c r="R828" s="156"/>
      <c r="S828" s="156"/>
      <c r="T828" s="156"/>
    </row>
    <row r="829" ht="26.25" customHeight="1">
      <c r="A829" s="167"/>
      <c r="B829" s="174"/>
      <c r="C829" s="174"/>
      <c r="D829" s="175"/>
      <c r="E829" s="156"/>
      <c r="F829" s="156"/>
      <c r="G829" s="156"/>
      <c r="H829" s="174"/>
      <c r="I829" s="174"/>
      <c r="J829" s="174"/>
      <c r="K829" s="156"/>
      <c r="L829" s="156"/>
      <c r="M829" s="156"/>
      <c r="N829" s="156"/>
      <c r="O829" s="156"/>
      <c r="P829" s="156"/>
      <c r="Q829" s="156"/>
      <c r="R829" s="156"/>
      <c r="S829" s="156"/>
      <c r="T829" s="156"/>
    </row>
    <row r="830" ht="26.25" customHeight="1">
      <c r="A830" s="167"/>
      <c r="B830" s="174"/>
      <c r="C830" s="174"/>
      <c r="D830" s="175"/>
      <c r="E830" s="156"/>
      <c r="F830" s="156"/>
      <c r="G830" s="156"/>
      <c r="H830" s="174"/>
      <c r="I830" s="174"/>
      <c r="J830" s="174"/>
      <c r="K830" s="156"/>
      <c r="L830" s="156"/>
      <c r="M830" s="156"/>
      <c r="N830" s="156"/>
      <c r="O830" s="156"/>
      <c r="P830" s="156"/>
      <c r="Q830" s="156"/>
      <c r="R830" s="156"/>
      <c r="S830" s="156"/>
      <c r="T830" s="156"/>
    </row>
    <row r="831" ht="26.25" customHeight="1">
      <c r="A831" s="167"/>
      <c r="B831" s="174"/>
      <c r="C831" s="174"/>
      <c r="D831" s="175"/>
      <c r="E831" s="156"/>
      <c r="F831" s="156"/>
      <c r="G831" s="156"/>
      <c r="H831" s="174"/>
      <c r="I831" s="174"/>
      <c r="J831" s="174"/>
      <c r="K831" s="156"/>
      <c r="L831" s="156"/>
      <c r="M831" s="156"/>
      <c r="N831" s="156"/>
      <c r="O831" s="156"/>
      <c r="P831" s="156"/>
      <c r="Q831" s="156"/>
      <c r="R831" s="156"/>
      <c r="S831" s="156"/>
      <c r="T831" s="156"/>
    </row>
    <row r="832" ht="26.25" customHeight="1">
      <c r="A832" s="167"/>
      <c r="B832" s="174"/>
      <c r="C832" s="174"/>
      <c r="D832" s="175"/>
      <c r="E832" s="156"/>
      <c r="F832" s="156"/>
      <c r="G832" s="156"/>
      <c r="H832" s="174"/>
      <c r="I832" s="174"/>
      <c r="J832" s="174"/>
      <c r="K832" s="156"/>
      <c r="L832" s="156"/>
      <c r="M832" s="156"/>
      <c r="N832" s="156"/>
      <c r="O832" s="156"/>
      <c r="P832" s="156"/>
      <c r="Q832" s="156"/>
      <c r="R832" s="156"/>
      <c r="S832" s="156"/>
      <c r="T832" s="156"/>
    </row>
    <row r="833" ht="26.25" customHeight="1">
      <c r="A833" s="167"/>
      <c r="B833" s="174"/>
      <c r="C833" s="174"/>
      <c r="D833" s="175"/>
      <c r="E833" s="156"/>
      <c r="F833" s="156"/>
      <c r="G833" s="156"/>
      <c r="H833" s="174"/>
      <c r="I833" s="174"/>
      <c r="J833" s="174"/>
      <c r="K833" s="156"/>
      <c r="L833" s="156"/>
      <c r="M833" s="156"/>
      <c r="N833" s="156"/>
      <c r="O833" s="156"/>
      <c r="P833" s="156"/>
      <c r="Q833" s="156"/>
      <c r="R833" s="156"/>
      <c r="S833" s="156"/>
      <c r="T833" s="156"/>
    </row>
    <row r="834" ht="26.25" customHeight="1">
      <c r="A834" s="167"/>
      <c r="B834" s="174"/>
      <c r="C834" s="174"/>
      <c r="D834" s="175"/>
      <c r="E834" s="156"/>
      <c r="F834" s="156"/>
      <c r="G834" s="156"/>
      <c r="H834" s="174"/>
      <c r="I834" s="174"/>
      <c r="J834" s="174"/>
      <c r="K834" s="156"/>
      <c r="L834" s="156"/>
      <c r="M834" s="156"/>
      <c r="N834" s="156"/>
      <c r="O834" s="156"/>
      <c r="P834" s="156"/>
      <c r="Q834" s="156"/>
      <c r="R834" s="156"/>
      <c r="S834" s="156"/>
      <c r="T834" s="156"/>
    </row>
    <row r="835" ht="26.25" customHeight="1">
      <c r="A835" s="167"/>
      <c r="B835" s="174"/>
      <c r="C835" s="174"/>
      <c r="D835" s="175"/>
      <c r="E835" s="156"/>
      <c r="F835" s="156"/>
      <c r="G835" s="156"/>
      <c r="H835" s="174"/>
      <c r="I835" s="174"/>
      <c r="J835" s="174"/>
      <c r="K835" s="156"/>
      <c r="L835" s="156"/>
      <c r="M835" s="156"/>
      <c r="N835" s="156"/>
      <c r="O835" s="156"/>
      <c r="P835" s="156"/>
      <c r="Q835" s="156"/>
      <c r="R835" s="156"/>
      <c r="S835" s="156"/>
      <c r="T835" s="156"/>
    </row>
    <row r="836" ht="26.25" customHeight="1">
      <c r="A836" s="167"/>
      <c r="B836" s="174"/>
      <c r="C836" s="174"/>
      <c r="D836" s="175"/>
      <c r="E836" s="156"/>
      <c r="F836" s="156"/>
      <c r="G836" s="156"/>
      <c r="H836" s="174"/>
      <c r="I836" s="174"/>
      <c r="J836" s="174"/>
      <c r="K836" s="156"/>
      <c r="L836" s="156"/>
      <c r="M836" s="156"/>
      <c r="N836" s="156"/>
      <c r="O836" s="156"/>
      <c r="P836" s="156"/>
      <c r="Q836" s="156"/>
      <c r="R836" s="156"/>
      <c r="S836" s="156"/>
      <c r="T836" s="156"/>
    </row>
    <row r="837" ht="26.25" customHeight="1">
      <c r="A837" s="167"/>
      <c r="B837" s="174"/>
      <c r="C837" s="174"/>
      <c r="D837" s="175"/>
      <c r="E837" s="156"/>
      <c r="F837" s="156"/>
      <c r="G837" s="156"/>
      <c r="H837" s="174"/>
      <c r="I837" s="174"/>
      <c r="J837" s="174"/>
      <c r="K837" s="156"/>
      <c r="L837" s="156"/>
      <c r="M837" s="156"/>
      <c r="N837" s="156"/>
      <c r="O837" s="156"/>
      <c r="P837" s="156"/>
      <c r="Q837" s="156"/>
      <c r="R837" s="156"/>
      <c r="S837" s="156"/>
      <c r="T837" s="156"/>
    </row>
    <row r="838" ht="26.25" customHeight="1">
      <c r="A838" s="167"/>
      <c r="B838" s="174"/>
      <c r="C838" s="174"/>
      <c r="D838" s="175"/>
      <c r="E838" s="156"/>
      <c r="F838" s="156"/>
      <c r="G838" s="156"/>
      <c r="H838" s="174"/>
      <c r="I838" s="174"/>
      <c r="J838" s="174"/>
      <c r="K838" s="156"/>
      <c r="L838" s="156"/>
      <c r="M838" s="156"/>
      <c r="N838" s="156"/>
      <c r="O838" s="156"/>
      <c r="P838" s="156"/>
      <c r="Q838" s="156"/>
      <c r="R838" s="156"/>
      <c r="S838" s="156"/>
      <c r="T838" s="156"/>
    </row>
    <row r="839" ht="26.25" customHeight="1">
      <c r="A839" s="167"/>
      <c r="B839" s="174"/>
      <c r="C839" s="174"/>
      <c r="D839" s="175"/>
      <c r="E839" s="156"/>
      <c r="F839" s="156"/>
      <c r="G839" s="156"/>
      <c r="H839" s="174"/>
      <c r="I839" s="174"/>
      <c r="J839" s="174"/>
      <c r="K839" s="156"/>
      <c r="L839" s="156"/>
      <c r="M839" s="156"/>
      <c r="N839" s="156"/>
      <c r="O839" s="156"/>
      <c r="P839" s="156"/>
      <c r="Q839" s="156"/>
      <c r="R839" s="156"/>
      <c r="S839" s="156"/>
      <c r="T839" s="156"/>
    </row>
    <row r="840" ht="26.25" customHeight="1">
      <c r="A840" s="167"/>
      <c r="B840" s="174"/>
      <c r="C840" s="174"/>
      <c r="D840" s="175"/>
      <c r="E840" s="156"/>
      <c r="F840" s="156"/>
      <c r="G840" s="156"/>
      <c r="H840" s="174"/>
      <c r="I840" s="174"/>
      <c r="J840" s="174"/>
      <c r="K840" s="156"/>
      <c r="L840" s="156"/>
      <c r="M840" s="156"/>
      <c r="N840" s="156"/>
      <c r="O840" s="156"/>
      <c r="P840" s="156"/>
      <c r="Q840" s="156"/>
      <c r="R840" s="156"/>
      <c r="S840" s="156"/>
      <c r="T840" s="156"/>
    </row>
    <row r="841" ht="26.25" customHeight="1">
      <c r="A841" s="167"/>
      <c r="B841" s="174"/>
      <c r="C841" s="174"/>
      <c r="D841" s="175"/>
      <c r="E841" s="156"/>
      <c r="F841" s="156"/>
      <c r="G841" s="156"/>
      <c r="H841" s="174"/>
      <c r="I841" s="174"/>
      <c r="J841" s="174"/>
      <c r="K841" s="156"/>
      <c r="L841" s="156"/>
      <c r="M841" s="156"/>
      <c r="N841" s="156"/>
      <c r="O841" s="156"/>
      <c r="P841" s="156"/>
      <c r="Q841" s="156"/>
      <c r="R841" s="156"/>
      <c r="S841" s="156"/>
      <c r="T841" s="156"/>
    </row>
    <row r="842" ht="26.25" customHeight="1">
      <c r="A842" s="167"/>
      <c r="B842" s="174"/>
      <c r="C842" s="174"/>
      <c r="D842" s="175"/>
      <c r="E842" s="156"/>
      <c r="F842" s="156"/>
      <c r="G842" s="156"/>
      <c r="H842" s="174"/>
      <c r="I842" s="174"/>
      <c r="J842" s="174"/>
      <c r="K842" s="156"/>
      <c r="L842" s="156"/>
      <c r="M842" s="156"/>
      <c r="N842" s="156"/>
      <c r="O842" s="156"/>
      <c r="P842" s="156"/>
      <c r="Q842" s="156"/>
      <c r="R842" s="156"/>
      <c r="S842" s="156"/>
      <c r="T842" s="156"/>
    </row>
    <row r="843" ht="26.25" customHeight="1">
      <c r="A843" s="167"/>
      <c r="B843" s="174"/>
      <c r="C843" s="174"/>
      <c r="D843" s="175"/>
      <c r="E843" s="156"/>
      <c r="F843" s="156"/>
      <c r="G843" s="156"/>
      <c r="H843" s="174"/>
      <c r="I843" s="174"/>
      <c r="J843" s="174"/>
      <c r="K843" s="156"/>
      <c r="L843" s="156"/>
      <c r="M843" s="156"/>
      <c r="N843" s="156"/>
      <c r="O843" s="156"/>
      <c r="P843" s="156"/>
      <c r="Q843" s="156"/>
      <c r="R843" s="156"/>
      <c r="S843" s="156"/>
      <c r="T843" s="156"/>
    </row>
    <row r="844" ht="26.25" customHeight="1">
      <c r="A844" s="167"/>
      <c r="B844" s="174"/>
      <c r="C844" s="174"/>
      <c r="D844" s="175"/>
      <c r="E844" s="156"/>
      <c r="F844" s="156"/>
      <c r="G844" s="156"/>
      <c r="H844" s="174"/>
      <c r="I844" s="174"/>
      <c r="J844" s="174"/>
      <c r="K844" s="156"/>
      <c r="L844" s="156"/>
      <c r="M844" s="156"/>
      <c r="N844" s="156"/>
      <c r="O844" s="156"/>
      <c r="P844" s="156"/>
      <c r="Q844" s="156"/>
      <c r="R844" s="156"/>
      <c r="S844" s="156"/>
      <c r="T844" s="156"/>
    </row>
    <row r="845" ht="26.25" customHeight="1">
      <c r="A845" s="167"/>
      <c r="B845" s="174"/>
      <c r="C845" s="174"/>
      <c r="D845" s="175"/>
      <c r="E845" s="156"/>
      <c r="F845" s="156"/>
      <c r="G845" s="156"/>
      <c r="H845" s="174"/>
      <c r="I845" s="174"/>
      <c r="J845" s="174"/>
      <c r="K845" s="156"/>
      <c r="L845" s="156"/>
      <c r="M845" s="156"/>
      <c r="N845" s="156"/>
      <c r="O845" s="156"/>
      <c r="P845" s="156"/>
      <c r="Q845" s="156"/>
      <c r="R845" s="156"/>
      <c r="S845" s="156"/>
      <c r="T845" s="156"/>
    </row>
    <row r="846" ht="26.25" customHeight="1">
      <c r="A846" s="167"/>
      <c r="B846" s="174"/>
      <c r="C846" s="174"/>
      <c r="D846" s="175"/>
      <c r="E846" s="156"/>
      <c r="F846" s="156"/>
      <c r="G846" s="156"/>
      <c r="H846" s="174"/>
      <c r="I846" s="174"/>
      <c r="J846" s="174"/>
      <c r="K846" s="156"/>
      <c r="L846" s="156"/>
      <c r="M846" s="156"/>
      <c r="N846" s="156"/>
      <c r="O846" s="156"/>
      <c r="P846" s="156"/>
      <c r="Q846" s="156"/>
      <c r="R846" s="156"/>
      <c r="S846" s="156"/>
      <c r="T846" s="156"/>
    </row>
    <row r="847" ht="26.25" customHeight="1">
      <c r="A847" s="167"/>
      <c r="B847" s="174"/>
      <c r="C847" s="174"/>
      <c r="D847" s="175"/>
      <c r="E847" s="156"/>
      <c r="F847" s="156"/>
      <c r="G847" s="156"/>
      <c r="H847" s="174"/>
      <c r="I847" s="174"/>
      <c r="J847" s="174"/>
      <c r="K847" s="156"/>
      <c r="L847" s="156"/>
      <c r="M847" s="156"/>
      <c r="N847" s="156"/>
      <c r="O847" s="156"/>
      <c r="P847" s="156"/>
      <c r="Q847" s="156"/>
      <c r="R847" s="156"/>
      <c r="S847" s="156"/>
      <c r="T847" s="156"/>
    </row>
    <row r="848" ht="26.25" customHeight="1">
      <c r="A848" s="167"/>
      <c r="B848" s="174"/>
      <c r="C848" s="174"/>
      <c r="D848" s="175"/>
      <c r="E848" s="156"/>
      <c r="F848" s="156"/>
      <c r="G848" s="156"/>
      <c r="H848" s="174"/>
      <c r="I848" s="174"/>
      <c r="J848" s="174"/>
      <c r="K848" s="156"/>
      <c r="L848" s="156"/>
      <c r="M848" s="156"/>
      <c r="N848" s="156"/>
      <c r="O848" s="156"/>
      <c r="P848" s="156"/>
      <c r="Q848" s="156"/>
      <c r="R848" s="156"/>
      <c r="S848" s="156"/>
      <c r="T848" s="156"/>
    </row>
    <row r="849" ht="26.25" customHeight="1">
      <c r="A849" s="167"/>
      <c r="B849" s="174"/>
      <c r="C849" s="174"/>
      <c r="D849" s="175"/>
      <c r="E849" s="156"/>
      <c r="F849" s="156"/>
      <c r="G849" s="156"/>
      <c r="H849" s="174"/>
      <c r="I849" s="174"/>
      <c r="J849" s="174"/>
      <c r="K849" s="156"/>
      <c r="L849" s="156"/>
      <c r="M849" s="156"/>
      <c r="N849" s="156"/>
      <c r="O849" s="156"/>
      <c r="P849" s="156"/>
      <c r="Q849" s="156"/>
      <c r="R849" s="156"/>
      <c r="S849" s="156"/>
      <c r="T849" s="156"/>
    </row>
    <row r="850" ht="26.25" customHeight="1">
      <c r="A850" s="167"/>
      <c r="B850" s="174"/>
      <c r="C850" s="174"/>
      <c r="D850" s="175"/>
      <c r="E850" s="156"/>
      <c r="F850" s="156"/>
      <c r="G850" s="156"/>
      <c r="H850" s="174"/>
      <c r="I850" s="174"/>
      <c r="J850" s="174"/>
      <c r="K850" s="156"/>
      <c r="L850" s="156"/>
      <c r="M850" s="156"/>
      <c r="N850" s="156"/>
      <c r="O850" s="156"/>
      <c r="P850" s="156"/>
      <c r="Q850" s="156"/>
      <c r="R850" s="156"/>
      <c r="S850" s="156"/>
      <c r="T850" s="156"/>
    </row>
    <row r="851" ht="26.25" customHeight="1">
      <c r="A851" s="167"/>
      <c r="B851" s="174"/>
      <c r="C851" s="174"/>
      <c r="D851" s="175"/>
      <c r="E851" s="156"/>
      <c r="F851" s="156"/>
      <c r="G851" s="156"/>
      <c r="H851" s="174"/>
      <c r="I851" s="174"/>
      <c r="J851" s="174"/>
      <c r="K851" s="156"/>
      <c r="L851" s="156"/>
      <c r="M851" s="156"/>
      <c r="N851" s="156"/>
      <c r="O851" s="156"/>
      <c r="P851" s="156"/>
      <c r="Q851" s="156"/>
      <c r="R851" s="156"/>
      <c r="S851" s="156"/>
      <c r="T851" s="156"/>
    </row>
    <row r="852" ht="26.25" customHeight="1">
      <c r="A852" s="167"/>
      <c r="B852" s="174"/>
      <c r="C852" s="174"/>
      <c r="D852" s="175"/>
      <c r="E852" s="156"/>
      <c r="F852" s="156"/>
      <c r="G852" s="156"/>
      <c r="H852" s="174"/>
      <c r="I852" s="174"/>
      <c r="J852" s="174"/>
      <c r="K852" s="156"/>
      <c r="L852" s="156"/>
      <c r="M852" s="156"/>
      <c r="N852" s="156"/>
      <c r="O852" s="156"/>
      <c r="P852" s="156"/>
      <c r="Q852" s="156"/>
      <c r="R852" s="156"/>
      <c r="S852" s="156"/>
      <c r="T852" s="156"/>
    </row>
    <row r="853" ht="26.25" customHeight="1">
      <c r="A853" s="167"/>
      <c r="B853" s="174"/>
      <c r="C853" s="174"/>
      <c r="D853" s="175"/>
      <c r="E853" s="156"/>
      <c r="F853" s="156"/>
      <c r="G853" s="156"/>
      <c r="H853" s="174"/>
      <c r="I853" s="174"/>
      <c r="J853" s="174"/>
      <c r="K853" s="156"/>
      <c r="L853" s="156"/>
      <c r="M853" s="156"/>
      <c r="N853" s="156"/>
      <c r="O853" s="156"/>
      <c r="P853" s="156"/>
      <c r="Q853" s="156"/>
      <c r="R853" s="156"/>
      <c r="S853" s="156"/>
      <c r="T853" s="156"/>
    </row>
    <row r="854" ht="26.25" customHeight="1">
      <c r="A854" s="167"/>
      <c r="B854" s="174"/>
      <c r="C854" s="174"/>
      <c r="D854" s="175"/>
      <c r="E854" s="156"/>
      <c r="F854" s="156"/>
      <c r="G854" s="156"/>
      <c r="H854" s="174"/>
      <c r="I854" s="174"/>
      <c r="J854" s="174"/>
      <c r="K854" s="156"/>
      <c r="L854" s="156"/>
      <c r="M854" s="156"/>
      <c r="N854" s="156"/>
      <c r="O854" s="156"/>
      <c r="P854" s="156"/>
      <c r="Q854" s="156"/>
      <c r="R854" s="156"/>
      <c r="S854" s="156"/>
      <c r="T854" s="156"/>
    </row>
    <row r="855" ht="26.25" customHeight="1">
      <c r="A855" s="167"/>
      <c r="B855" s="174"/>
      <c r="C855" s="174"/>
      <c r="D855" s="175"/>
      <c r="E855" s="156"/>
      <c r="F855" s="156"/>
      <c r="G855" s="156"/>
      <c r="H855" s="174"/>
      <c r="I855" s="174"/>
      <c r="J855" s="174"/>
      <c r="K855" s="156"/>
      <c r="L855" s="156"/>
      <c r="M855" s="156"/>
      <c r="N855" s="156"/>
      <c r="O855" s="156"/>
      <c r="P855" s="156"/>
      <c r="Q855" s="156"/>
      <c r="R855" s="156"/>
      <c r="S855" s="156"/>
      <c r="T855" s="156"/>
    </row>
    <row r="856" ht="26.25" customHeight="1">
      <c r="A856" s="167"/>
      <c r="B856" s="174"/>
      <c r="C856" s="174"/>
      <c r="D856" s="175"/>
      <c r="E856" s="156"/>
      <c r="F856" s="156"/>
      <c r="G856" s="156"/>
      <c r="H856" s="174"/>
      <c r="I856" s="174"/>
      <c r="J856" s="174"/>
      <c r="K856" s="156"/>
      <c r="L856" s="156"/>
      <c r="M856" s="156"/>
      <c r="N856" s="156"/>
      <c r="O856" s="156"/>
      <c r="P856" s="156"/>
      <c r="Q856" s="156"/>
      <c r="R856" s="156"/>
      <c r="S856" s="156"/>
      <c r="T856" s="156"/>
    </row>
    <row r="857" ht="26.25" customHeight="1">
      <c r="A857" s="167"/>
      <c r="B857" s="174"/>
      <c r="C857" s="174"/>
      <c r="D857" s="175"/>
      <c r="E857" s="156"/>
      <c r="F857" s="156"/>
      <c r="G857" s="156"/>
      <c r="H857" s="174"/>
      <c r="I857" s="174"/>
      <c r="J857" s="174"/>
      <c r="K857" s="156"/>
      <c r="L857" s="156"/>
      <c r="M857" s="156"/>
      <c r="N857" s="156"/>
      <c r="O857" s="156"/>
      <c r="P857" s="156"/>
      <c r="Q857" s="156"/>
      <c r="R857" s="156"/>
      <c r="S857" s="156"/>
      <c r="T857" s="156"/>
    </row>
    <row r="858" ht="26.25" customHeight="1">
      <c r="A858" s="167"/>
      <c r="B858" s="174"/>
      <c r="C858" s="174"/>
      <c r="D858" s="175"/>
      <c r="E858" s="156"/>
      <c r="F858" s="156"/>
      <c r="G858" s="156"/>
      <c r="H858" s="174"/>
      <c r="I858" s="174"/>
      <c r="J858" s="174"/>
      <c r="K858" s="156"/>
      <c r="L858" s="156"/>
      <c r="M858" s="156"/>
      <c r="N858" s="156"/>
      <c r="O858" s="156"/>
      <c r="P858" s="156"/>
      <c r="Q858" s="156"/>
      <c r="R858" s="156"/>
      <c r="S858" s="156"/>
      <c r="T858" s="156"/>
    </row>
    <row r="859" ht="26.25" customHeight="1">
      <c r="A859" s="167"/>
      <c r="B859" s="174"/>
      <c r="C859" s="174"/>
      <c r="D859" s="175"/>
      <c r="E859" s="156"/>
      <c r="F859" s="156"/>
      <c r="G859" s="156"/>
      <c r="H859" s="174"/>
      <c r="I859" s="174"/>
      <c r="J859" s="174"/>
      <c r="K859" s="156"/>
      <c r="L859" s="156"/>
      <c r="M859" s="156"/>
      <c r="N859" s="156"/>
      <c r="O859" s="156"/>
      <c r="P859" s="156"/>
      <c r="Q859" s="156"/>
      <c r="R859" s="156"/>
      <c r="S859" s="156"/>
      <c r="T859" s="156"/>
    </row>
    <row r="860" ht="26.25" customHeight="1">
      <c r="A860" s="167"/>
      <c r="B860" s="174"/>
      <c r="C860" s="174"/>
      <c r="D860" s="175"/>
      <c r="E860" s="156"/>
      <c r="F860" s="156"/>
      <c r="G860" s="156"/>
      <c r="H860" s="174"/>
      <c r="I860" s="174"/>
      <c r="J860" s="174"/>
      <c r="K860" s="156"/>
      <c r="L860" s="156"/>
      <c r="M860" s="156"/>
      <c r="N860" s="156"/>
      <c r="O860" s="156"/>
      <c r="P860" s="156"/>
      <c r="Q860" s="156"/>
      <c r="R860" s="156"/>
      <c r="S860" s="156"/>
      <c r="T860" s="156"/>
    </row>
    <row r="861" ht="26.25" customHeight="1">
      <c r="A861" s="167"/>
      <c r="B861" s="174"/>
      <c r="C861" s="174"/>
      <c r="D861" s="175"/>
      <c r="E861" s="156"/>
      <c r="F861" s="156"/>
      <c r="G861" s="156"/>
      <c r="H861" s="174"/>
      <c r="I861" s="174"/>
      <c r="J861" s="174"/>
      <c r="K861" s="156"/>
      <c r="L861" s="156"/>
      <c r="M861" s="156"/>
      <c r="N861" s="156"/>
      <c r="O861" s="156"/>
      <c r="P861" s="156"/>
      <c r="Q861" s="156"/>
      <c r="R861" s="156"/>
      <c r="S861" s="156"/>
      <c r="T861" s="156"/>
    </row>
    <row r="862" ht="26.25" customHeight="1">
      <c r="A862" s="167"/>
      <c r="B862" s="174"/>
      <c r="C862" s="174"/>
      <c r="D862" s="175"/>
      <c r="E862" s="156"/>
      <c r="F862" s="156"/>
      <c r="G862" s="156"/>
      <c r="H862" s="174"/>
      <c r="I862" s="174"/>
      <c r="J862" s="174"/>
      <c r="K862" s="156"/>
      <c r="L862" s="156"/>
      <c r="M862" s="156"/>
      <c r="N862" s="156"/>
      <c r="O862" s="156"/>
      <c r="P862" s="156"/>
      <c r="Q862" s="156"/>
      <c r="R862" s="156"/>
      <c r="S862" s="156"/>
      <c r="T862" s="156"/>
    </row>
    <row r="863" ht="26.25" customHeight="1">
      <c r="A863" s="167"/>
      <c r="B863" s="174"/>
      <c r="C863" s="174"/>
      <c r="D863" s="175"/>
      <c r="E863" s="156"/>
      <c r="F863" s="156"/>
      <c r="G863" s="156"/>
      <c r="H863" s="174"/>
      <c r="I863" s="174"/>
      <c r="J863" s="174"/>
      <c r="K863" s="156"/>
      <c r="L863" s="156"/>
      <c r="M863" s="156"/>
      <c r="N863" s="156"/>
      <c r="O863" s="156"/>
      <c r="P863" s="156"/>
      <c r="Q863" s="156"/>
      <c r="R863" s="156"/>
      <c r="S863" s="156"/>
      <c r="T863" s="156"/>
    </row>
    <row r="864" ht="26.25" customHeight="1">
      <c r="A864" s="167"/>
      <c r="B864" s="174"/>
      <c r="C864" s="174"/>
      <c r="D864" s="175"/>
      <c r="E864" s="156"/>
      <c r="F864" s="156"/>
      <c r="G864" s="156"/>
      <c r="H864" s="174"/>
      <c r="I864" s="174"/>
      <c r="J864" s="174"/>
      <c r="K864" s="156"/>
      <c r="L864" s="156"/>
      <c r="M864" s="156"/>
      <c r="N864" s="156"/>
      <c r="O864" s="156"/>
      <c r="P864" s="156"/>
      <c r="Q864" s="156"/>
      <c r="R864" s="156"/>
      <c r="S864" s="156"/>
      <c r="T864" s="156"/>
    </row>
    <row r="865" ht="26.25" customHeight="1">
      <c r="A865" s="167"/>
      <c r="B865" s="174"/>
      <c r="C865" s="174"/>
      <c r="D865" s="175"/>
      <c r="E865" s="156"/>
      <c r="F865" s="156"/>
      <c r="G865" s="156"/>
      <c r="H865" s="174"/>
      <c r="I865" s="174"/>
      <c r="J865" s="174"/>
      <c r="K865" s="156"/>
      <c r="L865" s="156"/>
      <c r="M865" s="156"/>
      <c r="N865" s="156"/>
      <c r="O865" s="156"/>
      <c r="P865" s="156"/>
      <c r="Q865" s="156"/>
      <c r="R865" s="156"/>
      <c r="S865" s="156"/>
      <c r="T865" s="156"/>
    </row>
    <row r="866" ht="26.25" customHeight="1">
      <c r="A866" s="167"/>
      <c r="B866" s="174"/>
      <c r="C866" s="174"/>
      <c r="D866" s="175"/>
      <c r="E866" s="156"/>
      <c r="F866" s="156"/>
      <c r="G866" s="156"/>
      <c r="H866" s="174"/>
      <c r="I866" s="174"/>
      <c r="J866" s="174"/>
      <c r="K866" s="156"/>
      <c r="L866" s="156"/>
      <c r="M866" s="156"/>
      <c r="N866" s="156"/>
      <c r="O866" s="156"/>
      <c r="P866" s="156"/>
      <c r="Q866" s="156"/>
      <c r="R866" s="156"/>
      <c r="S866" s="156"/>
      <c r="T866" s="156"/>
    </row>
    <row r="867" ht="26.25" customHeight="1">
      <c r="A867" s="167"/>
      <c r="B867" s="174"/>
      <c r="C867" s="174"/>
      <c r="D867" s="175"/>
      <c r="E867" s="156"/>
      <c r="F867" s="156"/>
      <c r="G867" s="156"/>
      <c r="H867" s="174"/>
      <c r="I867" s="174"/>
      <c r="J867" s="174"/>
      <c r="K867" s="156"/>
      <c r="L867" s="156"/>
      <c r="M867" s="156"/>
      <c r="N867" s="156"/>
      <c r="O867" s="156"/>
      <c r="P867" s="156"/>
      <c r="Q867" s="156"/>
      <c r="R867" s="156"/>
      <c r="S867" s="156"/>
      <c r="T867" s="156"/>
    </row>
    <row r="868" ht="26.25" customHeight="1">
      <c r="A868" s="167"/>
      <c r="B868" s="174"/>
      <c r="C868" s="174"/>
      <c r="D868" s="175"/>
      <c r="E868" s="156"/>
      <c r="F868" s="156"/>
      <c r="G868" s="156"/>
      <c r="H868" s="174"/>
      <c r="I868" s="174"/>
      <c r="J868" s="174"/>
      <c r="K868" s="156"/>
      <c r="L868" s="156"/>
      <c r="M868" s="156"/>
      <c r="N868" s="156"/>
      <c r="O868" s="156"/>
      <c r="P868" s="156"/>
      <c r="Q868" s="156"/>
      <c r="R868" s="156"/>
      <c r="S868" s="156"/>
      <c r="T868" s="156"/>
    </row>
    <row r="869" ht="26.25" customHeight="1">
      <c r="A869" s="167"/>
      <c r="B869" s="174"/>
      <c r="C869" s="174"/>
      <c r="D869" s="175"/>
      <c r="E869" s="156"/>
      <c r="F869" s="156"/>
      <c r="G869" s="156"/>
      <c r="H869" s="174"/>
      <c r="I869" s="174"/>
      <c r="J869" s="174"/>
      <c r="K869" s="156"/>
      <c r="L869" s="156"/>
      <c r="M869" s="156"/>
      <c r="N869" s="156"/>
      <c r="O869" s="156"/>
      <c r="P869" s="156"/>
      <c r="Q869" s="156"/>
      <c r="R869" s="156"/>
      <c r="S869" s="156"/>
      <c r="T869" s="156"/>
    </row>
    <row r="870" ht="26.25" customHeight="1">
      <c r="A870" s="167"/>
      <c r="B870" s="174"/>
      <c r="C870" s="174"/>
      <c r="D870" s="175"/>
      <c r="E870" s="156"/>
      <c r="F870" s="156"/>
      <c r="G870" s="156"/>
      <c r="H870" s="174"/>
      <c r="I870" s="174"/>
      <c r="J870" s="174"/>
      <c r="K870" s="156"/>
      <c r="L870" s="156"/>
      <c r="M870" s="156"/>
      <c r="N870" s="156"/>
      <c r="O870" s="156"/>
      <c r="P870" s="156"/>
      <c r="Q870" s="156"/>
      <c r="R870" s="156"/>
      <c r="S870" s="156"/>
      <c r="T870" s="156"/>
    </row>
    <row r="871" ht="26.25" customHeight="1">
      <c r="A871" s="167"/>
      <c r="B871" s="174"/>
      <c r="C871" s="174"/>
      <c r="D871" s="175"/>
      <c r="E871" s="156"/>
      <c r="F871" s="156"/>
      <c r="G871" s="156"/>
      <c r="H871" s="174"/>
      <c r="I871" s="174"/>
      <c r="J871" s="174"/>
      <c r="K871" s="156"/>
      <c r="L871" s="156"/>
      <c r="M871" s="156"/>
      <c r="N871" s="156"/>
      <c r="O871" s="156"/>
      <c r="P871" s="156"/>
      <c r="Q871" s="156"/>
      <c r="R871" s="156"/>
      <c r="S871" s="156"/>
      <c r="T871" s="156"/>
    </row>
    <row r="872" ht="26.25" customHeight="1">
      <c r="A872" s="167"/>
      <c r="B872" s="174"/>
      <c r="C872" s="174"/>
      <c r="D872" s="175"/>
      <c r="E872" s="156"/>
      <c r="F872" s="156"/>
      <c r="G872" s="156"/>
      <c r="H872" s="174"/>
      <c r="I872" s="174"/>
      <c r="J872" s="174"/>
      <c r="K872" s="156"/>
      <c r="L872" s="156"/>
      <c r="M872" s="156"/>
      <c r="N872" s="156"/>
      <c r="O872" s="156"/>
      <c r="P872" s="156"/>
      <c r="Q872" s="156"/>
      <c r="R872" s="156"/>
      <c r="S872" s="156"/>
      <c r="T872" s="156"/>
    </row>
    <row r="873" ht="26.25" customHeight="1">
      <c r="A873" s="167"/>
      <c r="B873" s="174"/>
      <c r="C873" s="174"/>
      <c r="D873" s="175"/>
      <c r="E873" s="156"/>
      <c r="F873" s="156"/>
      <c r="G873" s="156"/>
      <c r="H873" s="174"/>
      <c r="I873" s="174"/>
      <c r="J873" s="174"/>
      <c r="K873" s="156"/>
      <c r="L873" s="156"/>
      <c r="M873" s="156"/>
      <c r="N873" s="156"/>
      <c r="O873" s="156"/>
      <c r="P873" s="156"/>
      <c r="Q873" s="156"/>
      <c r="R873" s="156"/>
      <c r="S873" s="156"/>
      <c r="T873" s="156"/>
    </row>
    <row r="874" ht="26.25" customHeight="1">
      <c r="A874" s="167"/>
      <c r="B874" s="174"/>
      <c r="C874" s="174"/>
      <c r="D874" s="175"/>
      <c r="E874" s="156"/>
      <c r="F874" s="156"/>
      <c r="G874" s="156"/>
      <c r="H874" s="174"/>
      <c r="I874" s="174"/>
      <c r="J874" s="174"/>
      <c r="K874" s="156"/>
      <c r="L874" s="156"/>
      <c r="M874" s="156"/>
      <c r="N874" s="156"/>
      <c r="O874" s="156"/>
      <c r="P874" s="156"/>
      <c r="Q874" s="156"/>
      <c r="R874" s="156"/>
      <c r="S874" s="156"/>
      <c r="T874" s="156"/>
    </row>
    <row r="875" ht="26.25" customHeight="1">
      <c r="A875" s="167"/>
      <c r="B875" s="174"/>
      <c r="C875" s="174"/>
      <c r="D875" s="175"/>
      <c r="E875" s="156"/>
      <c r="F875" s="156"/>
      <c r="G875" s="156"/>
      <c r="H875" s="174"/>
      <c r="I875" s="174"/>
      <c r="J875" s="174"/>
      <c r="K875" s="156"/>
      <c r="L875" s="156"/>
      <c r="M875" s="156"/>
      <c r="N875" s="156"/>
      <c r="O875" s="156"/>
      <c r="P875" s="156"/>
      <c r="Q875" s="156"/>
      <c r="R875" s="156"/>
      <c r="S875" s="156"/>
      <c r="T875" s="156"/>
    </row>
    <row r="876" ht="26.25" customHeight="1">
      <c r="A876" s="167"/>
      <c r="B876" s="174"/>
      <c r="C876" s="174"/>
      <c r="D876" s="175"/>
      <c r="E876" s="156"/>
      <c r="F876" s="156"/>
      <c r="G876" s="156"/>
      <c r="H876" s="174"/>
      <c r="I876" s="174"/>
      <c r="J876" s="174"/>
      <c r="K876" s="156"/>
      <c r="L876" s="156"/>
      <c r="M876" s="156"/>
      <c r="N876" s="156"/>
      <c r="O876" s="156"/>
      <c r="P876" s="156"/>
      <c r="Q876" s="156"/>
      <c r="R876" s="156"/>
      <c r="S876" s="156"/>
      <c r="T876" s="156"/>
    </row>
    <row r="877" ht="26.25" customHeight="1">
      <c r="A877" s="167"/>
      <c r="B877" s="174"/>
      <c r="C877" s="174"/>
      <c r="D877" s="175"/>
      <c r="E877" s="156"/>
      <c r="F877" s="156"/>
      <c r="G877" s="156"/>
      <c r="H877" s="174"/>
      <c r="I877" s="174"/>
      <c r="J877" s="174"/>
      <c r="K877" s="156"/>
      <c r="L877" s="156"/>
      <c r="M877" s="156"/>
      <c r="N877" s="156"/>
      <c r="O877" s="156"/>
      <c r="P877" s="156"/>
      <c r="Q877" s="156"/>
      <c r="R877" s="156"/>
      <c r="S877" s="156"/>
      <c r="T877" s="156"/>
    </row>
    <row r="878" ht="26.25" customHeight="1">
      <c r="A878" s="167"/>
      <c r="B878" s="174"/>
      <c r="C878" s="174"/>
      <c r="D878" s="175"/>
      <c r="E878" s="156"/>
      <c r="F878" s="156"/>
      <c r="G878" s="156"/>
      <c r="H878" s="174"/>
      <c r="I878" s="174"/>
      <c r="J878" s="174"/>
      <c r="K878" s="156"/>
      <c r="L878" s="156"/>
      <c r="M878" s="156"/>
      <c r="N878" s="156"/>
      <c r="O878" s="156"/>
      <c r="P878" s="156"/>
      <c r="Q878" s="156"/>
      <c r="R878" s="156"/>
      <c r="S878" s="156"/>
      <c r="T878" s="156"/>
    </row>
    <row r="879" ht="26.25" customHeight="1">
      <c r="A879" s="167"/>
      <c r="B879" s="174"/>
      <c r="C879" s="174"/>
      <c r="D879" s="175"/>
      <c r="E879" s="156"/>
      <c r="F879" s="156"/>
      <c r="G879" s="156"/>
      <c r="H879" s="174"/>
      <c r="I879" s="174"/>
      <c r="J879" s="174"/>
      <c r="K879" s="156"/>
      <c r="L879" s="156"/>
      <c r="M879" s="156"/>
      <c r="N879" s="156"/>
      <c r="O879" s="156"/>
      <c r="P879" s="156"/>
      <c r="Q879" s="156"/>
      <c r="R879" s="156"/>
      <c r="S879" s="156"/>
      <c r="T879" s="156"/>
    </row>
    <row r="880" ht="26.25" customHeight="1">
      <c r="A880" s="167"/>
      <c r="B880" s="174"/>
      <c r="C880" s="174"/>
      <c r="D880" s="175"/>
      <c r="E880" s="156"/>
      <c r="F880" s="156"/>
      <c r="G880" s="156"/>
      <c r="H880" s="174"/>
      <c r="I880" s="174"/>
      <c r="J880" s="174"/>
      <c r="K880" s="156"/>
      <c r="L880" s="156"/>
      <c r="M880" s="156"/>
      <c r="N880" s="156"/>
      <c r="O880" s="156"/>
      <c r="P880" s="156"/>
      <c r="Q880" s="156"/>
      <c r="R880" s="156"/>
      <c r="S880" s="156"/>
      <c r="T880" s="156"/>
    </row>
    <row r="881" ht="26.25" customHeight="1">
      <c r="A881" s="167"/>
      <c r="B881" s="174"/>
      <c r="C881" s="174"/>
      <c r="D881" s="175"/>
      <c r="E881" s="156"/>
      <c r="F881" s="156"/>
      <c r="G881" s="156"/>
      <c r="H881" s="174"/>
      <c r="I881" s="174"/>
      <c r="J881" s="174"/>
      <c r="K881" s="156"/>
      <c r="L881" s="156"/>
      <c r="M881" s="156"/>
      <c r="N881" s="156"/>
      <c r="O881" s="156"/>
      <c r="P881" s="156"/>
      <c r="Q881" s="156"/>
      <c r="R881" s="156"/>
      <c r="S881" s="156"/>
      <c r="T881" s="156"/>
    </row>
    <row r="882" ht="26.25" customHeight="1">
      <c r="A882" s="167"/>
      <c r="B882" s="174"/>
      <c r="C882" s="174"/>
      <c r="D882" s="175"/>
      <c r="E882" s="156"/>
      <c r="F882" s="156"/>
      <c r="G882" s="156"/>
      <c r="H882" s="174"/>
      <c r="I882" s="174"/>
      <c r="J882" s="174"/>
      <c r="K882" s="156"/>
      <c r="L882" s="156"/>
      <c r="M882" s="156"/>
      <c r="N882" s="156"/>
      <c r="O882" s="156"/>
      <c r="P882" s="156"/>
      <c r="Q882" s="156"/>
      <c r="R882" s="156"/>
      <c r="S882" s="156"/>
      <c r="T882" s="156"/>
    </row>
    <row r="883" ht="26.25" customHeight="1">
      <c r="A883" s="167"/>
      <c r="B883" s="174"/>
      <c r="C883" s="174"/>
      <c r="D883" s="175"/>
      <c r="E883" s="156"/>
      <c r="F883" s="156"/>
      <c r="G883" s="156"/>
      <c r="H883" s="174"/>
      <c r="I883" s="174"/>
      <c r="J883" s="174"/>
      <c r="K883" s="156"/>
      <c r="L883" s="156"/>
      <c r="M883" s="156"/>
      <c r="N883" s="156"/>
      <c r="O883" s="156"/>
      <c r="P883" s="156"/>
      <c r="Q883" s="156"/>
      <c r="R883" s="156"/>
      <c r="S883" s="156"/>
      <c r="T883" s="156"/>
    </row>
    <row r="884" ht="26.25" customHeight="1">
      <c r="A884" s="167"/>
      <c r="B884" s="174"/>
      <c r="C884" s="174"/>
      <c r="D884" s="175"/>
      <c r="E884" s="156"/>
      <c r="F884" s="156"/>
      <c r="G884" s="156"/>
      <c r="H884" s="174"/>
      <c r="I884" s="174"/>
      <c r="J884" s="174"/>
      <c r="K884" s="156"/>
      <c r="L884" s="156"/>
      <c r="M884" s="156"/>
      <c r="N884" s="156"/>
      <c r="O884" s="156"/>
      <c r="P884" s="156"/>
      <c r="Q884" s="156"/>
      <c r="R884" s="156"/>
      <c r="S884" s="156"/>
      <c r="T884" s="156"/>
    </row>
    <row r="885" ht="26.25" customHeight="1">
      <c r="A885" s="167"/>
      <c r="B885" s="174"/>
      <c r="C885" s="174"/>
      <c r="D885" s="175"/>
      <c r="E885" s="156"/>
      <c r="F885" s="156"/>
      <c r="G885" s="156"/>
      <c r="H885" s="174"/>
      <c r="I885" s="174"/>
      <c r="J885" s="174"/>
      <c r="K885" s="156"/>
      <c r="L885" s="156"/>
      <c r="M885" s="156"/>
      <c r="N885" s="156"/>
      <c r="O885" s="156"/>
      <c r="P885" s="156"/>
      <c r="Q885" s="156"/>
      <c r="R885" s="156"/>
      <c r="S885" s="156"/>
      <c r="T885" s="156"/>
    </row>
    <row r="886" ht="26.25" customHeight="1">
      <c r="A886" s="167"/>
      <c r="B886" s="174"/>
      <c r="C886" s="174"/>
      <c r="D886" s="175"/>
      <c r="E886" s="156"/>
      <c r="F886" s="156"/>
      <c r="G886" s="156"/>
      <c r="H886" s="174"/>
      <c r="I886" s="174"/>
      <c r="J886" s="174"/>
      <c r="K886" s="156"/>
      <c r="L886" s="156"/>
      <c r="M886" s="156"/>
      <c r="N886" s="156"/>
      <c r="O886" s="156"/>
      <c r="P886" s="156"/>
      <c r="Q886" s="156"/>
      <c r="R886" s="156"/>
      <c r="S886" s="156"/>
      <c r="T886" s="156"/>
    </row>
    <row r="887" ht="26.25" customHeight="1">
      <c r="A887" s="167"/>
      <c r="B887" s="174"/>
      <c r="C887" s="174"/>
      <c r="D887" s="175"/>
      <c r="E887" s="156"/>
      <c r="F887" s="156"/>
      <c r="G887" s="156"/>
      <c r="H887" s="174"/>
      <c r="I887" s="174"/>
      <c r="J887" s="174"/>
      <c r="K887" s="156"/>
      <c r="L887" s="156"/>
      <c r="M887" s="156"/>
      <c r="N887" s="156"/>
      <c r="O887" s="156"/>
      <c r="P887" s="156"/>
      <c r="Q887" s="156"/>
      <c r="R887" s="156"/>
      <c r="S887" s="156"/>
      <c r="T887" s="156"/>
    </row>
    <row r="888" ht="26.25" customHeight="1">
      <c r="A888" s="167"/>
      <c r="B888" s="174"/>
      <c r="C888" s="174"/>
      <c r="D888" s="175"/>
      <c r="E888" s="156"/>
      <c r="F888" s="156"/>
      <c r="G888" s="156"/>
      <c r="H888" s="174"/>
      <c r="I888" s="174"/>
      <c r="J888" s="174"/>
      <c r="K888" s="156"/>
      <c r="L888" s="156"/>
      <c r="M888" s="156"/>
      <c r="N888" s="156"/>
      <c r="O888" s="156"/>
      <c r="P888" s="156"/>
      <c r="Q888" s="156"/>
      <c r="R888" s="156"/>
      <c r="S888" s="156"/>
      <c r="T888" s="156"/>
    </row>
    <row r="889" ht="26.25" customHeight="1">
      <c r="A889" s="167"/>
      <c r="B889" s="174"/>
      <c r="C889" s="174"/>
      <c r="D889" s="175"/>
      <c r="E889" s="156"/>
      <c r="F889" s="156"/>
      <c r="G889" s="156"/>
      <c r="H889" s="174"/>
      <c r="I889" s="174"/>
      <c r="J889" s="174"/>
      <c r="K889" s="156"/>
      <c r="L889" s="156"/>
      <c r="M889" s="156"/>
      <c r="N889" s="156"/>
      <c r="O889" s="156"/>
      <c r="P889" s="156"/>
      <c r="Q889" s="156"/>
      <c r="R889" s="156"/>
      <c r="S889" s="156"/>
      <c r="T889" s="156"/>
    </row>
    <row r="890" ht="26.25" customHeight="1">
      <c r="A890" s="167"/>
      <c r="B890" s="174"/>
      <c r="C890" s="174"/>
      <c r="D890" s="175"/>
      <c r="E890" s="156"/>
      <c r="F890" s="156"/>
      <c r="G890" s="156"/>
      <c r="H890" s="174"/>
      <c r="I890" s="174"/>
      <c r="J890" s="174"/>
      <c r="K890" s="156"/>
      <c r="L890" s="156"/>
      <c r="M890" s="156"/>
      <c r="N890" s="156"/>
      <c r="O890" s="156"/>
      <c r="P890" s="156"/>
      <c r="Q890" s="156"/>
      <c r="R890" s="156"/>
      <c r="S890" s="156"/>
      <c r="T890" s="156"/>
    </row>
    <row r="891" ht="26.25" customHeight="1">
      <c r="A891" s="167"/>
      <c r="B891" s="174"/>
      <c r="C891" s="174"/>
      <c r="D891" s="175"/>
      <c r="E891" s="156"/>
      <c r="F891" s="156"/>
      <c r="G891" s="156"/>
      <c r="H891" s="174"/>
      <c r="I891" s="174"/>
      <c r="J891" s="174"/>
      <c r="K891" s="156"/>
      <c r="L891" s="156"/>
      <c r="M891" s="156"/>
      <c r="N891" s="156"/>
      <c r="O891" s="156"/>
      <c r="P891" s="156"/>
      <c r="Q891" s="156"/>
      <c r="R891" s="156"/>
      <c r="S891" s="156"/>
      <c r="T891" s="156"/>
    </row>
    <row r="892" ht="26.25" customHeight="1">
      <c r="A892" s="167"/>
      <c r="B892" s="174"/>
      <c r="C892" s="174"/>
      <c r="D892" s="175"/>
      <c r="E892" s="156"/>
      <c r="F892" s="156"/>
      <c r="G892" s="156"/>
      <c r="H892" s="174"/>
      <c r="I892" s="174"/>
      <c r="J892" s="174"/>
      <c r="K892" s="156"/>
      <c r="L892" s="156"/>
      <c r="M892" s="156"/>
      <c r="N892" s="156"/>
      <c r="O892" s="156"/>
      <c r="P892" s="156"/>
      <c r="Q892" s="156"/>
      <c r="R892" s="156"/>
      <c r="S892" s="156"/>
      <c r="T892" s="156"/>
    </row>
    <row r="893" ht="26.25" customHeight="1">
      <c r="A893" s="167"/>
      <c r="B893" s="174"/>
      <c r="C893" s="174"/>
      <c r="D893" s="175"/>
      <c r="E893" s="156"/>
      <c r="F893" s="156"/>
      <c r="G893" s="156"/>
      <c r="H893" s="174"/>
      <c r="I893" s="174"/>
      <c r="J893" s="174"/>
      <c r="K893" s="156"/>
      <c r="L893" s="156"/>
      <c r="M893" s="156"/>
      <c r="N893" s="156"/>
      <c r="O893" s="156"/>
      <c r="P893" s="156"/>
      <c r="Q893" s="156"/>
      <c r="R893" s="156"/>
      <c r="S893" s="156"/>
      <c r="T893" s="156"/>
    </row>
    <row r="894" ht="26.25" customHeight="1">
      <c r="A894" s="167"/>
      <c r="B894" s="174"/>
      <c r="C894" s="174"/>
      <c r="D894" s="175"/>
      <c r="E894" s="156"/>
      <c r="F894" s="156"/>
      <c r="G894" s="156"/>
      <c r="H894" s="174"/>
      <c r="I894" s="174"/>
      <c r="J894" s="174"/>
      <c r="K894" s="156"/>
      <c r="L894" s="156"/>
      <c r="M894" s="156"/>
      <c r="N894" s="156"/>
      <c r="O894" s="156"/>
      <c r="P894" s="156"/>
      <c r="Q894" s="156"/>
      <c r="R894" s="156"/>
      <c r="S894" s="156"/>
      <c r="T894" s="156"/>
    </row>
    <row r="895" ht="26.25" customHeight="1">
      <c r="A895" s="167"/>
      <c r="B895" s="174"/>
      <c r="C895" s="174"/>
      <c r="D895" s="175"/>
      <c r="E895" s="156"/>
      <c r="F895" s="156"/>
      <c r="G895" s="156"/>
      <c r="H895" s="174"/>
      <c r="I895" s="174"/>
      <c r="J895" s="174"/>
      <c r="K895" s="156"/>
      <c r="L895" s="156"/>
      <c r="M895" s="156"/>
      <c r="N895" s="156"/>
      <c r="O895" s="156"/>
      <c r="P895" s="156"/>
      <c r="Q895" s="156"/>
      <c r="R895" s="156"/>
      <c r="S895" s="156"/>
      <c r="T895" s="156"/>
    </row>
    <row r="896" ht="26.25" customHeight="1">
      <c r="A896" s="167"/>
      <c r="B896" s="174"/>
      <c r="C896" s="174"/>
      <c r="D896" s="175"/>
      <c r="E896" s="156"/>
      <c r="F896" s="156"/>
      <c r="G896" s="156"/>
      <c r="H896" s="174"/>
      <c r="I896" s="174"/>
      <c r="J896" s="174"/>
      <c r="K896" s="156"/>
      <c r="L896" s="156"/>
      <c r="M896" s="156"/>
      <c r="N896" s="156"/>
      <c r="O896" s="156"/>
      <c r="P896" s="156"/>
      <c r="Q896" s="156"/>
      <c r="R896" s="156"/>
      <c r="S896" s="156"/>
      <c r="T896" s="156"/>
    </row>
    <row r="897" ht="26.25" customHeight="1">
      <c r="A897" s="167"/>
      <c r="B897" s="174"/>
      <c r="C897" s="174"/>
      <c r="D897" s="175"/>
      <c r="E897" s="156"/>
      <c r="F897" s="156"/>
      <c r="G897" s="156"/>
      <c r="H897" s="174"/>
      <c r="I897" s="174"/>
      <c r="J897" s="174"/>
      <c r="K897" s="156"/>
      <c r="L897" s="156"/>
      <c r="M897" s="156"/>
      <c r="N897" s="156"/>
      <c r="O897" s="156"/>
      <c r="P897" s="156"/>
      <c r="Q897" s="156"/>
      <c r="R897" s="156"/>
      <c r="S897" s="156"/>
      <c r="T897" s="156"/>
    </row>
    <row r="898" ht="26.25" customHeight="1">
      <c r="A898" s="167"/>
      <c r="B898" s="174"/>
      <c r="C898" s="174"/>
      <c r="D898" s="175"/>
      <c r="E898" s="156"/>
      <c r="F898" s="156"/>
      <c r="G898" s="156"/>
      <c r="H898" s="174"/>
      <c r="I898" s="174"/>
      <c r="J898" s="174"/>
      <c r="K898" s="156"/>
      <c r="L898" s="156"/>
      <c r="M898" s="156"/>
      <c r="N898" s="156"/>
      <c r="O898" s="156"/>
      <c r="P898" s="156"/>
      <c r="Q898" s="156"/>
      <c r="R898" s="156"/>
      <c r="S898" s="156"/>
      <c r="T898" s="156"/>
    </row>
    <row r="899" ht="26.25" customHeight="1">
      <c r="A899" s="167"/>
      <c r="B899" s="174"/>
      <c r="C899" s="174"/>
      <c r="D899" s="175"/>
      <c r="E899" s="156"/>
      <c r="F899" s="156"/>
      <c r="G899" s="156"/>
      <c r="H899" s="174"/>
      <c r="I899" s="174"/>
      <c r="J899" s="174"/>
      <c r="K899" s="156"/>
      <c r="L899" s="156"/>
      <c r="M899" s="156"/>
      <c r="N899" s="156"/>
      <c r="O899" s="156"/>
      <c r="P899" s="156"/>
      <c r="Q899" s="156"/>
      <c r="R899" s="156"/>
      <c r="S899" s="156"/>
      <c r="T899" s="156"/>
    </row>
    <row r="900" ht="26.25" customHeight="1">
      <c r="A900" s="167"/>
      <c r="B900" s="174"/>
      <c r="C900" s="174"/>
      <c r="D900" s="175"/>
      <c r="E900" s="156"/>
      <c r="F900" s="156"/>
      <c r="G900" s="156"/>
      <c r="H900" s="174"/>
      <c r="I900" s="174"/>
      <c r="J900" s="174"/>
      <c r="K900" s="156"/>
      <c r="L900" s="156"/>
      <c r="M900" s="156"/>
      <c r="N900" s="156"/>
      <c r="O900" s="156"/>
      <c r="P900" s="156"/>
      <c r="Q900" s="156"/>
      <c r="R900" s="156"/>
      <c r="S900" s="156"/>
      <c r="T900" s="156"/>
    </row>
    <row r="901" ht="26.25" customHeight="1">
      <c r="A901" s="167"/>
      <c r="B901" s="174"/>
      <c r="C901" s="174"/>
      <c r="D901" s="175"/>
      <c r="E901" s="156"/>
      <c r="F901" s="156"/>
      <c r="G901" s="156"/>
      <c r="H901" s="174"/>
      <c r="I901" s="174"/>
      <c r="J901" s="174"/>
      <c r="K901" s="156"/>
      <c r="L901" s="156"/>
      <c r="M901" s="156"/>
      <c r="N901" s="156"/>
      <c r="O901" s="156"/>
      <c r="P901" s="156"/>
      <c r="Q901" s="156"/>
      <c r="R901" s="156"/>
      <c r="S901" s="156"/>
      <c r="T901" s="156"/>
    </row>
    <row r="902" ht="26.25" customHeight="1">
      <c r="A902" s="167"/>
      <c r="B902" s="174"/>
      <c r="C902" s="174"/>
      <c r="D902" s="175"/>
      <c r="E902" s="156"/>
      <c r="F902" s="156"/>
      <c r="G902" s="156"/>
      <c r="H902" s="174"/>
      <c r="I902" s="174"/>
      <c r="J902" s="174"/>
      <c r="K902" s="156"/>
      <c r="L902" s="156"/>
      <c r="M902" s="156"/>
      <c r="N902" s="156"/>
      <c r="O902" s="156"/>
      <c r="P902" s="156"/>
      <c r="Q902" s="156"/>
      <c r="R902" s="156"/>
      <c r="S902" s="156"/>
      <c r="T902" s="156"/>
    </row>
    <row r="903" ht="26.25" customHeight="1">
      <c r="A903" s="167"/>
      <c r="B903" s="174"/>
      <c r="C903" s="174"/>
      <c r="D903" s="175"/>
      <c r="E903" s="156"/>
      <c r="F903" s="156"/>
      <c r="G903" s="156"/>
      <c r="H903" s="174"/>
      <c r="I903" s="174"/>
      <c r="J903" s="174"/>
      <c r="K903" s="156"/>
      <c r="L903" s="156"/>
      <c r="M903" s="156"/>
      <c r="N903" s="156"/>
      <c r="O903" s="156"/>
      <c r="P903" s="156"/>
      <c r="Q903" s="156"/>
      <c r="R903" s="156"/>
      <c r="S903" s="156"/>
      <c r="T903" s="156"/>
    </row>
    <row r="904" ht="26.25" customHeight="1">
      <c r="A904" s="167"/>
      <c r="B904" s="174"/>
      <c r="C904" s="174"/>
      <c r="D904" s="175"/>
      <c r="E904" s="156"/>
      <c r="F904" s="156"/>
      <c r="G904" s="156"/>
      <c r="H904" s="174"/>
      <c r="I904" s="174"/>
      <c r="J904" s="174"/>
      <c r="K904" s="156"/>
      <c r="L904" s="156"/>
      <c r="M904" s="156"/>
      <c r="N904" s="156"/>
      <c r="O904" s="156"/>
      <c r="P904" s="156"/>
      <c r="Q904" s="156"/>
      <c r="R904" s="156"/>
      <c r="S904" s="156"/>
      <c r="T904" s="156"/>
    </row>
    <row r="905" ht="26.25" customHeight="1">
      <c r="A905" s="167"/>
      <c r="B905" s="174"/>
      <c r="C905" s="174"/>
      <c r="D905" s="175"/>
      <c r="E905" s="156"/>
      <c r="F905" s="156"/>
      <c r="G905" s="156"/>
      <c r="H905" s="174"/>
      <c r="I905" s="174"/>
      <c r="J905" s="174"/>
      <c r="K905" s="156"/>
      <c r="L905" s="156"/>
      <c r="M905" s="156"/>
      <c r="N905" s="156"/>
      <c r="O905" s="156"/>
      <c r="P905" s="156"/>
      <c r="Q905" s="156"/>
      <c r="R905" s="156"/>
      <c r="S905" s="156"/>
      <c r="T905" s="156"/>
    </row>
    <row r="906" ht="26.25" customHeight="1">
      <c r="A906" s="167"/>
      <c r="B906" s="174"/>
      <c r="C906" s="174"/>
      <c r="D906" s="175"/>
      <c r="E906" s="156"/>
      <c r="F906" s="156"/>
      <c r="G906" s="156"/>
      <c r="H906" s="174"/>
      <c r="I906" s="174"/>
      <c r="J906" s="174"/>
      <c r="K906" s="156"/>
      <c r="L906" s="156"/>
      <c r="M906" s="156"/>
      <c r="N906" s="156"/>
      <c r="O906" s="156"/>
      <c r="P906" s="156"/>
      <c r="Q906" s="156"/>
      <c r="R906" s="156"/>
      <c r="S906" s="156"/>
      <c r="T906" s="156"/>
    </row>
    <row r="907" ht="26.25" customHeight="1">
      <c r="A907" s="167"/>
      <c r="B907" s="174"/>
      <c r="C907" s="174"/>
      <c r="D907" s="175"/>
      <c r="E907" s="156"/>
      <c r="F907" s="156"/>
      <c r="G907" s="156"/>
      <c r="H907" s="174"/>
      <c r="I907" s="174"/>
      <c r="J907" s="174"/>
      <c r="K907" s="156"/>
      <c r="L907" s="156"/>
      <c r="M907" s="156"/>
      <c r="N907" s="156"/>
      <c r="O907" s="156"/>
      <c r="P907" s="156"/>
      <c r="Q907" s="156"/>
      <c r="R907" s="156"/>
      <c r="S907" s="156"/>
      <c r="T907" s="156"/>
    </row>
    <row r="908" ht="26.25" customHeight="1">
      <c r="A908" s="167"/>
      <c r="B908" s="174"/>
      <c r="C908" s="174"/>
      <c r="D908" s="175"/>
      <c r="E908" s="156"/>
      <c r="F908" s="156"/>
      <c r="G908" s="156"/>
      <c r="H908" s="174"/>
      <c r="I908" s="174"/>
      <c r="J908" s="174"/>
      <c r="K908" s="156"/>
      <c r="L908" s="156"/>
      <c r="M908" s="156"/>
      <c r="N908" s="156"/>
      <c r="O908" s="156"/>
      <c r="P908" s="156"/>
      <c r="Q908" s="156"/>
      <c r="R908" s="156"/>
      <c r="S908" s="156"/>
      <c r="T908" s="156"/>
    </row>
    <row r="909" ht="26.25" customHeight="1">
      <c r="A909" s="167"/>
      <c r="B909" s="174"/>
      <c r="C909" s="174"/>
      <c r="D909" s="175"/>
      <c r="E909" s="156"/>
      <c r="F909" s="156"/>
      <c r="G909" s="156"/>
      <c r="H909" s="174"/>
      <c r="I909" s="174"/>
      <c r="J909" s="174"/>
      <c r="K909" s="156"/>
      <c r="L909" s="156"/>
      <c r="M909" s="156"/>
      <c r="N909" s="156"/>
      <c r="O909" s="156"/>
      <c r="P909" s="156"/>
      <c r="Q909" s="156"/>
      <c r="R909" s="156"/>
      <c r="S909" s="156"/>
      <c r="T909" s="156"/>
    </row>
    <row r="910" ht="26.25" customHeight="1">
      <c r="A910" s="167"/>
      <c r="B910" s="174"/>
      <c r="C910" s="174"/>
      <c r="D910" s="175"/>
      <c r="E910" s="156"/>
      <c r="F910" s="156"/>
      <c r="G910" s="156"/>
      <c r="H910" s="174"/>
      <c r="I910" s="174"/>
      <c r="J910" s="174"/>
      <c r="K910" s="156"/>
      <c r="L910" s="156"/>
      <c r="M910" s="156"/>
      <c r="N910" s="156"/>
      <c r="O910" s="156"/>
      <c r="P910" s="156"/>
      <c r="Q910" s="156"/>
      <c r="R910" s="156"/>
      <c r="S910" s="156"/>
      <c r="T910" s="156"/>
    </row>
    <row r="911" ht="26.25" customHeight="1">
      <c r="A911" s="167"/>
      <c r="B911" s="174"/>
      <c r="C911" s="174"/>
      <c r="D911" s="175"/>
      <c r="E911" s="156"/>
      <c r="F911" s="156"/>
      <c r="G911" s="156"/>
      <c r="H911" s="174"/>
      <c r="I911" s="174"/>
      <c r="J911" s="174"/>
      <c r="K911" s="156"/>
      <c r="L911" s="156"/>
      <c r="M911" s="156"/>
      <c r="N911" s="156"/>
      <c r="O911" s="156"/>
      <c r="P911" s="156"/>
      <c r="Q911" s="156"/>
      <c r="R911" s="156"/>
      <c r="S911" s="156"/>
      <c r="T911" s="156"/>
    </row>
    <row r="912" ht="26.25" customHeight="1">
      <c r="A912" s="167"/>
      <c r="B912" s="174"/>
      <c r="C912" s="174"/>
      <c r="D912" s="175"/>
      <c r="E912" s="156"/>
      <c r="F912" s="156"/>
      <c r="G912" s="156"/>
      <c r="H912" s="174"/>
      <c r="I912" s="174"/>
      <c r="J912" s="174"/>
      <c r="K912" s="156"/>
      <c r="L912" s="156"/>
      <c r="M912" s="156"/>
      <c r="N912" s="156"/>
      <c r="O912" s="156"/>
      <c r="P912" s="156"/>
      <c r="Q912" s="156"/>
      <c r="R912" s="156"/>
      <c r="S912" s="156"/>
      <c r="T912" s="156"/>
    </row>
    <row r="913" ht="26.25" customHeight="1">
      <c r="A913" s="167"/>
      <c r="B913" s="174"/>
      <c r="C913" s="174"/>
      <c r="D913" s="175"/>
      <c r="E913" s="156"/>
      <c r="F913" s="156"/>
      <c r="G913" s="156"/>
      <c r="H913" s="174"/>
      <c r="I913" s="174"/>
      <c r="J913" s="174"/>
      <c r="K913" s="156"/>
      <c r="L913" s="156"/>
      <c r="M913" s="156"/>
      <c r="N913" s="156"/>
      <c r="O913" s="156"/>
      <c r="P913" s="156"/>
      <c r="Q913" s="156"/>
      <c r="R913" s="156"/>
      <c r="S913" s="156"/>
      <c r="T913" s="156"/>
    </row>
    <row r="914" ht="26.25" customHeight="1">
      <c r="A914" s="167"/>
      <c r="B914" s="174"/>
      <c r="C914" s="174"/>
      <c r="D914" s="175"/>
      <c r="E914" s="156"/>
      <c r="F914" s="156"/>
      <c r="G914" s="156"/>
      <c r="H914" s="174"/>
      <c r="I914" s="174"/>
      <c r="J914" s="174"/>
      <c r="K914" s="156"/>
      <c r="L914" s="156"/>
      <c r="M914" s="156"/>
      <c r="N914" s="156"/>
      <c r="O914" s="156"/>
      <c r="P914" s="156"/>
      <c r="Q914" s="156"/>
      <c r="R914" s="156"/>
      <c r="S914" s="156"/>
      <c r="T914" s="156"/>
    </row>
    <row r="915" ht="26.25" customHeight="1">
      <c r="A915" s="167"/>
      <c r="B915" s="174"/>
      <c r="C915" s="174"/>
      <c r="D915" s="175"/>
      <c r="E915" s="156"/>
      <c r="F915" s="156"/>
      <c r="G915" s="156"/>
      <c r="H915" s="174"/>
      <c r="I915" s="174"/>
      <c r="J915" s="174"/>
      <c r="K915" s="156"/>
      <c r="L915" s="156"/>
      <c r="M915" s="156"/>
      <c r="N915" s="156"/>
      <c r="O915" s="156"/>
      <c r="P915" s="156"/>
      <c r="Q915" s="156"/>
      <c r="R915" s="156"/>
      <c r="S915" s="156"/>
      <c r="T915" s="156"/>
    </row>
    <row r="916" ht="26.25" customHeight="1">
      <c r="A916" s="167"/>
      <c r="B916" s="174"/>
      <c r="C916" s="174"/>
      <c r="D916" s="175"/>
      <c r="E916" s="156"/>
      <c r="F916" s="156"/>
      <c r="G916" s="156"/>
      <c r="H916" s="174"/>
      <c r="I916" s="174"/>
      <c r="J916" s="174"/>
      <c r="K916" s="156"/>
      <c r="L916" s="156"/>
      <c r="M916" s="156"/>
      <c r="N916" s="156"/>
      <c r="O916" s="156"/>
      <c r="P916" s="156"/>
      <c r="Q916" s="156"/>
      <c r="R916" s="156"/>
      <c r="S916" s="156"/>
      <c r="T916" s="156"/>
    </row>
    <row r="917" ht="26.25" customHeight="1">
      <c r="A917" s="167"/>
      <c r="B917" s="174"/>
      <c r="C917" s="174"/>
      <c r="D917" s="175"/>
      <c r="E917" s="156"/>
      <c r="F917" s="156"/>
      <c r="G917" s="156"/>
      <c r="H917" s="174"/>
      <c r="I917" s="174"/>
      <c r="J917" s="174"/>
      <c r="K917" s="156"/>
      <c r="L917" s="156"/>
      <c r="M917" s="156"/>
      <c r="N917" s="156"/>
      <c r="O917" s="156"/>
      <c r="P917" s="156"/>
      <c r="Q917" s="156"/>
      <c r="R917" s="156"/>
      <c r="S917" s="156"/>
      <c r="T917" s="156"/>
    </row>
    <row r="918" ht="26.25" customHeight="1">
      <c r="A918" s="167"/>
      <c r="B918" s="174"/>
      <c r="C918" s="174"/>
      <c r="D918" s="175"/>
      <c r="E918" s="156"/>
      <c r="F918" s="156"/>
      <c r="G918" s="156"/>
      <c r="H918" s="174"/>
      <c r="I918" s="174"/>
      <c r="J918" s="174"/>
      <c r="K918" s="156"/>
      <c r="L918" s="156"/>
      <c r="M918" s="156"/>
      <c r="N918" s="156"/>
      <c r="O918" s="156"/>
      <c r="P918" s="156"/>
      <c r="Q918" s="156"/>
      <c r="R918" s="156"/>
      <c r="S918" s="156"/>
      <c r="T918" s="156"/>
    </row>
    <row r="919" ht="26.25" customHeight="1">
      <c r="A919" s="167"/>
      <c r="B919" s="174"/>
      <c r="C919" s="174"/>
      <c r="D919" s="175"/>
      <c r="E919" s="156"/>
      <c r="F919" s="156"/>
      <c r="G919" s="156"/>
      <c r="H919" s="174"/>
      <c r="I919" s="174"/>
      <c r="J919" s="174"/>
      <c r="K919" s="156"/>
      <c r="L919" s="156"/>
      <c r="M919" s="156"/>
      <c r="N919" s="156"/>
      <c r="O919" s="156"/>
      <c r="P919" s="156"/>
      <c r="Q919" s="156"/>
      <c r="R919" s="156"/>
      <c r="S919" s="156"/>
      <c r="T919" s="156"/>
    </row>
    <row r="920" ht="26.25" customHeight="1">
      <c r="A920" s="167"/>
      <c r="B920" s="174"/>
      <c r="C920" s="174"/>
      <c r="D920" s="175"/>
      <c r="E920" s="156"/>
      <c r="F920" s="156"/>
      <c r="G920" s="156"/>
      <c r="H920" s="174"/>
      <c r="I920" s="174"/>
      <c r="J920" s="174"/>
      <c r="K920" s="156"/>
      <c r="L920" s="156"/>
      <c r="M920" s="156"/>
      <c r="N920" s="156"/>
      <c r="O920" s="156"/>
      <c r="P920" s="156"/>
      <c r="Q920" s="156"/>
      <c r="R920" s="156"/>
      <c r="S920" s="156"/>
      <c r="T920" s="156"/>
    </row>
    <row r="921" ht="26.25" customHeight="1">
      <c r="A921" s="167"/>
      <c r="B921" s="174"/>
      <c r="C921" s="174"/>
      <c r="D921" s="175"/>
      <c r="E921" s="156"/>
      <c r="F921" s="156"/>
      <c r="G921" s="156"/>
      <c r="H921" s="174"/>
      <c r="I921" s="174"/>
      <c r="J921" s="174"/>
      <c r="K921" s="156"/>
      <c r="L921" s="156"/>
      <c r="M921" s="156"/>
      <c r="N921" s="156"/>
      <c r="O921" s="156"/>
      <c r="P921" s="156"/>
      <c r="Q921" s="156"/>
      <c r="R921" s="156"/>
      <c r="S921" s="156"/>
      <c r="T921" s="156"/>
    </row>
    <row r="922" ht="26.25" customHeight="1">
      <c r="A922" s="167"/>
      <c r="B922" s="174"/>
      <c r="C922" s="174"/>
      <c r="D922" s="175"/>
      <c r="E922" s="156"/>
      <c r="F922" s="156"/>
      <c r="G922" s="156"/>
      <c r="H922" s="174"/>
      <c r="I922" s="174"/>
      <c r="J922" s="174"/>
      <c r="K922" s="156"/>
      <c r="L922" s="156"/>
      <c r="M922" s="156"/>
      <c r="N922" s="156"/>
      <c r="O922" s="156"/>
      <c r="P922" s="156"/>
      <c r="Q922" s="156"/>
      <c r="R922" s="156"/>
      <c r="S922" s="156"/>
      <c r="T922" s="156"/>
    </row>
    <row r="923" ht="26.25" customHeight="1">
      <c r="A923" s="167"/>
      <c r="B923" s="174"/>
      <c r="C923" s="174"/>
      <c r="D923" s="175"/>
      <c r="E923" s="156"/>
      <c r="F923" s="156"/>
      <c r="G923" s="156"/>
      <c r="H923" s="174"/>
      <c r="I923" s="174"/>
      <c r="J923" s="174"/>
      <c r="K923" s="156"/>
      <c r="L923" s="156"/>
      <c r="M923" s="156"/>
      <c r="N923" s="156"/>
      <c r="O923" s="156"/>
      <c r="P923" s="156"/>
      <c r="Q923" s="156"/>
      <c r="R923" s="156"/>
      <c r="S923" s="156"/>
      <c r="T923" s="156"/>
    </row>
    <row r="924" ht="26.25" customHeight="1">
      <c r="A924" s="167"/>
      <c r="B924" s="174"/>
      <c r="C924" s="174"/>
      <c r="D924" s="175"/>
      <c r="E924" s="156"/>
      <c r="F924" s="156"/>
      <c r="G924" s="156"/>
      <c r="H924" s="174"/>
      <c r="I924" s="174"/>
      <c r="J924" s="174"/>
      <c r="K924" s="156"/>
      <c r="L924" s="156"/>
      <c r="M924" s="156"/>
      <c r="N924" s="156"/>
      <c r="O924" s="156"/>
      <c r="P924" s="156"/>
      <c r="Q924" s="156"/>
      <c r="R924" s="156"/>
      <c r="S924" s="156"/>
      <c r="T924" s="156"/>
    </row>
    <row r="925" ht="26.25" customHeight="1">
      <c r="A925" s="167"/>
      <c r="B925" s="174"/>
      <c r="C925" s="174"/>
      <c r="D925" s="175"/>
      <c r="E925" s="156"/>
      <c r="F925" s="156"/>
      <c r="G925" s="156"/>
      <c r="H925" s="174"/>
      <c r="I925" s="174"/>
      <c r="J925" s="174"/>
      <c r="K925" s="156"/>
      <c r="L925" s="156"/>
      <c r="M925" s="156"/>
      <c r="N925" s="156"/>
      <c r="O925" s="156"/>
      <c r="P925" s="156"/>
      <c r="Q925" s="156"/>
      <c r="R925" s="156"/>
      <c r="S925" s="156"/>
      <c r="T925" s="156"/>
    </row>
    <row r="926" ht="26.25" customHeight="1">
      <c r="A926" s="167"/>
      <c r="B926" s="174"/>
      <c r="C926" s="174"/>
      <c r="D926" s="175"/>
      <c r="E926" s="156"/>
      <c r="F926" s="156"/>
      <c r="G926" s="156"/>
      <c r="H926" s="174"/>
      <c r="I926" s="174"/>
      <c r="J926" s="174"/>
      <c r="K926" s="156"/>
      <c r="L926" s="156"/>
      <c r="M926" s="156"/>
      <c r="N926" s="156"/>
      <c r="O926" s="156"/>
      <c r="P926" s="156"/>
      <c r="Q926" s="156"/>
      <c r="R926" s="156"/>
      <c r="S926" s="156"/>
      <c r="T926" s="156"/>
    </row>
    <row r="927" ht="26.25" customHeight="1">
      <c r="A927" s="167"/>
      <c r="B927" s="174"/>
      <c r="C927" s="174"/>
      <c r="D927" s="175"/>
      <c r="E927" s="156"/>
      <c r="F927" s="156"/>
      <c r="G927" s="156"/>
      <c r="H927" s="174"/>
      <c r="I927" s="174"/>
      <c r="J927" s="174"/>
      <c r="K927" s="156"/>
      <c r="L927" s="156"/>
      <c r="M927" s="156"/>
      <c r="N927" s="156"/>
      <c r="O927" s="156"/>
      <c r="P927" s="156"/>
      <c r="Q927" s="156"/>
      <c r="R927" s="156"/>
      <c r="S927" s="156"/>
      <c r="T927" s="156"/>
    </row>
    <row r="928" ht="26.25" customHeight="1">
      <c r="A928" s="167"/>
      <c r="B928" s="174"/>
      <c r="C928" s="174"/>
      <c r="D928" s="175"/>
      <c r="E928" s="156"/>
      <c r="F928" s="156"/>
      <c r="G928" s="156"/>
      <c r="H928" s="174"/>
      <c r="I928" s="174"/>
      <c r="J928" s="174"/>
      <c r="K928" s="156"/>
      <c r="L928" s="156"/>
      <c r="M928" s="156"/>
      <c r="N928" s="156"/>
      <c r="O928" s="156"/>
      <c r="P928" s="156"/>
      <c r="Q928" s="156"/>
      <c r="R928" s="156"/>
      <c r="S928" s="156"/>
      <c r="T928" s="156"/>
    </row>
    <row r="929" ht="26.25" customHeight="1">
      <c r="A929" s="167"/>
      <c r="B929" s="174"/>
      <c r="C929" s="174"/>
      <c r="D929" s="175"/>
      <c r="E929" s="156"/>
      <c r="F929" s="156"/>
      <c r="G929" s="156"/>
      <c r="H929" s="174"/>
      <c r="I929" s="174"/>
      <c r="J929" s="174"/>
      <c r="K929" s="156"/>
      <c r="L929" s="156"/>
      <c r="M929" s="156"/>
      <c r="N929" s="156"/>
      <c r="O929" s="156"/>
      <c r="P929" s="156"/>
      <c r="Q929" s="156"/>
      <c r="R929" s="156"/>
      <c r="S929" s="156"/>
      <c r="T929" s="156"/>
    </row>
    <row r="930" ht="26.25" customHeight="1">
      <c r="A930" s="167"/>
      <c r="B930" s="174"/>
      <c r="C930" s="174"/>
      <c r="D930" s="175"/>
      <c r="E930" s="156"/>
      <c r="F930" s="156"/>
      <c r="G930" s="156"/>
      <c r="H930" s="174"/>
      <c r="I930" s="174"/>
      <c r="J930" s="174"/>
      <c r="K930" s="156"/>
      <c r="L930" s="156"/>
      <c r="M930" s="156"/>
      <c r="N930" s="156"/>
      <c r="O930" s="156"/>
      <c r="P930" s="156"/>
      <c r="Q930" s="156"/>
      <c r="R930" s="156"/>
      <c r="S930" s="156"/>
      <c r="T930" s="156"/>
    </row>
    <row r="931" ht="26.25" customHeight="1">
      <c r="A931" s="167"/>
      <c r="B931" s="174"/>
      <c r="C931" s="174"/>
      <c r="D931" s="175"/>
      <c r="E931" s="156"/>
      <c r="F931" s="156"/>
      <c r="G931" s="156"/>
      <c r="H931" s="174"/>
      <c r="I931" s="174"/>
      <c r="J931" s="174"/>
      <c r="K931" s="156"/>
      <c r="L931" s="156"/>
      <c r="M931" s="156"/>
      <c r="N931" s="156"/>
      <c r="O931" s="156"/>
      <c r="P931" s="156"/>
      <c r="Q931" s="156"/>
      <c r="R931" s="156"/>
      <c r="S931" s="156"/>
      <c r="T931" s="156"/>
    </row>
    <row r="932" ht="26.25" customHeight="1">
      <c r="A932" s="167"/>
      <c r="B932" s="174"/>
      <c r="C932" s="174"/>
      <c r="D932" s="175"/>
      <c r="E932" s="156"/>
      <c r="F932" s="156"/>
      <c r="G932" s="156"/>
      <c r="H932" s="174"/>
      <c r="I932" s="174"/>
      <c r="J932" s="174"/>
      <c r="K932" s="156"/>
      <c r="L932" s="156"/>
      <c r="M932" s="156"/>
      <c r="N932" s="156"/>
      <c r="O932" s="156"/>
      <c r="P932" s="156"/>
      <c r="Q932" s="156"/>
      <c r="R932" s="156"/>
      <c r="S932" s="156"/>
      <c r="T932" s="156"/>
    </row>
    <row r="933" ht="26.25" customHeight="1">
      <c r="A933" s="167"/>
      <c r="B933" s="174"/>
      <c r="C933" s="174"/>
      <c r="D933" s="175"/>
      <c r="E933" s="156"/>
      <c r="F933" s="156"/>
      <c r="G933" s="156"/>
      <c r="H933" s="174"/>
      <c r="I933" s="174"/>
      <c r="J933" s="174"/>
      <c r="K933" s="156"/>
      <c r="L933" s="156"/>
      <c r="M933" s="156"/>
      <c r="N933" s="156"/>
      <c r="O933" s="156"/>
      <c r="P933" s="156"/>
      <c r="Q933" s="156"/>
      <c r="R933" s="156"/>
      <c r="S933" s="156"/>
      <c r="T933" s="156"/>
    </row>
    <row r="934" ht="26.25" customHeight="1">
      <c r="A934" s="167"/>
      <c r="B934" s="174"/>
      <c r="C934" s="174"/>
      <c r="D934" s="175"/>
      <c r="E934" s="156"/>
      <c r="F934" s="156"/>
      <c r="G934" s="156"/>
      <c r="H934" s="174"/>
      <c r="I934" s="174"/>
      <c r="J934" s="174"/>
      <c r="K934" s="156"/>
      <c r="L934" s="156"/>
      <c r="M934" s="156"/>
      <c r="N934" s="156"/>
      <c r="O934" s="156"/>
      <c r="P934" s="156"/>
      <c r="Q934" s="156"/>
      <c r="R934" s="156"/>
      <c r="S934" s="156"/>
      <c r="T934" s="156"/>
    </row>
    <row r="935" ht="26.25" customHeight="1">
      <c r="A935" s="167"/>
      <c r="B935" s="174"/>
      <c r="C935" s="174"/>
      <c r="D935" s="175"/>
      <c r="E935" s="156"/>
      <c r="F935" s="156"/>
      <c r="G935" s="156"/>
      <c r="H935" s="174"/>
      <c r="I935" s="174"/>
      <c r="J935" s="174"/>
      <c r="K935" s="156"/>
      <c r="L935" s="156"/>
      <c r="M935" s="156"/>
      <c r="N935" s="156"/>
      <c r="O935" s="156"/>
      <c r="P935" s="156"/>
      <c r="Q935" s="156"/>
      <c r="R935" s="156"/>
      <c r="S935" s="156"/>
      <c r="T935" s="156"/>
    </row>
    <row r="936" ht="26.25" customHeight="1">
      <c r="A936" s="167"/>
      <c r="B936" s="174"/>
      <c r="C936" s="174"/>
      <c r="D936" s="175"/>
      <c r="E936" s="156"/>
      <c r="F936" s="156"/>
      <c r="G936" s="156"/>
      <c r="H936" s="174"/>
      <c r="I936" s="174"/>
      <c r="J936" s="174"/>
      <c r="K936" s="156"/>
      <c r="L936" s="156"/>
      <c r="M936" s="156"/>
      <c r="N936" s="156"/>
      <c r="O936" s="156"/>
      <c r="P936" s="156"/>
      <c r="Q936" s="156"/>
      <c r="R936" s="156"/>
      <c r="S936" s="156"/>
      <c r="T936" s="156"/>
    </row>
    <row r="937" ht="26.25" customHeight="1">
      <c r="A937" s="167"/>
      <c r="B937" s="174"/>
      <c r="C937" s="174"/>
      <c r="D937" s="175"/>
      <c r="E937" s="156"/>
      <c r="F937" s="156"/>
      <c r="G937" s="156"/>
      <c r="H937" s="174"/>
      <c r="I937" s="174"/>
      <c r="J937" s="174"/>
      <c r="K937" s="156"/>
      <c r="L937" s="156"/>
      <c r="M937" s="156"/>
      <c r="N937" s="156"/>
      <c r="O937" s="156"/>
      <c r="P937" s="156"/>
      <c r="Q937" s="156"/>
      <c r="R937" s="156"/>
      <c r="S937" s="156"/>
      <c r="T937" s="156"/>
    </row>
    <row r="938" ht="26.25" customHeight="1">
      <c r="A938" s="167"/>
      <c r="B938" s="174"/>
      <c r="C938" s="174"/>
      <c r="D938" s="175"/>
      <c r="E938" s="156"/>
      <c r="F938" s="156"/>
      <c r="G938" s="156"/>
      <c r="H938" s="174"/>
      <c r="I938" s="174"/>
      <c r="J938" s="174"/>
      <c r="K938" s="156"/>
      <c r="L938" s="156"/>
      <c r="M938" s="156"/>
      <c r="N938" s="156"/>
      <c r="O938" s="156"/>
      <c r="P938" s="156"/>
      <c r="Q938" s="156"/>
      <c r="R938" s="156"/>
      <c r="S938" s="156"/>
      <c r="T938" s="156"/>
    </row>
    <row r="939" ht="26.25" customHeight="1">
      <c r="A939" s="167"/>
      <c r="B939" s="174"/>
      <c r="C939" s="174"/>
      <c r="D939" s="175"/>
      <c r="E939" s="156"/>
      <c r="F939" s="156"/>
      <c r="G939" s="156"/>
      <c r="H939" s="174"/>
      <c r="I939" s="174"/>
      <c r="J939" s="174"/>
      <c r="K939" s="156"/>
      <c r="L939" s="156"/>
      <c r="M939" s="156"/>
      <c r="N939" s="156"/>
      <c r="O939" s="156"/>
      <c r="P939" s="156"/>
      <c r="Q939" s="156"/>
      <c r="R939" s="156"/>
      <c r="S939" s="156"/>
      <c r="T939" s="156"/>
    </row>
    <row r="940" ht="26.25" customHeight="1">
      <c r="A940" s="167"/>
      <c r="B940" s="174"/>
      <c r="C940" s="174"/>
      <c r="D940" s="175"/>
      <c r="E940" s="156"/>
      <c r="F940" s="156"/>
      <c r="G940" s="156"/>
      <c r="H940" s="174"/>
      <c r="I940" s="174"/>
      <c r="J940" s="174"/>
      <c r="K940" s="156"/>
      <c r="L940" s="156"/>
      <c r="M940" s="156"/>
      <c r="N940" s="156"/>
      <c r="O940" s="156"/>
      <c r="P940" s="156"/>
      <c r="Q940" s="156"/>
      <c r="R940" s="156"/>
      <c r="S940" s="156"/>
      <c r="T940" s="156"/>
    </row>
    <row r="941" ht="26.25" customHeight="1">
      <c r="A941" s="167"/>
      <c r="B941" s="174"/>
      <c r="C941" s="174"/>
      <c r="D941" s="175"/>
      <c r="E941" s="156"/>
      <c r="F941" s="156"/>
      <c r="G941" s="156"/>
      <c r="H941" s="174"/>
      <c r="I941" s="174"/>
      <c r="J941" s="174"/>
      <c r="K941" s="156"/>
      <c r="L941" s="156"/>
      <c r="M941" s="156"/>
      <c r="N941" s="156"/>
      <c r="O941" s="156"/>
      <c r="P941" s="156"/>
      <c r="Q941" s="156"/>
      <c r="R941" s="156"/>
      <c r="S941" s="156"/>
      <c r="T941" s="156"/>
    </row>
    <row r="942" ht="26.25" customHeight="1">
      <c r="A942" s="167"/>
      <c r="B942" s="174"/>
      <c r="C942" s="174"/>
      <c r="D942" s="175"/>
      <c r="E942" s="156"/>
      <c r="F942" s="156"/>
      <c r="G942" s="156"/>
      <c r="H942" s="174"/>
      <c r="I942" s="174"/>
      <c r="J942" s="174"/>
      <c r="K942" s="156"/>
      <c r="L942" s="156"/>
      <c r="M942" s="156"/>
      <c r="N942" s="156"/>
      <c r="O942" s="156"/>
      <c r="P942" s="156"/>
      <c r="Q942" s="156"/>
      <c r="R942" s="156"/>
      <c r="S942" s="156"/>
      <c r="T942" s="156"/>
    </row>
    <row r="943" ht="26.25" customHeight="1">
      <c r="A943" s="167"/>
      <c r="B943" s="174"/>
      <c r="C943" s="174"/>
      <c r="D943" s="175"/>
      <c r="E943" s="156"/>
      <c r="F943" s="156"/>
      <c r="G943" s="156"/>
      <c r="H943" s="174"/>
      <c r="I943" s="174"/>
      <c r="J943" s="174"/>
      <c r="K943" s="156"/>
      <c r="L943" s="156"/>
      <c r="M943" s="156"/>
      <c r="N943" s="156"/>
      <c r="O943" s="156"/>
      <c r="P943" s="156"/>
      <c r="Q943" s="156"/>
      <c r="R943" s="156"/>
      <c r="S943" s="156"/>
      <c r="T943" s="156"/>
    </row>
    <row r="944" ht="26.25" customHeight="1">
      <c r="A944" s="167"/>
      <c r="B944" s="174"/>
      <c r="C944" s="174"/>
      <c r="D944" s="175"/>
      <c r="E944" s="156"/>
      <c r="F944" s="156"/>
      <c r="G944" s="156"/>
      <c r="H944" s="174"/>
      <c r="I944" s="174"/>
      <c r="J944" s="174"/>
      <c r="K944" s="156"/>
      <c r="L944" s="156"/>
      <c r="M944" s="156"/>
      <c r="N944" s="156"/>
      <c r="O944" s="156"/>
      <c r="P944" s="156"/>
      <c r="Q944" s="156"/>
      <c r="R944" s="156"/>
      <c r="S944" s="156"/>
      <c r="T944" s="156"/>
    </row>
    <row r="945" ht="26.25" customHeight="1">
      <c r="A945" s="167"/>
      <c r="B945" s="174"/>
      <c r="C945" s="174"/>
      <c r="D945" s="175"/>
      <c r="E945" s="156"/>
      <c r="F945" s="156"/>
      <c r="G945" s="156"/>
      <c r="H945" s="174"/>
      <c r="I945" s="174"/>
      <c r="J945" s="174"/>
      <c r="K945" s="156"/>
      <c r="L945" s="156"/>
      <c r="M945" s="156"/>
      <c r="N945" s="156"/>
      <c r="O945" s="156"/>
      <c r="P945" s="156"/>
      <c r="Q945" s="156"/>
      <c r="R945" s="156"/>
      <c r="S945" s="156"/>
      <c r="T945" s="156"/>
    </row>
    <row r="946" ht="26.25" customHeight="1">
      <c r="A946" s="167"/>
      <c r="B946" s="174"/>
      <c r="C946" s="174"/>
      <c r="D946" s="175"/>
      <c r="E946" s="156"/>
      <c r="F946" s="156"/>
      <c r="G946" s="156"/>
      <c r="H946" s="174"/>
      <c r="I946" s="174"/>
      <c r="J946" s="174"/>
      <c r="K946" s="156"/>
      <c r="L946" s="156"/>
      <c r="M946" s="156"/>
      <c r="N946" s="156"/>
      <c r="O946" s="156"/>
      <c r="P946" s="156"/>
      <c r="Q946" s="156"/>
      <c r="R946" s="156"/>
      <c r="S946" s="156"/>
      <c r="T946" s="156"/>
    </row>
    <row r="947" ht="26.25" customHeight="1">
      <c r="A947" s="167"/>
      <c r="B947" s="174"/>
      <c r="C947" s="174"/>
      <c r="D947" s="175"/>
      <c r="E947" s="156"/>
      <c r="F947" s="156"/>
      <c r="G947" s="156"/>
      <c r="H947" s="174"/>
      <c r="I947" s="174"/>
      <c r="J947" s="174"/>
      <c r="K947" s="156"/>
      <c r="L947" s="156"/>
      <c r="M947" s="156"/>
      <c r="N947" s="156"/>
      <c r="O947" s="156"/>
      <c r="P947" s="156"/>
      <c r="Q947" s="156"/>
      <c r="R947" s="156"/>
      <c r="S947" s="156"/>
      <c r="T947" s="156"/>
    </row>
    <row r="948" ht="26.25" customHeight="1">
      <c r="A948" s="167"/>
      <c r="B948" s="174"/>
      <c r="C948" s="174"/>
      <c r="D948" s="175"/>
      <c r="E948" s="156"/>
      <c r="F948" s="156"/>
      <c r="G948" s="156"/>
      <c r="H948" s="174"/>
      <c r="I948" s="174"/>
      <c r="J948" s="174"/>
      <c r="K948" s="156"/>
      <c r="L948" s="156"/>
      <c r="M948" s="156"/>
      <c r="N948" s="156"/>
      <c r="O948" s="156"/>
      <c r="P948" s="156"/>
      <c r="Q948" s="156"/>
      <c r="R948" s="156"/>
      <c r="S948" s="156"/>
      <c r="T948" s="156"/>
    </row>
    <row r="949" ht="26.25" customHeight="1">
      <c r="A949" s="167"/>
      <c r="B949" s="174"/>
      <c r="C949" s="174"/>
      <c r="D949" s="175"/>
      <c r="E949" s="156"/>
      <c r="F949" s="156"/>
      <c r="G949" s="156"/>
      <c r="H949" s="174"/>
      <c r="I949" s="174"/>
      <c r="J949" s="174"/>
      <c r="K949" s="156"/>
      <c r="L949" s="156"/>
      <c r="M949" s="156"/>
      <c r="N949" s="156"/>
      <c r="O949" s="156"/>
      <c r="P949" s="156"/>
      <c r="Q949" s="156"/>
      <c r="R949" s="156"/>
      <c r="S949" s="156"/>
      <c r="T949" s="156"/>
    </row>
    <row r="950" ht="26.25" customHeight="1">
      <c r="A950" s="167"/>
      <c r="B950" s="174"/>
      <c r="C950" s="174"/>
      <c r="D950" s="175"/>
      <c r="E950" s="156"/>
      <c r="F950" s="156"/>
      <c r="G950" s="156"/>
      <c r="H950" s="174"/>
      <c r="I950" s="174"/>
      <c r="J950" s="174"/>
      <c r="K950" s="156"/>
      <c r="L950" s="156"/>
      <c r="M950" s="156"/>
      <c r="N950" s="156"/>
      <c r="O950" s="156"/>
      <c r="P950" s="156"/>
      <c r="Q950" s="156"/>
      <c r="R950" s="156"/>
      <c r="S950" s="156"/>
      <c r="T950" s="156"/>
    </row>
    <row r="951" ht="26.25" customHeight="1">
      <c r="A951" s="167"/>
      <c r="B951" s="174"/>
      <c r="C951" s="174"/>
      <c r="D951" s="175"/>
      <c r="E951" s="156"/>
      <c r="F951" s="156"/>
      <c r="G951" s="156"/>
      <c r="H951" s="174"/>
      <c r="I951" s="174"/>
      <c r="J951" s="174"/>
      <c r="K951" s="156"/>
      <c r="L951" s="156"/>
      <c r="M951" s="156"/>
      <c r="N951" s="156"/>
      <c r="O951" s="156"/>
      <c r="P951" s="156"/>
      <c r="Q951" s="156"/>
      <c r="R951" s="156"/>
      <c r="S951" s="156"/>
      <c r="T951" s="156"/>
    </row>
    <row r="952" ht="26.25" customHeight="1">
      <c r="A952" s="167"/>
      <c r="B952" s="174"/>
      <c r="C952" s="174"/>
      <c r="D952" s="175"/>
      <c r="E952" s="156"/>
      <c r="F952" s="156"/>
      <c r="G952" s="156"/>
      <c r="H952" s="174"/>
      <c r="I952" s="174"/>
      <c r="J952" s="174"/>
      <c r="K952" s="156"/>
      <c r="L952" s="156"/>
      <c r="M952" s="156"/>
      <c r="N952" s="156"/>
      <c r="O952" s="156"/>
      <c r="P952" s="156"/>
      <c r="Q952" s="156"/>
      <c r="R952" s="156"/>
      <c r="S952" s="156"/>
      <c r="T952" s="156"/>
    </row>
    <row r="953" ht="26.25" customHeight="1">
      <c r="A953" s="167"/>
      <c r="B953" s="174"/>
      <c r="C953" s="174"/>
      <c r="D953" s="175"/>
      <c r="E953" s="156"/>
      <c r="F953" s="156"/>
      <c r="G953" s="156"/>
      <c r="H953" s="174"/>
      <c r="I953" s="174"/>
      <c r="J953" s="174"/>
      <c r="K953" s="156"/>
      <c r="L953" s="156"/>
      <c r="M953" s="156"/>
      <c r="N953" s="156"/>
      <c r="O953" s="156"/>
      <c r="P953" s="156"/>
      <c r="Q953" s="156"/>
      <c r="R953" s="156"/>
      <c r="S953" s="156"/>
      <c r="T953" s="156"/>
    </row>
    <row r="954" ht="26.25" customHeight="1">
      <c r="A954" s="167"/>
      <c r="B954" s="174"/>
      <c r="C954" s="174"/>
      <c r="D954" s="175"/>
      <c r="E954" s="156"/>
      <c r="F954" s="156"/>
      <c r="G954" s="156"/>
      <c r="H954" s="174"/>
      <c r="I954" s="174"/>
      <c r="J954" s="174"/>
      <c r="K954" s="156"/>
      <c r="L954" s="156"/>
      <c r="M954" s="156"/>
      <c r="N954" s="156"/>
      <c r="O954" s="156"/>
      <c r="P954" s="156"/>
      <c r="Q954" s="156"/>
      <c r="R954" s="156"/>
      <c r="S954" s="156"/>
      <c r="T954" s="156"/>
    </row>
    <row r="955" ht="26.25" customHeight="1">
      <c r="A955" s="167"/>
      <c r="B955" s="174"/>
      <c r="C955" s="174"/>
      <c r="D955" s="175"/>
      <c r="E955" s="156"/>
      <c r="F955" s="156"/>
      <c r="G955" s="156"/>
      <c r="H955" s="174"/>
      <c r="I955" s="174"/>
      <c r="J955" s="174"/>
      <c r="K955" s="156"/>
      <c r="L955" s="156"/>
      <c r="M955" s="156"/>
      <c r="N955" s="156"/>
      <c r="O955" s="156"/>
      <c r="P955" s="156"/>
      <c r="Q955" s="156"/>
      <c r="R955" s="156"/>
      <c r="S955" s="156"/>
      <c r="T955" s="156"/>
    </row>
    <row r="956" ht="26.25" customHeight="1">
      <c r="A956" s="167"/>
      <c r="B956" s="174"/>
      <c r="C956" s="174"/>
      <c r="D956" s="175"/>
      <c r="E956" s="156"/>
      <c r="F956" s="156"/>
      <c r="G956" s="156"/>
      <c r="H956" s="174"/>
      <c r="I956" s="174"/>
      <c r="J956" s="174"/>
      <c r="K956" s="156"/>
      <c r="L956" s="156"/>
      <c r="M956" s="156"/>
      <c r="N956" s="156"/>
      <c r="O956" s="156"/>
      <c r="P956" s="156"/>
      <c r="Q956" s="156"/>
      <c r="R956" s="156"/>
      <c r="S956" s="156"/>
      <c r="T956" s="156"/>
    </row>
    <row r="957" ht="26.25" customHeight="1">
      <c r="A957" s="167"/>
      <c r="B957" s="174"/>
      <c r="C957" s="174"/>
      <c r="D957" s="175"/>
      <c r="E957" s="156"/>
      <c r="F957" s="156"/>
      <c r="G957" s="156"/>
      <c r="H957" s="174"/>
      <c r="I957" s="174"/>
      <c r="J957" s="174"/>
      <c r="K957" s="156"/>
      <c r="L957" s="156"/>
      <c r="M957" s="156"/>
      <c r="N957" s="156"/>
      <c r="O957" s="156"/>
      <c r="P957" s="156"/>
      <c r="Q957" s="156"/>
      <c r="R957" s="156"/>
      <c r="S957" s="156"/>
      <c r="T957" s="156"/>
    </row>
    <row r="958" ht="26.25" customHeight="1">
      <c r="A958" s="167"/>
      <c r="B958" s="174"/>
      <c r="C958" s="174"/>
      <c r="D958" s="175"/>
      <c r="E958" s="156"/>
      <c r="F958" s="156"/>
      <c r="G958" s="156"/>
      <c r="H958" s="174"/>
      <c r="I958" s="174"/>
      <c r="J958" s="174"/>
      <c r="K958" s="156"/>
      <c r="L958" s="156"/>
      <c r="M958" s="156"/>
      <c r="N958" s="156"/>
      <c r="O958" s="156"/>
      <c r="P958" s="156"/>
      <c r="Q958" s="156"/>
      <c r="R958" s="156"/>
      <c r="S958" s="156"/>
      <c r="T958" s="156"/>
    </row>
    <row r="959" ht="26.25" customHeight="1">
      <c r="A959" s="167"/>
      <c r="B959" s="174"/>
      <c r="C959" s="174"/>
      <c r="D959" s="175"/>
      <c r="E959" s="156"/>
      <c r="F959" s="156"/>
      <c r="G959" s="156"/>
      <c r="H959" s="174"/>
      <c r="I959" s="174"/>
      <c r="J959" s="174"/>
      <c r="K959" s="156"/>
      <c r="L959" s="156"/>
      <c r="M959" s="156"/>
      <c r="N959" s="156"/>
      <c r="O959" s="156"/>
      <c r="P959" s="156"/>
      <c r="Q959" s="156"/>
      <c r="R959" s="156"/>
      <c r="S959" s="156"/>
      <c r="T959" s="156"/>
    </row>
    <row r="960" ht="26.25" customHeight="1">
      <c r="A960" s="167"/>
      <c r="B960" s="174"/>
      <c r="C960" s="174"/>
      <c r="D960" s="175"/>
      <c r="E960" s="156"/>
      <c r="F960" s="156"/>
      <c r="G960" s="156"/>
      <c r="H960" s="174"/>
      <c r="I960" s="174"/>
      <c r="J960" s="174"/>
      <c r="K960" s="156"/>
      <c r="L960" s="156"/>
      <c r="M960" s="156"/>
      <c r="N960" s="156"/>
      <c r="O960" s="156"/>
      <c r="P960" s="156"/>
      <c r="Q960" s="156"/>
      <c r="R960" s="156"/>
      <c r="S960" s="156"/>
      <c r="T960" s="156"/>
    </row>
    <row r="961" ht="26.25" customHeight="1">
      <c r="A961" s="167"/>
      <c r="B961" s="174"/>
      <c r="C961" s="174"/>
      <c r="D961" s="175"/>
      <c r="E961" s="156"/>
      <c r="F961" s="156"/>
      <c r="G961" s="156"/>
      <c r="H961" s="174"/>
      <c r="I961" s="174"/>
      <c r="J961" s="174"/>
      <c r="K961" s="156"/>
      <c r="L961" s="156"/>
      <c r="M961" s="156"/>
      <c r="N961" s="156"/>
      <c r="O961" s="156"/>
      <c r="P961" s="156"/>
      <c r="Q961" s="156"/>
      <c r="R961" s="156"/>
      <c r="S961" s="156"/>
      <c r="T961" s="156"/>
    </row>
    <row r="962" ht="26.25" customHeight="1">
      <c r="A962" s="167"/>
      <c r="B962" s="174"/>
      <c r="C962" s="174"/>
      <c r="D962" s="175"/>
      <c r="E962" s="156"/>
      <c r="F962" s="156"/>
      <c r="G962" s="156"/>
      <c r="H962" s="174"/>
      <c r="I962" s="174"/>
      <c r="J962" s="174"/>
      <c r="K962" s="156"/>
      <c r="L962" s="156"/>
      <c r="M962" s="156"/>
      <c r="N962" s="156"/>
      <c r="O962" s="156"/>
      <c r="P962" s="156"/>
      <c r="Q962" s="156"/>
      <c r="R962" s="156"/>
      <c r="S962" s="156"/>
      <c r="T962" s="156"/>
    </row>
    <row r="963" ht="26.25" customHeight="1">
      <c r="A963" s="167"/>
      <c r="B963" s="174"/>
      <c r="C963" s="174"/>
      <c r="D963" s="175"/>
      <c r="E963" s="156"/>
      <c r="F963" s="156"/>
      <c r="G963" s="156"/>
      <c r="H963" s="174"/>
      <c r="I963" s="174"/>
      <c r="J963" s="174"/>
      <c r="K963" s="156"/>
      <c r="L963" s="156"/>
      <c r="M963" s="156"/>
      <c r="N963" s="156"/>
      <c r="O963" s="156"/>
      <c r="P963" s="156"/>
      <c r="Q963" s="156"/>
      <c r="R963" s="156"/>
      <c r="S963" s="156"/>
      <c r="T963" s="156"/>
    </row>
    <row r="964" ht="26.25" customHeight="1">
      <c r="A964" s="167"/>
      <c r="B964" s="174"/>
      <c r="C964" s="174"/>
      <c r="D964" s="175"/>
      <c r="E964" s="156"/>
      <c r="F964" s="156"/>
      <c r="G964" s="156"/>
      <c r="H964" s="174"/>
      <c r="I964" s="174"/>
      <c r="J964" s="174"/>
      <c r="K964" s="156"/>
      <c r="L964" s="156"/>
      <c r="M964" s="156"/>
      <c r="N964" s="156"/>
      <c r="O964" s="156"/>
      <c r="P964" s="156"/>
      <c r="Q964" s="156"/>
      <c r="R964" s="156"/>
      <c r="S964" s="156"/>
      <c r="T964" s="156"/>
    </row>
    <row r="965" ht="26.25" customHeight="1">
      <c r="A965" s="167"/>
      <c r="B965" s="174"/>
      <c r="C965" s="174"/>
      <c r="D965" s="175"/>
      <c r="E965" s="156"/>
      <c r="F965" s="156"/>
      <c r="G965" s="156"/>
      <c r="H965" s="174"/>
      <c r="I965" s="174"/>
      <c r="J965" s="174"/>
      <c r="K965" s="156"/>
      <c r="L965" s="156"/>
      <c r="M965" s="156"/>
      <c r="N965" s="156"/>
      <c r="O965" s="156"/>
      <c r="P965" s="156"/>
      <c r="Q965" s="156"/>
      <c r="R965" s="156"/>
      <c r="S965" s="156"/>
      <c r="T965" s="156"/>
    </row>
    <row r="966" ht="26.25" customHeight="1">
      <c r="A966" s="167"/>
      <c r="B966" s="174"/>
      <c r="C966" s="174"/>
      <c r="D966" s="175"/>
      <c r="E966" s="156"/>
      <c r="F966" s="156"/>
      <c r="G966" s="156"/>
      <c r="H966" s="174"/>
      <c r="I966" s="174"/>
      <c r="J966" s="174"/>
      <c r="K966" s="156"/>
      <c r="L966" s="156"/>
      <c r="M966" s="156"/>
      <c r="N966" s="156"/>
      <c r="O966" s="156"/>
      <c r="P966" s="156"/>
      <c r="Q966" s="156"/>
      <c r="R966" s="156"/>
      <c r="S966" s="156"/>
      <c r="T966" s="156"/>
    </row>
    <row r="967" ht="26.25" customHeight="1">
      <c r="A967" s="167"/>
      <c r="B967" s="174"/>
      <c r="C967" s="174"/>
      <c r="D967" s="175"/>
      <c r="E967" s="156"/>
      <c r="F967" s="156"/>
      <c r="G967" s="156"/>
      <c r="H967" s="174"/>
      <c r="I967" s="174"/>
      <c r="J967" s="174"/>
      <c r="K967" s="156"/>
      <c r="L967" s="156"/>
      <c r="M967" s="156"/>
      <c r="N967" s="156"/>
      <c r="O967" s="156"/>
      <c r="P967" s="156"/>
      <c r="Q967" s="156"/>
      <c r="R967" s="156"/>
      <c r="S967" s="156"/>
      <c r="T967" s="156"/>
    </row>
    <row r="968" ht="26.25" customHeight="1">
      <c r="A968" s="167"/>
      <c r="B968" s="174"/>
      <c r="C968" s="174"/>
      <c r="D968" s="175"/>
      <c r="E968" s="156"/>
      <c r="F968" s="156"/>
      <c r="G968" s="156"/>
      <c r="H968" s="174"/>
      <c r="I968" s="174"/>
      <c r="J968" s="174"/>
      <c r="K968" s="156"/>
      <c r="L968" s="156"/>
      <c r="M968" s="156"/>
      <c r="N968" s="156"/>
      <c r="O968" s="156"/>
      <c r="P968" s="156"/>
      <c r="Q968" s="156"/>
      <c r="R968" s="156"/>
      <c r="S968" s="156"/>
      <c r="T968" s="156"/>
    </row>
    <row r="969" ht="26.25" customHeight="1">
      <c r="A969" s="167"/>
      <c r="B969" s="174"/>
      <c r="C969" s="174"/>
      <c r="D969" s="175"/>
      <c r="E969" s="156"/>
      <c r="F969" s="156"/>
      <c r="G969" s="156"/>
      <c r="H969" s="174"/>
      <c r="I969" s="174"/>
      <c r="J969" s="174"/>
      <c r="K969" s="156"/>
      <c r="L969" s="156"/>
      <c r="M969" s="156"/>
      <c r="N969" s="156"/>
      <c r="O969" s="156"/>
      <c r="P969" s="156"/>
      <c r="Q969" s="156"/>
      <c r="R969" s="156"/>
      <c r="S969" s="156"/>
      <c r="T969" s="156"/>
    </row>
    <row r="970" ht="26.25" customHeight="1">
      <c r="A970" s="167"/>
      <c r="B970" s="174"/>
      <c r="C970" s="174"/>
      <c r="D970" s="175"/>
      <c r="E970" s="156"/>
      <c r="F970" s="156"/>
      <c r="G970" s="156"/>
      <c r="H970" s="174"/>
      <c r="I970" s="174"/>
      <c r="J970" s="174"/>
      <c r="K970" s="156"/>
      <c r="L970" s="156"/>
      <c r="M970" s="156"/>
      <c r="N970" s="156"/>
      <c r="O970" s="156"/>
      <c r="P970" s="156"/>
      <c r="Q970" s="156"/>
      <c r="R970" s="156"/>
      <c r="S970" s="156"/>
      <c r="T970" s="156"/>
    </row>
    <row r="971" ht="26.25" customHeight="1">
      <c r="A971" s="167"/>
      <c r="B971" s="174"/>
      <c r="C971" s="174"/>
      <c r="D971" s="175"/>
      <c r="E971" s="156"/>
      <c r="F971" s="156"/>
      <c r="G971" s="156"/>
      <c r="H971" s="174"/>
      <c r="I971" s="174"/>
      <c r="J971" s="174"/>
      <c r="K971" s="156"/>
      <c r="L971" s="156"/>
      <c r="M971" s="156"/>
      <c r="N971" s="156"/>
      <c r="O971" s="156"/>
      <c r="P971" s="156"/>
      <c r="Q971" s="156"/>
      <c r="R971" s="156"/>
      <c r="S971" s="156"/>
      <c r="T971" s="156"/>
    </row>
    <row r="972" ht="26.25" customHeight="1">
      <c r="A972" s="167"/>
      <c r="B972" s="174"/>
      <c r="C972" s="174"/>
      <c r="D972" s="175"/>
      <c r="E972" s="156"/>
      <c r="F972" s="156"/>
      <c r="G972" s="156"/>
      <c r="H972" s="174"/>
      <c r="I972" s="174"/>
      <c r="J972" s="174"/>
      <c r="K972" s="156"/>
      <c r="L972" s="156"/>
      <c r="M972" s="156"/>
      <c r="N972" s="156"/>
      <c r="O972" s="156"/>
      <c r="P972" s="156"/>
      <c r="Q972" s="156"/>
      <c r="R972" s="156"/>
      <c r="S972" s="156"/>
      <c r="T972" s="156"/>
    </row>
    <row r="973" ht="26.25" customHeight="1">
      <c r="A973" s="167"/>
      <c r="B973" s="174"/>
      <c r="C973" s="174"/>
      <c r="D973" s="175"/>
      <c r="E973" s="156"/>
      <c r="F973" s="156"/>
      <c r="G973" s="156"/>
      <c r="H973" s="174"/>
      <c r="I973" s="174"/>
      <c r="J973" s="174"/>
      <c r="K973" s="156"/>
      <c r="L973" s="156"/>
      <c r="M973" s="156"/>
      <c r="N973" s="156"/>
      <c r="O973" s="156"/>
      <c r="P973" s="156"/>
      <c r="Q973" s="156"/>
      <c r="R973" s="156"/>
      <c r="S973" s="156"/>
      <c r="T973" s="156"/>
    </row>
    <row r="974" ht="26.25" customHeight="1">
      <c r="A974" s="167"/>
      <c r="B974" s="174"/>
      <c r="C974" s="174"/>
      <c r="D974" s="175"/>
      <c r="E974" s="156"/>
      <c r="F974" s="156"/>
      <c r="G974" s="156"/>
      <c r="H974" s="174"/>
      <c r="I974" s="174"/>
      <c r="J974" s="174"/>
      <c r="K974" s="156"/>
      <c r="L974" s="156"/>
      <c r="M974" s="156"/>
      <c r="N974" s="156"/>
      <c r="O974" s="156"/>
      <c r="P974" s="156"/>
      <c r="Q974" s="156"/>
      <c r="R974" s="156"/>
      <c r="S974" s="156"/>
      <c r="T974" s="156"/>
    </row>
    <row r="975" ht="26.25" customHeight="1">
      <c r="A975" s="167"/>
      <c r="B975" s="174"/>
      <c r="C975" s="174"/>
      <c r="D975" s="175"/>
      <c r="E975" s="156"/>
      <c r="F975" s="156"/>
      <c r="G975" s="156"/>
      <c r="H975" s="174"/>
      <c r="I975" s="174"/>
      <c r="J975" s="174"/>
      <c r="K975" s="156"/>
      <c r="L975" s="156"/>
      <c r="M975" s="156"/>
      <c r="N975" s="156"/>
      <c r="O975" s="156"/>
      <c r="P975" s="156"/>
      <c r="Q975" s="156"/>
      <c r="R975" s="156"/>
      <c r="S975" s="156"/>
      <c r="T975" s="156"/>
    </row>
    <row r="976" ht="26.25" customHeight="1">
      <c r="A976" s="167"/>
      <c r="B976" s="174"/>
      <c r="C976" s="174"/>
      <c r="D976" s="175"/>
      <c r="E976" s="156"/>
      <c r="F976" s="156"/>
      <c r="G976" s="156"/>
      <c r="H976" s="174"/>
      <c r="I976" s="174"/>
      <c r="J976" s="174"/>
      <c r="K976" s="156"/>
      <c r="L976" s="156"/>
      <c r="M976" s="156"/>
      <c r="N976" s="156"/>
      <c r="O976" s="156"/>
      <c r="P976" s="156"/>
      <c r="Q976" s="156"/>
      <c r="R976" s="156"/>
      <c r="S976" s="156"/>
      <c r="T976" s="156"/>
    </row>
    <row r="977" ht="26.25" customHeight="1">
      <c r="A977" s="167"/>
      <c r="B977" s="174"/>
      <c r="C977" s="174"/>
      <c r="D977" s="175"/>
      <c r="E977" s="156"/>
      <c r="F977" s="156"/>
      <c r="G977" s="156"/>
      <c r="H977" s="174"/>
      <c r="I977" s="174"/>
      <c r="J977" s="174"/>
      <c r="K977" s="156"/>
      <c r="L977" s="156"/>
      <c r="M977" s="156"/>
      <c r="N977" s="156"/>
      <c r="O977" s="156"/>
      <c r="P977" s="156"/>
      <c r="Q977" s="156"/>
      <c r="R977" s="156"/>
      <c r="S977" s="156"/>
      <c r="T977" s="156"/>
    </row>
    <row r="978" ht="26.25" customHeight="1">
      <c r="A978" s="167"/>
      <c r="B978" s="174"/>
      <c r="C978" s="174"/>
      <c r="D978" s="175"/>
      <c r="E978" s="156"/>
      <c r="F978" s="156"/>
      <c r="G978" s="156"/>
      <c r="H978" s="174"/>
      <c r="I978" s="174"/>
      <c r="J978" s="174"/>
      <c r="K978" s="156"/>
      <c r="L978" s="156"/>
      <c r="M978" s="156"/>
      <c r="N978" s="156"/>
      <c r="O978" s="156"/>
      <c r="P978" s="156"/>
      <c r="Q978" s="156"/>
      <c r="R978" s="156"/>
      <c r="S978" s="156"/>
      <c r="T978" s="156"/>
    </row>
    <row r="979" ht="26.25" customHeight="1">
      <c r="A979" s="167"/>
      <c r="B979" s="174"/>
      <c r="C979" s="174"/>
      <c r="D979" s="175"/>
      <c r="E979" s="156"/>
      <c r="F979" s="156"/>
      <c r="G979" s="156"/>
      <c r="H979" s="174"/>
      <c r="I979" s="174"/>
      <c r="J979" s="174"/>
      <c r="K979" s="156"/>
      <c r="L979" s="156"/>
      <c r="M979" s="156"/>
      <c r="N979" s="156"/>
      <c r="O979" s="156"/>
      <c r="P979" s="156"/>
      <c r="Q979" s="156"/>
      <c r="R979" s="156"/>
      <c r="S979" s="156"/>
      <c r="T979" s="156"/>
    </row>
    <row r="980" ht="26.25" customHeight="1">
      <c r="A980" s="167"/>
      <c r="B980" s="174"/>
      <c r="C980" s="174"/>
      <c r="D980" s="175"/>
      <c r="E980" s="156"/>
      <c r="F980" s="156"/>
      <c r="G980" s="156"/>
      <c r="H980" s="174"/>
      <c r="I980" s="174"/>
      <c r="J980" s="174"/>
      <c r="K980" s="156"/>
      <c r="L980" s="156"/>
      <c r="M980" s="156"/>
      <c r="N980" s="156"/>
      <c r="O980" s="156"/>
      <c r="P980" s="156"/>
      <c r="Q980" s="156"/>
      <c r="R980" s="156"/>
      <c r="S980" s="156"/>
      <c r="T980" s="156"/>
    </row>
    <row r="981" ht="26.25" customHeight="1">
      <c r="A981" s="167"/>
      <c r="B981" s="174"/>
      <c r="C981" s="174"/>
      <c r="D981" s="175"/>
      <c r="E981" s="156"/>
      <c r="F981" s="156"/>
      <c r="G981" s="156"/>
      <c r="H981" s="174"/>
      <c r="I981" s="174"/>
      <c r="J981" s="174"/>
      <c r="K981" s="156"/>
      <c r="L981" s="156"/>
      <c r="M981" s="156"/>
      <c r="N981" s="156"/>
      <c r="O981" s="156"/>
      <c r="P981" s="156"/>
      <c r="Q981" s="156"/>
      <c r="R981" s="156"/>
      <c r="S981" s="156"/>
      <c r="T981" s="156"/>
    </row>
    <row r="982" ht="26.25" customHeight="1">
      <c r="A982" s="167"/>
      <c r="B982" s="174"/>
      <c r="C982" s="174"/>
      <c r="D982" s="175"/>
      <c r="E982" s="156"/>
      <c r="F982" s="156"/>
      <c r="G982" s="156"/>
      <c r="H982" s="174"/>
      <c r="I982" s="174"/>
      <c r="J982" s="174"/>
      <c r="K982" s="156"/>
      <c r="L982" s="156"/>
      <c r="M982" s="156"/>
      <c r="N982" s="156"/>
      <c r="O982" s="156"/>
      <c r="P982" s="156"/>
      <c r="Q982" s="156"/>
      <c r="R982" s="156"/>
      <c r="S982" s="156"/>
      <c r="T982" s="156"/>
    </row>
    <row r="983" ht="26.25" customHeight="1">
      <c r="A983" s="167"/>
      <c r="B983" s="174"/>
      <c r="C983" s="174"/>
      <c r="D983" s="175"/>
      <c r="E983" s="156"/>
      <c r="F983" s="156"/>
      <c r="G983" s="156"/>
      <c r="H983" s="174"/>
      <c r="I983" s="174"/>
      <c r="J983" s="174"/>
      <c r="K983" s="156"/>
      <c r="L983" s="156"/>
      <c r="M983" s="156"/>
      <c r="N983" s="156"/>
      <c r="O983" s="156"/>
      <c r="P983" s="156"/>
      <c r="Q983" s="156"/>
      <c r="R983" s="156"/>
      <c r="S983" s="156"/>
      <c r="T983" s="156"/>
    </row>
    <row r="984" ht="26.25" customHeight="1">
      <c r="A984" s="167"/>
      <c r="B984" s="174"/>
      <c r="C984" s="174"/>
      <c r="D984" s="175"/>
      <c r="E984" s="156"/>
      <c r="F984" s="156"/>
      <c r="G984" s="156"/>
      <c r="H984" s="174"/>
      <c r="I984" s="174"/>
      <c r="J984" s="174"/>
      <c r="K984" s="156"/>
      <c r="L984" s="156"/>
      <c r="M984" s="156"/>
      <c r="N984" s="156"/>
      <c r="O984" s="156"/>
      <c r="P984" s="156"/>
      <c r="Q984" s="156"/>
      <c r="R984" s="156"/>
      <c r="S984" s="156"/>
      <c r="T984" s="156"/>
    </row>
    <row r="985" ht="26.25" customHeight="1">
      <c r="A985" s="167"/>
      <c r="B985" s="174"/>
      <c r="C985" s="174"/>
      <c r="D985" s="175"/>
      <c r="E985" s="156"/>
      <c r="F985" s="156"/>
      <c r="G985" s="156"/>
      <c r="H985" s="174"/>
      <c r="I985" s="174"/>
      <c r="J985" s="174"/>
      <c r="K985" s="156"/>
      <c r="L985" s="156"/>
      <c r="M985" s="156"/>
      <c r="N985" s="156"/>
      <c r="O985" s="156"/>
      <c r="P985" s="156"/>
      <c r="Q985" s="156"/>
      <c r="R985" s="156"/>
      <c r="S985" s="156"/>
      <c r="T985" s="156"/>
    </row>
    <row r="986" ht="26.25" customHeight="1">
      <c r="A986" s="167"/>
      <c r="B986" s="174"/>
      <c r="C986" s="174"/>
      <c r="D986" s="175"/>
      <c r="E986" s="156"/>
      <c r="F986" s="156"/>
      <c r="G986" s="156"/>
      <c r="H986" s="174"/>
      <c r="I986" s="174"/>
      <c r="J986" s="174"/>
      <c r="K986" s="156"/>
      <c r="L986" s="156"/>
      <c r="M986" s="156"/>
      <c r="N986" s="156"/>
      <c r="O986" s="156"/>
      <c r="P986" s="156"/>
      <c r="Q986" s="156"/>
      <c r="R986" s="156"/>
      <c r="S986" s="156"/>
      <c r="T986" s="156"/>
    </row>
    <row r="987" ht="26.25" customHeight="1">
      <c r="A987" s="167"/>
      <c r="B987" s="174"/>
      <c r="C987" s="174"/>
      <c r="D987" s="175"/>
      <c r="E987" s="156"/>
      <c r="F987" s="156"/>
      <c r="G987" s="156"/>
      <c r="H987" s="174"/>
      <c r="I987" s="174"/>
      <c r="J987" s="174"/>
      <c r="K987" s="156"/>
      <c r="L987" s="156"/>
      <c r="M987" s="156"/>
      <c r="N987" s="156"/>
      <c r="O987" s="156"/>
      <c r="P987" s="156"/>
      <c r="Q987" s="156"/>
      <c r="R987" s="156"/>
      <c r="S987" s="156"/>
      <c r="T987" s="156"/>
    </row>
    <row r="988" ht="26.25" customHeight="1">
      <c r="A988" s="167"/>
      <c r="B988" s="174"/>
      <c r="C988" s="174"/>
      <c r="D988" s="175"/>
      <c r="E988" s="156"/>
      <c r="F988" s="156"/>
      <c r="G988" s="156"/>
      <c r="H988" s="174"/>
      <c r="I988" s="174"/>
      <c r="J988" s="174"/>
      <c r="K988" s="156"/>
      <c r="L988" s="156"/>
      <c r="M988" s="156"/>
      <c r="N988" s="156"/>
      <c r="O988" s="156"/>
      <c r="P988" s="156"/>
      <c r="Q988" s="156"/>
      <c r="R988" s="156"/>
      <c r="S988" s="156"/>
      <c r="T988" s="156"/>
    </row>
    <row r="989" ht="26.25" customHeight="1">
      <c r="A989" s="167"/>
      <c r="B989" s="174"/>
      <c r="C989" s="174"/>
      <c r="D989" s="175"/>
      <c r="E989" s="156"/>
      <c r="F989" s="156"/>
      <c r="G989" s="156"/>
      <c r="H989" s="174"/>
      <c r="I989" s="174"/>
      <c r="J989" s="174"/>
      <c r="K989" s="156"/>
      <c r="L989" s="156"/>
      <c r="M989" s="156"/>
      <c r="N989" s="156"/>
      <c r="O989" s="156"/>
      <c r="P989" s="156"/>
      <c r="Q989" s="156"/>
      <c r="R989" s="156"/>
      <c r="S989" s="156"/>
      <c r="T989" s="156"/>
    </row>
    <row r="990" ht="26.25" customHeight="1">
      <c r="A990" s="167"/>
      <c r="B990" s="174"/>
      <c r="C990" s="174"/>
      <c r="D990" s="175"/>
      <c r="E990" s="156"/>
      <c r="F990" s="156"/>
      <c r="G990" s="156"/>
      <c r="H990" s="174"/>
      <c r="I990" s="174"/>
      <c r="J990" s="174"/>
      <c r="K990" s="156"/>
      <c r="L990" s="156"/>
      <c r="M990" s="156"/>
      <c r="N990" s="156"/>
      <c r="O990" s="156"/>
      <c r="P990" s="156"/>
      <c r="Q990" s="156"/>
      <c r="R990" s="156"/>
      <c r="S990" s="156"/>
      <c r="T990" s="156"/>
    </row>
    <row r="991" ht="26.25" customHeight="1">
      <c r="A991" s="167"/>
      <c r="B991" s="174"/>
      <c r="C991" s="174"/>
      <c r="D991" s="175"/>
      <c r="E991" s="156"/>
      <c r="F991" s="156"/>
      <c r="G991" s="156"/>
      <c r="H991" s="174"/>
      <c r="I991" s="174"/>
      <c r="J991" s="174"/>
      <c r="K991" s="156"/>
      <c r="L991" s="156"/>
      <c r="M991" s="156"/>
      <c r="N991" s="156"/>
      <c r="O991" s="156"/>
      <c r="P991" s="156"/>
      <c r="Q991" s="156"/>
      <c r="R991" s="156"/>
      <c r="S991" s="156"/>
      <c r="T991" s="156"/>
    </row>
    <row r="992" ht="26.25" customHeight="1">
      <c r="A992" s="167"/>
      <c r="B992" s="174"/>
      <c r="C992" s="174"/>
      <c r="D992" s="175"/>
      <c r="E992" s="156"/>
      <c r="F992" s="156"/>
      <c r="G992" s="156"/>
      <c r="H992" s="174"/>
      <c r="I992" s="174"/>
      <c r="J992" s="174"/>
      <c r="K992" s="156"/>
      <c r="L992" s="156"/>
      <c r="M992" s="156"/>
      <c r="N992" s="156"/>
      <c r="O992" s="156"/>
      <c r="P992" s="156"/>
      <c r="Q992" s="156"/>
      <c r="R992" s="156"/>
      <c r="S992" s="156"/>
      <c r="T992" s="156"/>
    </row>
    <row r="993" ht="26.25" customHeight="1">
      <c r="A993" s="167"/>
      <c r="B993" s="174"/>
      <c r="C993" s="174"/>
      <c r="D993" s="175"/>
      <c r="E993" s="156"/>
      <c r="F993" s="156"/>
      <c r="G993" s="156"/>
      <c r="H993" s="174"/>
      <c r="I993" s="174"/>
      <c r="J993" s="174"/>
      <c r="K993" s="156"/>
      <c r="L993" s="156"/>
      <c r="M993" s="156"/>
      <c r="N993" s="156"/>
      <c r="O993" s="156"/>
      <c r="P993" s="156"/>
      <c r="Q993" s="156"/>
      <c r="R993" s="156"/>
      <c r="S993" s="156"/>
      <c r="T993" s="156"/>
    </row>
    <row r="994" ht="26.25" customHeight="1">
      <c r="A994" s="167"/>
      <c r="B994" s="174"/>
      <c r="C994" s="174"/>
      <c r="D994" s="175"/>
      <c r="E994" s="156"/>
      <c r="F994" s="156"/>
      <c r="G994" s="156"/>
      <c r="H994" s="174"/>
      <c r="I994" s="174"/>
      <c r="J994" s="174"/>
      <c r="K994" s="156"/>
      <c r="L994" s="156"/>
      <c r="M994" s="156"/>
      <c r="N994" s="156"/>
      <c r="O994" s="156"/>
      <c r="P994" s="156"/>
      <c r="Q994" s="156"/>
      <c r="R994" s="156"/>
      <c r="S994" s="156"/>
      <c r="T994" s="156"/>
    </row>
    <row r="995" ht="26.25" customHeight="1">
      <c r="A995" s="167"/>
      <c r="B995" s="174"/>
      <c r="C995" s="174"/>
      <c r="D995" s="175"/>
      <c r="E995" s="156"/>
      <c r="F995" s="156"/>
      <c r="G995" s="156"/>
      <c r="H995" s="174"/>
      <c r="I995" s="174"/>
      <c r="J995" s="174"/>
      <c r="K995" s="156"/>
      <c r="L995" s="156"/>
      <c r="M995" s="156"/>
      <c r="N995" s="156"/>
      <c r="O995" s="156"/>
      <c r="P995" s="156"/>
      <c r="Q995" s="156"/>
      <c r="R995" s="156"/>
      <c r="S995" s="156"/>
      <c r="T995" s="156"/>
    </row>
    <row r="996" ht="26.25" customHeight="1">
      <c r="A996" s="167"/>
      <c r="B996" s="174"/>
      <c r="C996" s="174"/>
      <c r="D996" s="175"/>
      <c r="E996" s="156"/>
      <c r="F996" s="156"/>
      <c r="G996" s="156"/>
      <c r="H996" s="174"/>
      <c r="I996" s="174"/>
      <c r="J996" s="174"/>
      <c r="K996" s="156"/>
      <c r="L996" s="156"/>
      <c r="M996" s="156"/>
      <c r="N996" s="156"/>
      <c r="O996" s="156"/>
      <c r="P996" s="156"/>
      <c r="Q996" s="156"/>
      <c r="R996" s="156"/>
      <c r="S996" s="156"/>
      <c r="T996" s="156"/>
    </row>
    <row r="997" ht="26.25" customHeight="1">
      <c r="A997" s="167"/>
      <c r="B997" s="174"/>
      <c r="C997" s="174"/>
      <c r="D997" s="175"/>
      <c r="E997" s="156"/>
      <c r="F997" s="156"/>
      <c r="G997" s="156"/>
      <c r="H997" s="174"/>
      <c r="I997" s="174"/>
      <c r="J997" s="174"/>
      <c r="K997" s="156"/>
      <c r="L997" s="156"/>
      <c r="M997" s="156"/>
      <c r="N997" s="156"/>
      <c r="O997" s="156"/>
      <c r="P997" s="156"/>
      <c r="Q997" s="156"/>
      <c r="R997" s="156"/>
      <c r="S997" s="156"/>
      <c r="T997" s="156"/>
    </row>
    <row r="998" ht="26.25" customHeight="1">
      <c r="A998" s="167"/>
      <c r="B998" s="174"/>
      <c r="C998" s="174"/>
      <c r="D998" s="175"/>
      <c r="E998" s="156"/>
      <c r="F998" s="156"/>
      <c r="G998" s="156"/>
      <c r="H998" s="174"/>
      <c r="I998" s="174"/>
      <c r="J998" s="174"/>
      <c r="K998" s="156"/>
      <c r="L998" s="156"/>
      <c r="M998" s="156"/>
      <c r="N998" s="156"/>
      <c r="O998" s="156"/>
      <c r="P998" s="156"/>
      <c r="Q998" s="156"/>
      <c r="R998" s="156"/>
      <c r="S998" s="156"/>
      <c r="T998" s="156"/>
    </row>
    <row r="999" ht="26.25" customHeight="1">
      <c r="A999" s="167"/>
      <c r="B999" s="174"/>
      <c r="C999" s="174"/>
      <c r="D999" s="175"/>
      <c r="E999" s="156"/>
      <c r="F999" s="156"/>
      <c r="G999" s="156"/>
      <c r="H999" s="174"/>
      <c r="I999" s="174"/>
      <c r="J999" s="174"/>
      <c r="K999" s="156"/>
      <c r="L999" s="156"/>
      <c r="M999" s="156"/>
      <c r="N999" s="156"/>
      <c r="O999" s="156"/>
      <c r="P999" s="156"/>
      <c r="Q999" s="156"/>
      <c r="R999" s="156"/>
      <c r="S999" s="156"/>
      <c r="T999" s="156"/>
    </row>
    <row r="1000" ht="26.25" customHeight="1">
      <c r="A1000" s="167"/>
      <c r="B1000" s="174"/>
      <c r="C1000" s="174"/>
      <c r="D1000" s="175"/>
      <c r="E1000" s="156"/>
      <c r="F1000" s="156"/>
      <c r="G1000" s="156"/>
      <c r="H1000" s="174"/>
      <c r="I1000" s="174"/>
      <c r="J1000" s="174"/>
      <c r="K1000" s="156"/>
      <c r="L1000" s="156"/>
      <c r="M1000" s="156"/>
      <c r="N1000" s="156"/>
      <c r="O1000" s="156"/>
      <c r="P1000" s="156"/>
      <c r="Q1000" s="156"/>
      <c r="R1000" s="156"/>
      <c r="S1000" s="156"/>
      <c r="T1000" s="156"/>
    </row>
    <row r="1001" ht="26.25" customHeight="1">
      <c r="A1001" s="167"/>
      <c r="B1001" s="174"/>
      <c r="C1001" s="174"/>
      <c r="D1001" s="175"/>
      <c r="E1001" s="156"/>
      <c r="F1001" s="156"/>
      <c r="G1001" s="156"/>
      <c r="H1001" s="174"/>
      <c r="I1001" s="174"/>
      <c r="J1001" s="174"/>
      <c r="K1001" s="156"/>
      <c r="L1001" s="156"/>
      <c r="M1001" s="156"/>
      <c r="N1001" s="156"/>
      <c r="O1001" s="156"/>
      <c r="P1001" s="156"/>
      <c r="Q1001" s="156"/>
      <c r="R1001" s="156"/>
      <c r="S1001" s="156"/>
      <c r="T1001" s="156"/>
    </row>
    <row r="1002" ht="26.25" customHeight="1">
      <c r="A1002" s="167"/>
      <c r="B1002" s="174"/>
      <c r="C1002" s="174"/>
      <c r="D1002" s="175"/>
      <c r="E1002" s="156"/>
      <c r="F1002" s="156"/>
      <c r="G1002" s="156"/>
      <c r="H1002" s="174"/>
      <c r="I1002" s="174"/>
      <c r="J1002" s="174"/>
      <c r="K1002" s="156"/>
      <c r="L1002" s="156"/>
      <c r="M1002" s="156"/>
      <c r="N1002" s="156"/>
      <c r="O1002" s="156"/>
      <c r="P1002" s="156"/>
      <c r="Q1002" s="156"/>
      <c r="R1002" s="156"/>
      <c r="S1002" s="156"/>
      <c r="T1002" s="156"/>
    </row>
    <row r="1003" ht="26.25" customHeight="1">
      <c r="A1003" s="167"/>
      <c r="B1003" s="174"/>
      <c r="C1003" s="174"/>
      <c r="D1003" s="175"/>
      <c r="E1003" s="156"/>
      <c r="F1003" s="156"/>
      <c r="G1003" s="156"/>
      <c r="H1003" s="174"/>
      <c r="I1003" s="174"/>
      <c r="J1003" s="174"/>
      <c r="K1003" s="156"/>
      <c r="L1003" s="156"/>
      <c r="M1003" s="156"/>
      <c r="N1003" s="156"/>
      <c r="O1003" s="156"/>
      <c r="P1003" s="156"/>
      <c r="Q1003" s="156"/>
      <c r="R1003" s="156"/>
      <c r="S1003" s="156"/>
      <c r="T1003" s="156"/>
    </row>
    <row r="1004" ht="26.25" customHeight="1">
      <c r="A1004" s="167"/>
      <c r="B1004" s="174"/>
      <c r="C1004" s="174"/>
      <c r="D1004" s="175"/>
      <c r="E1004" s="156"/>
      <c r="F1004" s="156"/>
      <c r="G1004" s="156"/>
      <c r="H1004" s="174"/>
      <c r="I1004" s="174"/>
      <c r="J1004" s="174"/>
      <c r="K1004" s="156"/>
      <c r="L1004" s="156"/>
      <c r="M1004" s="156"/>
      <c r="N1004" s="156"/>
      <c r="O1004" s="156"/>
      <c r="P1004" s="156"/>
      <c r="Q1004" s="156"/>
      <c r="R1004" s="156"/>
      <c r="S1004" s="156"/>
      <c r="T1004" s="156"/>
    </row>
    <row r="1005" ht="26.25" customHeight="1">
      <c r="A1005" s="167"/>
      <c r="B1005" s="174"/>
      <c r="C1005" s="174"/>
      <c r="D1005" s="175"/>
      <c r="E1005" s="156"/>
      <c r="F1005" s="156"/>
      <c r="G1005" s="156"/>
      <c r="H1005" s="174"/>
      <c r="I1005" s="174"/>
      <c r="J1005" s="174"/>
      <c r="K1005" s="156"/>
      <c r="L1005" s="156"/>
      <c r="M1005" s="156"/>
      <c r="N1005" s="156"/>
      <c r="O1005" s="156"/>
      <c r="P1005" s="156"/>
      <c r="Q1005" s="156"/>
      <c r="R1005" s="156"/>
      <c r="S1005" s="156"/>
      <c r="T1005" s="156"/>
    </row>
    <row r="1006" ht="26.25" customHeight="1">
      <c r="A1006" s="167"/>
      <c r="B1006" s="174"/>
      <c r="C1006" s="174"/>
      <c r="D1006" s="175"/>
      <c r="E1006" s="156"/>
      <c r="F1006" s="156"/>
      <c r="G1006" s="156"/>
      <c r="H1006" s="174"/>
      <c r="I1006" s="174"/>
      <c r="J1006" s="174"/>
      <c r="K1006" s="156"/>
      <c r="L1006" s="156"/>
      <c r="M1006" s="156"/>
      <c r="N1006" s="156"/>
      <c r="O1006" s="156"/>
      <c r="P1006" s="156"/>
      <c r="Q1006" s="156"/>
      <c r="R1006" s="156"/>
      <c r="S1006" s="156"/>
      <c r="T1006" s="156"/>
    </row>
    <row r="1007" ht="26.25" customHeight="1">
      <c r="A1007" s="167"/>
      <c r="B1007" s="174"/>
      <c r="C1007" s="174"/>
      <c r="D1007" s="175"/>
      <c r="E1007" s="156"/>
      <c r="F1007" s="156"/>
      <c r="G1007" s="156"/>
      <c r="H1007" s="174"/>
      <c r="I1007" s="174"/>
      <c r="J1007" s="174"/>
      <c r="K1007" s="156"/>
      <c r="L1007" s="156"/>
      <c r="M1007" s="156"/>
      <c r="N1007" s="156"/>
      <c r="O1007" s="156"/>
      <c r="P1007" s="156"/>
      <c r="Q1007" s="156"/>
      <c r="R1007" s="156"/>
      <c r="S1007" s="156"/>
      <c r="T1007" s="156"/>
    </row>
    <row r="1008" ht="26.25" customHeight="1">
      <c r="A1008" s="167"/>
      <c r="B1008" s="174"/>
      <c r="C1008" s="174"/>
      <c r="D1008" s="175"/>
      <c r="E1008" s="156"/>
      <c r="F1008" s="156"/>
      <c r="G1008" s="156"/>
      <c r="H1008" s="174"/>
      <c r="I1008" s="174"/>
      <c r="J1008" s="174"/>
      <c r="K1008" s="156"/>
      <c r="L1008" s="156"/>
      <c r="M1008" s="156"/>
      <c r="N1008" s="156"/>
      <c r="O1008" s="156"/>
      <c r="P1008" s="156"/>
      <c r="Q1008" s="156"/>
      <c r="R1008" s="156"/>
      <c r="S1008" s="156"/>
      <c r="T1008" s="156"/>
    </row>
    <row r="1009" ht="26.25" customHeight="1">
      <c r="A1009" s="167"/>
      <c r="B1009" s="174"/>
      <c r="C1009" s="174"/>
      <c r="D1009" s="175"/>
      <c r="E1009" s="156"/>
      <c r="F1009" s="156"/>
      <c r="G1009" s="156"/>
      <c r="H1009" s="174"/>
      <c r="I1009" s="174"/>
      <c r="J1009" s="174"/>
      <c r="K1009" s="156"/>
      <c r="L1009" s="156"/>
      <c r="M1009" s="156"/>
      <c r="N1009" s="156"/>
      <c r="O1009" s="156"/>
      <c r="P1009" s="156"/>
      <c r="Q1009" s="156"/>
      <c r="R1009" s="156"/>
      <c r="S1009" s="156"/>
      <c r="T1009" s="156"/>
    </row>
    <row r="1010" ht="26.25" customHeight="1">
      <c r="A1010" s="167"/>
      <c r="B1010" s="174"/>
      <c r="C1010" s="174"/>
      <c r="D1010" s="175"/>
      <c r="E1010" s="156"/>
      <c r="F1010" s="156"/>
      <c r="G1010" s="156"/>
      <c r="H1010" s="174"/>
      <c r="I1010" s="174"/>
      <c r="J1010" s="174"/>
      <c r="K1010" s="156"/>
      <c r="L1010" s="156"/>
      <c r="M1010" s="156"/>
      <c r="N1010" s="156"/>
      <c r="O1010" s="156"/>
      <c r="P1010" s="156"/>
      <c r="Q1010" s="156"/>
      <c r="R1010" s="156"/>
      <c r="S1010" s="156"/>
      <c r="T1010" s="156"/>
    </row>
    <row r="1011" ht="26.25" customHeight="1">
      <c r="A1011" s="167"/>
      <c r="B1011" s="174"/>
      <c r="C1011" s="174"/>
      <c r="D1011" s="175"/>
      <c r="E1011" s="156"/>
      <c r="F1011" s="156"/>
      <c r="G1011" s="156"/>
      <c r="H1011" s="174"/>
      <c r="I1011" s="174"/>
      <c r="J1011" s="174"/>
      <c r="K1011" s="156"/>
      <c r="L1011" s="156"/>
      <c r="M1011" s="156"/>
      <c r="N1011" s="156"/>
      <c r="O1011" s="156"/>
      <c r="P1011" s="156"/>
      <c r="Q1011" s="156"/>
      <c r="R1011" s="156"/>
      <c r="S1011" s="156"/>
      <c r="T1011" s="156"/>
    </row>
    <row r="1012" ht="26.25" customHeight="1">
      <c r="A1012" s="167"/>
      <c r="B1012" s="174"/>
      <c r="C1012" s="174"/>
      <c r="D1012" s="175"/>
      <c r="E1012" s="156"/>
      <c r="F1012" s="156"/>
      <c r="G1012" s="156"/>
      <c r="H1012" s="174"/>
      <c r="I1012" s="174"/>
      <c r="J1012" s="174"/>
      <c r="K1012" s="156"/>
      <c r="L1012" s="156"/>
      <c r="M1012" s="156"/>
      <c r="N1012" s="156"/>
      <c r="O1012" s="156"/>
      <c r="P1012" s="156"/>
      <c r="Q1012" s="156"/>
      <c r="R1012" s="156"/>
      <c r="S1012" s="156"/>
      <c r="T1012" s="156"/>
    </row>
    <row r="1013" ht="26.25" customHeight="1">
      <c r="A1013" s="167"/>
      <c r="B1013" s="174"/>
      <c r="C1013" s="174"/>
      <c r="D1013" s="175"/>
      <c r="E1013" s="156"/>
      <c r="F1013" s="156"/>
      <c r="G1013" s="156"/>
      <c r="H1013" s="174"/>
      <c r="I1013" s="174"/>
      <c r="J1013" s="174"/>
      <c r="K1013" s="156"/>
      <c r="L1013" s="156"/>
      <c r="M1013" s="156"/>
      <c r="N1013" s="156"/>
      <c r="O1013" s="156"/>
      <c r="P1013" s="156"/>
      <c r="Q1013" s="156"/>
      <c r="R1013" s="156"/>
      <c r="S1013" s="156"/>
      <c r="T1013" s="156"/>
    </row>
    <row r="1014" ht="26.25" customHeight="1">
      <c r="A1014" s="167"/>
      <c r="B1014" s="174"/>
      <c r="C1014" s="174"/>
      <c r="D1014" s="175"/>
      <c r="E1014" s="156"/>
      <c r="F1014" s="156"/>
      <c r="G1014" s="156"/>
      <c r="H1014" s="174"/>
      <c r="I1014" s="174"/>
      <c r="J1014" s="174"/>
      <c r="K1014" s="156"/>
      <c r="L1014" s="156"/>
      <c r="M1014" s="156"/>
      <c r="N1014" s="156"/>
      <c r="O1014" s="156"/>
      <c r="P1014" s="156"/>
      <c r="Q1014" s="156"/>
      <c r="R1014" s="156"/>
      <c r="S1014" s="156"/>
      <c r="T1014" s="156"/>
    </row>
    <row r="1015" ht="26.25" customHeight="1">
      <c r="A1015" s="167"/>
      <c r="B1015" s="174"/>
      <c r="C1015" s="174"/>
      <c r="D1015" s="175"/>
      <c r="E1015" s="156"/>
      <c r="F1015" s="156"/>
      <c r="G1015" s="156"/>
      <c r="H1015" s="174"/>
      <c r="I1015" s="174"/>
      <c r="J1015" s="174"/>
      <c r="K1015" s="156"/>
      <c r="L1015" s="156"/>
      <c r="M1015" s="156"/>
      <c r="N1015" s="156"/>
      <c r="O1015" s="156"/>
      <c r="P1015" s="156"/>
      <c r="Q1015" s="156"/>
      <c r="R1015" s="156"/>
      <c r="S1015" s="156"/>
      <c r="T1015" s="156"/>
    </row>
    <row r="1016" ht="26.25" customHeight="1">
      <c r="A1016" s="167"/>
      <c r="B1016" s="174"/>
      <c r="C1016" s="174"/>
      <c r="D1016" s="175"/>
      <c r="E1016" s="156"/>
      <c r="F1016" s="156"/>
      <c r="G1016" s="156"/>
      <c r="H1016" s="174"/>
      <c r="I1016" s="174"/>
      <c r="J1016" s="174"/>
      <c r="K1016" s="156"/>
      <c r="L1016" s="156"/>
      <c r="M1016" s="156"/>
      <c r="N1016" s="156"/>
      <c r="O1016" s="156"/>
      <c r="P1016" s="156"/>
      <c r="Q1016" s="156"/>
      <c r="R1016" s="156"/>
      <c r="S1016" s="156"/>
      <c r="T1016" s="156"/>
    </row>
    <row r="1017" ht="26.25" customHeight="1">
      <c r="A1017" s="167"/>
      <c r="B1017" s="174"/>
      <c r="C1017" s="174"/>
      <c r="D1017" s="175"/>
      <c r="E1017" s="156"/>
      <c r="F1017" s="156"/>
      <c r="G1017" s="156"/>
      <c r="H1017" s="174"/>
      <c r="I1017" s="174"/>
      <c r="J1017" s="174"/>
      <c r="K1017" s="156"/>
      <c r="L1017" s="156"/>
      <c r="M1017" s="156"/>
      <c r="N1017" s="156"/>
      <c r="O1017" s="156"/>
      <c r="P1017" s="156"/>
      <c r="Q1017" s="156"/>
      <c r="R1017" s="156"/>
      <c r="S1017" s="156"/>
      <c r="T1017" s="156"/>
    </row>
    <row r="1018" ht="26.25" customHeight="1">
      <c r="A1018" s="167"/>
      <c r="B1018" s="174"/>
      <c r="C1018" s="174"/>
      <c r="D1018" s="175"/>
      <c r="E1018" s="156"/>
      <c r="F1018" s="156"/>
      <c r="G1018" s="156"/>
      <c r="H1018" s="174"/>
      <c r="I1018" s="174"/>
      <c r="J1018" s="174"/>
      <c r="K1018" s="156"/>
      <c r="L1018" s="156"/>
      <c r="M1018" s="156"/>
      <c r="N1018" s="156"/>
      <c r="O1018" s="156"/>
      <c r="P1018" s="156"/>
      <c r="Q1018" s="156"/>
      <c r="R1018" s="156"/>
      <c r="S1018" s="156"/>
      <c r="T1018" s="156"/>
    </row>
    <row r="1019" ht="26.25" customHeight="1">
      <c r="A1019" s="167"/>
      <c r="B1019" s="174"/>
      <c r="C1019" s="174"/>
      <c r="D1019" s="175"/>
      <c r="E1019" s="156"/>
      <c r="F1019" s="156"/>
      <c r="G1019" s="156"/>
      <c r="H1019" s="174"/>
      <c r="I1019" s="174"/>
      <c r="J1019" s="174"/>
      <c r="K1019" s="156"/>
      <c r="L1019" s="156"/>
      <c r="M1019" s="156"/>
      <c r="N1019" s="156"/>
      <c r="O1019" s="156"/>
      <c r="P1019" s="156"/>
      <c r="Q1019" s="156"/>
      <c r="R1019" s="156"/>
      <c r="S1019" s="156"/>
      <c r="T1019" s="156"/>
    </row>
    <row r="1020" ht="26.25" customHeight="1">
      <c r="A1020" s="167"/>
      <c r="B1020" s="174"/>
      <c r="C1020" s="174"/>
      <c r="D1020" s="175"/>
      <c r="E1020" s="156"/>
      <c r="F1020" s="156"/>
      <c r="G1020" s="156"/>
      <c r="H1020" s="174"/>
      <c r="I1020" s="174"/>
      <c r="J1020" s="174"/>
      <c r="K1020" s="156"/>
      <c r="L1020" s="156"/>
      <c r="M1020" s="156"/>
      <c r="N1020" s="156"/>
      <c r="O1020" s="156"/>
      <c r="P1020" s="156"/>
      <c r="Q1020" s="156"/>
      <c r="R1020" s="156"/>
      <c r="S1020" s="156"/>
      <c r="T1020" s="156"/>
    </row>
    <row r="1021" ht="26.25" customHeight="1">
      <c r="A1021" s="167"/>
      <c r="B1021" s="174"/>
      <c r="C1021" s="174"/>
      <c r="D1021" s="175"/>
      <c r="E1021" s="156"/>
      <c r="F1021" s="156"/>
      <c r="G1021" s="156"/>
      <c r="H1021" s="174"/>
      <c r="I1021" s="174"/>
      <c r="J1021" s="174"/>
      <c r="K1021" s="156"/>
      <c r="L1021" s="156"/>
      <c r="M1021" s="156"/>
      <c r="N1021" s="156"/>
      <c r="O1021" s="156"/>
      <c r="P1021" s="156"/>
      <c r="Q1021" s="156"/>
      <c r="R1021" s="156"/>
      <c r="S1021" s="156"/>
      <c r="T1021" s="156"/>
    </row>
    <row r="1022" ht="26.25" customHeight="1">
      <c r="A1022" s="167"/>
      <c r="B1022" s="174"/>
      <c r="C1022" s="174"/>
      <c r="D1022" s="175"/>
      <c r="E1022" s="156"/>
      <c r="F1022" s="156"/>
      <c r="G1022" s="156"/>
      <c r="H1022" s="174"/>
      <c r="I1022" s="174"/>
      <c r="J1022" s="174"/>
      <c r="K1022" s="156"/>
      <c r="L1022" s="156"/>
      <c r="M1022" s="156"/>
      <c r="N1022" s="156"/>
      <c r="O1022" s="156"/>
      <c r="P1022" s="156"/>
      <c r="Q1022" s="156"/>
      <c r="R1022" s="156"/>
      <c r="S1022" s="156"/>
      <c r="T1022" s="156"/>
    </row>
    <row r="1023" ht="26.25" customHeight="1">
      <c r="A1023" s="167"/>
      <c r="B1023" s="174"/>
      <c r="C1023" s="174"/>
      <c r="D1023" s="175"/>
      <c r="E1023" s="156"/>
      <c r="F1023" s="156"/>
      <c r="G1023" s="156"/>
      <c r="H1023" s="174"/>
      <c r="I1023" s="174"/>
      <c r="J1023" s="174"/>
      <c r="K1023" s="156"/>
      <c r="L1023" s="156"/>
      <c r="M1023" s="156"/>
      <c r="N1023" s="156"/>
      <c r="O1023" s="156"/>
      <c r="P1023" s="156"/>
      <c r="Q1023" s="156"/>
      <c r="R1023" s="156"/>
      <c r="S1023" s="156"/>
      <c r="T1023" s="156"/>
    </row>
    <row r="1024" ht="26.25" customHeight="1">
      <c r="A1024" s="167"/>
      <c r="B1024" s="174"/>
      <c r="C1024" s="174"/>
      <c r="D1024" s="175"/>
      <c r="E1024" s="156"/>
      <c r="F1024" s="156"/>
      <c r="G1024" s="156"/>
      <c r="H1024" s="174"/>
      <c r="I1024" s="174"/>
      <c r="J1024" s="174"/>
      <c r="K1024" s="156"/>
      <c r="L1024" s="156"/>
      <c r="M1024" s="156"/>
      <c r="N1024" s="156"/>
      <c r="O1024" s="156"/>
      <c r="P1024" s="156"/>
      <c r="Q1024" s="156"/>
      <c r="R1024" s="156"/>
      <c r="S1024" s="156"/>
      <c r="T1024" s="156"/>
    </row>
    <row r="1025" ht="26.25" customHeight="1">
      <c r="A1025" s="167"/>
      <c r="B1025" s="174"/>
      <c r="C1025" s="174"/>
      <c r="D1025" s="175"/>
      <c r="E1025" s="156"/>
      <c r="F1025" s="156"/>
      <c r="G1025" s="156"/>
      <c r="H1025" s="174"/>
      <c r="I1025" s="174"/>
      <c r="J1025" s="174"/>
      <c r="K1025" s="156"/>
      <c r="L1025" s="156"/>
      <c r="M1025" s="156"/>
      <c r="N1025" s="156"/>
      <c r="O1025" s="156"/>
      <c r="P1025" s="156"/>
      <c r="Q1025" s="156"/>
      <c r="R1025" s="156"/>
      <c r="S1025" s="156"/>
      <c r="T1025" s="156"/>
    </row>
    <row r="1026" ht="26.25" customHeight="1">
      <c r="A1026" s="167"/>
      <c r="B1026" s="174"/>
      <c r="C1026" s="174"/>
      <c r="D1026" s="175"/>
      <c r="E1026" s="156"/>
      <c r="F1026" s="156"/>
      <c r="G1026" s="156"/>
      <c r="H1026" s="174"/>
      <c r="I1026" s="174"/>
      <c r="J1026" s="174"/>
      <c r="K1026" s="156"/>
      <c r="L1026" s="156"/>
      <c r="M1026" s="156"/>
      <c r="N1026" s="156"/>
      <c r="O1026" s="156"/>
      <c r="P1026" s="156"/>
      <c r="Q1026" s="156"/>
      <c r="R1026" s="156"/>
      <c r="S1026" s="156"/>
      <c r="T1026" s="156"/>
    </row>
    <row r="1027" ht="26.25" customHeight="1">
      <c r="A1027" s="167"/>
      <c r="B1027" s="174"/>
      <c r="C1027" s="174"/>
      <c r="D1027" s="175"/>
      <c r="E1027" s="156"/>
      <c r="F1027" s="156"/>
      <c r="G1027" s="156"/>
      <c r="H1027" s="174"/>
      <c r="I1027" s="174"/>
      <c r="J1027" s="174"/>
      <c r="K1027" s="156"/>
      <c r="L1027" s="156"/>
      <c r="M1027" s="156"/>
      <c r="N1027" s="156"/>
      <c r="O1027" s="156"/>
      <c r="P1027" s="156"/>
      <c r="Q1027" s="156"/>
      <c r="R1027" s="156"/>
      <c r="S1027" s="156"/>
      <c r="T1027" s="156"/>
    </row>
  </sheetData>
  <mergeCells count="22">
    <mergeCell ref="A1:L1"/>
    <mergeCell ref="B2:C2"/>
    <mergeCell ref="B3:C3"/>
    <mergeCell ref="B4:C4"/>
    <mergeCell ref="B5:C5"/>
    <mergeCell ref="B6:C6"/>
    <mergeCell ref="B7:C7"/>
    <mergeCell ref="D26:E26"/>
    <mergeCell ref="D27:E27"/>
    <mergeCell ref="D28:E28"/>
    <mergeCell ref="D29:E29"/>
    <mergeCell ref="D30:E30"/>
    <mergeCell ref="D31:E31"/>
    <mergeCell ref="D32:E32"/>
    <mergeCell ref="D33:E33"/>
    <mergeCell ref="B8:C8"/>
    <mergeCell ref="B9:B13"/>
    <mergeCell ref="B14:B21"/>
    <mergeCell ref="A22:A23"/>
    <mergeCell ref="B22:C22"/>
    <mergeCell ref="B23:C23"/>
    <mergeCell ref="D25:E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5"/>
    <col customWidth="1" min="2" max="2" width="5.13"/>
    <col customWidth="1" min="3" max="3" width="12.13"/>
    <col customWidth="1" min="4" max="4" width="55.88"/>
    <col customWidth="1" min="5" max="5" width="32.25"/>
    <col customWidth="1" min="6" max="6" width="69.88"/>
    <col customWidth="1" min="7" max="7" width="61.0"/>
  </cols>
  <sheetData>
    <row r="1">
      <c r="A1" s="180"/>
      <c r="B1" s="181" t="s">
        <v>268</v>
      </c>
      <c r="E1" s="182" t="s">
        <v>269</v>
      </c>
      <c r="F1" s="183"/>
      <c r="G1" s="184"/>
    </row>
    <row r="2" ht="26.25" customHeight="1">
      <c r="A2" s="185"/>
      <c r="B2" s="186" t="s">
        <v>270</v>
      </c>
      <c r="C2" s="186" t="s">
        <v>271</v>
      </c>
      <c r="D2" s="162" t="s">
        <v>272</v>
      </c>
      <c r="E2" s="162" t="s">
        <v>273</v>
      </c>
      <c r="F2" s="187" t="s">
        <v>274</v>
      </c>
      <c r="G2" s="188" t="s">
        <v>275</v>
      </c>
    </row>
    <row r="3">
      <c r="A3" s="185"/>
      <c r="B3" s="189">
        <v>1.0</v>
      </c>
      <c r="C3" s="189" t="s">
        <v>38</v>
      </c>
      <c r="D3" s="190" t="s">
        <v>276</v>
      </c>
      <c r="E3" s="190" t="s">
        <v>277</v>
      </c>
      <c r="F3" s="190" t="s">
        <v>278</v>
      </c>
      <c r="G3" s="190" t="s">
        <v>279</v>
      </c>
    </row>
    <row r="4">
      <c r="A4" s="185"/>
      <c r="B4" s="189">
        <v>2.0</v>
      </c>
      <c r="C4" s="189" t="s">
        <v>38</v>
      </c>
      <c r="D4" s="190" t="s">
        <v>280</v>
      </c>
      <c r="E4" s="190" t="s">
        <v>281</v>
      </c>
      <c r="F4" s="190" t="s">
        <v>282</v>
      </c>
      <c r="G4" s="190" t="s">
        <v>283</v>
      </c>
    </row>
    <row r="5">
      <c r="A5" s="185"/>
      <c r="B5" s="189">
        <v>3.0</v>
      </c>
      <c r="C5" s="189" t="s">
        <v>108</v>
      </c>
      <c r="D5" s="191" t="s">
        <v>284</v>
      </c>
      <c r="E5" s="191" t="s">
        <v>285</v>
      </c>
      <c r="F5" s="190" t="s">
        <v>286</v>
      </c>
      <c r="G5" s="192" t="s">
        <v>287</v>
      </c>
    </row>
    <row r="6">
      <c r="A6" s="185"/>
      <c r="B6" s="189">
        <v>4.0</v>
      </c>
      <c r="C6" s="189" t="s">
        <v>21</v>
      </c>
      <c r="D6" s="190" t="s">
        <v>288</v>
      </c>
      <c r="E6" s="190" t="s">
        <v>289</v>
      </c>
      <c r="F6" s="190" t="s">
        <v>290</v>
      </c>
      <c r="G6" s="190" t="s">
        <v>291</v>
      </c>
    </row>
    <row r="7">
      <c r="A7" s="185"/>
      <c r="B7" s="189">
        <v>5.0</v>
      </c>
      <c r="C7" s="189" t="s">
        <v>23</v>
      </c>
      <c r="D7" s="190" t="s">
        <v>292</v>
      </c>
      <c r="E7" s="190" t="s">
        <v>293</v>
      </c>
      <c r="F7" s="190" t="s">
        <v>294</v>
      </c>
      <c r="G7" s="190" t="s">
        <v>295</v>
      </c>
    </row>
    <row r="8">
      <c r="A8" s="185"/>
      <c r="B8" s="189">
        <v>6.0</v>
      </c>
      <c r="C8" s="189" t="s">
        <v>23</v>
      </c>
      <c r="D8" s="190" t="s">
        <v>296</v>
      </c>
      <c r="E8" s="190" t="s">
        <v>297</v>
      </c>
      <c r="F8" s="190" t="s">
        <v>298</v>
      </c>
      <c r="G8" s="190" t="s">
        <v>299</v>
      </c>
    </row>
    <row r="9">
      <c r="A9" s="185"/>
      <c r="B9" s="189">
        <v>7.0</v>
      </c>
      <c r="C9" s="189" t="s">
        <v>23</v>
      </c>
      <c r="D9" s="190" t="s">
        <v>300</v>
      </c>
      <c r="E9" s="190" t="s">
        <v>301</v>
      </c>
      <c r="F9" s="190" t="s">
        <v>302</v>
      </c>
      <c r="G9" s="190" t="s">
        <v>303</v>
      </c>
    </row>
    <row r="10">
      <c r="A10" s="185"/>
      <c r="B10" s="189">
        <v>8.0</v>
      </c>
      <c r="C10" s="189" t="s">
        <v>23</v>
      </c>
      <c r="D10" s="190" t="s">
        <v>304</v>
      </c>
      <c r="E10" s="190" t="s">
        <v>305</v>
      </c>
      <c r="F10" s="190" t="s">
        <v>306</v>
      </c>
      <c r="G10" s="190" t="s">
        <v>307</v>
      </c>
    </row>
    <row r="11">
      <c r="A11" s="185"/>
      <c r="B11" s="189">
        <v>9.0</v>
      </c>
      <c r="C11" s="189" t="s">
        <v>23</v>
      </c>
      <c r="D11" s="190" t="s">
        <v>308</v>
      </c>
      <c r="E11" s="190" t="s">
        <v>309</v>
      </c>
      <c r="F11" s="190" t="s">
        <v>310</v>
      </c>
      <c r="G11" s="190" t="s">
        <v>311</v>
      </c>
    </row>
    <row r="12">
      <c r="A12" s="185"/>
      <c r="B12" s="189">
        <v>10.0</v>
      </c>
      <c r="C12" s="189" t="s">
        <v>23</v>
      </c>
      <c r="D12" s="190" t="s">
        <v>312</v>
      </c>
      <c r="E12" s="190" t="s">
        <v>313</v>
      </c>
      <c r="F12" s="190" t="s">
        <v>314</v>
      </c>
      <c r="G12" s="190" t="s">
        <v>315</v>
      </c>
    </row>
    <row r="13">
      <c r="A13" s="185"/>
      <c r="B13" s="189">
        <v>11.0</v>
      </c>
      <c r="C13" s="189" t="s">
        <v>108</v>
      </c>
      <c r="D13" s="190" t="s">
        <v>316</v>
      </c>
      <c r="E13" s="190" t="s">
        <v>317</v>
      </c>
      <c r="F13" s="190" t="s">
        <v>318</v>
      </c>
      <c r="G13" s="190" t="s">
        <v>319</v>
      </c>
    </row>
    <row r="14">
      <c r="A14" s="185"/>
      <c r="B14" s="189">
        <v>12.0</v>
      </c>
      <c r="C14" s="189" t="s">
        <v>108</v>
      </c>
      <c r="D14" s="190" t="s">
        <v>320</v>
      </c>
      <c r="E14" s="190" t="s">
        <v>321</v>
      </c>
      <c r="F14" s="190" t="s">
        <v>322</v>
      </c>
      <c r="G14" s="190" t="s">
        <v>323</v>
      </c>
    </row>
    <row r="15" ht="218.25" customHeight="1">
      <c r="A15" s="185"/>
      <c r="B15" s="189">
        <v>13.0</v>
      </c>
      <c r="C15" s="189" t="s">
        <v>38</v>
      </c>
      <c r="D15" s="190" t="s">
        <v>324</v>
      </c>
      <c r="E15" s="190" t="s">
        <v>325</v>
      </c>
      <c r="F15" s="190" t="s">
        <v>326</v>
      </c>
      <c r="G15" s="190"/>
    </row>
    <row r="16">
      <c r="A16" s="185"/>
      <c r="B16" s="189">
        <v>14.0</v>
      </c>
      <c r="C16" s="189" t="s">
        <v>110</v>
      </c>
      <c r="D16" s="190" t="s">
        <v>327</v>
      </c>
      <c r="E16" s="190" t="s">
        <v>328</v>
      </c>
      <c r="F16" s="190" t="s">
        <v>329</v>
      </c>
      <c r="G16" s="190" t="s">
        <v>330</v>
      </c>
    </row>
    <row r="17">
      <c r="A17" s="185"/>
      <c r="B17" s="189">
        <v>15.0</v>
      </c>
      <c r="C17" s="189" t="s">
        <v>110</v>
      </c>
      <c r="D17" s="190" t="s">
        <v>331</v>
      </c>
      <c r="E17" s="190" t="s">
        <v>332</v>
      </c>
      <c r="F17" s="193" t="s">
        <v>333</v>
      </c>
      <c r="G17" s="190" t="s">
        <v>334</v>
      </c>
    </row>
    <row r="18">
      <c r="A18" s="194"/>
      <c r="B18" s="195">
        <v>16.0</v>
      </c>
      <c r="C18" s="195" t="s">
        <v>37</v>
      </c>
      <c r="D18" s="196" t="s">
        <v>335</v>
      </c>
      <c r="E18" s="196" t="s">
        <v>336</v>
      </c>
      <c r="F18" s="196" t="s">
        <v>337</v>
      </c>
      <c r="G18" s="197" t="s">
        <v>338</v>
      </c>
    </row>
    <row r="19">
      <c r="A19" s="185"/>
      <c r="B19" s="189">
        <v>17.0</v>
      </c>
      <c r="C19" s="189" t="s">
        <v>37</v>
      </c>
      <c r="D19" s="190" t="s">
        <v>339</v>
      </c>
      <c r="E19" s="190" t="s">
        <v>340</v>
      </c>
      <c r="F19" s="190" t="s">
        <v>341</v>
      </c>
      <c r="G19" s="190" t="s">
        <v>342</v>
      </c>
    </row>
    <row r="20">
      <c r="A20" s="185"/>
      <c r="B20" s="189">
        <v>18.0</v>
      </c>
      <c r="C20" s="189" t="s">
        <v>38</v>
      </c>
      <c r="D20" s="190" t="s">
        <v>343</v>
      </c>
      <c r="E20" s="190" t="s">
        <v>344</v>
      </c>
      <c r="F20" s="190" t="s">
        <v>345</v>
      </c>
      <c r="G20" s="190" t="s">
        <v>346</v>
      </c>
    </row>
    <row r="21">
      <c r="A21" s="185"/>
      <c r="B21" s="189">
        <v>19.0</v>
      </c>
      <c r="C21" s="189" t="s">
        <v>110</v>
      </c>
      <c r="D21" s="190" t="s">
        <v>347</v>
      </c>
      <c r="E21" s="190" t="s">
        <v>348</v>
      </c>
      <c r="F21" s="190" t="s">
        <v>349</v>
      </c>
      <c r="G21" s="190" t="s">
        <v>350</v>
      </c>
    </row>
    <row r="22">
      <c r="A22" s="185"/>
      <c r="B22" s="189">
        <v>20.0</v>
      </c>
      <c r="C22" s="189" t="s">
        <v>21</v>
      </c>
      <c r="D22" s="198" t="s">
        <v>351</v>
      </c>
      <c r="E22" s="191" t="s">
        <v>352</v>
      </c>
      <c r="F22" s="191" t="s">
        <v>353</v>
      </c>
      <c r="G22" s="191" t="s">
        <v>354</v>
      </c>
    </row>
    <row r="23">
      <c r="A23" s="185"/>
      <c r="B23" s="189">
        <v>21.0</v>
      </c>
      <c r="C23" s="189" t="s">
        <v>110</v>
      </c>
      <c r="D23" s="190" t="s">
        <v>355</v>
      </c>
      <c r="E23" s="190" t="s">
        <v>356</v>
      </c>
      <c r="F23" s="190" t="s">
        <v>357</v>
      </c>
      <c r="G23" s="190" t="s">
        <v>358</v>
      </c>
    </row>
    <row r="24">
      <c r="A24" s="185"/>
      <c r="B24" s="189">
        <v>22.0</v>
      </c>
      <c r="C24" s="189" t="s">
        <v>359</v>
      </c>
      <c r="D24" s="190" t="s">
        <v>360</v>
      </c>
      <c r="E24" s="190" t="s">
        <v>361</v>
      </c>
      <c r="F24" s="190" t="s">
        <v>362</v>
      </c>
      <c r="G24" s="190" t="s">
        <v>363</v>
      </c>
    </row>
    <row r="25">
      <c r="A25" s="185"/>
      <c r="B25" s="189">
        <v>23.0</v>
      </c>
      <c r="C25" s="189" t="s">
        <v>110</v>
      </c>
      <c r="D25" s="190" t="s">
        <v>364</v>
      </c>
      <c r="E25" s="190"/>
      <c r="F25" s="199" t="s">
        <v>365</v>
      </c>
      <c r="G25" s="190" t="s">
        <v>366</v>
      </c>
    </row>
    <row r="26">
      <c r="A26" s="185"/>
      <c r="B26" s="189">
        <v>24.0</v>
      </c>
      <c r="C26" s="189" t="s">
        <v>38</v>
      </c>
      <c r="D26" s="190" t="s">
        <v>367</v>
      </c>
      <c r="E26" s="190" t="s">
        <v>368</v>
      </c>
      <c r="F26" s="190" t="s">
        <v>369</v>
      </c>
      <c r="G26" s="190" t="s">
        <v>370</v>
      </c>
    </row>
    <row r="27">
      <c r="A27" s="194"/>
      <c r="B27" s="195">
        <v>25.0</v>
      </c>
      <c r="C27" s="195" t="s">
        <v>110</v>
      </c>
      <c r="D27" s="196" t="s">
        <v>371</v>
      </c>
      <c r="E27" s="196"/>
      <c r="F27" s="196" t="s">
        <v>372</v>
      </c>
      <c r="G27" s="196" t="s">
        <v>373</v>
      </c>
    </row>
    <row r="28">
      <c r="A28" s="185"/>
      <c r="B28" s="189">
        <v>26.0</v>
      </c>
      <c r="C28" s="189" t="s">
        <v>23</v>
      </c>
      <c r="D28" s="190" t="s">
        <v>374</v>
      </c>
      <c r="E28" s="190" t="s">
        <v>375</v>
      </c>
      <c r="F28" s="190" t="s">
        <v>376</v>
      </c>
      <c r="G28" s="190"/>
    </row>
    <row r="29">
      <c r="A29" s="185"/>
      <c r="B29" s="189">
        <v>27.0</v>
      </c>
      <c r="C29" s="189" t="s">
        <v>21</v>
      </c>
      <c r="D29" s="190" t="s">
        <v>377</v>
      </c>
      <c r="E29" s="190" t="s">
        <v>378</v>
      </c>
      <c r="F29" s="192" t="s">
        <v>379</v>
      </c>
      <c r="G29" s="190"/>
    </row>
    <row r="30">
      <c r="A30" s="185"/>
      <c r="B30" s="189">
        <v>28.0</v>
      </c>
      <c r="C30" s="189" t="s">
        <v>38</v>
      </c>
      <c r="D30" s="190" t="s">
        <v>380</v>
      </c>
      <c r="E30" s="190" t="s">
        <v>381</v>
      </c>
      <c r="F30" s="190" t="s">
        <v>382</v>
      </c>
      <c r="G30" s="190"/>
    </row>
    <row r="31">
      <c r="A31" s="185"/>
      <c r="B31" s="189">
        <v>29.0</v>
      </c>
      <c r="C31" s="189" t="s">
        <v>37</v>
      </c>
      <c r="D31" s="190" t="s">
        <v>383</v>
      </c>
      <c r="E31" s="190" t="s">
        <v>384</v>
      </c>
      <c r="F31" s="190"/>
      <c r="G31" s="190"/>
    </row>
    <row r="32">
      <c r="A32" s="185"/>
      <c r="B32" s="189">
        <v>30.0</v>
      </c>
      <c r="C32" s="189"/>
      <c r="D32" s="190"/>
      <c r="E32" s="190"/>
      <c r="F32" s="190"/>
      <c r="G32" s="190"/>
    </row>
    <row r="33">
      <c r="A33" s="185"/>
      <c r="B33" s="189">
        <v>31.0</v>
      </c>
      <c r="C33" s="189"/>
      <c r="D33" s="190"/>
      <c r="E33" s="190"/>
      <c r="F33" s="200"/>
      <c r="G33" s="190"/>
    </row>
    <row r="34">
      <c r="A34" s="185"/>
      <c r="B34" s="189">
        <v>32.0</v>
      </c>
      <c r="C34" s="189"/>
      <c r="D34" s="190"/>
      <c r="E34" s="190"/>
      <c r="F34" s="190"/>
      <c r="G34" s="190"/>
    </row>
    <row r="35">
      <c r="A35" s="185"/>
      <c r="B35" s="189">
        <v>33.0</v>
      </c>
      <c r="C35" s="189"/>
      <c r="D35" s="190"/>
      <c r="E35" s="190"/>
      <c r="F35" s="190"/>
      <c r="G35" s="190"/>
    </row>
    <row r="36">
      <c r="A36" s="185"/>
      <c r="B36" s="189">
        <v>34.0</v>
      </c>
      <c r="C36" s="189"/>
      <c r="D36" s="190"/>
      <c r="E36" s="190"/>
      <c r="F36" s="190"/>
      <c r="G36" s="190"/>
    </row>
    <row r="37">
      <c r="A37" s="185"/>
      <c r="B37" s="189">
        <v>35.0</v>
      </c>
      <c r="C37" s="189"/>
      <c r="D37" s="190"/>
      <c r="E37" s="190"/>
      <c r="F37" s="190"/>
      <c r="G37" s="190"/>
    </row>
    <row r="38">
      <c r="A38" s="185"/>
      <c r="B38" s="189">
        <v>36.0</v>
      </c>
      <c r="C38" s="189"/>
      <c r="D38" s="190"/>
      <c r="E38" s="190"/>
      <c r="F38" s="190"/>
      <c r="G38" s="190"/>
    </row>
    <row r="39">
      <c r="A39" s="185"/>
      <c r="B39" s="189">
        <v>37.0</v>
      </c>
      <c r="C39" s="189"/>
      <c r="D39" s="190"/>
      <c r="E39" s="190"/>
      <c r="F39" s="200"/>
      <c r="G39" s="190"/>
    </row>
    <row r="40">
      <c r="A40" s="185"/>
      <c r="B40" s="189">
        <v>38.0</v>
      </c>
      <c r="C40" s="189"/>
      <c r="D40" s="190"/>
      <c r="E40" s="190"/>
      <c r="F40" s="201"/>
      <c r="G40" s="190"/>
    </row>
    <row r="41">
      <c r="A41" s="185"/>
      <c r="B41" s="189">
        <v>39.0</v>
      </c>
      <c r="C41" s="189"/>
      <c r="D41" s="190"/>
      <c r="E41" s="190"/>
      <c r="F41" s="201"/>
      <c r="G41" s="190"/>
    </row>
    <row r="42">
      <c r="A42" s="185"/>
      <c r="B42" s="189">
        <v>40.0</v>
      </c>
      <c r="C42" s="189"/>
      <c r="D42" s="190"/>
      <c r="E42" s="190"/>
      <c r="F42" s="190"/>
      <c r="G42" s="190"/>
    </row>
    <row r="43">
      <c r="A43" s="185"/>
      <c r="B43" s="189">
        <v>41.0</v>
      </c>
      <c r="C43" s="189"/>
      <c r="D43" s="190"/>
      <c r="E43" s="190"/>
      <c r="F43" s="190"/>
      <c r="G43" s="190"/>
    </row>
    <row r="44">
      <c r="A44" s="185"/>
      <c r="B44" s="189">
        <v>42.0</v>
      </c>
      <c r="C44" s="189"/>
      <c r="D44" s="190"/>
      <c r="E44" s="190"/>
      <c r="F44" s="190"/>
      <c r="G44" s="190"/>
    </row>
    <row r="45">
      <c r="A45" s="185"/>
      <c r="B45" s="189">
        <v>43.0</v>
      </c>
      <c r="C45" s="189"/>
      <c r="D45" s="190"/>
      <c r="E45" s="190"/>
      <c r="F45" s="190"/>
      <c r="G45" s="190"/>
    </row>
    <row r="46">
      <c r="A46" s="185"/>
      <c r="B46" s="189">
        <v>44.0</v>
      </c>
      <c r="C46" s="189"/>
      <c r="D46" s="190"/>
      <c r="E46" s="190"/>
      <c r="F46" s="190"/>
      <c r="G46" s="190"/>
    </row>
    <row r="47">
      <c r="A47" s="185"/>
      <c r="B47" s="189">
        <v>45.0</v>
      </c>
      <c r="C47" s="189"/>
      <c r="D47" s="190"/>
      <c r="E47" s="190"/>
      <c r="F47" s="190"/>
      <c r="G47" s="190"/>
    </row>
    <row r="48">
      <c r="A48" s="185"/>
      <c r="B48" s="189">
        <v>46.0</v>
      </c>
      <c r="C48" s="189"/>
      <c r="D48" s="190"/>
      <c r="E48" s="190"/>
      <c r="F48" s="190"/>
      <c r="G48" s="190"/>
    </row>
    <row r="49">
      <c r="A49" s="185"/>
      <c r="B49" s="189">
        <v>47.0</v>
      </c>
      <c r="C49" s="189"/>
      <c r="D49" s="190"/>
      <c r="E49" s="190"/>
      <c r="F49" s="190"/>
      <c r="G49" s="190"/>
    </row>
    <row r="50">
      <c r="A50" s="185"/>
      <c r="B50" s="189">
        <v>48.0</v>
      </c>
      <c r="C50" s="189"/>
      <c r="D50" s="190"/>
      <c r="E50" s="201"/>
      <c r="F50" s="190"/>
      <c r="G50" s="190"/>
    </row>
    <row r="51">
      <c r="A51" s="185"/>
      <c r="B51" s="189">
        <v>49.0</v>
      </c>
      <c r="C51" s="189"/>
      <c r="D51" s="190"/>
      <c r="E51" s="190"/>
      <c r="F51" s="190"/>
      <c r="G51" s="190"/>
    </row>
    <row r="52">
      <c r="A52" s="185"/>
      <c r="B52" s="189">
        <v>50.0</v>
      </c>
      <c r="C52" s="189"/>
      <c r="D52" s="190"/>
      <c r="E52" s="190"/>
      <c r="F52" s="190"/>
      <c r="G52" s="190"/>
    </row>
    <row r="53">
      <c r="A53" s="185"/>
      <c r="B53" s="189">
        <v>51.0</v>
      </c>
      <c r="C53" s="189"/>
      <c r="D53" s="190"/>
      <c r="E53" s="201"/>
      <c r="F53" s="190"/>
      <c r="G53" s="190"/>
    </row>
    <row r="54">
      <c r="A54" s="185"/>
      <c r="B54" s="189">
        <v>52.0</v>
      </c>
      <c r="C54" s="189"/>
      <c r="D54" s="190"/>
      <c r="E54" s="190"/>
      <c r="F54" s="190"/>
      <c r="G54" s="190"/>
    </row>
    <row r="55">
      <c r="A55" s="185"/>
      <c r="B55" s="189">
        <v>53.0</v>
      </c>
      <c r="C55" s="189"/>
      <c r="D55" s="202"/>
      <c r="E55" s="202"/>
      <c r="F55" s="203"/>
      <c r="G55" s="202"/>
    </row>
    <row r="56">
      <c r="A56" s="185"/>
      <c r="B56" s="189">
        <v>54.0</v>
      </c>
      <c r="C56" s="204"/>
      <c r="D56" s="202"/>
      <c r="E56" s="202"/>
      <c r="F56" s="202"/>
      <c r="G56" s="202"/>
    </row>
    <row r="57">
      <c r="A57" s="185"/>
      <c r="B57" s="189">
        <v>55.0</v>
      </c>
      <c r="C57" s="204"/>
      <c r="D57" s="202"/>
      <c r="E57" s="202"/>
      <c r="F57" s="202"/>
      <c r="G57" s="202"/>
    </row>
    <row r="58">
      <c r="A58" s="185"/>
      <c r="B58" s="189">
        <v>56.0</v>
      </c>
      <c r="C58" s="204"/>
      <c r="D58" s="202"/>
      <c r="E58" s="202"/>
      <c r="F58" s="202"/>
      <c r="G58" s="202"/>
    </row>
    <row r="59">
      <c r="A59" s="185"/>
      <c r="B59" s="189">
        <v>57.0</v>
      </c>
      <c r="C59" s="204"/>
      <c r="D59" s="202"/>
      <c r="E59" s="202"/>
      <c r="F59" s="202"/>
      <c r="G59" s="202"/>
    </row>
    <row r="60">
      <c r="A60" s="185"/>
      <c r="B60" s="189">
        <v>58.0</v>
      </c>
      <c r="C60" s="204"/>
      <c r="D60" s="202"/>
      <c r="E60" s="202"/>
      <c r="F60" s="202"/>
      <c r="G60" s="202"/>
    </row>
    <row r="61">
      <c r="A61" s="185"/>
      <c r="B61" s="189">
        <v>59.0</v>
      </c>
      <c r="C61" s="204"/>
      <c r="D61" s="202"/>
      <c r="E61" s="202"/>
      <c r="F61" s="202"/>
      <c r="G61" s="202"/>
    </row>
    <row r="62">
      <c r="A62" s="185"/>
      <c r="B62" s="189">
        <v>60.0</v>
      </c>
      <c r="C62" s="204"/>
      <c r="D62" s="202"/>
      <c r="E62" s="202"/>
      <c r="F62" s="202"/>
      <c r="G62" s="202"/>
    </row>
    <row r="63">
      <c r="A63" s="185"/>
      <c r="B63" s="189">
        <v>61.0</v>
      </c>
      <c r="C63" s="204"/>
      <c r="D63" s="202"/>
      <c r="E63" s="202"/>
      <c r="F63" s="202"/>
      <c r="G63" s="202"/>
    </row>
    <row r="64">
      <c r="A64" s="185"/>
      <c r="B64" s="189">
        <v>62.0</v>
      </c>
      <c r="C64" s="204"/>
      <c r="D64" s="202"/>
      <c r="E64" s="202"/>
      <c r="F64" s="202"/>
      <c r="G64" s="202"/>
    </row>
    <row r="65">
      <c r="A65" s="185"/>
      <c r="B65" s="189">
        <v>63.0</v>
      </c>
      <c r="C65" s="204"/>
      <c r="D65" s="202"/>
      <c r="E65" s="202"/>
      <c r="F65" s="202"/>
      <c r="G65" s="200"/>
    </row>
    <row r="66">
      <c r="A66" s="185"/>
      <c r="B66" s="189">
        <v>64.0</v>
      </c>
      <c r="C66" s="204"/>
      <c r="D66" s="202"/>
      <c r="E66" s="202"/>
      <c r="F66" s="202"/>
      <c r="G66" s="202"/>
    </row>
    <row r="67">
      <c r="A67" s="185"/>
      <c r="B67" s="189">
        <v>65.0</v>
      </c>
      <c r="C67" s="204"/>
      <c r="D67" s="202"/>
      <c r="E67" s="202"/>
      <c r="F67" s="202"/>
      <c r="G67" s="202"/>
    </row>
    <row r="68">
      <c r="A68" s="185"/>
      <c r="B68" s="189">
        <v>66.0</v>
      </c>
      <c r="C68" s="204"/>
      <c r="D68" s="202"/>
      <c r="E68" s="202"/>
      <c r="F68" s="205"/>
      <c r="G68" s="202"/>
    </row>
    <row r="69">
      <c r="A69" s="185"/>
      <c r="B69" s="189">
        <v>67.0</v>
      </c>
      <c r="C69" s="204"/>
      <c r="D69" s="202"/>
      <c r="E69" s="205"/>
      <c r="F69" s="205"/>
      <c r="G69" s="202"/>
    </row>
    <row r="70">
      <c r="A70" s="185"/>
      <c r="B70" s="189">
        <v>68.0</v>
      </c>
      <c r="C70" s="204"/>
      <c r="D70" s="202"/>
      <c r="E70" s="202"/>
      <c r="F70" s="205"/>
      <c r="G70" s="202"/>
    </row>
    <row r="71">
      <c r="A71" s="185"/>
      <c r="B71" s="189">
        <v>69.0</v>
      </c>
      <c r="C71" s="204"/>
      <c r="D71" s="202"/>
      <c r="E71" s="202"/>
      <c r="F71" s="205"/>
      <c r="G71" s="202"/>
    </row>
    <row r="72">
      <c r="A72" s="185"/>
      <c r="B72" s="189">
        <v>70.0</v>
      </c>
      <c r="C72" s="204"/>
      <c r="D72" s="202"/>
      <c r="E72" s="202"/>
      <c r="F72" s="205"/>
      <c r="G72" s="202"/>
    </row>
    <row r="73">
      <c r="A73" s="185"/>
      <c r="B73" s="189">
        <v>71.0</v>
      </c>
      <c r="C73" s="206"/>
      <c r="D73" s="205"/>
      <c r="E73" s="205"/>
      <c r="F73" s="205"/>
      <c r="G73" s="205"/>
    </row>
    <row r="74">
      <c r="A74" s="185"/>
      <c r="B74" s="189">
        <v>72.0</v>
      </c>
      <c r="C74" s="206"/>
      <c r="D74" s="205"/>
      <c r="E74" s="205"/>
      <c r="F74" s="205"/>
      <c r="G74" s="205"/>
    </row>
    <row r="75">
      <c r="A75" s="185"/>
      <c r="B75" s="189">
        <v>73.0</v>
      </c>
      <c r="C75" s="206"/>
      <c r="D75" s="205"/>
      <c r="E75" s="205"/>
      <c r="F75" s="205"/>
      <c r="G75" s="205"/>
    </row>
    <row r="76">
      <c r="A76" s="185"/>
      <c r="B76" s="189">
        <v>74.0</v>
      </c>
      <c r="C76" s="206"/>
      <c r="D76" s="205"/>
      <c r="E76" s="205"/>
      <c r="F76" s="205"/>
      <c r="G76" s="205"/>
    </row>
    <row r="77">
      <c r="A77" s="185"/>
      <c r="B77" s="189">
        <v>75.0</v>
      </c>
      <c r="C77" s="206"/>
      <c r="D77" s="205"/>
      <c r="E77" s="205"/>
      <c r="F77" s="205"/>
      <c r="G77" s="205"/>
    </row>
    <row r="78">
      <c r="A78" s="185"/>
      <c r="B78" s="189">
        <v>76.0</v>
      </c>
      <c r="C78" s="206"/>
      <c r="D78" s="205"/>
      <c r="E78" s="205"/>
      <c r="F78" s="205"/>
      <c r="G78" s="205"/>
    </row>
    <row r="79">
      <c r="A79" s="185"/>
      <c r="B79" s="189">
        <v>77.0</v>
      </c>
      <c r="C79" s="206"/>
      <c r="D79" s="205"/>
      <c r="E79" s="205"/>
      <c r="F79" s="205"/>
      <c r="G79" s="205"/>
    </row>
    <row r="80">
      <c r="A80" s="185"/>
      <c r="B80" s="189">
        <v>78.0</v>
      </c>
      <c r="C80" s="206"/>
      <c r="D80" s="205"/>
      <c r="E80" s="205"/>
      <c r="F80" s="205"/>
      <c r="G80" s="205"/>
    </row>
    <row r="81">
      <c r="A81" s="185"/>
      <c r="B81" s="189">
        <v>79.0</v>
      </c>
      <c r="C81" s="206"/>
      <c r="D81" s="205"/>
      <c r="E81" s="205"/>
      <c r="F81" s="205"/>
      <c r="G81" s="205"/>
    </row>
    <row r="82">
      <c r="A82" s="185"/>
      <c r="B82" s="189">
        <v>80.0</v>
      </c>
      <c r="C82" s="206"/>
      <c r="D82" s="205"/>
      <c r="E82" s="205"/>
      <c r="F82" s="205"/>
      <c r="G82" s="205"/>
    </row>
    <row r="83">
      <c r="A83" s="185"/>
      <c r="B83" s="189">
        <v>81.0</v>
      </c>
      <c r="C83" s="206"/>
      <c r="D83" s="205"/>
      <c r="E83" s="205"/>
      <c r="F83" s="205"/>
      <c r="G83" s="205"/>
    </row>
    <row r="84">
      <c r="A84" s="185"/>
      <c r="B84" s="189">
        <v>82.0</v>
      </c>
      <c r="C84" s="206"/>
      <c r="D84" s="205"/>
      <c r="E84" s="205"/>
      <c r="F84" s="205"/>
      <c r="G84" s="205"/>
    </row>
    <row r="85">
      <c r="A85" s="185"/>
      <c r="B85" s="189">
        <v>83.0</v>
      </c>
      <c r="C85" s="206"/>
      <c r="D85" s="205"/>
      <c r="E85" s="205"/>
      <c r="F85" s="205"/>
      <c r="G85" s="205"/>
    </row>
    <row r="86">
      <c r="A86" s="185"/>
      <c r="B86" s="189">
        <v>84.0</v>
      </c>
      <c r="C86" s="206"/>
      <c r="D86" s="205"/>
      <c r="E86" s="205"/>
      <c r="F86" s="205"/>
      <c r="G86" s="205"/>
    </row>
    <row r="87">
      <c r="A87" s="185"/>
      <c r="B87" s="189">
        <v>85.0</v>
      </c>
      <c r="C87" s="206"/>
      <c r="D87" s="205"/>
      <c r="E87" s="205"/>
      <c r="F87" s="205"/>
      <c r="G87" s="205"/>
    </row>
    <row r="88">
      <c r="A88" s="185"/>
      <c r="B88" s="189">
        <v>86.0</v>
      </c>
      <c r="C88" s="206"/>
      <c r="D88" s="205"/>
      <c r="E88" s="205"/>
      <c r="F88" s="205"/>
      <c r="G88" s="205"/>
    </row>
    <row r="89">
      <c r="A89" s="185"/>
      <c r="B89" s="189">
        <v>87.0</v>
      </c>
      <c r="C89" s="206"/>
      <c r="D89" s="205"/>
      <c r="E89" s="205"/>
      <c r="F89" s="205"/>
      <c r="G89" s="205"/>
    </row>
    <row r="90">
      <c r="A90" s="185"/>
      <c r="B90" s="189">
        <v>88.0</v>
      </c>
      <c r="C90" s="206"/>
      <c r="D90" s="205"/>
      <c r="E90" s="205"/>
      <c r="F90" s="205"/>
      <c r="G90" s="205"/>
    </row>
    <row r="91">
      <c r="A91" s="185"/>
      <c r="B91" s="189">
        <v>89.0</v>
      </c>
      <c r="C91" s="206"/>
      <c r="D91" s="205"/>
      <c r="E91" s="205"/>
      <c r="F91" s="205"/>
      <c r="G91" s="205"/>
    </row>
    <row r="92">
      <c r="A92" s="185"/>
      <c r="B92" s="189">
        <v>90.0</v>
      </c>
      <c r="C92" s="206"/>
      <c r="D92" s="205"/>
      <c r="E92" s="205"/>
      <c r="F92" s="205"/>
      <c r="G92" s="205"/>
    </row>
    <row r="93">
      <c r="A93" s="185"/>
      <c r="B93" s="189">
        <v>91.0</v>
      </c>
      <c r="C93" s="206"/>
      <c r="D93" s="205"/>
      <c r="E93" s="205"/>
      <c r="F93" s="205"/>
      <c r="G93" s="205"/>
    </row>
    <row r="94">
      <c r="A94" s="185"/>
      <c r="B94" s="189">
        <v>92.0</v>
      </c>
      <c r="C94" s="206"/>
      <c r="D94" s="205"/>
      <c r="E94" s="205"/>
      <c r="F94" s="205"/>
      <c r="G94" s="205"/>
    </row>
    <row r="95">
      <c r="A95" s="185"/>
      <c r="B95" s="189">
        <v>93.0</v>
      </c>
      <c r="C95" s="206"/>
      <c r="D95" s="205"/>
      <c r="E95" s="205"/>
      <c r="F95" s="205"/>
      <c r="G95" s="205"/>
    </row>
    <row r="96">
      <c r="A96" s="185"/>
      <c r="B96" s="189">
        <v>94.0</v>
      </c>
      <c r="C96" s="206"/>
      <c r="D96" s="205"/>
      <c r="E96" s="205"/>
      <c r="F96" s="205"/>
      <c r="G96" s="205"/>
    </row>
    <row r="97">
      <c r="A97" s="185"/>
      <c r="B97" s="189">
        <v>95.0</v>
      </c>
      <c r="C97" s="206"/>
      <c r="D97" s="205"/>
      <c r="E97" s="205"/>
      <c r="F97" s="205"/>
      <c r="G97" s="205"/>
    </row>
    <row r="98">
      <c r="A98" s="185"/>
      <c r="B98" s="189">
        <v>96.0</v>
      </c>
      <c r="C98" s="206"/>
      <c r="D98" s="205"/>
      <c r="E98" s="205"/>
      <c r="F98" s="205"/>
      <c r="G98" s="205"/>
    </row>
    <row r="99">
      <c r="A99" s="185"/>
      <c r="B99" s="189">
        <v>97.0</v>
      </c>
      <c r="C99" s="206"/>
      <c r="D99" s="205"/>
      <c r="E99" s="205"/>
      <c r="F99" s="205"/>
      <c r="G99" s="205"/>
    </row>
    <row r="100">
      <c r="A100" s="185"/>
      <c r="B100" s="189">
        <v>98.0</v>
      </c>
      <c r="C100" s="206"/>
      <c r="D100" s="205"/>
      <c r="E100" s="205"/>
      <c r="F100" s="205"/>
      <c r="G100" s="205"/>
    </row>
    <row r="101">
      <c r="A101" s="185"/>
      <c r="B101" s="189">
        <v>99.0</v>
      </c>
      <c r="C101" s="206"/>
      <c r="D101" s="205"/>
      <c r="E101" s="205"/>
      <c r="F101" s="205"/>
      <c r="G101" s="205"/>
    </row>
    <row r="102">
      <c r="A102" s="185"/>
      <c r="B102" s="189">
        <v>100.0</v>
      </c>
      <c r="C102" s="206"/>
      <c r="D102" s="205"/>
      <c r="E102" s="205"/>
      <c r="F102" s="205"/>
      <c r="G102" s="205"/>
    </row>
  </sheetData>
  <mergeCells count="2">
    <mergeCell ref="B1:D1"/>
    <mergeCell ref="E1:G1"/>
  </mergeCells>
  <conditionalFormatting sqref="D22">
    <cfRule type="notContainsBlanks" dxfId="0" priority="1">
      <formula>LEN(TRIM(D22))&gt;0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25"/>
    <col customWidth="1" min="4" max="38" width="10.75"/>
  </cols>
  <sheetData>
    <row r="1">
      <c r="A1" s="207"/>
      <c r="B1" s="207"/>
      <c r="C1" s="207"/>
      <c r="D1" s="207"/>
      <c r="E1" s="207"/>
      <c r="F1" s="207"/>
      <c r="G1" s="207"/>
      <c r="H1" s="207"/>
      <c r="I1" s="208" t="s">
        <v>385</v>
      </c>
      <c r="J1" s="207"/>
      <c r="K1" s="208" t="s">
        <v>386</v>
      </c>
      <c r="L1" s="207"/>
      <c r="M1" s="207"/>
      <c r="N1" s="207"/>
      <c r="O1" s="207"/>
      <c r="P1" s="207"/>
      <c r="Q1" s="208" t="s">
        <v>387</v>
      </c>
      <c r="R1" s="207"/>
      <c r="S1" s="209"/>
      <c r="W1" s="207"/>
      <c r="X1" s="207"/>
      <c r="Y1" s="208" t="s">
        <v>388</v>
      </c>
      <c r="Z1" s="207"/>
      <c r="AA1" s="208" t="s">
        <v>389</v>
      </c>
      <c r="AB1" s="207"/>
      <c r="AC1" s="207"/>
      <c r="AD1" s="207"/>
      <c r="AE1" s="207"/>
      <c r="AF1" s="207"/>
      <c r="AG1" s="207"/>
      <c r="AH1" s="207"/>
      <c r="AI1" s="207"/>
      <c r="AJ1" s="207"/>
      <c r="AK1" s="207"/>
      <c r="AL1" s="207"/>
    </row>
    <row r="2">
      <c r="A2" s="207"/>
      <c r="B2" s="210" t="s">
        <v>134</v>
      </c>
      <c r="C2" s="210" t="s">
        <v>390</v>
      </c>
      <c r="D2" s="211" t="s">
        <v>11</v>
      </c>
      <c r="E2" s="212" t="s">
        <v>391</v>
      </c>
      <c r="F2" s="213" t="s">
        <v>6</v>
      </c>
      <c r="G2" s="213" t="s">
        <v>7</v>
      </c>
      <c r="H2" s="213" t="s">
        <v>392</v>
      </c>
      <c r="I2" s="213" t="s">
        <v>9</v>
      </c>
      <c r="J2" s="213" t="s">
        <v>10</v>
      </c>
      <c r="K2" s="211" t="s">
        <v>11</v>
      </c>
      <c r="L2" s="212" t="s">
        <v>391</v>
      </c>
      <c r="M2" s="213" t="s">
        <v>6</v>
      </c>
      <c r="N2" s="214" t="s">
        <v>7</v>
      </c>
      <c r="O2" s="213" t="s">
        <v>392</v>
      </c>
      <c r="P2" s="213" t="s">
        <v>9</v>
      </c>
      <c r="Q2" s="213" t="s">
        <v>10</v>
      </c>
      <c r="R2" s="211" t="s">
        <v>11</v>
      </c>
      <c r="S2" s="212" t="s">
        <v>391</v>
      </c>
      <c r="T2" s="214" t="s">
        <v>6</v>
      </c>
      <c r="U2" s="214" t="s">
        <v>7</v>
      </c>
      <c r="V2" s="214" t="s">
        <v>392</v>
      </c>
      <c r="W2" s="213" t="s">
        <v>9</v>
      </c>
      <c r="X2" s="213" t="s">
        <v>10</v>
      </c>
      <c r="Y2" s="211" t="s">
        <v>11</v>
      </c>
      <c r="Z2" s="212" t="s">
        <v>391</v>
      </c>
      <c r="AA2" s="213" t="s">
        <v>6</v>
      </c>
      <c r="AB2" s="213" t="s">
        <v>7</v>
      </c>
      <c r="AC2" s="213" t="s">
        <v>392</v>
      </c>
      <c r="AD2" s="213" t="s">
        <v>9</v>
      </c>
      <c r="AE2" s="213" t="s">
        <v>10</v>
      </c>
      <c r="AF2" s="211" t="s">
        <v>11</v>
      </c>
      <c r="AG2" s="212" t="s">
        <v>391</v>
      </c>
      <c r="AH2" s="213" t="s">
        <v>6</v>
      </c>
      <c r="AI2" s="213" t="s">
        <v>7</v>
      </c>
      <c r="AJ2" s="213" t="s">
        <v>392</v>
      </c>
      <c r="AK2" s="213" t="s">
        <v>9</v>
      </c>
      <c r="AL2" s="213" t="s">
        <v>10</v>
      </c>
    </row>
    <row r="3">
      <c r="A3" s="207"/>
      <c r="B3" s="164"/>
      <c r="C3" s="164"/>
      <c r="D3" s="215">
        <v>46116.0</v>
      </c>
      <c r="E3" s="216">
        <v>46117.0</v>
      </c>
      <c r="F3" s="217">
        <v>46118.0</v>
      </c>
      <c r="G3" s="217">
        <v>46119.0</v>
      </c>
      <c r="H3" s="217">
        <v>46120.0</v>
      </c>
      <c r="I3" s="217">
        <v>46121.0</v>
      </c>
      <c r="J3" s="217">
        <v>46122.0</v>
      </c>
      <c r="K3" s="215">
        <v>46123.0</v>
      </c>
      <c r="L3" s="216">
        <v>46124.0</v>
      </c>
      <c r="M3" s="217">
        <v>46125.0</v>
      </c>
      <c r="N3" s="217">
        <v>46126.0</v>
      </c>
      <c r="O3" s="217">
        <v>46127.0</v>
      </c>
      <c r="P3" s="217">
        <v>46128.0</v>
      </c>
      <c r="Q3" s="217">
        <v>46129.0</v>
      </c>
      <c r="R3" s="215">
        <v>46130.0</v>
      </c>
      <c r="S3" s="216">
        <v>46131.0</v>
      </c>
      <c r="T3" s="217">
        <v>46132.0</v>
      </c>
      <c r="U3" s="217">
        <v>46133.0</v>
      </c>
      <c r="V3" s="217">
        <v>46134.0</v>
      </c>
      <c r="W3" s="217">
        <v>46135.0</v>
      </c>
      <c r="X3" s="217">
        <v>46136.0</v>
      </c>
      <c r="Y3" s="215">
        <v>46137.0</v>
      </c>
      <c r="Z3" s="216">
        <v>46138.0</v>
      </c>
      <c r="AA3" s="217">
        <v>46139.0</v>
      </c>
      <c r="AB3" s="217">
        <v>46140.0</v>
      </c>
      <c r="AC3" s="217">
        <v>46141.0</v>
      </c>
      <c r="AD3" s="217">
        <v>46142.0</v>
      </c>
      <c r="AE3" s="217">
        <v>46143.0</v>
      </c>
      <c r="AF3" s="215">
        <v>46144.0</v>
      </c>
      <c r="AG3" s="216">
        <v>46145.0</v>
      </c>
      <c r="AH3" s="217">
        <v>46146.0</v>
      </c>
      <c r="AI3" s="217">
        <v>46147.0</v>
      </c>
      <c r="AJ3" s="217">
        <v>46148.0</v>
      </c>
      <c r="AK3" s="217">
        <v>46149.0</v>
      </c>
      <c r="AL3" s="217">
        <v>46150.0</v>
      </c>
    </row>
    <row r="4">
      <c r="A4" s="207"/>
      <c r="B4" s="218" t="str">
        <f>'Step1-1. 서로를 알아보아요'!D2</f>
        <v>가히dasikeum</v>
      </c>
      <c r="C4" s="206" t="s">
        <v>393</v>
      </c>
      <c r="D4" s="219" t="s">
        <v>394</v>
      </c>
      <c r="E4" s="220" t="s">
        <v>395</v>
      </c>
      <c r="F4" s="221"/>
      <c r="G4" s="221"/>
      <c r="H4" s="221"/>
      <c r="I4" s="189"/>
      <c r="J4" s="221"/>
      <c r="K4" s="208" t="s">
        <v>396</v>
      </c>
      <c r="L4" s="222" t="s">
        <v>185</v>
      </c>
      <c r="M4" s="189"/>
      <c r="N4" s="221"/>
      <c r="O4" s="189"/>
      <c r="P4" s="221"/>
      <c r="Q4" s="221"/>
      <c r="R4" s="223" t="s">
        <v>397</v>
      </c>
      <c r="S4" s="220" t="s">
        <v>398</v>
      </c>
      <c r="T4" s="221"/>
      <c r="U4" s="221"/>
      <c r="V4" s="189"/>
      <c r="W4" s="189"/>
      <c r="X4" s="189" t="s">
        <v>399</v>
      </c>
      <c r="Y4" s="223" t="s">
        <v>400</v>
      </c>
      <c r="Z4" s="222"/>
      <c r="AA4" s="206"/>
      <c r="AB4" s="206"/>
      <c r="AC4" s="189"/>
      <c r="AD4" s="204"/>
      <c r="AE4" s="206"/>
      <c r="AF4" s="224"/>
      <c r="AG4" s="222"/>
      <c r="AH4" s="206"/>
      <c r="AI4" s="206"/>
      <c r="AJ4" s="189"/>
      <c r="AK4" s="204"/>
      <c r="AL4" s="206"/>
    </row>
    <row r="5">
      <c r="A5" s="207"/>
      <c r="B5" s="95"/>
      <c r="C5" s="189" t="s">
        <v>401</v>
      </c>
      <c r="D5" s="225" t="s">
        <v>402</v>
      </c>
      <c r="E5" s="222" t="s">
        <v>403</v>
      </c>
      <c r="F5" s="221"/>
      <c r="G5" s="221"/>
      <c r="H5" s="221"/>
      <c r="I5" s="221"/>
      <c r="J5" s="189"/>
      <c r="K5" s="225" t="s">
        <v>404</v>
      </c>
      <c r="L5" s="222"/>
      <c r="M5" s="221"/>
      <c r="N5" s="221"/>
      <c r="O5" s="221"/>
      <c r="P5" s="221"/>
      <c r="Q5" s="221"/>
      <c r="R5" s="224" t="s">
        <v>405</v>
      </c>
      <c r="S5" s="222" t="s">
        <v>406</v>
      </c>
      <c r="T5" s="221"/>
      <c r="U5" s="221"/>
      <c r="V5" s="221"/>
      <c r="W5" s="221"/>
      <c r="X5" s="189" t="s">
        <v>407</v>
      </c>
      <c r="Y5" s="225" t="s">
        <v>408</v>
      </c>
      <c r="Z5" s="226"/>
      <c r="AA5" s="206"/>
      <c r="AB5" s="206"/>
      <c r="AC5" s="221"/>
      <c r="AD5" s="206"/>
      <c r="AE5" s="206"/>
      <c r="AF5" s="225"/>
      <c r="AG5" s="226"/>
      <c r="AH5" s="206"/>
      <c r="AI5" s="206"/>
      <c r="AJ5" s="221"/>
      <c r="AK5" s="206"/>
      <c r="AL5" s="206"/>
    </row>
    <row r="6">
      <c r="A6" s="207"/>
      <c r="B6" s="164"/>
      <c r="C6" s="221" t="s">
        <v>409</v>
      </c>
      <c r="D6" s="227" t="s">
        <v>189</v>
      </c>
      <c r="E6" s="222" t="s">
        <v>185</v>
      </c>
      <c r="F6" s="221"/>
      <c r="G6" s="221"/>
      <c r="H6" s="221"/>
      <c r="I6" s="221"/>
      <c r="J6" s="221"/>
      <c r="K6" s="227" t="s">
        <v>185</v>
      </c>
      <c r="L6" s="222"/>
      <c r="M6" s="221"/>
      <c r="N6" s="221"/>
      <c r="O6" s="221"/>
      <c r="P6" s="221"/>
      <c r="Q6" s="221"/>
      <c r="R6" s="227" t="s">
        <v>189</v>
      </c>
      <c r="S6" s="222" t="s">
        <v>185</v>
      </c>
      <c r="T6" s="221"/>
      <c r="U6" s="221"/>
      <c r="V6" s="221"/>
      <c r="W6" s="221"/>
      <c r="X6" s="221"/>
      <c r="Y6" s="227" t="s">
        <v>185</v>
      </c>
      <c r="Z6" s="222"/>
      <c r="AA6" s="206"/>
      <c r="AB6" s="206"/>
      <c r="AC6" s="221"/>
      <c r="AD6" s="206"/>
      <c r="AE6" s="206"/>
      <c r="AF6" s="227"/>
      <c r="AG6" s="222"/>
      <c r="AH6" s="206"/>
      <c r="AI6" s="206"/>
      <c r="AJ6" s="221"/>
      <c r="AK6" s="206"/>
      <c r="AL6" s="206"/>
    </row>
    <row r="7">
      <c r="A7" s="207"/>
      <c r="B7" s="228" t="str">
        <f>'Step1-1. 서로를 알아보아요'!E2</f>
        <v>라니</v>
      </c>
      <c r="C7" s="206" t="s">
        <v>393</v>
      </c>
      <c r="D7" s="219" t="s">
        <v>394</v>
      </c>
      <c r="E7" s="220" t="s">
        <v>410</v>
      </c>
      <c r="F7" s="221"/>
      <c r="G7" s="221"/>
      <c r="H7" s="221"/>
      <c r="I7" s="189"/>
      <c r="J7" s="221"/>
      <c r="K7" s="208" t="s">
        <v>396</v>
      </c>
      <c r="L7" s="222" t="s">
        <v>411</v>
      </c>
      <c r="M7" s="221"/>
      <c r="N7" s="221"/>
      <c r="O7" s="189"/>
      <c r="P7" s="221"/>
      <c r="Q7" s="221"/>
      <c r="R7" s="223" t="s">
        <v>412</v>
      </c>
      <c r="S7" s="222"/>
      <c r="T7" s="189"/>
      <c r="U7" s="221"/>
      <c r="V7" s="221"/>
      <c r="W7" s="189"/>
      <c r="X7" s="221"/>
      <c r="Y7" s="223" t="s">
        <v>412</v>
      </c>
      <c r="Z7" s="222"/>
      <c r="AA7" s="204"/>
      <c r="AB7" s="206"/>
      <c r="AC7" s="189"/>
      <c r="AD7" s="204"/>
      <c r="AE7" s="206"/>
      <c r="AF7" s="224"/>
      <c r="AG7" s="222"/>
      <c r="AH7" s="204"/>
      <c r="AI7" s="206"/>
      <c r="AJ7" s="189"/>
      <c r="AK7" s="204"/>
      <c r="AL7" s="206"/>
    </row>
    <row r="8">
      <c r="A8" s="207"/>
      <c r="B8" s="95"/>
      <c r="C8" s="221" t="s">
        <v>401</v>
      </c>
      <c r="D8" s="224" t="s">
        <v>402</v>
      </c>
      <c r="E8" s="222"/>
      <c r="F8" s="221"/>
      <c r="G8" s="221"/>
      <c r="H8" s="221"/>
      <c r="I8" s="221"/>
      <c r="J8" s="221"/>
      <c r="K8" s="224" t="s">
        <v>413</v>
      </c>
      <c r="L8" s="222"/>
      <c r="M8" s="221"/>
      <c r="N8" s="221"/>
      <c r="O8" s="221"/>
      <c r="P8" s="221"/>
      <c r="Q8" s="221"/>
      <c r="R8" s="224" t="s">
        <v>414</v>
      </c>
      <c r="S8" s="222"/>
      <c r="T8" s="221"/>
      <c r="U8" s="221"/>
      <c r="V8" s="221"/>
      <c r="W8" s="221"/>
      <c r="X8" s="221"/>
      <c r="Y8" s="224" t="s">
        <v>414</v>
      </c>
      <c r="Z8" s="222"/>
      <c r="AA8" s="206"/>
      <c r="AB8" s="206"/>
      <c r="AC8" s="221"/>
      <c r="AD8" s="206"/>
      <c r="AE8" s="206"/>
      <c r="AF8" s="224"/>
      <c r="AG8" s="222"/>
      <c r="AH8" s="206"/>
      <c r="AI8" s="206"/>
      <c r="AJ8" s="221"/>
      <c r="AK8" s="206"/>
      <c r="AL8" s="206"/>
    </row>
    <row r="9">
      <c r="A9" s="207"/>
      <c r="B9" s="164"/>
      <c r="C9" s="221" t="s">
        <v>409</v>
      </c>
      <c r="D9" s="224" t="s">
        <v>185</v>
      </c>
      <c r="E9" s="222"/>
      <c r="F9" s="221"/>
      <c r="G9" s="221"/>
      <c r="H9" s="221"/>
      <c r="I9" s="221"/>
      <c r="J9" s="221"/>
      <c r="K9" s="224" t="s">
        <v>185</v>
      </c>
      <c r="L9" s="222"/>
      <c r="M9" s="221"/>
      <c r="N9" s="221"/>
      <c r="O9" s="221"/>
      <c r="P9" s="221"/>
      <c r="Q9" s="221"/>
      <c r="R9" s="224" t="s">
        <v>185</v>
      </c>
      <c r="S9" s="222"/>
      <c r="T9" s="221"/>
      <c r="U9" s="221"/>
      <c r="V9" s="221"/>
      <c r="W9" s="221"/>
      <c r="X9" s="221"/>
      <c r="Y9" s="224" t="s">
        <v>185</v>
      </c>
      <c r="Z9" s="222"/>
      <c r="AA9" s="206"/>
      <c r="AB9" s="206"/>
      <c r="AC9" s="221"/>
      <c r="AD9" s="206"/>
      <c r="AE9" s="206"/>
      <c r="AF9" s="224"/>
      <c r="AG9" s="222"/>
      <c r="AH9" s="206"/>
      <c r="AI9" s="206"/>
      <c r="AJ9" s="221"/>
      <c r="AK9" s="206"/>
      <c r="AL9" s="206"/>
    </row>
    <row r="10">
      <c r="A10" s="207"/>
      <c r="B10" s="228" t="str">
        <f>'Step1-1. 서로를 알아보아요'!F2</f>
        <v>야자수그늘</v>
      </c>
      <c r="C10" s="206" t="s">
        <v>393</v>
      </c>
      <c r="D10" s="219" t="s">
        <v>394</v>
      </c>
      <c r="E10" s="220" t="s">
        <v>410</v>
      </c>
      <c r="F10" s="221"/>
      <c r="G10" s="221"/>
      <c r="H10" s="189"/>
      <c r="I10" s="189"/>
      <c r="J10" s="189"/>
      <c r="K10" s="208" t="s">
        <v>396</v>
      </c>
      <c r="L10" s="222" t="s">
        <v>189</v>
      </c>
      <c r="M10" s="221"/>
      <c r="N10" s="189"/>
      <c r="O10" s="189"/>
      <c r="P10" s="189"/>
      <c r="Q10" s="221"/>
      <c r="R10" s="223" t="s">
        <v>412</v>
      </c>
      <c r="S10" s="222" t="s">
        <v>185</v>
      </c>
      <c r="T10" s="221"/>
      <c r="U10" s="221"/>
      <c r="V10" s="221"/>
      <c r="W10" s="189"/>
      <c r="X10" s="221"/>
      <c r="Y10" s="223" t="s">
        <v>412</v>
      </c>
      <c r="Z10" s="222"/>
      <c r="AA10" s="206"/>
      <c r="AB10" s="206"/>
      <c r="AC10" s="189"/>
      <c r="AD10" s="204"/>
      <c r="AE10" s="206"/>
      <c r="AF10" s="224"/>
      <c r="AG10" s="222"/>
      <c r="AH10" s="206"/>
      <c r="AI10" s="206"/>
      <c r="AJ10" s="189"/>
      <c r="AK10" s="204"/>
      <c r="AL10" s="206"/>
    </row>
    <row r="11">
      <c r="A11" s="207"/>
      <c r="B11" s="95"/>
      <c r="C11" s="221" t="s">
        <v>401</v>
      </c>
      <c r="D11" s="224"/>
      <c r="E11" s="222"/>
      <c r="F11" s="221"/>
      <c r="G11" s="221"/>
      <c r="H11" s="221"/>
      <c r="I11" s="221"/>
      <c r="J11" s="221"/>
      <c r="K11" s="224"/>
      <c r="L11" s="222"/>
      <c r="M11" s="221"/>
      <c r="N11" s="221"/>
      <c r="O11" s="221"/>
      <c r="P11" s="221"/>
      <c r="Q11" s="221"/>
      <c r="R11" s="224" t="s">
        <v>415</v>
      </c>
      <c r="S11" s="222"/>
      <c r="T11" s="221"/>
      <c r="U11" s="221"/>
      <c r="V11" s="221"/>
      <c r="W11" s="221"/>
      <c r="X11" s="221"/>
      <c r="Y11" s="224"/>
      <c r="Z11" s="222"/>
      <c r="AA11" s="206"/>
      <c r="AB11" s="206"/>
      <c r="AC11" s="221"/>
      <c r="AD11" s="206"/>
      <c r="AE11" s="206"/>
      <c r="AF11" s="224"/>
      <c r="AG11" s="222"/>
      <c r="AH11" s="206"/>
      <c r="AI11" s="206"/>
      <c r="AJ11" s="221"/>
      <c r="AK11" s="206"/>
      <c r="AL11" s="206"/>
    </row>
    <row r="12">
      <c r="A12" s="207"/>
      <c r="B12" s="164"/>
      <c r="C12" s="221" t="s">
        <v>409</v>
      </c>
      <c r="D12" s="224" t="s">
        <v>189</v>
      </c>
      <c r="E12" s="222"/>
      <c r="F12" s="221"/>
      <c r="G12" s="221"/>
      <c r="H12" s="221"/>
      <c r="I12" s="221"/>
      <c r="J12" s="189"/>
      <c r="K12" s="224" t="s">
        <v>189</v>
      </c>
      <c r="L12" s="222"/>
      <c r="M12" s="221"/>
      <c r="N12" s="221"/>
      <c r="O12" s="221"/>
      <c r="P12" s="221"/>
      <c r="Q12" s="221"/>
      <c r="R12" s="224" t="s">
        <v>189</v>
      </c>
      <c r="S12" s="222"/>
      <c r="T12" s="221"/>
      <c r="U12" s="221"/>
      <c r="V12" s="221"/>
      <c r="W12" s="221"/>
      <c r="X12" s="221"/>
      <c r="Y12" s="224" t="s">
        <v>185</v>
      </c>
      <c r="Z12" s="222"/>
      <c r="AA12" s="206"/>
      <c r="AB12" s="206"/>
      <c r="AC12" s="221"/>
      <c r="AD12" s="206"/>
      <c r="AE12" s="206"/>
      <c r="AF12" s="224"/>
      <c r="AG12" s="222"/>
      <c r="AH12" s="206"/>
      <c r="AI12" s="206"/>
      <c r="AJ12" s="221"/>
      <c r="AK12" s="206"/>
      <c r="AL12" s="206"/>
    </row>
    <row r="13">
      <c r="A13" s="207"/>
      <c r="B13" s="228" t="str">
        <f>'Step1-1. 서로를 알아보아요'!G2</f>
        <v>케빈D</v>
      </c>
      <c r="C13" s="206" t="s">
        <v>393</v>
      </c>
      <c r="D13" s="219" t="s">
        <v>394</v>
      </c>
      <c r="E13" s="220" t="s">
        <v>410</v>
      </c>
      <c r="F13" s="189"/>
      <c r="G13" s="221"/>
      <c r="H13" s="221"/>
      <c r="I13" s="189"/>
      <c r="J13" s="221"/>
      <c r="K13" s="208" t="s">
        <v>396</v>
      </c>
      <c r="L13" s="222" t="s">
        <v>185</v>
      </c>
      <c r="M13" s="221"/>
      <c r="N13" s="221"/>
      <c r="O13" s="189"/>
      <c r="P13" s="221"/>
      <c r="Q13" s="221"/>
      <c r="R13" s="223" t="s">
        <v>412</v>
      </c>
      <c r="S13" s="222"/>
      <c r="T13" s="221"/>
      <c r="U13" s="221"/>
      <c r="V13" s="221"/>
      <c r="W13" s="189"/>
      <c r="X13" s="189"/>
      <c r="Y13" s="223" t="s">
        <v>412</v>
      </c>
      <c r="Z13" s="222"/>
      <c r="AA13" s="206"/>
      <c r="AB13" s="206"/>
      <c r="AC13" s="189"/>
      <c r="AD13" s="204"/>
      <c r="AE13" s="206"/>
      <c r="AF13" s="224"/>
      <c r="AG13" s="222"/>
      <c r="AH13" s="206"/>
      <c r="AI13" s="206"/>
      <c r="AJ13" s="189"/>
      <c r="AK13" s="204"/>
      <c r="AL13" s="206"/>
    </row>
    <row r="14">
      <c r="A14" s="207"/>
      <c r="B14" s="95"/>
      <c r="C14" s="221" t="s">
        <v>401</v>
      </c>
      <c r="D14" s="229"/>
      <c r="E14" s="230"/>
      <c r="F14" s="221"/>
      <c r="G14" s="221"/>
      <c r="H14" s="221"/>
      <c r="I14" s="221"/>
      <c r="J14" s="221"/>
      <c r="K14" s="229"/>
      <c r="L14" s="230"/>
      <c r="M14" s="221"/>
      <c r="N14" s="221"/>
      <c r="O14" s="221"/>
      <c r="P14" s="221"/>
      <c r="Q14" s="221"/>
      <c r="R14" s="229"/>
      <c r="S14" s="230"/>
      <c r="T14" s="221"/>
      <c r="U14" s="221"/>
      <c r="V14" s="221"/>
      <c r="W14" s="221"/>
      <c r="X14" s="221"/>
      <c r="Y14" s="229"/>
      <c r="Z14" s="230"/>
      <c r="AA14" s="206"/>
      <c r="AB14" s="206"/>
      <c r="AC14" s="221"/>
      <c r="AD14" s="206"/>
      <c r="AE14" s="206"/>
      <c r="AF14" s="229"/>
      <c r="AG14" s="230"/>
      <c r="AH14" s="206"/>
      <c r="AI14" s="206"/>
      <c r="AJ14" s="221"/>
      <c r="AK14" s="206"/>
      <c r="AL14" s="206"/>
    </row>
    <row r="15">
      <c r="A15" s="207"/>
      <c r="B15" s="164"/>
      <c r="C15" s="221" t="s">
        <v>409</v>
      </c>
      <c r="D15" s="224" t="s">
        <v>189</v>
      </c>
      <c r="E15" s="222"/>
      <c r="F15" s="221"/>
      <c r="G15" s="221"/>
      <c r="H15" s="221"/>
      <c r="I15" s="221"/>
      <c r="J15" s="221"/>
      <c r="K15" s="224"/>
      <c r="L15" s="222"/>
      <c r="M15" s="221"/>
      <c r="N15" s="221"/>
      <c r="O15" s="221"/>
      <c r="P15" s="221"/>
      <c r="Q15" s="221"/>
      <c r="R15" s="224"/>
      <c r="S15" s="222"/>
      <c r="T15" s="221"/>
      <c r="U15" s="221"/>
      <c r="V15" s="221"/>
      <c r="W15" s="221"/>
      <c r="X15" s="221"/>
      <c r="Y15" s="224"/>
      <c r="Z15" s="222"/>
      <c r="AA15" s="206"/>
      <c r="AB15" s="206"/>
      <c r="AC15" s="221"/>
      <c r="AD15" s="206"/>
      <c r="AE15" s="206"/>
      <c r="AF15" s="224"/>
      <c r="AG15" s="222"/>
      <c r="AH15" s="206"/>
      <c r="AI15" s="206"/>
      <c r="AJ15" s="221"/>
      <c r="AK15" s="206"/>
      <c r="AL15" s="206"/>
    </row>
    <row r="16">
      <c r="A16" s="207"/>
      <c r="B16" s="228" t="str">
        <f>'Step1-1. 서로를 알아보아요'!H2</f>
        <v>굿데이3</v>
      </c>
      <c r="C16" s="206" t="s">
        <v>393</v>
      </c>
      <c r="D16" s="219" t="s">
        <v>394</v>
      </c>
      <c r="E16" s="220" t="s">
        <v>410</v>
      </c>
      <c r="F16" s="221"/>
      <c r="G16" s="221"/>
      <c r="H16" s="221"/>
      <c r="I16" s="189"/>
      <c r="J16" s="189"/>
      <c r="K16" s="208" t="s">
        <v>396</v>
      </c>
      <c r="L16" s="224" t="s">
        <v>410</v>
      </c>
      <c r="M16" s="221"/>
      <c r="N16" s="221"/>
      <c r="O16" s="189"/>
      <c r="P16" s="221"/>
      <c r="Q16" s="221"/>
      <c r="R16" s="223" t="s">
        <v>412</v>
      </c>
      <c r="S16" s="222"/>
      <c r="T16" s="221"/>
      <c r="U16" s="221"/>
      <c r="V16" s="221"/>
      <c r="W16" s="189"/>
      <c r="X16" s="221"/>
      <c r="Y16" s="223" t="s">
        <v>412</v>
      </c>
      <c r="Z16" s="222"/>
      <c r="AA16" s="204"/>
      <c r="AB16" s="206"/>
      <c r="AC16" s="189"/>
      <c r="AD16" s="204"/>
      <c r="AE16" s="206"/>
      <c r="AF16" s="224"/>
      <c r="AG16" s="222"/>
      <c r="AH16" s="204"/>
      <c r="AI16" s="206"/>
      <c r="AJ16" s="189"/>
      <c r="AK16" s="204"/>
      <c r="AL16" s="206"/>
    </row>
    <row r="17">
      <c r="A17" s="207"/>
      <c r="B17" s="95"/>
      <c r="C17" s="221" t="s">
        <v>401</v>
      </c>
      <c r="D17" s="224" t="s">
        <v>402</v>
      </c>
      <c r="E17" s="222"/>
      <c r="F17" s="221"/>
      <c r="G17" s="221"/>
      <c r="H17" s="221"/>
      <c r="I17" s="221"/>
      <c r="J17" s="221"/>
      <c r="K17" s="224" t="s">
        <v>402</v>
      </c>
      <c r="L17" s="222"/>
      <c r="M17" s="221"/>
      <c r="N17" s="221"/>
      <c r="O17" s="221"/>
      <c r="P17" s="221"/>
      <c r="Q17" s="221"/>
      <c r="R17" s="224"/>
      <c r="S17" s="222"/>
      <c r="T17" s="221"/>
      <c r="U17" s="221"/>
      <c r="V17" s="221"/>
      <c r="W17" s="221"/>
      <c r="X17" s="221"/>
      <c r="Y17" s="224"/>
      <c r="Z17" s="222"/>
      <c r="AA17" s="204"/>
      <c r="AB17" s="206"/>
      <c r="AC17" s="221"/>
      <c r="AD17" s="206"/>
      <c r="AE17" s="206"/>
      <c r="AF17" s="224"/>
      <c r="AG17" s="222"/>
      <c r="AH17" s="204"/>
      <c r="AI17" s="206"/>
      <c r="AJ17" s="221"/>
      <c r="AK17" s="206"/>
      <c r="AL17" s="206"/>
    </row>
    <row r="18">
      <c r="A18" s="207"/>
      <c r="B18" s="164"/>
      <c r="C18" s="221" t="s">
        <v>409</v>
      </c>
      <c r="D18" s="224" t="s">
        <v>185</v>
      </c>
      <c r="E18" s="230"/>
      <c r="F18" s="221"/>
      <c r="G18" s="221"/>
      <c r="H18" s="221"/>
      <c r="I18" s="221"/>
      <c r="J18" s="221"/>
      <c r="K18" s="224" t="s">
        <v>189</v>
      </c>
      <c r="L18" s="230"/>
      <c r="M18" s="221"/>
      <c r="N18" s="221"/>
      <c r="O18" s="221"/>
      <c r="P18" s="221"/>
      <c r="Q18" s="221"/>
      <c r="R18" s="224"/>
      <c r="S18" s="230"/>
      <c r="T18" s="221"/>
      <c r="U18" s="221"/>
      <c r="V18" s="221"/>
      <c r="W18" s="221"/>
      <c r="X18" s="221"/>
      <c r="Y18" s="224"/>
      <c r="Z18" s="230"/>
      <c r="AA18" s="204"/>
      <c r="AB18" s="206"/>
      <c r="AC18" s="221"/>
      <c r="AD18" s="206"/>
      <c r="AE18" s="206"/>
      <c r="AF18" s="224"/>
      <c r="AG18" s="230"/>
      <c r="AH18" s="204"/>
      <c r="AI18" s="206"/>
      <c r="AJ18" s="221"/>
      <c r="AK18" s="206"/>
      <c r="AL18" s="206"/>
    </row>
    <row r="19">
      <c r="A19" s="207"/>
      <c r="B19" s="228" t="str">
        <f>'Step1-1. 서로를 알아보아요'!I2</f>
        <v>아르떼</v>
      </c>
      <c r="C19" s="206" t="s">
        <v>393</v>
      </c>
      <c r="D19" s="224"/>
      <c r="E19" s="222"/>
      <c r="F19" s="221"/>
      <c r="G19" s="221"/>
      <c r="H19" s="221"/>
      <c r="I19" s="189"/>
      <c r="J19" s="221"/>
      <c r="K19" s="224"/>
      <c r="L19" s="222"/>
      <c r="M19" s="221"/>
      <c r="N19" s="221"/>
      <c r="O19" s="189"/>
      <c r="P19" s="189"/>
      <c r="Q19" s="189"/>
      <c r="R19" s="224"/>
      <c r="S19" s="222"/>
      <c r="T19" s="221"/>
      <c r="U19" s="221"/>
      <c r="V19" s="221"/>
      <c r="W19" s="189"/>
      <c r="X19" s="221"/>
      <c r="Y19" s="224"/>
      <c r="Z19" s="222"/>
      <c r="AA19" s="206"/>
      <c r="AB19" s="206"/>
      <c r="AC19" s="189"/>
      <c r="AD19" s="204"/>
      <c r="AE19" s="206"/>
      <c r="AF19" s="224"/>
      <c r="AG19" s="222"/>
      <c r="AH19" s="206"/>
      <c r="AI19" s="206"/>
      <c r="AJ19" s="189"/>
      <c r="AK19" s="204"/>
      <c r="AL19" s="206"/>
    </row>
    <row r="20">
      <c r="A20" s="207"/>
      <c r="B20" s="95"/>
      <c r="C20" s="221" t="s">
        <v>401</v>
      </c>
      <c r="D20" s="224"/>
      <c r="E20" s="222"/>
      <c r="F20" s="221"/>
      <c r="G20" s="221"/>
      <c r="H20" s="221"/>
      <c r="I20" s="221"/>
      <c r="J20" s="221"/>
      <c r="K20" s="224"/>
      <c r="L20" s="222"/>
      <c r="M20" s="221"/>
      <c r="N20" s="221"/>
      <c r="O20" s="221"/>
      <c r="P20" s="221"/>
      <c r="Q20" s="221"/>
      <c r="R20" s="224"/>
      <c r="S20" s="222"/>
      <c r="T20" s="221"/>
      <c r="U20" s="221"/>
      <c r="V20" s="221"/>
      <c r="W20" s="221"/>
      <c r="X20" s="221"/>
      <c r="Y20" s="224"/>
      <c r="Z20" s="222"/>
      <c r="AA20" s="206"/>
      <c r="AB20" s="206"/>
      <c r="AC20" s="221"/>
      <c r="AD20" s="206"/>
      <c r="AE20" s="206"/>
      <c r="AF20" s="224"/>
      <c r="AG20" s="222"/>
      <c r="AH20" s="206"/>
      <c r="AI20" s="206"/>
      <c r="AJ20" s="221"/>
      <c r="AK20" s="206"/>
      <c r="AL20" s="206"/>
    </row>
    <row r="21">
      <c r="A21" s="207"/>
      <c r="B21" s="164"/>
      <c r="C21" s="221" t="s">
        <v>409</v>
      </c>
      <c r="D21" s="224"/>
      <c r="E21" s="222"/>
      <c r="F21" s="221"/>
      <c r="G21" s="221"/>
      <c r="H21" s="221"/>
      <c r="I21" s="221"/>
      <c r="J21" s="221"/>
      <c r="K21" s="224"/>
      <c r="L21" s="222"/>
      <c r="M21" s="221"/>
      <c r="N21" s="221"/>
      <c r="O21" s="221"/>
      <c r="P21" s="221"/>
      <c r="Q21" s="221"/>
      <c r="R21" s="224"/>
      <c r="S21" s="222"/>
      <c r="T21" s="221"/>
      <c r="U21" s="221"/>
      <c r="V21" s="221"/>
      <c r="W21" s="221"/>
      <c r="X21" s="221"/>
      <c r="Y21" s="224"/>
      <c r="Z21" s="222"/>
      <c r="AA21" s="206"/>
      <c r="AB21" s="206"/>
      <c r="AC21" s="221"/>
      <c r="AD21" s="206"/>
      <c r="AE21" s="206"/>
      <c r="AF21" s="224"/>
      <c r="AG21" s="222"/>
      <c r="AH21" s="206"/>
      <c r="AI21" s="206"/>
      <c r="AJ21" s="221"/>
      <c r="AK21" s="206"/>
      <c r="AL21" s="206"/>
    </row>
    <row r="22">
      <c r="A22" s="207"/>
      <c r="B22" s="228" t="str">
        <f>'Step1-1. 서로를 알아보아요'!J2</f>
        <v>MZ</v>
      </c>
      <c r="C22" s="206" t="s">
        <v>393</v>
      </c>
      <c r="D22" s="219" t="s">
        <v>394</v>
      </c>
      <c r="E22" s="220" t="s">
        <v>410</v>
      </c>
      <c r="F22" s="221"/>
      <c r="G22" s="221"/>
      <c r="H22" s="221"/>
      <c r="I22" s="189"/>
      <c r="J22" s="221"/>
      <c r="K22" s="208" t="s">
        <v>396</v>
      </c>
      <c r="L22" s="222" t="s">
        <v>416</v>
      </c>
      <c r="M22" s="221"/>
      <c r="N22" s="221"/>
      <c r="O22" s="189"/>
      <c r="P22" s="221"/>
      <c r="Q22" s="221"/>
      <c r="R22" s="224" t="s">
        <v>417</v>
      </c>
      <c r="S22" s="222" t="s">
        <v>185</v>
      </c>
      <c r="T22" s="221"/>
      <c r="U22" s="221"/>
      <c r="V22" s="221"/>
      <c r="W22" s="189"/>
      <c r="X22" s="189" t="s">
        <v>418</v>
      </c>
      <c r="Y22" s="224" t="s">
        <v>419</v>
      </c>
      <c r="Z22" s="222" t="s">
        <v>185</v>
      </c>
      <c r="AA22" s="206"/>
      <c r="AB22" s="206"/>
      <c r="AC22" s="189"/>
      <c r="AD22" s="204"/>
      <c r="AE22" s="206"/>
      <c r="AF22" s="224"/>
      <c r="AG22" s="222"/>
      <c r="AH22" s="206"/>
      <c r="AI22" s="206"/>
      <c r="AJ22" s="189"/>
      <c r="AK22" s="204"/>
      <c r="AL22" s="206"/>
    </row>
    <row r="23">
      <c r="A23" s="207"/>
      <c r="B23" s="95"/>
      <c r="C23" s="221" t="s">
        <v>401</v>
      </c>
      <c r="D23" s="229"/>
      <c r="E23" s="230"/>
      <c r="F23" s="221"/>
      <c r="G23" s="221"/>
      <c r="H23" s="221"/>
      <c r="I23" s="221"/>
      <c r="J23" s="221"/>
      <c r="K23" s="229"/>
      <c r="L23" s="230"/>
      <c r="M23" s="221"/>
      <c r="N23" s="221"/>
      <c r="O23" s="221"/>
      <c r="P23" s="221"/>
      <c r="Q23" s="221"/>
      <c r="R23" s="224" t="s">
        <v>420</v>
      </c>
      <c r="S23" s="230"/>
      <c r="T23" s="221"/>
      <c r="U23" s="221"/>
      <c r="V23" s="221"/>
      <c r="W23" s="221"/>
      <c r="X23" s="189" t="s">
        <v>407</v>
      </c>
      <c r="Y23" s="224"/>
      <c r="Z23" s="230"/>
      <c r="AA23" s="206"/>
      <c r="AB23" s="206"/>
      <c r="AC23" s="221"/>
      <c r="AD23" s="206"/>
      <c r="AE23" s="206"/>
      <c r="AF23" s="229"/>
      <c r="AG23" s="230"/>
      <c r="AH23" s="206"/>
      <c r="AI23" s="206"/>
      <c r="AJ23" s="221"/>
      <c r="AK23" s="206"/>
      <c r="AL23" s="206"/>
    </row>
    <row r="24">
      <c r="A24" s="207"/>
      <c r="B24" s="164"/>
      <c r="C24" s="221" t="s">
        <v>409</v>
      </c>
      <c r="D24" s="224" t="s">
        <v>421</v>
      </c>
      <c r="E24" s="222"/>
      <c r="F24" s="221"/>
      <c r="G24" s="221"/>
      <c r="H24" s="221"/>
      <c r="I24" s="221"/>
      <c r="J24" s="221"/>
      <c r="K24" s="224"/>
      <c r="L24" s="222"/>
      <c r="M24" s="221"/>
      <c r="N24" s="221"/>
      <c r="O24" s="221"/>
      <c r="P24" s="221"/>
      <c r="Q24" s="221"/>
      <c r="R24" s="224" t="s">
        <v>185</v>
      </c>
      <c r="S24" s="222"/>
      <c r="T24" s="221"/>
      <c r="U24" s="221"/>
      <c r="V24" s="221"/>
      <c r="W24" s="221"/>
      <c r="X24" s="221"/>
      <c r="Y24" s="224" t="s">
        <v>185</v>
      </c>
      <c r="Z24" s="222"/>
      <c r="AA24" s="206"/>
      <c r="AB24" s="206"/>
      <c r="AC24" s="221"/>
      <c r="AD24" s="206"/>
      <c r="AE24" s="206"/>
      <c r="AF24" s="224"/>
      <c r="AG24" s="222"/>
      <c r="AH24" s="206"/>
      <c r="AI24" s="206"/>
      <c r="AJ24" s="221"/>
      <c r="AK24" s="206"/>
      <c r="AL24" s="206"/>
    </row>
    <row r="25">
      <c r="A25" s="207"/>
      <c r="B25" s="218" t="str">
        <f>'Step1-1. 서로를 알아보아요'!K2</f>
        <v>학생</v>
      </c>
      <c r="C25" s="206" t="s">
        <v>393</v>
      </c>
      <c r="D25" s="219" t="s">
        <v>394</v>
      </c>
      <c r="E25" s="220" t="s">
        <v>410</v>
      </c>
      <c r="F25" s="221"/>
      <c r="G25" s="221"/>
      <c r="H25" s="189"/>
      <c r="I25" s="189"/>
      <c r="J25" s="221"/>
      <c r="K25" s="224"/>
      <c r="L25" s="222"/>
      <c r="M25" s="221"/>
      <c r="N25" s="221"/>
      <c r="O25" s="189"/>
      <c r="P25" s="221"/>
      <c r="Q25" s="221"/>
      <c r="R25" s="223" t="s">
        <v>412</v>
      </c>
      <c r="S25" s="222"/>
      <c r="T25" s="221"/>
      <c r="U25" s="221"/>
      <c r="V25" s="221"/>
      <c r="W25" s="189"/>
      <c r="X25" s="221"/>
      <c r="Y25" s="224"/>
      <c r="Z25" s="222"/>
      <c r="AA25" s="206"/>
      <c r="AB25" s="206"/>
      <c r="AC25" s="189"/>
      <c r="AD25" s="204"/>
      <c r="AE25" s="206"/>
      <c r="AF25" s="224"/>
      <c r="AG25" s="222"/>
      <c r="AH25" s="206"/>
      <c r="AI25" s="206"/>
      <c r="AJ25" s="189"/>
      <c r="AK25" s="204"/>
      <c r="AL25" s="206"/>
    </row>
    <row r="26">
      <c r="A26" s="207"/>
      <c r="B26" s="95"/>
      <c r="C26" s="221" t="s">
        <v>401</v>
      </c>
      <c r="D26" s="224"/>
      <c r="E26" s="230"/>
      <c r="F26" s="221"/>
      <c r="G26" s="221"/>
      <c r="H26" s="221"/>
      <c r="I26" s="206"/>
      <c r="J26" s="221"/>
      <c r="K26" s="208" t="s">
        <v>396</v>
      </c>
      <c r="L26" s="224" t="s">
        <v>189</v>
      </c>
      <c r="M26" s="221"/>
      <c r="N26" s="221"/>
      <c r="O26" s="221"/>
      <c r="P26" s="221"/>
      <c r="Q26" s="221"/>
      <c r="R26" s="231" t="s">
        <v>422</v>
      </c>
      <c r="S26" s="222"/>
      <c r="T26" s="221"/>
      <c r="U26" s="221"/>
      <c r="V26" s="221"/>
      <c r="W26" s="221"/>
      <c r="X26" s="221"/>
      <c r="Y26" s="224"/>
      <c r="Z26" s="230"/>
      <c r="AA26" s="206"/>
      <c r="AB26" s="206"/>
      <c r="AC26" s="206"/>
      <c r="AD26" s="206"/>
      <c r="AE26" s="206"/>
      <c r="AF26" s="224"/>
      <c r="AG26" s="230"/>
      <c r="AH26" s="206"/>
      <c r="AI26" s="206"/>
      <c r="AJ26" s="206"/>
      <c r="AK26" s="206"/>
      <c r="AL26" s="206"/>
    </row>
    <row r="27">
      <c r="A27" s="207"/>
      <c r="B27" s="164"/>
      <c r="C27" s="221" t="s">
        <v>409</v>
      </c>
      <c r="D27" s="224" t="s">
        <v>189</v>
      </c>
      <c r="E27" s="230"/>
      <c r="F27" s="221"/>
      <c r="G27" s="221"/>
      <c r="H27" s="221"/>
      <c r="I27" s="206"/>
      <c r="J27" s="221"/>
      <c r="K27" s="224"/>
      <c r="L27" s="230"/>
      <c r="M27" s="221"/>
      <c r="N27" s="221"/>
      <c r="O27" s="221"/>
      <c r="P27" s="221"/>
      <c r="Q27" s="221"/>
      <c r="R27" s="224"/>
      <c r="S27" s="230"/>
      <c r="T27" s="221"/>
      <c r="U27" s="221"/>
      <c r="V27" s="221"/>
      <c r="W27" s="221"/>
      <c r="X27" s="221"/>
      <c r="Y27" s="224"/>
      <c r="Z27" s="230"/>
      <c r="AA27" s="206"/>
      <c r="AB27" s="206"/>
      <c r="AC27" s="206"/>
      <c r="AD27" s="206"/>
      <c r="AE27" s="206"/>
      <c r="AF27" s="224"/>
      <c r="AG27" s="230"/>
      <c r="AH27" s="206"/>
      <c r="AI27" s="206"/>
      <c r="AJ27" s="206"/>
      <c r="AK27" s="206"/>
      <c r="AL27" s="206"/>
    </row>
    <row r="28">
      <c r="A28" s="207"/>
      <c r="B28" s="218" t="str">
        <f>'Step1-1. 서로를 알아보아요'!L2</f>
        <v>로에</v>
      </c>
      <c r="C28" s="206" t="s">
        <v>393</v>
      </c>
      <c r="D28" s="219" t="s">
        <v>394</v>
      </c>
      <c r="E28" s="220" t="s">
        <v>410</v>
      </c>
      <c r="F28" s="221"/>
      <c r="G28" s="221"/>
      <c r="H28" s="189"/>
      <c r="I28" s="189"/>
      <c r="J28" s="221"/>
      <c r="K28" s="208" t="s">
        <v>396</v>
      </c>
      <c r="L28" s="222" t="s">
        <v>189</v>
      </c>
      <c r="M28" s="221"/>
      <c r="N28" s="221"/>
      <c r="O28" s="189"/>
      <c r="P28" s="221"/>
      <c r="Q28" s="221"/>
      <c r="R28" s="223" t="s">
        <v>412</v>
      </c>
      <c r="S28" s="222"/>
      <c r="T28" s="221"/>
      <c r="U28" s="221"/>
      <c r="V28" s="221"/>
      <c r="W28" s="189"/>
      <c r="X28" s="221"/>
      <c r="Y28" s="223" t="s">
        <v>412</v>
      </c>
      <c r="Z28" s="222"/>
      <c r="AA28" s="206"/>
      <c r="AB28" s="206"/>
      <c r="AC28" s="189"/>
      <c r="AD28" s="204"/>
      <c r="AE28" s="206"/>
      <c r="AF28" s="224"/>
      <c r="AG28" s="222"/>
      <c r="AH28" s="206"/>
      <c r="AI28" s="206"/>
      <c r="AJ28" s="189"/>
      <c r="AK28" s="204"/>
      <c r="AL28" s="206"/>
    </row>
    <row r="29">
      <c r="A29" s="207"/>
      <c r="B29" s="95"/>
      <c r="C29" s="221" t="s">
        <v>401</v>
      </c>
      <c r="D29" s="224" t="s">
        <v>423</v>
      </c>
      <c r="E29" s="230"/>
      <c r="F29" s="221"/>
      <c r="G29" s="221"/>
      <c r="H29" s="221"/>
      <c r="I29" s="206"/>
      <c r="J29" s="221"/>
      <c r="K29" s="224" t="s">
        <v>402</v>
      </c>
      <c r="L29" s="222"/>
      <c r="M29" s="221"/>
      <c r="N29" s="221"/>
      <c r="O29" s="221"/>
      <c r="P29" s="221"/>
      <c r="Q29" s="221"/>
      <c r="R29" s="224" t="s">
        <v>424</v>
      </c>
      <c r="S29" s="230"/>
      <c r="T29" s="221"/>
      <c r="U29" s="221"/>
      <c r="V29" s="221"/>
      <c r="W29" s="221"/>
      <c r="X29" s="221"/>
      <c r="Y29" s="224"/>
      <c r="Z29" s="230"/>
      <c r="AA29" s="206"/>
      <c r="AB29" s="206"/>
      <c r="AC29" s="206"/>
      <c r="AD29" s="206"/>
      <c r="AE29" s="206"/>
      <c r="AF29" s="224"/>
      <c r="AG29" s="230"/>
      <c r="AH29" s="206"/>
      <c r="AI29" s="206"/>
      <c r="AJ29" s="206"/>
      <c r="AK29" s="206"/>
      <c r="AL29" s="206"/>
    </row>
    <row r="30">
      <c r="A30" s="207"/>
      <c r="B30" s="164"/>
      <c r="C30" s="221" t="s">
        <v>409</v>
      </c>
      <c r="D30" s="224" t="s">
        <v>189</v>
      </c>
      <c r="E30" s="230"/>
      <c r="F30" s="221"/>
      <c r="G30" s="221"/>
      <c r="H30" s="221"/>
      <c r="I30" s="206"/>
      <c r="J30" s="221"/>
      <c r="K30" s="224" t="s">
        <v>189</v>
      </c>
      <c r="L30" s="230"/>
      <c r="M30" s="221"/>
      <c r="N30" s="221"/>
      <c r="O30" s="221"/>
      <c r="P30" s="221"/>
      <c r="Q30" s="221"/>
      <c r="R30" s="224" t="s">
        <v>185</v>
      </c>
      <c r="S30" s="230"/>
      <c r="T30" s="221"/>
      <c r="U30" s="221"/>
      <c r="V30" s="221"/>
      <c r="W30" s="221"/>
      <c r="X30" s="221"/>
      <c r="Y30" s="224" t="s">
        <v>185</v>
      </c>
      <c r="Z30" s="230"/>
      <c r="AA30" s="206"/>
      <c r="AB30" s="206"/>
      <c r="AC30" s="206"/>
      <c r="AD30" s="206"/>
      <c r="AE30" s="206"/>
      <c r="AF30" s="224"/>
      <c r="AG30" s="230"/>
      <c r="AH30" s="206"/>
      <c r="AI30" s="206"/>
      <c r="AJ30" s="206"/>
      <c r="AK30" s="206"/>
      <c r="AL30" s="206"/>
    </row>
    <row r="31">
      <c r="A31" s="207"/>
      <c r="B31" s="207"/>
      <c r="C31" s="208" t="s">
        <v>425</v>
      </c>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row>
    <row r="32">
      <c r="A32" s="207"/>
      <c r="B32" s="219" t="s">
        <v>394</v>
      </c>
      <c r="C32" s="208" t="s">
        <v>386</v>
      </c>
      <c r="D32" s="207"/>
      <c r="E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row>
    <row r="33">
      <c r="A33" s="207"/>
      <c r="B33" s="220" t="s">
        <v>410</v>
      </c>
      <c r="C33" s="208" t="s">
        <v>385</v>
      </c>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row>
    <row r="34">
      <c r="A34" s="207"/>
      <c r="B34" s="223" t="s">
        <v>412</v>
      </c>
      <c r="C34" s="208" t="s">
        <v>388</v>
      </c>
      <c r="D34" s="207"/>
      <c r="E34" s="207"/>
      <c r="F34" s="207"/>
      <c r="G34" s="207"/>
      <c r="H34" s="207"/>
      <c r="I34" s="207"/>
      <c r="J34" s="207"/>
      <c r="K34" s="207"/>
      <c r="L34" s="207"/>
      <c r="M34" s="232"/>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row>
    <row r="35">
      <c r="A35" s="207"/>
      <c r="B35" s="233"/>
      <c r="C35" s="207"/>
      <c r="D35" s="234"/>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row>
    <row r="36">
      <c r="A36" s="207"/>
      <c r="B36" s="233"/>
      <c r="C36" s="207"/>
      <c r="D36" s="234"/>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row>
    <row r="37">
      <c r="A37" s="207"/>
      <c r="B37" s="233"/>
      <c r="C37" s="207"/>
      <c r="D37" s="234"/>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row>
    <row r="38">
      <c r="A38" s="207"/>
      <c r="B38" s="233"/>
      <c r="C38" s="207"/>
      <c r="D38" s="234"/>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row>
    <row r="39">
      <c r="A39" s="207"/>
      <c r="B39" s="233"/>
      <c r="C39" s="207"/>
      <c r="D39" s="234"/>
      <c r="E39" s="207"/>
      <c r="F39" s="207"/>
      <c r="G39" s="207"/>
      <c r="H39" s="207"/>
      <c r="I39" s="207"/>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07"/>
      <c r="AH39" s="207"/>
      <c r="AI39" s="207"/>
      <c r="AJ39" s="207"/>
      <c r="AK39" s="207"/>
      <c r="AL39" s="207"/>
    </row>
    <row r="40">
      <c r="A40" s="207"/>
      <c r="B40" s="233"/>
      <c r="C40" s="207"/>
      <c r="D40" s="234"/>
      <c r="E40" s="207"/>
      <c r="F40" s="207"/>
      <c r="G40" s="207"/>
      <c r="H40" s="207"/>
      <c r="I40" s="207"/>
      <c r="J40" s="207"/>
      <c r="K40" s="207"/>
      <c r="L40" s="207"/>
      <c r="M40" s="207"/>
      <c r="N40" s="207"/>
      <c r="O40" s="207"/>
      <c r="P40" s="207"/>
      <c r="Q40" s="207"/>
      <c r="R40" s="207"/>
      <c r="S40" s="207"/>
      <c r="T40" s="207"/>
      <c r="U40" s="207"/>
      <c r="V40" s="207"/>
      <c r="W40" s="207"/>
      <c r="X40" s="207"/>
      <c r="Y40" s="207"/>
      <c r="Z40" s="207"/>
      <c r="AA40" s="207"/>
      <c r="AB40" s="207"/>
      <c r="AC40" s="207"/>
      <c r="AD40" s="207"/>
      <c r="AE40" s="207"/>
      <c r="AF40" s="207"/>
      <c r="AG40" s="207"/>
      <c r="AH40" s="207"/>
      <c r="AI40" s="207"/>
      <c r="AJ40" s="207"/>
      <c r="AK40" s="207"/>
      <c r="AL40" s="207"/>
    </row>
    <row r="41">
      <c r="A41" s="207"/>
      <c r="B41" s="233"/>
      <c r="C41" s="207"/>
      <c r="D41" s="234"/>
      <c r="E41" s="207"/>
      <c r="F41" s="207"/>
      <c r="G41" s="207"/>
      <c r="H41" s="207"/>
      <c r="I41" s="207"/>
      <c r="J41" s="207"/>
      <c r="K41" s="207"/>
      <c r="L41" s="207"/>
      <c r="M41" s="207"/>
      <c r="N41" s="207"/>
      <c r="O41" s="207"/>
      <c r="P41" s="207"/>
      <c r="Q41" s="207"/>
      <c r="R41" s="207"/>
      <c r="S41" s="207"/>
      <c r="T41" s="207"/>
      <c r="U41" s="207"/>
      <c r="V41" s="207"/>
      <c r="W41" s="207"/>
      <c r="X41" s="207"/>
      <c r="Y41" s="207"/>
      <c r="Z41" s="207"/>
      <c r="AA41" s="207"/>
      <c r="AB41" s="207"/>
      <c r="AC41" s="207"/>
      <c r="AD41" s="207"/>
      <c r="AE41" s="207"/>
      <c r="AF41" s="207"/>
      <c r="AG41" s="207"/>
      <c r="AH41" s="207"/>
      <c r="AI41" s="207"/>
      <c r="AJ41" s="207"/>
      <c r="AK41" s="207"/>
      <c r="AL41" s="207"/>
    </row>
    <row r="42">
      <c r="A42" s="207"/>
      <c r="B42" s="233"/>
      <c r="C42" s="207"/>
      <c r="D42" s="234"/>
      <c r="E42" s="207"/>
      <c r="F42" s="207"/>
      <c r="G42" s="207"/>
      <c r="H42" s="207"/>
      <c r="I42" s="207"/>
      <c r="J42" s="207"/>
      <c r="K42" s="207"/>
      <c r="L42" s="207"/>
      <c r="M42" s="207"/>
      <c r="N42" s="207"/>
      <c r="O42" s="207"/>
      <c r="P42" s="207"/>
      <c r="Q42" s="207"/>
      <c r="R42" s="207"/>
      <c r="S42" s="207"/>
      <c r="T42" s="207"/>
      <c r="U42" s="207"/>
      <c r="V42" s="207"/>
      <c r="W42" s="207"/>
      <c r="X42" s="207"/>
      <c r="Y42" s="207"/>
      <c r="Z42" s="207"/>
      <c r="AA42" s="207"/>
      <c r="AB42" s="207"/>
      <c r="AC42" s="207"/>
      <c r="AD42" s="207"/>
      <c r="AE42" s="207"/>
      <c r="AF42" s="207"/>
      <c r="AG42" s="207"/>
      <c r="AH42" s="207"/>
      <c r="AI42" s="207"/>
      <c r="AJ42" s="207"/>
      <c r="AK42" s="207"/>
      <c r="AL42" s="207"/>
    </row>
    <row r="43">
      <c r="A43" s="207"/>
      <c r="B43" s="233"/>
      <c r="C43" s="207"/>
      <c r="D43" s="234"/>
      <c r="E43" s="207"/>
      <c r="F43" s="207"/>
      <c r="G43" s="207"/>
      <c r="H43" s="207"/>
      <c r="I43" s="207"/>
      <c r="J43" s="207"/>
      <c r="K43" s="207"/>
      <c r="L43" s="207"/>
      <c r="M43" s="207"/>
      <c r="N43" s="207"/>
      <c r="O43" s="207"/>
      <c r="P43" s="207"/>
      <c r="Q43" s="207"/>
      <c r="R43" s="207"/>
      <c r="S43" s="207"/>
      <c r="T43" s="207"/>
      <c r="U43" s="207"/>
      <c r="V43" s="207"/>
      <c r="W43" s="207"/>
      <c r="X43" s="207"/>
      <c r="Y43" s="207"/>
      <c r="Z43" s="207"/>
      <c r="AA43" s="207"/>
      <c r="AB43" s="207"/>
      <c r="AC43" s="207"/>
      <c r="AD43" s="207"/>
      <c r="AE43" s="207"/>
      <c r="AF43" s="207"/>
      <c r="AG43" s="207"/>
      <c r="AH43" s="207"/>
      <c r="AI43" s="207"/>
      <c r="AJ43" s="207"/>
      <c r="AK43" s="207"/>
      <c r="AL43" s="207"/>
    </row>
    <row r="44">
      <c r="A44" s="207"/>
      <c r="B44" s="233"/>
      <c r="C44" s="207"/>
      <c r="D44" s="234"/>
      <c r="E44" s="207"/>
      <c r="F44" s="207"/>
      <c r="G44" s="207"/>
      <c r="H44" s="207"/>
      <c r="I44" s="207"/>
      <c r="J44" s="207"/>
      <c r="K44" s="207"/>
      <c r="L44" s="207"/>
      <c r="M44" s="207"/>
      <c r="N44" s="207"/>
      <c r="O44" s="207"/>
      <c r="P44" s="207"/>
      <c r="Q44" s="207"/>
      <c r="R44" s="207"/>
      <c r="S44" s="207"/>
      <c r="T44" s="207"/>
      <c r="U44" s="207"/>
      <c r="V44" s="207"/>
      <c r="W44" s="207"/>
      <c r="X44" s="207"/>
      <c r="Y44" s="207"/>
      <c r="Z44" s="207"/>
      <c r="AA44" s="207"/>
      <c r="AB44" s="207"/>
      <c r="AC44" s="207"/>
      <c r="AD44" s="207"/>
      <c r="AE44" s="207"/>
      <c r="AF44" s="207"/>
      <c r="AG44" s="207"/>
      <c r="AH44" s="207"/>
      <c r="AI44" s="207"/>
      <c r="AJ44" s="207"/>
      <c r="AK44" s="207"/>
      <c r="AL44" s="207"/>
    </row>
    <row r="45">
      <c r="A45" s="207"/>
      <c r="B45" s="233"/>
      <c r="C45" s="207"/>
      <c r="D45" s="234"/>
      <c r="E45" s="207"/>
      <c r="F45" s="207"/>
      <c r="G45" s="207"/>
      <c r="H45" s="207"/>
      <c r="I45" s="207"/>
      <c r="J45" s="207"/>
      <c r="K45" s="207"/>
      <c r="L45" s="207"/>
      <c r="M45" s="207"/>
      <c r="N45" s="207"/>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row>
    <row r="46">
      <c r="A46" s="207"/>
      <c r="B46" s="233"/>
      <c r="C46" s="207"/>
      <c r="D46" s="234"/>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207"/>
      <c r="AH46" s="207"/>
      <c r="AI46" s="207"/>
      <c r="AJ46" s="207"/>
      <c r="AK46" s="207"/>
      <c r="AL46" s="207"/>
    </row>
    <row r="47">
      <c r="A47" s="207"/>
      <c r="B47" s="233"/>
      <c r="C47" s="207"/>
      <c r="D47" s="234"/>
      <c r="E47" s="207"/>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row>
    <row r="48">
      <c r="A48" s="207"/>
      <c r="B48" s="233"/>
      <c r="C48" s="207"/>
      <c r="D48" s="234"/>
      <c r="E48" s="207"/>
      <c r="F48" s="207"/>
      <c r="G48" s="207"/>
      <c r="H48" s="207"/>
      <c r="I48" s="207"/>
      <c r="J48" s="207"/>
      <c r="K48" s="207"/>
      <c r="L48" s="207"/>
      <c r="M48" s="207"/>
      <c r="N48" s="207"/>
      <c r="O48" s="207"/>
      <c r="P48" s="207"/>
      <c r="Q48" s="207"/>
      <c r="R48" s="207"/>
      <c r="S48" s="207"/>
      <c r="T48" s="207"/>
      <c r="U48" s="207"/>
      <c r="V48" s="207"/>
      <c r="W48" s="207"/>
      <c r="X48" s="207"/>
      <c r="Y48" s="207"/>
      <c r="Z48" s="207"/>
      <c r="AA48" s="207"/>
      <c r="AB48" s="207"/>
      <c r="AC48" s="207"/>
      <c r="AD48" s="207"/>
      <c r="AE48" s="207"/>
      <c r="AF48" s="207"/>
      <c r="AG48" s="207"/>
      <c r="AH48" s="207"/>
      <c r="AI48" s="207"/>
      <c r="AJ48" s="207"/>
      <c r="AK48" s="207"/>
      <c r="AL48" s="207"/>
    </row>
    <row r="49">
      <c r="A49" s="207"/>
      <c r="B49" s="233"/>
      <c r="C49" s="207"/>
      <c r="D49" s="234"/>
      <c r="E49" s="207"/>
      <c r="F49" s="207"/>
      <c r="G49" s="207"/>
      <c r="H49" s="207"/>
      <c r="I49" s="207"/>
      <c r="J49" s="207"/>
      <c r="K49" s="207"/>
      <c r="L49" s="207"/>
      <c r="M49" s="207"/>
      <c r="N49" s="207"/>
      <c r="O49" s="207"/>
      <c r="P49" s="207"/>
      <c r="Q49" s="207"/>
      <c r="R49" s="207"/>
      <c r="S49" s="207"/>
      <c r="T49" s="207"/>
      <c r="U49" s="207"/>
      <c r="V49" s="207"/>
      <c r="W49" s="207"/>
      <c r="X49" s="207"/>
      <c r="Y49" s="207"/>
      <c r="Z49" s="207"/>
      <c r="AA49" s="207"/>
      <c r="AB49" s="207"/>
      <c r="AC49" s="207"/>
      <c r="AD49" s="207"/>
      <c r="AE49" s="207"/>
      <c r="AF49" s="207"/>
      <c r="AG49" s="207"/>
      <c r="AH49" s="207"/>
      <c r="AI49" s="207"/>
      <c r="AJ49" s="207"/>
      <c r="AK49" s="207"/>
      <c r="AL49" s="207"/>
    </row>
    <row r="50">
      <c r="A50" s="207"/>
      <c r="B50" s="233"/>
      <c r="C50" s="207"/>
      <c r="D50" s="234"/>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207"/>
    </row>
    <row r="51">
      <c r="A51" s="207"/>
      <c r="B51" s="233"/>
      <c r="C51" s="207"/>
      <c r="D51" s="234"/>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row>
    <row r="52">
      <c r="A52" s="207"/>
      <c r="B52" s="233"/>
      <c r="C52" s="207"/>
      <c r="D52" s="234"/>
      <c r="E52" s="207"/>
      <c r="F52" s="207"/>
      <c r="G52" s="207"/>
      <c r="H52" s="207"/>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row>
    <row r="53">
      <c r="A53" s="207"/>
      <c r="B53" s="233"/>
      <c r="C53" s="207"/>
      <c r="D53" s="234"/>
      <c r="E53" s="207"/>
      <c r="F53" s="207"/>
      <c r="G53" s="207"/>
      <c r="H53" s="207"/>
      <c r="I53" s="207"/>
      <c r="J53" s="207"/>
      <c r="K53" s="207"/>
      <c r="L53" s="207"/>
      <c r="M53" s="207"/>
      <c r="N53" s="207"/>
      <c r="O53" s="207"/>
      <c r="P53" s="207"/>
      <c r="Q53" s="207"/>
      <c r="R53" s="207"/>
      <c r="S53" s="207"/>
      <c r="T53" s="207"/>
      <c r="U53" s="207"/>
      <c r="V53" s="207"/>
      <c r="W53" s="207"/>
      <c r="X53" s="207"/>
      <c r="Y53" s="207"/>
      <c r="Z53" s="207"/>
      <c r="AA53" s="207"/>
      <c r="AB53" s="207"/>
      <c r="AC53" s="207"/>
      <c r="AD53" s="207"/>
      <c r="AE53" s="207"/>
      <c r="AF53" s="207"/>
      <c r="AG53" s="207"/>
      <c r="AH53" s="207"/>
      <c r="AI53" s="207"/>
      <c r="AJ53" s="207"/>
      <c r="AK53" s="207"/>
      <c r="AL53" s="207"/>
    </row>
    <row r="54">
      <c r="A54" s="207"/>
      <c r="B54" s="233"/>
      <c r="C54" s="207"/>
      <c r="D54" s="234"/>
      <c r="E54" s="207"/>
      <c r="F54" s="207"/>
      <c r="G54" s="207"/>
      <c r="H54" s="207"/>
      <c r="I54" s="207"/>
      <c r="J54" s="207"/>
      <c r="K54" s="207"/>
      <c r="L54" s="207"/>
      <c r="M54" s="207"/>
      <c r="N54" s="207"/>
      <c r="O54" s="207"/>
      <c r="P54" s="207"/>
      <c r="Q54" s="207"/>
      <c r="R54" s="207"/>
      <c r="S54" s="207"/>
      <c r="T54" s="207"/>
      <c r="U54" s="207"/>
      <c r="V54" s="207"/>
      <c r="W54" s="207"/>
      <c r="X54" s="207"/>
      <c r="Y54" s="207"/>
      <c r="Z54" s="207"/>
      <c r="AA54" s="207"/>
      <c r="AB54" s="207"/>
      <c r="AC54" s="207"/>
      <c r="AD54" s="207"/>
      <c r="AE54" s="207"/>
      <c r="AF54" s="207"/>
      <c r="AG54" s="207"/>
      <c r="AH54" s="207"/>
      <c r="AI54" s="207"/>
      <c r="AJ54" s="207"/>
      <c r="AK54" s="207"/>
      <c r="AL54" s="207"/>
    </row>
    <row r="55">
      <c r="A55" s="207"/>
      <c r="B55" s="233"/>
      <c r="C55" s="207"/>
      <c r="D55" s="234"/>
      <c r="E55" s="207"/>
      <c r="F55" s="207"/>
      <c r="G55" s="207"/>
      <c r="H55" s="207"/>
      <c r="I55" s="207"/>
      <c r="J55" s="207"/>
      <c r="K55" s="207"/>
      <c r="L55" s="207"/>
      <c r="M55" s="207"/>
      <c r="N55" s="207"/>
      <c r="O55" s="207"/>
      <c r="P55" s="207"/>
      <c r="Q55" s="207"/>
      <c r="R55" s="207"/>
      <c r="S55" s="207"/>
      <c r="T55" s="207"/>
      <c r="U55" s="207"/>
      <c r="V55" s="207"/>
      <c r="W55" s="207"/>
      <c r="X55" s="207"/>
      <c r="Y55" s="207"/>
      <c r="Z55" s="207"/>
      <c r="AA55" s="207"/>
      <c r="AB55" s="207"/>
      <c r="AC55" s="207"/>
      <c r="AD55" s="207"/>
      <c r="AE55" s="207"/>
      <c r="AF55" s="207"/>
      <c r="AG55" s="207"/>
      <c r="AH55" s="207"/>
      <c r="AI55" s="207"/>
      <c r="AJ55" s="207"/>
      <c r="AK55" s="207"/>
      <c r="AL55" s="207"/>
    </row>
    <row r="56">
      <c r="A56" s="207"/>
      <c r="B56" s="233"/>
      <c r="C56" s="207"/>
      <c r="D56" s="234"/>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row>
    <row r="57">
      <c r="A57" s="207"/>
      <c r="B57" s="233"/>
      <c r="C57" s="207"/>
      <c r="D57" s="234"/>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207"/>
      <c r="AH57" s="207"/>
      <c r="AI57" s="207"/>
      <c r="AJ57" s="207"/>
      <c r="AK57" s="207"/>
      <c r="AL57" s="207"/>
    </row>
    <row r="58">
      <c r="A58" s="207"/>
      <c r="B58" s="233"/>
      <c r="C58" s="207"/>
      <c r="D58" s="234"/>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row>
    <row r="59">
      <c r="A59" s="207"/>
      <c r="B59" s="233"/>
      <c r="C59" s="207"/>
      <c r="D59" s="234"/>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row>
    <row r="60">
      <c r="A60" s="207"/>
      <c r="B60" s="233"/>
      <c r="C60" s="207"/>
      <c r="D60" s="234"/>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row>
    <row r="61">
      <c r="A61" s="207"/>
      <c r="B61" s="233"/>
      <c r="C61" s="207"/>
      <c r="D61" s="234"/>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row>
    <row r="62">
      <c r="A62" s="207"/>
      <c r="B62" s="233"/>
      <c r="C62" s="207"/>
      <c r="D62" s="234"/>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7"/>
      <c r="AK62" s="207"/>
      <c r="AL62" s="207"/>
    </row>
    <row r="63">
      <c r="A63" s="207"/>
      <c r="B63" s="233"/>
      <c r="C63" s="207"/>
      <c r="D63" s="234"/>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c r="AI63" s="207"/>
      <c r="AJ63" s="207"/>
      <c r="AK63" s="207"/>
      <c r="AL63" s="207"/>
    </row>
    <row r="64">
      <c r="A64" s="207"/>
      <c r="B64" s="233"/>
      <c r="C64" s="207"/>
      <c r="D64" s="234"/>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7"/>
      <c r="AK64" s="207"/>
      <c r="AL64" s="207"/>
    </row>
    <row r="65">
      <c r="A65" s="207"/>
      <c r="B65" s="233"/>
      <c r="C65" s="207"/>
      <c r="D65" s="234"/>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row>
    <row r="66">
      <c r="A66" s="207"/>
      <c r="B66" s="233"/>
      <c r="C66" s="207"/>
      <c r="D66" s="234"/>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7"/>
      <c r="AK66" s="207"/>
      <c r="AL66" s="207"/>
    </row>
    <row r="67">
      <c r="A67" s="207"/>
      <c r="B67" s="233"/>
      <c r="C67" s="207"/>
      <c r="D67" s="234"/>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c r="AI67" s="207"/>
      <c r="AJ67" s="207"/>
      <c r="AK67" s="207"/>
      <c r="AL67" s="207"/>
    </row>
    <row r="68">
      <c r="A68" s="207"/>
      <c r="B68" s="233"/>
      <c r="C68" s="207"/>
      <c r="D68" s="234"/>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row>
    <row r="69">
      <c r="A69" s="207"/>
      <c r="B69" s="233"/>
      <c r="C69" s="207"/>
      <c r="D69" s="234"/>
      <c r="E69" s="207"/>
      <c r="F69" s="207"/>
      <c r="G69" s="207"/>
      <c r="H69" s="207"/>
      <c r="I69" s="207"/>
      <c r="J69" s="207"/>
      <c r="K69" s="207"/>
      <c r="L69" s="207"/>
      <c r="M69" s="207"/>
      <c r="N69" s="207"/>
      <c r="O69" s="207"/>
      <c r="P69" s="207"/>
      <c r="Q69" s="207"/>
      <c r="R69" s="207"/>
      <c r="S69" s="207"/>
      <c r="T69" s="207"/>
      <c r="U69" s="207"/>
      <c r="V69" s="207"/>
      <c r="W69" s="207"/>
      <c r="X69" s="207"/>
      <c r="Y69" s="207"/>
      <c r="Z69" s="207"/>
      <c r="AA69" s="207"/>
      <c r="AB69" s="207"/>
      <c r="AC69" s="207"/>
      <c r="AD69" s="207"/>
      <c r="AE69" s="207"/>
      <c r="AF69" s="207"/>
      <c r="AG69" s="207"/>
      <c r="AH69" s="207"/>
      <c r="AI69" s="207"/>
      <c r="AJ69" s="207"/>
      <c r="AK69" s="207"/>
      <c r="AL69" s="207"/>
    </row>
    <row r="70">
      <c r="A70" s="207"/>
      <c r="B70" s="233"/>
      <c r="C70" s="207"/>
      <c r="D70" s="234"/>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c r="AH70" s="207"/>
      <c r="AI70" s="207"/>
      <c r="AJ70" s="207"/>
      <c r="AK70" s="207"/>
      <c r="AL70" s="207"/>
    </row>
    <row r="71">
      <c r="A71" s="207"/>
      <c r="B71" s="233"/>
      <c r="C71" s="207"/>
      <c r="D71" s="234"/>
      <c r="E71" s="207"/>
      <c r="F71" s="207"/>
      <c r="G71" s="207"/>
      <c r="H71" s="207"/>
      <c r="I71" s="207"/>
      <c r="J71" s="207"/>
      <c r="K71" s="207"/>
      <c r="L71" s="207"/>
      <c r="M71" s="207"/>
      <c r="N71" s="207"/>
      <c r="O71" s="207"/>
      <c r="P71" s="207"/>
      <c r="Q71" s="207"/>
      <c r="R71" s="207"/>
      <c r="S71" s="207"/>
      <c r="T71" s="207"/>
      <c r="U71" s="207"/>
      <c r="V71" s="207"/>
      <c r="W71" s="207"/>
      <c r="X71" s="207"/>
      <c r="Y71" s="207"/>
      <c r="Z71" s="207"/>
      <c r="AA71" s="207"/>
      <c r="AB71" s="207"/>
      <c r="AC71" s="207"/>
      <c r="AD71" s="207"/>
      <c r="AE71" s="207"/>
      <c r="AF71" s="207"/>
      <c r="AG71" s="207"/>
      <c r="AH71" s="207"/>
      <c r="AI71" s="207"/>
      <c r="AJ71" s="207"/>
      <c r="AK71" s="207"/>
      <c r="AL71" s="207"/>
    </row>
    <row r="72">
      <c r="A72" s="207"/>
      <c r="B72" s="233"/>
      <c r="C72" s="207"/>
      <c r="D72" s="234"/>
      <c r="E72" s="207"/>
      <c r="F72" s="207"/>
      <c r="G72" s="207"/>
      <c r="H72" s="207"/>
      <c r="I72" s="207"/>
      <c r="J72" s="207"/>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c r="AI72" s="207"/>
      <c r="AJ72" s="207"/>
      <c r="AK72" s="207"/>
      <c r="AL72" s="207"/>
    </row>
    <row r="73">
      <c r="A73" s="207"/>
      <c r="B73" s="233"/>
      <c r="C73" s="207"/>
      <c r="D73" s="234"/>
      <c r="E73" s="207"/>
      <c r="F73" s="207"/>
      <c r="G73" s="207"/>
      <c r="H73" s="20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row>
    <row r="74">
      <c r="A74" s="207"/>
      <c r="B74" s="233"/>
      <c r="C74" s="207"/>
      <c r="D74" s="234"/>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7"/>
      <c r="AK74" s="207"/>
      <c r="AL74" s="207"/>
    </row>
    <row r="75">
      <c r="A75" s="207"/>
      <c r="B75" s="233"/>
      <c r="C75" s="207"/>
      <c r="D75" s="234"/>
      <c r="E75" s="207"/>
      <c r="F75" s="207"/>
      <c r="G75" s="207"/>
      <c r="H75" s="207"/>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L75" s="207"/>
    </row>
    <row r="76">
      <c r="A76" s="207"/>
      <c r="B76" s="233"/>
      <c r="C76" s="207"/>
      <c r="D76" s="234"/>
      <c r="E76" s="207"/>
      <c r="F76" s="207"/>
      <c r="G76" s="207"/>
      <c r="H76" s="207"/>
      <c r="I76" s="207"/>
      <c r="J76" s="207"/>
      <c r="K76" s="207"/>
      <c r="L76" s="207"/>
      <c r="M76" s="207"/>
      <c r="N76" s="207"/>
      <c r="O76" s="207"/>
      <c r="P76" s="207"/>
      <c r="Q76" s="207"/>
      <c r="R76" s="207"/>
      <c r="S76" s="207"/>
      <c r="T76" s="207"/>
      <c r="U76" s="207"/>
      <c r="V76" s="207"/>
      <c r="W76" s="207"/>
      <c r="X76" s="207"/>
      <c r="Y76" s="207"/>
      <c r="Z76" s="207"/>
      <c r="AA76" s="207"/>
      <c r="AB76" s="207"/>
      <c r="AC76" s="207"/>
      <c r="AD76" s="207"/>
      <c r="AE76" s="207"/>
      <c r="AF76" s="207"/>
      <c r="AG76" s="207"/>
      <c r="AH76" s="207"/>
      <c r="AI76" s="207"/>
      <c r="AJ76" s="207"/>
      <c r="AK76" s="207"/>
      <c r="AL76" s="207"/>
    </row>
    <row r="77">
      <c r="A77" s="207"/>
      <c r="B77" s="233"/>
      <c r="C77" s="207"/>
      <c r="D77" s="234"/>
      <c r="E77" s="207"/>
      <c r="F77" s="207"/>
      <c r="G77" s="207"/>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row>
    <row r="78">
      <c r="A78" s="207"/>
      <c r="B78" s="233"/>
      <c r="C78" s="207"/>
      <c r="D78" s="234"/>
      <c r="E78" s="207"/>
      <c r="F78" s="207"/>
      <c r="G78" s="207"/>
      <c r="H78" s="207"/>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row>
    <row r="79">
      <c r="A79" s="207"/>
      <c r="B79" s="233"/>
      <c r="C79" s="207"/>
      <c r="D79" s="234"/>
      <c r="E79" s="207"/>
      <c r="F79" s="207"/>
      <c r="G79" s="207"/>
      <c r="H79" s="207"/>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7"/>
      <c r="AK79" s="207"/>
      <c r="AL79" s="207"/>
    </row>
    <row r="80">
      <c r="A80" s="207"/>
      <c r="B80" s="233"/>
      <c r="C80" s="207"/>
      <c r="D80" s="234"/>
      <c r="E80" s="207"/>
      <c r="F80" s="207"/>
      <c r="G80" s="207"/>
      <c r="H80" s="207"/>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row>
    <row r="81">
      <c r="A81" s="207"/>
      <c r="B81" s="233"/>
      <c r="C81" s="207"/>
      <c r="D81" s="234"/>
      <c r="E81" s="207"/>
      <c r="F81" s="207"/>
      <c r="G81" s="207"/>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207"/>
      <c r="AJ81" s="207"/>
      <c r="AK81" s="207"/>
      <c r="AL81" s="207"/>
    </row>
    <row r="82">
      <c r="A82" s="207"/>
      <c r="B82" s="233"/>
      <c r="C82" s="207"/>
      <c r="D82" s="234"/>
      <c r="E82" s="207"/>
      <c r="F82" s="207"/>
      <c r="G82" s="207"/>
      <c r="H82" s="207"/>
      <c r="I82" s="207"/>
      <c r="J82" s="207"/>
      <c r="K82" s="207"/>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207"/>
      <c r="AJ82" s="207"/>
      <c r="AK82" s="207"/>
      <c r="AL82" s="207"/>
    </row>
    <row r="83">
      <c r="A83" s="207"/>
      <c r="B83" s="233"/>
      <c r="C83" s="207"/>
      <c r="D83" s="234"/>
      <c r="E83" s="207"/>
      <c r="F83" s="207"/>
      <c r="G83" s="207"/>
      <c r="H83" s="207"/>
      <c r="I83" s="207"/>
      <c r="J83" s="207"/>
      <c r="K83" s="207"/>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207"/>
      <c r="AJ83" s="207"/>
      <c r="AK83" s="207"/>
      <c r="AL83" s="207"/>
    </row>
    <row r="84">
      <c r="A84" s="207"/>
      <c r="B84" s="233"/>
      <c r="C84" s="207"/>
      <c r="D84" s="234"/>
      <c r="E84" s="207"/>
      <c r="F84" s="207"/>
      <c r="G84" s="207"/>
      <c r="H84" s="207"/>
      <c r="I84" s="207"/>
      <c r="J84" s="207"/>
      <c r="K84" s="207"/>
      <c r="L84" s="207"/>
      <c r="M84" s="207"/>
      <c r="N84" s="207"/>
      <c r="O84" s="207"/>
      <c r="P84" s="207"/>
      <c r="Q84" s="207"/>
      <c r="R84" s="207"/>
      <c r="S84" s="207"/>
      <c r="T84" s="207"/>
      <c r="U84" s="207"/>
      <c r="V84" s="207"/>
      <c r="W84" s="207"/>
      <c r="X84" s="207"/>
      <c r="Y84" s="207"/>
      <c r="Z84" s="207"/>
      <c r="AA84" s="207"/>
      <c r="AB84" s="207"/>
      <c r="AC84" s="207"/>
      <c r="AD84" s="207"/>
      <c r="AE84" s="207"/>
      <c r="AF84" s="207"/>
      <c r="AG84" s="207"/>
      <c r="AH84" s="207"/>
      <c r="AI84" s="207"/>
      <c r="AJ84" s="207"/>
      <c r="AK84" s="207"/>
      <c r="AL84" s="207"/>
    </row>
    <row r="85">
      <c r="A85" s="207"/>
      <c r="B85" s="233"/>
      <c r="C85" s="207"/>
      <c r="D85" s="234"/>
      <c r="E85" s="207"/>
      <c r="F85" s="207"/>
      <c r="G85" s="207"/>
      <c r="H85" s="207"/>
      <c r="I85" s="207"/>
      <c r="J85" s="207"/>
      <c r="K85" s="207"/>
      <c r="L85" s="207"/>
      <c r="M85" s="207"/>
      <c r="N85" s="207"/>
      <c r="O85" s="207"/>
      <c r="P85" s="207"/>
      <c r="Q85" s="207"/>
      <c r="R85" s="207"/>
      <c r="S85" s="207"/>
      <c r="T85" s="207"/>
      <c r="U85" s="207"/>
      <c r="V85" s="207"/>
      <c r="W85" s="207"/>
      <c r="X85" s="207"/>
      <c r="Y85" s="207"/>
      <c r="Z85" s="207"/>
      <c r="AA85" s="207"/>
      <c r="AB85" s="207"/>
      <c r="AC85" s="207"/>
      <c r="AD85" s="207"/>
      <c r="AE85" s="207"/>
      <c r="AF85" s="207"/>
      <c r="AG85" s="207"/>
      <c r="AH85" s="207"/>
      <c r="AI85" s="207"/>
      <c r="AJ85" s="207"/>
      <c r="AK85" s="207"/>
      <c r="AL85" s="207"/>
    </row>
    <row r="86">
      <c r="A86" s="207"/>
      <c r="B86" s="233"/>
      <c r="C86" s="207"/>
      <c r="D86" s="234"/>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207"/>
      <c r="AH86" s="207"/>
      <c r="AI86" s="207"/>
      <c r="AJ86" s="207"/>
      <c r="AK86" s="207"/>
      <c r="AL86" s="207"/>
    </row>
    <row r="87">
      <c r="A87" s="207"/>
      <c r="B87" s="233"/>
      <c r="C87" s="207"/>
      <c r="D87" s="234"/>
      <c r="E87" s="207"/>
      <c r="F87" s="207"/>
      <c r="G87" s="207"/>
      <c r="H87" s="207"/>
      <c r="I87" s="207"/>
      <c r="J87" s="207"/>
      <c r="K87" s="207"/>
      <c r="L87" s="207"/>
      <c r="M87" s="207"/>
      <c r="N87" s="207"/>
      <c r="O87" s="207"/>
      <c r="P87" s="207"/>
      <c r="Q87" s="207"/>
      <c r="R87" s="207"/>
      <c r="S87" s="207"/>
      <c r="T87" s="207"/>
      <c r="U87" s="207"/>
      <c r="V87" s="207"/>
      <c r="W87" s="207"/>
      <c r="X87" s="207"/>
      <c r="Y87" s="207"/>
      <c r="Z87" s="207"/>
      <c r="AA87" s="207"/>
      <c r="AB87" s="207"/>
      <c r="AC87" s="207"/>
      <c r="AD87" s="207"/>
      <c r="AE87" s="207"/>
      <c r="AF87" s="207"/>
      <c r="AG87" s="207"/>
      <c r="AH87" s="207"/>
      <c r="AI87" s="207"/>
      <c r="AJ87" s="207"/>
      <c r="AK87" s="207"/>
      <c r="AL87" s="207"/>
    </row>
    <row r="88">
      <c r="A88" s="207"/>
      <c r="B88" s="233"/>
      <c r="C88" s="207"/>
      <c r="D88" s="234"/>
      <c r="E88" s="207"/>
      <c r="F88" s="207"/>
      <c r="G88" s="207"/>
      <c r="H88" s="207"/>
      <c r="I88" s="207"/>
      <c r="J88" s="207"/>
      <c r="K88" s="207"/>
      <c r="L88" s="207"/>
      <c r="M88" s="207"/>
      <c r="N88" s="207"/>
      <c r="O88" s="207"/>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row>
    <row r="89">
      <c r="A89" s="207"/>
      <c r="B89" s="233"/>
      <c r="C89" s="207"/>
      <c r="D89" s="234"/>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7"/>
      <c r="AL89" s="207"/>
    </row>
    <row r="90">
      <c r="A90" s="207"/>
      <c r="B90" s="233"/>
      <c r="C90" s="207"/>
      <c r="D90" s="234"/>
      <c r="E90" s="207"/>
      <c r="F90" s="207"/>
      <c r="G90" s="207"/>
      <c r="H90" s="207"/>
      <c r="I90" s="207"/>
      <c r="J90" s="207"/>
      <c r="K90" s="207"/>
      <c r="L90" s="207"/>
      <c r="M90" s="207"/>
      <c r="N90" s="207"/>
      <c r="O90" s="207"/>
      <c r="P90" s="207"/>
      <c r="Q90" s="207"/>
      <c r="R90" s="207"/>
      <c r="S90" s="207"/>
      <c r="T90" s="207"/>
      <c r="U90" s="207"/>
      <c r="V90" s="207"/>
      <c r="W90" s="207"/>
      <c r="X90" s="207"/>
      <c r="Y90" s="207"/>
      <c r="Z90" s="207"/>
      <c r="AA90" s="207"/>
      <c r="AB90" s="207"/>
      <c r="AC90" s="207"/>
      <c r="AD90" s="207"/>
      <c r="AE90" s="207"/>
      <c r="AF90" s="207"/>
      <c r="AG90" s="207"/>
      <c r="AH90" s="207"/>
      <c r="AI90" s="207"/>
      <c r="AJ90" s="207"/>
      <c r="AK90" s="207"/>
      <c r="AL90" s="207"/>
    </row>
    <row r="91">
      <c r="A91" s="207"/>
      <c r="B91" s="233"/>
      <c r="C91" s="207"/>
      <c r="D91" s="234"/>
      <c r="E91" s="207"/>
      <c r="F91" s="207"/>
      <c r="G91" s="207"/>
      <c r="H91" s="207"/>
      <c r="I91" s="207"/>
      <c r="J91" s="207"/>
      <c r="K91" s="207"/>
      <c r="L91" s="207"/>
      <c r="M91" s="207"/>
      <c r="N91" s="207"/>
      <c r="O91" s="207"/>
      <c r="P91" s="207"/>
      <c r="Q91" s="207"/>
      <c r="R91" s="207"/>
      <c r="S91" s="207"/>
      <c r="T91" s="207"/>
      <c r="U91" s="207"/>
      <c r="V91" s="207"/>
      <c r="W91" s="207"/>
      <c r="X91" s="207"/>
      <c r="Y91" s="207"/>
      <c r="Z91" s="207"/>
      <c r="AA91" s="207"/>
      <c r="AB91" s="207"/>
      <c r="AC91" s="207"/>
      <c r="AD91" s="207"/>
      <c r="AE91" s="207"/>
      <c r="AF91" s="207"/>
      <c r="AG91" s="207"/>
      <c r="AH91" s="207"/>
      <c r="AI91" s="207"/>
      <c r="AJ91" s="207"/>
      <c r="AK91" s="207"/>
      <c r="AL91" s="207"/>
    </row>
    <row r="92">
      <c r="A92" s="207"/>
      <c r="B92" s="233"/>
      <c r="C92" s="207"/>
      <c r="D92" s="234"/>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207"/>
      <c r="AH92" s="207"/>
      <c r="AI92" s="207"/>
      <c r="AJ92" s="207"/>
      <c r="AK92" s="207"/>
      <c r="AL92" s="207"/>
    </row>
    <row r="93">
      <c r="A93" s="207"/>
      <c r="B93" s="233"/>
      <c r="C93" s="207"/>
      <c r="D93" s="234"/>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207"/>
      <c r="AH93" s="207"/>
      <c r="AI93" s="207"/>
      <c r="AJ93" s="207"/>
      <c r="AK93" s="207"/>
      <c r="AL93" s="207"/>
    </row>
    <row r="94">
      <c r="A94" s="207"/>
      <c r="B94" s="233"/>
      <c r="C94" s="207"/>
      <c r="D94" s="234"/>
      <c r="E94" s="207"/>
      <c r="F94" s="207"/>
      <c r="G94" s="207"/>
      <c r="H94" s="207"/>
      <c r="I94" s="207"/>
      <c r="J94" s="207"/>
      <c r="K94" s="207"/>
      <c r="L94" s="207"/>
      <c r="M94" s="207"/>
      <c r="N94" s="207"/>
      <c r="O94" s="207"/>
      <c r="P94" s="207"/>
      <c r="Q94" s="207"/>
      <c r="R94" s="207"/>
      <c r="S94" s="207"/>
      <c r="T94" s="207"/>
      <c r="U94" s="207"/>
      <c r="V94" s="207"/>
      <c r="W94" s="207"/>
      <c r="X94" s="207"/>
      <c r="Y94" s="207"/>
      <c r="Z94" s="207"/>
      <c r="AA94" s="207"/>
      <c r="AB94" s="207"/>
      <c r="AC94" s="207"/>
      <c r="AD94" s="207"/>
      <c r="AE94" s="207"/>
      <c r="AF94" s="207"/>
      <c r="AG94" s="207"/>
      <c r="AH94" s="207"/>
      <c r="AI94" s="207"/>
      <c r="AJ94" s="207"/>
      <c r="AK94" s="207"/>
      <c r="AL94" s="207"/>
    </row>
    <row r="95">
      <c r="A95" s="207"/>
      <c r="B95" s="233"/>
      <c r="C95" s="207"/>
      <c r="D95" s="234"/>
      <c r="E95" s="207"/>
      <c r="F95" s="207"/>
      <c r="G95" s="207"/>
      <c r="H95" s="207"/>
      <c r="I95" s="207"/>
      <c r="J95" s="207"/>
      <c r="K95" s="207"/>
      <c r="L95" s="207"/>
      <c r="M95" s="207"/>
      <c r="N95" s="207"/>
      <c r="O95" s="207"/>
      <c r="P95" s="207"/>
      <c r="Q95" s="207"/>
      <c r="R95" s="207"/>
      <c r="S95" s="207"/>
      <c r="T95" s="207"/>
      <c r="U95" s="207"/>
      <c r="V95" s="207"/>
      <c r="W95" s="207"/>
      <c r="X95" s="207"/>
      <c r="Y95" s="207"/>
      <c r="Z95" s="207"/>
      <c r="AA95" s="207"/>
      <c r="AB95" s="207"/>
      <c r="AC95" s="207"/>
      <c r="AD95" s="207"/>
      <c r="AE95" s="207"/>
      <c r="AF95" s="207"/>
      <c r="AG95" s="207"/>
      <c r="AH95" s="207"/>
      <c r="AI95" s="207"/>
      <c r="AJ95" s="207"/>
      <c r="AK95" s="207"/>
      <c r="AL95" s="207"/>
    </row>
    <row r="96">
      <c r="A96" s="207"/>
      <c r="B96" s="233"/>
      <c r="C96" s="207"/>
      <c r="D96" s="234"/>
      <c r="E96" s="207"/>
      <c r="F96" s="207"/>
      <c r="G96" s="207"/>
      <c r="H96" s="207"/>
      <c r="I96" s="207"/>
      <c r="J96" s="207"/>
      <c r="K96" s="207"/>
      <c r="L96" s="207"/>
      <c r="M96" s="207"/>
      <c r="N96" s="207"/>
      <c r="O96" s="207"/>
      <c r="P96" s="207"/>
      <c r="Q96" s="207"/>
      <c r="R96" s="207"/>
      <c r="S96" s="207"/>
      <c r="T96" s="207"/>
      <c r="U96" s="207"/>
      <c r="V96" s="207"/>
      <c r="W96" s="207"/>
      <c r="X96" s="207"/>
      <c r="Y96" s="207"/>
      <c r="Z96" s="207"/>
      <c r="AA96" s="207"/>
      <c r="AB96" s="207"/>
      <c r="AC96" s="207"/>
      <c r="AD96" s="207"/>
      <c r="AE96" s="207"/>
      <c r="AF96" s="207"/>
      <c r="AG96" s="207"/>
      <c r="AH96" s="207"/>
      <c r="AI96" s="207"/>
      <c r="AJ96" s="207"/>
      <c r="AK96" s="207"/>
      <c r="AL96" s="207"/>
    </row>
    <row r="97">
      <c r="A97" s="207"/>
      <c r="B97" s="233"/>
      <c r="C97" s="207"/>
      <c r="D97" s="234"/>
      <c r="E97" s="207"/>
      <c r="F97" s="207"/>
      <c r="G97" s="207"/>
      <c r="H97" s="207"/>
      <c r="I97" s="207"/>
      <c r="J97" s="207"/>
      <c r="K97" s="207"/>
      <c r="L97" s="207"/>
      <c r="M97" s="207"/>
      <c r="N97" s="207"/>
      <c r="O97" s="207"/>
      <c r="P97" s="207"/>
      <c r="Q97" s="207"/>
      <c r="R97" s="207"/>
      <c r="S97" s="207"/>
      <c r="T97" s="207"/>
      <c r="U97" s="207"/>
      <c r="V97" s="207"/>
      <c r="W97" s="207"/>
      <c r="X97" s="207"/>
      <c r="Y97" s="207"/>
      <c r="Z97" s="207"/>
      <c r="AA97" s="207"/>
      <c r="AB97" s="207"/>
      <c r="AC97" s="207"/>
      <c r="AD97" s="207"/>
      <c r="AE97" s="207"/>
      <c r="AF97" s="207"/>
      <c r="AG97" s="207"/>
      <c r="AH97" s="207"/>
      <c r="AI97" s="207"/>
      <c r="AJ97" s="207"/>
      <c r="AK97" s="207"/>
      <c r="AL97" s="207"/>
    </row>
    <row r="98">
      <c r="A98" s="207"/>
      <c r="B98" s="233"/>
      <c r="C98" s="207"/>
      <c r="D98" s="234"/>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207"/>
      <c r="AH98" s="207"/>
      <c r="AI98" s="207"/>
      <c r="AJ98" s="207"/>
      <c r="AK98" s="207"/>
      <c r="AL98" s="207"/>
    </row>
    <row r="99">
      <c r="A99" s="207"/>
      <c r="B99" s="233"/>
      <c r="C99" s="207"/>
      <c r="D99" s="234"/>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row>
    <row r="100">
      <c r="A100" s="207"/>
      <c r="B100" s="233"/>
      <c r="C100" s="207"/>
      <c r="D100" s="234"/>
      <c r="E100" s="207"/>
      <c r="F100" s="207"/>
      <c r="G100" s="207"/>
      <c r="H100" s="207"/>
      <c r="I100" s="207"/>
      <c r="J100" s="207"/>
      <c r="K100" s="207"/>
      <c r="L100" s="207"/>
      <c r="M100" s="207"/>
      <c r="N100" s="207"/>
      <c r="O100" s="207"/>
      <c r="P100" s="207"/>
      <c r="Q100" s="207"/>
      <c r="R100" s="207"/>
      <c r="S100" s="207"/>
      <c r="T100" s="207"/>
      <c r="U100" s="207"/>
      <c r="V100" s="207"/>
      <c r="W100" s="207"/>
      <c r="X100" s="207"/>
      <c r="Y100" s="207"/>
      <c r="Z100" s="207"/>
      <c r="AA100" s="207"/>
      <c r="AB100" s="207"/>
      <c r="AC100" s="207"/>
      <c r="AD100" s="207"/>
      <c r="AE100" s="207"/>
      <c r="AF100" s="207"/>
      <c r="AG100" s="207"/>
      <c r="AH100" s="207"/>
      <c r="AI100" s="207"/>
      <c r="AJ100" s="207"/>
      <c r="AK100" s="207"/>
      <c r="AL100" s="207"/>
    </row>
    <row r="101">
      <c r="A101" s="207"/>
      <c r="B101" s="233"/>
      <c r="C101" s="207"/>
      <c r="D101" s="234"/>
      <c r="E101" s="207"/>
      <c r="F101" s="207"/>
      <c r="G101" s="207"/>
      <c r="H101" s="207"/>
      <c r="I101" s="207"/>
      <c r="J101" s="207"/>
      <c r="K101" s="207"/>
      <c r="L101" s="207"/>
      <c r="M101" s="207"/>
      <c r="N101" s="207"/>
      <c r="O101" s="207"/>
      <c r="P101" s="207"/>
      <c r="Q101" s="207"/>
      <c r="R101" s="207"/>
      <c r="S101" s="207"/>
      <c r="T101" s="207"/>
      <c r="U101" s="207"/>
      <c r="V101" s="207"/>
      <c r="W101" s="207"/>
      <c r="X101" s="207"/>
      <c r="Y101" s="207"/>
      <c r="Z101" s="207"/>
      <c r="AA101" s="207"/>
      <c r="AB101" s="207"/>
      <c r="AC101" s="207"/>
      <c r="AD101" s="207"/>
      <c r="AE101" s="207"/>
      <c r="AF101" s="207"/>
      <c r="AG101" s="207"/>
      <c r="AH101" s="207"/>
      <c r="AI101" s="207"/>
      <c r="AJ101" s="207"/>
      <c r="AK101" s="207"/>
      <c r="AL101" s="207"/>
    </row>
    <row r="102">
      <c r="A102" s="207"/>
      <c r="B102" s="233"/>
      <c r="C102" s="207"/>
      <c r="D102" s="234"/>
      <c r="E102" s="207"/>
      <c r="F102" s="207"/>
      <c r="G102" s="207"/>
      <c r="H102" s="207"/>
      <c r="I102" s="207"/>
      <c r="J102" s="207"/>
      <c r="K102" s="207"/>
      <c r="L102" s="207"/>
      <c r="M102" s="207"/>
      <c r="N102" s="207"/>
      <c r="O102" s="207"/>
      <c r="P102" s="207"/>
      <c r="Q102" s="207"/>
      <c r="R102" s="207"/>
      <c r="S102" s="207"/>
      <c r="T102" s="207"/>
      <c r="U102" s="207"/>
      <c r="V102" s="207"/>
      <c r="W102" s="207"/>
      <c r="X102" s="207"/>
      <c r="Y102" s="207"/>
      <c r="Z102" s="207"/>
      <c r="AA102" s="207"/>
      <c r="AB102" s="207"/>
      <c r="AC102" s="207"/>
      <c r="AD102" s="207"/>
      <c r="AE102" s="207"/>
      <c r="AF102" s="207"/>
      <c r="AG102" s="207"/>
      <c r="AH102" s="207"/>
      <c r="AI102" s="207"/>
      <c r="AJ102" s="207"/>
      <c r="AK102" s="207"/>
      <c r="AL102" s="207"/>
    </row>
    <row r="103">
      <c r="A103" s="207"/>
      <c r="B103" s="233"/>
      <c r="C103" s="207"/>
      <c r="D103" s="234"/>
      <c r="E103" s="207"/>
      <c r="F103" s="207"/>
      <c r="G103" s="207"/>
      <c r="H103" s="207"/>
      <c r="I103" s="207"/>
      <c r="J103" s="207"/>
      <c r="K103" s="207"/>
      <c r="L103" s="207"/>
      <c r="M103" s="207"/>
      <c r="N103" s="207"/>
      <c r="O103" s="207"/>
      <c r="P103" s="207"/>
      <c r="Q103" s="207"/>
      <c r="R103" s="207"/>
      <c r="S103" s="207"/>
      <c r="T103" s="207"/>
      <c r="U103" s="207"/>
      <c r="V103" s="207"/>
      <c r="W103" s="207"/>
      <c r="X103" s="207"/>
      <c r="Y103" s="207"/>
      <c r="Z103" s="207"/>
      <c r="AA103" s="207"/>
      <c r="AB103" s="207"/>
      <c r="AC103" s="207"/>
      <c r="AD103" s="207"/>
      <c r="AE103" s="207"/>
      <c r="AF103" s="207"/>
      <c r="AG103" s="207"/>
      <c r="AH103" s="207"/>
      <c r="AI103" s="207"/>
      <c r="AJ103" s="207"/>
      <c r="AK103" s="207"/>
      <c r="AL103" s="207"/>
    </row>
    <row r="104">
      <c r="A104" s="207"/>
      <c r="B104" s="233"/>
      <c r="C104" s="207"/>
      <c r="D104" s="234"/>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c r="AF104" s="207"/>
      <c r="AG104" s="207"/>
      <c r="AH104" s="207"/>
      <c r="AI104" s="207"/>
      <c r="AJ104" s="207"/>
      <c r="AK104" s="207"/>
      <c r="AL104" s="207"/>
    </row>
    <row r="105">
      <c r="A105" s="207"/>
      <c r="B105" s="233"/>
      <c r="C105" s="207"/>
      <c r="D105" s="234"/>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c r="AF105" s="207"/>
      <c r="AG105" s="207"/>
      <c r="AH105" s="207"/>
      <c r="AI105" s="207"/>
      <c r="AJ105" s="207"/>
      <c r="AK105" s="207"/>
      <c r="AL105" s="207"/>
    </row>
    <row r="106">
      <c r="A106" s="207"/>
      <c r="B106" s="233"/>
      <c r="C106" s="207"/>
      <c r="D106" s="234"/>
      <c r="E106" s="207"/>
      <c r="F106" s="207"/>
      <c r="G106" s="207"/>
      <c r="H106" s="207"/>
      <c r="I106" s="207"/>
      <c r="J106" s="207"/>
      <c r="K106" s="207"/>
      <c r="L106" s="207"/>
      <c r="M106" s="207"/>
      <c r="N106" s="207"/>
      <c r="O106" s="207"/>
      <c r="P106" s="207"/>
      <c r="Q106" s="207"/>
      <c r="R106" s="207"/>
      <c r="S106" s="207"/>
      <c r="T106" s="207"/>
      <c r="U106" s="207"/>
      <c r="V106" s="207"/>
      <c r="W106" s="207"/>
      <c r="X106" s="207"/>
      <c r="Y106" s="207"/>
      <c r="Z106" s="207"/>
      <c r="AA106" s="207"/>
      <c r="AB106" s="207"/>
      <c r="AC106" s="207"/>
      <c r="AD106" s="207"/>
      <c r="AE106" s="207"/>
      <c r="AF106" s="207"/>
      <c r="AG106" s="207"/>
      <c r="AH106" s="207"/>
      <c r="AI106" s="207"/>
      <c r="AJ106" s="207"/>
      <c r="AK106" s="207"/>
      <c r="AL106" s="207"/>
    </row>
    <row r="107">
      <c r="A107" s="207"/>
      <c r="B107" s="233"/>
      <c r="C107" s="207"/>
      <c r="D107" s="234"/>
      <c r="E107" s="207"/>
      <c r="F107" s="207"/>
      <c r="G107" s="207"/>
      <c r="H107" s="207"/>
      <c r="I107" s="207"/>
      <c r="J107" s="207"/>
      <c r="K107" s="207"/>
      <c r="L107" s="207"/>
      <c r="M107" s="207"/>
      <c r="N107" s="207"/>
      <c r="O107" s="207"/>
      <c r="P107" s="207"/>
      <c r="Q107" s="207"/>
      <c r="R107" s="207"/>
      <c r="S107" s="207"/>
      <c r="T107" s="207"/>
      <c r="U107" s="207"/>
      <c r="V107" s="207"/>
      <c r="W107" s="207"/>
      <c r="X107" s="207"/>
      <c r="Y107" s="207"/>
      <c r="Z107" s="207"/>
      <c r="AA107" s="207"/>
      <c r="AB107" s="207"/>
      <c r="AC107" s="207"/>
      <c r="AD107" s="207"/>
      <c r="AE107" s="207"/>
      <c r="AF107" s="207"/>
      <c r="AG107" s="207"/>
      <c r="AH107" s="207"/>
      <c r="AI107" s="207"/>
      <c r="AJ107" s="207"/>
      <c r="AK107" s="207"/>
      <c r="AL107" s="207"/>
    </row>
    <row r="108">
      <c r="A108" s="207"/>
      <c r="B108" s="233"/>
      <c r="C108" s="207"/>
      <c r="D108" s="234"/>
      <c r="E108" s="207"/>
      <c r="F108" s="207"/>
      <c r="G108" s="207"/>
      <c r="H108" s="207"/>
      <c r="I108" s="207"/>
      <c r="J108" s="207"/>
      <c r="K108" s="207"/>
      <c r="L108" s="207"/>
      <c r="M108" s="207"/>
      <c r="N108" s="207"/>
      <c r="O108" s="207"/>
      <c r="P108" s="207"/>
      <c r="Q108" s="207"/>
      <c r="R108" s="207"/>
      <c r="S108" s="207"/>
      <c r="T108" s="207"/>
      <c r="U108" s="207"/>
      <c r="V108" s="207"/>
      <c r="W108" s="207"/>
      <c r="X108" s="207"/>
      <c r="Y108" s="207"/>
      <c r="Z108" s="207"/>
      <c r="AA108" s="207"/>
      <c r="AB108" s="207"/>
      <c r="AC108" s="207"/>
      <c r="AD108" s="207"/>
      <c r="AE108" s="207"/>
      <c r="AF108" s="207"/>
      <c r="AG108" s="207"/>
      <c r="AH108" s="207"/>
      <c r="AI108" s="207"/>
      <c r="AJ108" s="207"/>
      <c r="AK108" s="207"/>
      <c r="AL108" s="207"/>
    </row>
    <row r="109">
      <c r="A109" s="207"/>
      <c r="B109" s="233"/>
      <c r="C109" s="207"/>
      <c r="D109" s="234"/>
      <c r="E109" s="207"/>
      <c r="F109" s="207"/>
      <c r="G109" s="207"/>
      <c r="H109" s="207"/>
      <c r="I109" s="207"/>
      <c r="J109" s="207"/>
      <c r="K109" s="207"/>
      <c r="L109" s="207"/>
      <c r="M109" s="207"/>
      <c r="N109" s="207"/>
      <c r="O109" s="207"/>
      <c r="P109" s="207"/>
      <c r="Q109" s="207"/>
      <c r="R109" s="207"/>
      <c r="S109" s="207"/>
      <c r="T109" s="207"/>
      <c r="U109" s="207"/>
      <c r="V109" s="207"/>
      <c r="W109" s="207"/>
      <c r="X109" s="207"/>
      <c r="Y109" s="207"/>
      <c r="Z109" s="207"/>
      <c r="AA109" s="207"/>
      <c r="AB109" s="207"/>
      <c r="AC109" s="207"/>
      <c r="AD109" s="207"/>
      <c r="AE109" s="207"/>
      <c r="AF109" s="207"/>
      <c r="AG109" s="207"/>
      <c r="AH109" s="207"/>
      <c r="AI109" s="207"/>
      <c r="AJ109" s="207"/>
      <c r="AK109" s="207"/>
      <c r="AL109" s="207"/>
    </row>
    <row r="110">
      <c r="A110" s="207"/>
      <c r="B110" s="233"/>
      <c r="C110" s="207"/>
      <c r="D110" s="234"/>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207"/>
      <c r="AH110" s="207"/>
      <c r="AI110" s="207"/>
      <c r="AJ110" s="207"/>
      <c r="AK110" s="207"/>
      <c r="AL110" s="207"/>
    </row>
    <row r="111">
      <c r="A111" s="207"/>
      <c r="B111" s="233"/>
      <c r="C111" s="207"/>
      <c r="D111" s="234"/>
      <c r="E111" s="207"/>
      <c r="F111" s="207"/>
      <c r="G111" s="207"/>
      <c r="H111" s="207"/>
      <c r="I111" s="207"/>
      <c r="J111" s="207"/>
      <c r="K111" s="207"/>
      <c r="L111" s="207"/>
      <c r="M111" s="207"/>
      <c r="N111" s="207"/>
      <c r="O111" s="207"/>
      <c r="P111" s="207"/>
      <c r="Q111" s="207"/>
      <c r="R111" s="207"/>
      <c r="S111" s="207"/>
      <c r="T111" s="207"/>
      <c r="U111" s="207"/>
      <c r="V111" s="207"/>
      <c r="W111" s="207"/>
      <c r="X111" s="207"/>
      <c r="Y111" s="207"/>
      <c r="Z111" s="207"/>
      <c r="AA111" s="207"/>
      <c r="AB111" s="207"/>
      <c r="AC111" s="207"/>
      <c r="AD111" s="207"/>
      <c r="AE111" s="207"/>
      <c r="AF111" s="207"/>
      <c r="AG111" s="207"/>
      <c r="AH111" s="207"/>
      <c r="AI111" s="207"/>
      <c r="AJ111" s="207"/>
      <c r="AK111" s="207"/>
      <c r="AL111" s="207"/>
    </row>
    <row r="112">
      <c r="A112" s="207"/>
      <c r="B112" s="233"/>
      <c r="C112" s="207"/>
      <c r="D112" s="234"/>
      <c r="E112" s="207"/>
      <c r="F112" s="207"/>
      <c r="G112" s="207"/>
      <c r="H112" s="207"/>
      <c r="I112" s="207"/>
      <c r="J112" s="207"/>
      <c r="K112" s="207"/>
      <c r="L112" s="207"/>
      <c r="M112" s="207"/>
      <c r="N112" s="207"/>
      <c r="O112" s="207"/>
      <c r="P112" s="207"/>
      <c r="Q112" s="207"/>
      <c r="R112" s="207"/>
      <c r="S112" s="207"/>
      <c r="T112" s="207"/>
      <c r="U112" s="207"/>
      <c r="V112" s="207"/>
      <c r="W112" s="207"/>
      <c r="X112" s="207"/>
      <c r="Y112" s="207"/>
      <c r="Z112" s="207"/>
      <c r="AA112" s="207"/>
      <c r="AB112" s="207"/>
      <c r="AC112" s="207"/>
      <c r="AD112" s="207"/>
      <c r="AE112" s="207"/>
      <c r="AF112" s="207"/>
      <c r="AG112" s="207"/>
      <c r="AH112" s="207"/>
      <c r="AI112" s="207"/>
      <c r="AJ112" s="207"/>
      <c r="AK112" s="207"/>
      <c r="AL112" s="207"/>
    </row>
    <row r="113">
      <c r="A113" s="207"/>
      <c r="B113" s="233"/>
      <c r="C113" s="207"/>
      <c r="D113" s="234"/>
      <c r="E113" s="207"/>
      <c r="F113" s="207"/>
      <c r="G113" s="207"/>
      <c r="H113" s="207"/>
      <c r="I113" s="207"/>
      <c r="J113" s="207"/>
      <c r="K113" s="207"/>
      <c r="L113" s="207"/>
      <c r="M113" s="207"/>
      <c r="N113" s="207"/>
      <c r="O113" s="207"/>
      <c r="P113" s="207"/>
      <c r="Q113" s="207"/>
      <c r="R113" s="207"/>
      <c r="S113" s="207"/>
      <c r="T113" s="207"/>
      <c r="U113" s="207"/>
      <c r="V113" s="207"/>
      <c r="W113" s="207"/>
      <c r="X113" s="207"/>
      <c r="Y113" s="207"/>
      <c r="Z113" s="207"/>
      <c r="AA113" s="207"/>
      <c r="AB113" s="207"/>
      <c r="AC113" s="207"/>
      <c r="AD113" s="207"/>
      <c r="AE113" s="207"/>
      <c r="AF113" s="207"/>
      <c r="AG113" s="207"/>
      <c r="AH113" s="207"/>
      <c r="AI113" s="207"/>
      <c r="AJ113" s="207"/>
      <c r="AK113" s="207"/>
      <c r="AL113" s="207"/>
    </row>
    <row r="114">
      <c r="A114" s="207"/>
      <c r="B114" s="233"/>
      <c r="C114" s="207"/>
      <c r="D114" s="234"/>
      <c r="E114" s="207"/>
      <c r="F114" s="207"/>
      <c r="G114" s="207"/>
      <c r="H114" s="207"/>
      <c r="I114" s="207"/>
      <c r="J114" s="207"/>
      <c r="K114" s="207"/>
      <c r="L114" s="207"/>
      <c r="M114" s="207"/>
      <c r="N114" s="207"/>
      <c r="O114" s="207"/>
      <c r="P114" s="207"/>
      <c r="Q114" s="207"/>
      <c r="R114" s="207"/>
      <c r="S114" s="207"/>
      <c r="T114" s="207"/>
      <c r="U114" s="207"/>
      <c r="V114" s="207"/>
      <c r="W114" s="207"/>
      <c r="X114" s="207"/>
      <c r="Y114" s="207"/>
      <c r="Z114" s="207"/>
      <c r="AA114" s="207"/>
      <c r="AB114" s="207"/>
      <c r="AC114" s="207"/>
      <c r="AD114" s="207"/>
      <c r="AE114" s="207"/>
      <c r="AF114" s="207"/>
      <c r="AG114" s="207"/>
      <c r="AH114" s="207"/>
      <c r="AI114" s="207"/>
      <c r="AJ114" s="207"/>
      <c r="AK114" s="207"/>
      <c r="AL114" s="207"/>
    </row>
    <row r="115">
      <c r="A115" s="207"/>
      <c r="B115" s="233"/>
      <c r="C115" s="207"/>
      <c r="D115" s="234"/>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207"/>
      <c r="AH115" s="207"/>
      <c r="AI115" s="207"/>
      <c r="AJ115" s="207"/>
      <c r="AK115" s="207"/>
      <c r="AL115" s="207"/>
    </row>
    <row r="116">
      <c r="A116" s="207"/>
      <c r="B116" s="233"/>
      <c r="C116" s="207"/>
      <c r="D116" s="234"/>
      <c r="E116" s="207"/>
      <c r="F116" s="207"/>
      <c r="G116" s="207"/>
      <c r="H116" s="207"/>
      <c r="I116" s="207"/>
      <c r="J116" s="207"/>
      <c r="K116" s="207"/>
      <c r="L116" s="207"/>
      <c r="M116" s="207"/>
      <c r="N116" s="207"/>
      <c r="O116" s="207"/>
      <c r="P116" s="207"/>
      <c r="Q116" s="207"/>
      <c r="R116" s="207"/>
      <c r="S116" s="207"/>
      <c r="T116" s="207"/>
      <c r="U116" s="207"/>
      <c r="V116" s="207"/>
      <c r="W116" s="207"/>
      <c r="X116" s="207"/>
      <c r="Y116" s="207"/>
      <c r="Z116" s="207"/>
      <c r="AA116" s="207"/>
      <c r="AB116" s="207"/>
      <c r="AC116" s="207"/>
      <c r="AD116" s="207"/>
      <c r="AE116" s="207"/>
      <c r="AF116" s="207"/>
      <c r="AG116" s="207"/>
      <c r="AH116" s="207"/>
      <c r="AI116" s="207"/>
      <c r="AJ116" s="207"/>
      <c r="AK116" s="207"/>
      <c r="AL116" s="207"/>
    </row>
    <row r="117">
      <c r="A117" s="207"/>
      <c r="B117" s="233"/>
      <c r="C117" s="207"/>
      <c r="D117" s="234"/>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c r="AG117" s="207"/>
      <c r="AH117" s="207"/>
      <c r="AI117" s="207"/>
      <c r="AJ117" s="207"/>
      <c r="AK117" s="207"/>
      <c r="AL117" s="207"/>
    </row>
    <row r="118">
      <c r="A118" s="207"/>
      <c r="B118" s="233"/>
      <c r="C118" s="207"/>
      <c r="D118" s="234"/>
      <c r="E118" s="207"/>
      <c r="F118" s="207"/>
      <c r="G118" s="207"/>
      <c r="H118" s="207"/>
      <c r="I118" s="207"/>
      <c r="J118" s="207"/>
      <c r="K118" s="207"/>
      <c r="L118" s="207"/>
      <c r="M118" s="207"/>
      <c r="N118" s="207"/>
      <c r="O118" s="207"/>
      <c r="P118" s="207"/>
      <c r="Q118" s="207"/>
      <c r="R118" s="207"/>
      <c r="S118" s="207"/>
      <c r="T118" s="207"/>
      <c r="U118" s="207"/>
      <c r="V118" s="207"/>
      <c r="W118" s="207"/>
      <c r="X118" s="207"/>
      <c r="Y118" s="207"/>
      <c r="Z118" s="207"/>
      <c r="AA118" s="207"/>
      <c r="AB118" s="207"/>
      <c r="AC118" s="207"/>
      <c r="AD118" s="207"/>
      <c r="AE118" s="207"/>
      <c r="AF118" s="207"/>
      <c r="AG118" s="207"/>
      <c r="AH118" s="207"/>
      <c r="AI118" s="207"/>
      <c r="AJ118" s="207"/>
      <c r="AK118" s="207"/>
      <c r="AL118" s="207"/>
    </row>
    <row r="119">
      <c r="A119" s="207"/>
      <c r="B119" s="233"/>
      <c r="C119" s="207"/>
      <c r="D119" s="234"/>
      <c r="E119" s="207"/>
      <c r="F119" s="207"/>
      <c r="G119" s="207"/>
      <c r="H119" s="207"/>
      <c r="I119" s="207"/>
      <c r="J119" s="207"/>
      <c r="K119" s="207"/>
      <c r="L119" s="207"/>
      <c r="M119" s="207"/>
      <c r="N119" s="207"/>
      <c r="O119" s="207"/>
      <c r="P119" s="207"/>
      <c r="Q119" s="207"/>
      <c r="R119" s="207"/>
      <c r="S119" s="207"/>
      <c r="T119" s="207"/>
      <c r="U119" s="207"/>
      <c r="V119" s="207"/>
      <c r="W119" s="207"/>
      <c r="X119" s="207"/>
      <c r="Y119" s="207"/>
      <c r="Z119" s="207"/>
      <c r="AA119" s="207"/>
      <c r="AB119" s="207"/>
      <c r="AC119" s="207"/>
      <c r="AD119" s="207"/>
      <c r="AE119" s="207"/>
      <c r="AF119" s="207"/>
      <c r="AG119" s="207"/>
      <c r="AH119" s="207"/>
      <c r="AI119" s="207"/>
      <c r="AJ119" s="207"/>
      <c r="AK119" s="207"/>
      <c r="AL119" s="207"/>
    </row>
    <row r="120">
      <c r="A120" s="207"/>
      <c r="B120" s="233"/>
      <c r="C120" s="207"/>
      <c r="D120" s="234"/>
      <c r="E120" s="207"/>
      <c r="F120" s="207"/>
      <c r="G120" s="207"/>
      <c r="H120" s="207"/>
      <c r="I120" s="207"/>
      <c r="J120" s="207"/>
      <c r="K120" s="207"/>
      <c r="L120" s="207"/>
      <c r="M120" s="207"/>
      <c r="N120" s="207"/>
      <c r="O120" s="207"/>
      <c r="P120" s="207"/>
      <c r="Q120" s="207"/>
      <c r="R120" s="207"/>
      <c r="S120" s="207"/>
      <c r="T120" s="207"/>
      <c r="U120" s="207"/>
      <c r="V120" s="207"/>
      <c r="W120" s="207"/>
      <c r="X120" s="207"/>
      <c r="Y120" s="207"/>
      <c r="Z120" s="207"/>
      <c r="AA120" s="207"/>
      <c r="AB120" s="207"/>
      <c r="AC120" s="207"/>
      <c r="AD120" s="207"/>
      <c r="AE120" s="207"/>
      <c r="AF120" s="207"/>
      <c r="AG120" s="207"/>
      <c r="AH120" s="207"/>
      <c r="AI120" s="207"/>
      <c r="AJ120" s="207"/>
      <c r="AK120" s="207"/>
      <c r="AL120" s="207"/>
    </row>
    <row r="121">
      <c r="A121" s="207"/>
      <c r="B121" s="233"/>
      <c r="C121" s="207"/>
      <c r="D121" s="234"/>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207"/>
      <c r="AH121" s="207"/>
      <c r="AI121" s="207"/>
      <c r="AJ121" s="207"/>
      <c r="AK121" s="207"/>
      <c r="AL121" s="207"/>
    </row>
    <row r="122">
      <c r="A122" s="207"/>
      <c r="B122" s="233"/>
      <c r="C122" s="207"/>
      <c r="D122" s="234"/>
      <c r="E122" s="207"/>
      <c r="F122" s="207"/>
      <c r="G122" s="207"/>
      <c r="H122" s="207"/>
      <c r="I122" s="207"/>
      <c r="J122" s="207"/>
      <c r="K122" s="207"/>
      <c r="L122" s="207"/>
      <c r="M122" s="207"/>
      <c r="N122" s="207"/>
      <c r="O122" s="207"/>
      <c r="P122" s="207"/>
      <c r="Q122" s="207"/>
      <c r="R122" s="207"/>
      <c r="S122" s="207"/>
      <c r="T122" s="207"/>
      <c r="U122" s="207"/>
      <c r="V122" s="207"/>
      <c r="W122" s="207"/>
      <c r="X122" s="207"/>
      <c r="Y122" s="207"/>
      <c r="Z122" s="207"/>
      <c r="AA122" s="207"/>
      <c r="AB122" s="207"/>
      <c r="AC122" s="207"/>
      <c r="AD122" s="207"/>
      <c r="AE122" s="207"/>
      <c r="AF122" s="207"/>
      <c r="AG122" s="207"/>
      <c r="AH122" s="207"/>
      <c r="AI122" s="207"/>
      <c r="AJ122" s="207"/>
      <c r="AK122" s="207"/>
      <c r="AL122" s="207"/>
    </row>
    <row r="123">
      <c r="A123" s="207"/>
      <c r="B123" s="233"/>
      <c r="C123" s="207"/>
      <c r="D123" s="234"/>
      <c r="E123" s="207"/>
      <c r="F123" s="207"/>
      <c r="G123" s="207"/>
      <c r="H123" s="207"/>
      <c r="I123" s="207"/>
      <c r="J123" s="207"/>
      <c r="K123" s="207"/>
      <c r="L123" s="207"/>
      <c r="M123" s="207"/>
      <c r="N123" s="207"/>
      <c r="O123" s="207"/>
      <c r="P123" s="207"/>
      <c r="Q123" s="207"/>
      <c r="R123" s="207"/>
      <c r="S123" s="207"/>
      <c r="T123" s="207"/>
      <c r="U123" s="207"/>
      <c r="V123" s="207"/>
      <c r="W123" s="207"/>
      <c r="X123" s="207"/>
      <c r="Y123" s="207"/>
      <c r="Z123" s="207"/>
      <c r="AA123" s="207"/>
      <c r="AB123" s="207"/>
      <c r="AC123" s="207"/>
      <c r="AD123" s="207"/>
      <c r="AE123" s="207"/>
      <c r="AF123" s="207"/>
      <c r="AG123" s="207"/>
      <c r="AH123" s="207"/>
      <c r="AI123" s="207"/>
      <c r="AJ123" s="207"/>
      <c r="AK123" s="207"/>
      <c r="AL123" s="207"/>
    </row>
    <row r="124">
      <c r="A124" s="207"/>
      <c r="B124" s="233"/>
      <c r="C124" s="207"/>
      <c r="D124" s="234"/>
      <c r="E124" s="207"/>
      <c r="F124" s="207"/>
      <c r="G124" s="207"/>
      <c r="H124" s="207"/>
      <c r="I124" s="207"/>
      <c r="J124" s="207"/>
      <c r="K124" s="207"/>
      <c r="L124" s="207"/>
      <c r="M124" s="207"/>
      <c r="N124" s="207"/>
      <c r="O124" s="207"/>
      <c r="P124" s="207"/>
      <c r="Q124" s="207"/>
      <c r="R124" s="207"/>
      <c r="S124" s="207"/>
      <c r="T124" s="207"/>
      <c r="U124" s="207"/>
      <c r="V124" s="207"/>
      <c r="W124" s="207"/>
      <c r="X124" s="207"/>
      <c r="Y124" s="207"/>
      <c r="Z124" s="207"/>
      <c r="AA124" s="207"/>
      <c r="AB124" s="207"/>
      <c r="AC124" s="207"/>
      <c r="AD124" s="207"/>
      <c r="AE124" s="207"/>
      <c r="AF124" s="207"/>
      <c r="AG124" s="207"/>
      <c r="AH124" s="207"/>
      <c r="AI124" s="207"/>
      <c r="AJ124" s="207"/>
      <c r="AK124" s="207"/>
      <c r="AL124" s="207"/>
    </row>
    <row r="125">
      <c r="A125" s="207"/>
      <c r="B125" s="233"/>
      <c r="C125" s="207"/>
      <c r="D125" s="234"/>
      <c r="E125" s="207"/>
      <c r="F125" s="207"/>
      <c r="G125" s="207"/>
      <c r="H125" s="207"/>
      <c r="I125" s="207"/>
      <c r="J125" s="207"/>
      <c r="K125" s="207"/>
      <c r="L125" s="207"/>
      <c r="M125" s="207"/>
      <c r="N125" s="207"/>
      <c r="O125" s="207"/>
      <c r="P125" s="207"/>
      <c r="Q125" s="207"/>
      <c r="R125" s="207"/>
      <c r="S125" s="207"/>
      <c r="T125" s="207"/>
      <c r="U125" s="207"/>
      <c r="V125" s="207"/>
      <c r="W125" s="207"/>
      <c r="X125" s="207"/>
      <c r="Y125" s="207"/>
      <c r="Z125" s="207"/>
      <c r="AA125" s="207"/>
      <c r="AB125" s="207"/>
      <c r="AC125" s="207"/>
      <c r="AD125" s="207"/>
      <c r="AE125" s="207"/>
      <c r="AF125" s="207"/>
      <c r="AG125" s="207"/>
      <c r="AH125" s="207"/>
      <c r="AI125" s="207"/>
      <c r="AJ125" s="207"/>
      <c r="AK125" s="207"/>
      <c r="AL125" s="207"/>
    </row>
    <row r="126">
      <c r="A126" s="207"/>
      <c r="B126" s="233"/>
      <c r="C126" s="207"/>
      <c r="D126" s="234"/>
      <c r="E126" s="207"/>
      <c r="F126" s="207"/>
      <c r="G126" s="207"/>
      <c r="H126" s="207"/>
      <c r="I126" s="207"/>
      <c r="J126" s="207"/>
      <c r="K126" s="207"/>
      <c r="L126" s="207"/>
      <c r="M126" s="207"/>
      <c r="N126" s="207"/>
      <c r="O126" s="207"/>
      <c r="P126" s="207"/>
      <c r="Q126" s="207"/>
      <c r="R126" s="207"/>
      <c r="S126" s="207"/>
      <c r="T126" s="207"/>
      <c r="U126" s="207"/>
      <c r="V126" s="207"/>
      <c r="W126" s="207"/>
      <c r="X126" s="207"/>
      <c r="Y126" s="207"/>
      <c r="Z126" s="207"/>
      <c r="AA126" s="207"/>
      <c r="AB126" s="207"/>
      <c r="AC126" s="207"/>
      <c r="AD126" s="207"/>
      <c r="AE126" s="207"/>
      <c r="AF126" s="207"/>
      <c r="AG126" s="207"/>
      <c r="AH126" s="207"/>
      <c r="AI126" s="207"/>
      <c r="AJ126" s="207"/>
      <c r="AK126" s="207"/>
      <c r="AL126" s="207"/>
    </row>
    <row r="127">
      <c r="A127" s="207"/>
      <c r="B127" s="233"/>
      <c r="C127" s="207"/>
      <c r="D127" s="234"/>
      <c r="E127" s="207"/>
      <c r="F127" s="207"/>
      <c r="G127" s="207"/>
      <c r="H127" s="207"/>
      <c r="I127" s="207"/>
      <c r="J127" s="207"/>
      <c r="K127" s="207"/>
      <c r="L127" s="207"/>
      <c r="M127" s="207"/>
      <c r="N127" s="207"/>
      <c r="O127" s="207"/>
      <c r="P127" s="207"/>
      <c r="Q127" s="207"/>
      <c r="R127" s="207"/>
      <c r="S127" s="207"/>
      <c r="T127" s="207"/>
      <c r="U127" s="207"/>
      <c r="V127" s="207"/>
      <c r="W127" s="207"/>
      <c r="X127" s="207"/>
      <c r="Y127" s="207"/>
      <c r="Z127" s="207"/>
      <c r="AA127" s="207"/>
      <c r="AB127" s="207"/>
      <c r="AC127" s="207"/>
      <c r="AD127" s="207"/>
      <c r="AE127" s="207"/>
      <c r="AF127" s="207"/>
      <c r="AG127" s="207"/>
      <c r="AH127" s="207"/>
      <c r="AI127" s="207"/>
      <c r="AJ127" s="207"/>
      <c r="AK127" s="207"/>
      <c r="AL127" s="207"/>
    </row>
    <row r="128">
      <c r="A128" s="207"/>
      <c r="B128" s="233"/>
      <c r="C128" s="207"/>
      <c r="D128" s="234"/>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207"/>
      <c r="AH128" s="207"/>
      <c r="AI128" s="207"/>
      <c r="AJ128" s="207"/>
      <c r="AK128" s="207"/>
      <c r="AL128" s="207"/>
    </row>
    <row r="129">
      <c r="A129" s="207"/>
      <c r="B129" s="233"/>
      <c r="C129" s="207"/>
      <c r="D129" s="234"/>
      <c r="E129" s="207"/>
      <c r="F129" s="207"/>
      <c r="G129" s="207"/>
      <c r="H129" s="207"/>
      <c r="I129" s="207"/>
      <c r="J129" s="207"/>
      <c r="K129" s="207"/>
      <c r="L129" s="207"/>
      <c r="M129" s="207"/>
      <c r="N129" s="207"/>
      <c r="O129" s="207"/>
      <c r="P129" s="207"/>
      <c r="Q129" s="207"/>
      <c r="R129" s="207"/>
      <c r="S129" s="207"/>
      <c r="T129" s="207"/>
      <c r="U129" s="207"/>
      <c r="V129" s="207"/>
      <c r="W129" s="207"/>
      <c r="X129" s="207"/>
      <c r="Y129" s="207"/>
      <c r="Z129" s="207"/>
      <c r="AA129" s="207"/>
      <c r="AB129" s="207"/>
      <c r="AC129" s="207"/>
      <c r="AD129" s="207"/>
      <c r="AE129" s="207"/>
      <c r="AF129" s="207"/>
      <c r="AG129" s="207"/>
      <c r="AH129" s="207"/>
      <c r="AI129" s="207"/>
      <c r="AJ129" s="207"/>
      <c r="AK129" s="207"/>
      <c r="AL129" s="207"/>
    </row>
    <row r="130">
      <c r="A130" s="207"/>
      <c r="B130" s="233"/>
      <c r="C130" s="207"/>
      <c r="D130" s="234"/>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c r="AJ130" s="207"/>
      <c r="AK130" s="207"/>
      <c r="AL130" s="207"/>
    </row>
    <row r="131">
      <c r="A131" s="207"/>
      <c r="B131" s="233"/>
      <c r="C131" s="207"/>
      <c r="D131" s="234"/>
      <c r="E131" s="207"/>
      <c r="F131" s="207"/>
      <c r="G131" s="207"/>
      <c r="H131" s="207"/>
      <c r="I131" s="207"/>
      <c r="J131" s="207"/>
      <c r="K131" s="207"/>
      <c r="L131" s="207"/>
      <c r="M131" s="207"/>
      <c r="N131" s="207"/>
      <c r="O131" s="207"/>
      <c r="P131" s="207"/>
      <c r="Q131" s="207"/>
      <c r="R131" s="207"/>
      <c r="S131" s="207"/>
      <c r="T131" s="207"/>
      <c r="U131" s="207"/>
      <c r="V131" s="207"/>
      <c r="W131" s="207"/>
      <c r="X131" s="207"/>
      <c r="Y131" s="207"/>
      <c r="Z131" s="207"/>
      <c r="AA131" s="207"/>
      <c r="AB131" s="207"/>
      <c r="AC131" s="207"/>
      <c r="AD131" s="207"/>
      <c r="AE131" s="207"/>
      <c r="AF131" s="207"/>
      <c r="AG131" s="207"/>
      <c r="AH131" s="207"/>
      <c r="AI131" s="207"/>
      <c r="AJ131" s="207"/>
      <c r="AK131" s="207"/>
      <c r="AL131" s="207"/>
    </row>
    <row r="132">
      <c r="A132" s="207"/>
      <c r="B132" s="233"/>
      <c r="C132" s="207"/>
      <c r="D132" s="234"/>
      <c r="E132" s="207"/>
      <c r="F132" s="207"/>
      <c r="G132" s="207"/>
      <c r="H132" s="207"/>
      <c r="I132" s="207"/>
      <c r="J132" s="207"/>
      <c r="K132" s="207"/>
      <c r="L132" s="207"/>
      <c r="M132" s="207"/>
      <c r="N132" s="207"/>
      <c r="O132" s="207"/>
      <c r="P132" s="207"/>
      <c r="Q132" s="207"/>
      <c r="R132" s="207"/>
      <c r="S132" s="207"/>
      <c r="T132" s="207"/>
      <c r="U132" s="207"/>
      <c r="V132" s="207"/>
      <c r="W132" s="207"/>
      <c r="X132" s="207"/>
      <c r="Y132" s="207"/>
      <c r="Z132" s="207"/>
      <c r="AA132" s="207"/>
      <c r="AB132" s="207"/>
      <c r="AC132" s="207"/>
      <c r="AD132" s="207"/>
      <c r="AE132" s="207"/>
      <c r="AF132" s="207"/>
      <c r="AG132" s="207"/>
      <c r="AH132" s="207"/>
      <c r="AI132" s="207"/>
      <c r="AJ132" s="207"/>
      <c r="AK132" s="207"/>
      <c r="AL132" s="207"/>
    </row>
    <row r="133">
      <c r="A133" s="207"/>
      <c r="B133" s="233"/>
      <c r="C133" s="207"/>
      <c r="D133" s="234"/>
      <c r="E133" s="207"/>
      <c r="F133" s="207"/>
      <c r="G133" s="207"/>
      <c r="H133" s="207"/>
      <c r="I133" s="207"/>
      <c r="J133" s="207"/>
      <c r="K133" s="207"/>
      <c r="L133" s="207"/>
      <c r="M133" s="207"/>
      <c r="N133" s="207"/>
      <c r="O133" s="207"/>
      <c r="P133" s="207"/>
      <c r="Q133" s="207"/>
      <c r="R133" s="207"/>
      <c r="S133" s="207"/>
      <c r="T133" s="207"/>
      <c r="U133" s="207"/>
      <c r="V133" s="207"/>
      <c r="W133" s="207"/>
      <c r="X133" s="207"/>
      <c r="Y133" s="207"/>
      <c r="Z133" s="207"/>
      <c r="AA133" s="207"/>
      <c r="AB133" s="207"/>
      <c r="AC133" s="207"/>
      <c r="AD133" s="207"/>
      <c r="AE133" s="207"/>
      <c r="AF133" s="207"/>
      <c r="AG133" s="207"/>
      <c r="AH133" s="207"/>
      <c r="AI133" s="207"/>
      <c r="AJ133" s="207"/>
      <c r="AK133" s="207"/>
      <c r="AL133" s="207"/>
    </row>
    <row r="134">
      <c r="A134" s="207"/>
      <c r="B134" s="233"/>
      <c r="C134" s="207"/>
      <c r="D134" s="234"/>
      <c r="E134" s="207"/>
      <c r="F134" s="207"/>
      <c r="G134" s="207"/>
      <c r="H134" s="207"/>
      <c r="I134" s="207"/>
      <c r="J134" s="207"/>
      <c r="K134" s="207"/>
      <c r="L134" s="207"/>
      <c r="M134" s="207"/>
      <c r="N134" s="207"/>
      <c r="O134" s="207"/>
      <c r="P134" s="207"/>
      <c r="Q134" s="207"/>
      <c r="R134" s="207"/>
      <c r="S134" s="207"/>
      <c r="T134" s="207"/>
      <c r="U134" s="207"/>
      <c r="V134" s="207"/>
      <c r="W134" s="207"/>
      <c r="X134" s="207"/>
      <c r="Y134" s="207"/>
      <c r="Z134" s="207"/>
      <c r="AA134" s="207"/>
      <c r="AB134" s="207"/>
      <c r="AC134" s="207"/>
      <c r="AD134" s="207"/>
      <c r="AE134" s="207"/>
      <c r="AF134" s="207"/>
      <c r="AG134" s="207"/>
      <c r="AH134" s="207"/>
      <c r="AI134" s="207"/>
      <c r="AJ134" s="207"/>
      <c r="AK134" s="207"/>
      <c r="AL134" s="207"/>
    </row>
    <row r="135">
      <c r="A135" s="207"/>
      <c r="B135" s="233"/>
      <c r="C135" s="207"/>
      <c r="D135" s="234"/>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207"/>
      <c r="AH135" s="207"/>
      <c r="AI135" s="207"/>
      <c r="AJ135" s="207"/>
      <c r="AK135" s="207"/>
      <c r="AL135" s="207"/>
    </row>
    <row r="136">
      <c r="A136" s="207"/>
      <c r="B136" s="233"/>
      <c r="C136" s="207"/>
      <c r="D136" s="234"/>
      <c r="E136" s="207"/>
      <c r="F136" s="207"/>
      <c r="G136" s="207"/>
      <c r="H136" s="207"/>
      <c r="I136" s="207"/>
      <c r="J136" s="207"/>
      <c r="K136" s="207"/>
      <c r="L136" s="207"/>
      <c r="M136" s="207"/>
      <c r="N136" s="207"/>
      <c r="O136" s="207"/>
      <c r="P136" s="207"/>
      <c r="Q136" s="207"/>
      <c r="R136" s="207"/>
      <c r="S136" s="207"/>
      <c r="T136" s="207"/>
      <c r="U136" s="207"/>
      <c r="V136" s="207"/>
      <c r="W136" s="207"/>
      <c r="X136" s="207"/>
      <c r="Y136" s="207"/>
      <c r="Z136" s="207"/>
      <c r="AA136" s="207"/>
      <c r="AB136" s="207"/>
      <c r="AC136" s="207"/>
      <c r="AD136" s="207"/>
      <c r="AE136" s="207"/>
      <c r="AF136" s="207"/>
      <c r="AG136" s="207"/>
      <c r="AH136" s="207"/>
      <c r="AI136" s="207"/>
      <c r="AJ136" s="207"/>
      <c r="AK136" s="207"/>
      <c r="AL136" s="207"/>
    </row>
    <row r="137">
      <c r="A137" s="207"/>
      <c r="B137" s="233"/>
      <c r="C137" s="207"/>
      <c r="D137" s="234"/>
      <c r="E137" s="207"/>
      <c r="F137" s="207"/>
      <c r="G137" s="207"/>
      <c r="H137" s="207"/>
      <c r="I137" s="207"/>
      <c r="J137" s="207"/>
      <c r="K137" s="207"/>
      <c r="L137" s="207"/>
      <c r="M137" s="207"/>
      <c r="N137" s="207"/>
      <c r="O137" s="207"/>
      <c r="P137" s="207"/>
      <c r="Q137" s="207"/>
      <c r="R137" s="207"/>
      <c r="S137" s="207"/>
      <c r="T137" s="207"/>
      <c r="U137" s="207"/>
      <c r="V137" s="207"/>
      <c r="W137" s="207"/>
      <c r="X137" s="207"/>
      <c r="Y137" s="207"/>
      <c r="Z137" s="207"/>
      <c r="AA137" s="207"/>
      <c r="AB137" s="207"/>
      <c r="AC137" s="207"/>
      <c r="AD137" s="207"/>
      <c r="AE137" s="207"/>
      <c r="AF137" s="207"/>
      <c r="AG137" s="207"/>
      <c r="AH137" s="207"/>
      <c r="AI137" s="207"/>
      <c r="AJ137" s="207"/>
      <c r="AK137" s="207"/>
      <c r="AL137" s="207"/>
    </row>
    <row r="138">
      <c r="A138" s="207"/>
      <c r="B138" s="233"/>
      <c r="C138" s="207"/>
      <c r="D138" s="234"/>
      <c r="E138" s="207"/>
      <c r="F138" s="207"/>
      <c r="G138" s="207"/>
      <c r="H138" s="207"/>
      <c r="I138" s="207"/>
      <c r="J138" s="207"/>
      <c r="K138" s="207"/>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207"/>
      <c r="AH138" s="207"/>
      <c r="AI138" s="207"/>
      <c r="AJ138" s="207"/>
      <c r="AK138" s="207"/>
      <c r="AL138" s="207"/>
    </row>
    <row r="139">
      <c r="A139" s="207"/>
      <c r="B139" s="233"/>
      <c r="C139" s="207"/>
      <c r="D139" s="234"/>
      <c r="E139" s="207"/>
      <c r="F139" s="207"/>
      <c r="G139" s="207"/>
      <c r="H139" s="207"/>
      <c r="I139" s="207"/>
      <c r="J139" s="207"/>
      <c r="K139" s="207"/>
      <c r="L139" s="207"/>
      <c r="M139" s="207"/>
      <c r="N139" s="207"/>
      <c r="O139" s="207"/>
      <c r="P139" s="207"/>
      <c r="Q139" s="207"/>
      <c r="R139" s="207"/>
      <c r="S139" s="207"/>
      <c r="T139" s="207"/>
      <c r="U139" s="207"/>
      <c r="V139" s="207"/>
      <c r="W139" s="207"/>
      <c r="X139" s="207"/>
      <c r="Y139" s="207"/>
      <c r="Z139" s="207"/>
      <c r="AA139" s="207"/>
      <c r="AB139" s="207"/>
      <c r="AC139" s="207"/>
      <c r="AD139" s="207"/>
      <c r="AE139" s="207"/>
      <c r="AF139" s="207"/>
      <c r="AG139" s="207"/>
      <c r="AH139" s="207"/>
      <c r="AI139" s="207"/>
      <c r="AJ139" s="207"/>
      <c r="AK139" s="207"/>
      <c r="AL139" s="207"/>
    </row>
    <row r="140">
      <c r="A140" s="207"/>
      <c r="B140" s="233"/>
      <c r="C140" s="207"/>
      <c r="D140" s="234"/>
      <c r="E140" s="207"/>
      <c r="F140" s="207"/>
      <c r="G140" s="207"/>
      <c r="H140" s="207"/>
      <c r="I140" s="207"/>
      <c r="J140" s="207"/>
      <c r="K140" s="207"/>
      <c r="L140" s="207"/>
      <c r="M140" s="207"/>
      <c r="N140" s="207"/>
      <c r="O140" s="207"/>
      <c r="P140" s="207"/>
      <c r="Q140" s="207"/>
      <c r="R140" s="207"/>
      <c r="S140" s="207"/>
      <c r="T140" s="207"/>
      <c r="U140" s="207"/>
      <c r="V140" s="207"/>
      <c r="W140" s="207"/>
      <c r="X140" s="207"/>
      <c r="Y140" s="207"/>
      <c r="Z140" s="207"/>
      <c r="AA140" s="207"/>
      <c r="AB140" s="207"/>
      <c r="AC140" s="207"/>
      <c r="AD140" s="207"/>
      <c r="AE140" s="207"/>
      <c r="AF140" s="207"/>
      <c r="AG140" s="207"/>
      <c r="AH140" s="207"/>
      <c r="AI140" s="207"/>
      <c r="AJ140" s="207"/>
      <c r="AK140" s="207"/>
      <c r="AL140" s="207"/>
    </row>
    <row r="141">
      <c r="A141" s="207"/>
      <c r="B141" s="233"/>
      <c r="C141" s="207"/>
      <c r="D141" s="234"/>
      <c r="E141" s="207"/>
      <c r="F141" s="207"/>
      <c r="G141" s="207"/>
      <c r="H141" s="207"/>
      <c r="I141" s="207"/>
      <c r="J141" s="207"/>
      <c r="K141" s="207"/>
      <c r="L141" s="207"/>
      <c r="M141" s="207"/>
      <c r="N141" s="207"/>
      <c r="O141" s="207"/>
      <c r="P141" s="207"/>
      <c r="Q141" s="207"/>
      <c r="R141" s="207"/>
      <c r="S141" s="207"/>
      <c r="T141" s="207"/>
      <c r="U141" s="207"/>
      <c r="V141" s="207"/>
      <c r="W141" s="207"/>
      <c r="X141" s="207"/>
      <c r="Y141" s="207"/>
      <c r="Z141" s="207"/>
      <c r="AA141" s="207"/>
      <c r="AB141" s="207"/>
      <c r="AC141" s="207"/>
      <c r="AD141" s="207"/>
      <c r="AE141" s="207"/>
      <c r="AF141" s="207"/>
      <c r="AG141" s="207"/>
      <c r="AH141" s="207"/>
      <c r="AI141" s="207"/>
      <c r="AJ141" s="207"/>
      <c r="AK141" s="207"/>
      <c r="AL141" s="207"/>
    </row>
    <row r="142">
      <c r="A142" s="207"/>
      <c r="B142" s="233"/>
      <c r="C142" s="207"/>
      <c r="D142" s="234"/>
      <c r="E142" s="207"/>
      <c r="F142" s="207"/>
      <c r="G142" s="207"/>
      <c r="H142" s="207"/>
      <c r="I142" s="207"/>
      <c r="J142" s="207"/>
      <c r="K142" s="207"/>
      <c r="L142" s="207"/>
      <c r="M142" s="207"/>
      <c r="N142" s="207"/>
      <c r="O142" s="207"/>
      <c r="P142" s="207"/>
      <c r="Q142" s="207"/>
      <c r="R142" s="207"/>
      <c r="S142" s="207"/>
      <c r="T142" s="207"/>
      <c r="U142" s="207"/>
      <c r="V142" s="207"/>
      <c r="W142" s="207"/>
      <c r="X142" s="207"/>
      <c r="Y142" s="207"/>
      <c r="Z142" s="207"/>
      <c r="AA142" s="207"/>
      <c r="AB142" s="207"/>
      <c r="AC142" s="207"/>
      <c r="AD142" s="207"/>
      <c r="AE142" s="207"/>
      <c r="AF142" s="207"/>
      <c r="AG142" s="207"/>
      <c r="AH142" s="207"/>
      <c r="AI142" s="207"/>
      <c r="AJ142" s="207"/>
      <c r="AK142" s="207"/>
      <c r="AL142" s="207"/>
    </row>
    <row r="143">
      <c r="A143" s="207"/>
      <c r="B143" s="233"/>
      <c r="C143" s="207"/>
      <c r="D143" s="234"/>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207"/>
      <c r="AH143" s="207"/>
      <c r="AI143" s="207"/>
      <c r="AJ143" s="207"/>
      <c r="AK143" s="207"/>
      <c r="AL143" s="207"/>
    </row>
    <row r="144">
      <c r="A144" s="207"/>
      <c r="B144" s="233"/>
      <c r="C144" s="207"/>
      <c r="D144" s="234"/>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207"/>
      <c r="AH144" s="207"/>
      <c r="AI144" s="207"/>
      <c r="AJ144" s="207"/>
      <c r="AK144" s="207"/>
      <c r="AL144" s="207"/>
    </row>
    <row r="145">
      <c r="A145" s="207"/>
      <c r="B145" s="233"/>
      <c r="C145" s="207"/>
      <c r="D145" s="234"/>
      <c r="E145" s="207"/>
      <c r="F145" s="207"/>
      <c r="G145" s="207"/>
      <c r="H145" s="207"/>
      <c r="I145" s="207"/>
      <c r="J145" s="207"/>
      <c r="K145" s="207"/>
      <c r="L145" s="207"/>
      <c r="M145" s="207"/>
      <c r="N145" s="207"/>
      <c r="O145" s="207"/>
      <c r="P145" s="207"/>
      <c r="Q145" s="207"/>
      <c r="R145" s="207"/>
      <c r="S145" s="207"/>
      <c r="T145" s="207"/>
      <c r="U145" s="207"/>
      <c r="V145" s="207"/>
      <c r="W145" s="207"/>
      <c r="X145" s="207"/>
      <c r="Y145" s="207"/>
      <c r="Z145" s="207"/>
      <c r="AA145" s="207"/>
      <c r="AB145" s="207"/>
      <c r="AC145" s="207"/>
      <c r="AD145" s="207"/>
      <c r="AE145" s="207"/>
      <c r="AF145" s="207"/>
      <c r="AG145" s="207"/>
      <c r="AH145" s="207"/>
      <c r="AI145" s="207"/>
      <c r="AJ145" s="207"/>
      <c r="AK145" s="207"/>
      <c r="AL145" s="207"/>
    </row>
    <row r="146">
      <c r="A146" s="207"/>
      <c r="B146" s="233"/>
      <c r="C146" s="207"/>
      <c r="D146" s="234"/>
      <c r="E146" s="207"/>
      <c r="F146" s="207"/>
      <c r="G146" s="207"/>
      <c r="H146" s="207"/>
      <c r="I146" s="207"/>
      <c r="J146" s="207"/>
      <c r="K146" s="207"/>
      <c r="L146" s="207"/>
      <c r="M146" s="207"/>
      <c r="N146" s="207"/>
      <c r="O146" s="207"/>
      <c r="P146" s="207"/>
      <c r="Q146" s="207"/>
      <c r="R146" s="207"/>
      <c r="S146" s="207"/>
      <c r="T146" s="207"/>
      <c r="U146" s="207"/>
      <c r="V146" s="207"/>
      <c r="W146" s="207"/>
      <c r="X146" s="207"/>
      <c r="Y146" s="207"/>
      <c r="Z146" s="207"/>
      <c r="AA146" s="207"/>
      <c r="AB146" s="207"/>
      <c r="AC146" s="207"/>
      <c r="AD146" s="207"/>
      <c r="AE146" s="207"/>
      <c r="AF146" s="207"/>
      <c r="AG146" s="207"/>
      <c r="AH146" s="207"/>
      <c r="AI146" s="207"/>
      <c r="AJ146" s="207"/>
      <c r="AK146" s="207"/>
      <c r="AL146" s="207"/>
    </row>
    <row r="147">
      <c r="A147" s="207"/>
      <c r="B147" s="233"/>
      <c r="C147" s="207"/>
      <c r="D147" s="234"/>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c r="AJ147" s="207"/>
      <c r="AK147" s="207"/>
      <c r="AL147" s="207"/>
    </row>
    <row r="148">
      <c r="A148" s="207"/>
      <c r="B148" s="233"/>
      <c r="C148" s="207"/>
      <c r="D148" s="234"/>
      <c r="E148" s="207"/>
      <c r="F148" s="207"/>
      <c r="G148" s="207"/>
      <c r="H148" s="207"/>
      <c r="I148" s="207"/>
      <c r="J148" s="207"/>
      <c r="K148" s="207"/>
      <c r="L148" s="207"/>
      <c r="M148" s="207"/>
      <c r="N148" s="207"/>
      <c r="O148" s="207"/>
      <c r="P148" s="207"/>
      <c r="Q148" s="207"/>
      <c r="R148" s="207"/>
      <c r="S148" s="207"/>
      <c r="T148" s="207"/>
      <c r="U148" s="207"/>
      <c r="V148" s="207"/>
      <c r="W148" s="207"/>
      <c r="X148" s="207"/>
      <c r="Y148" s="207"/>
      <c r="Z148" s="207"/>
      <c r="AA148" s="207"/>
      <c r="AB148" s="207"/>
      <c r="AC148" s="207"/>
      <c r="AD148" s="207"/>
      <c r="AE148" s="207"/>
      <c r="AF148" s="207"/>
      <c r="AG148" s="207"/>
      <c r="AH148" s="207"/>
      <c r="AI148" s="207"/>
      <c r="AJ148" s="207"/>
      <c r="AK148" s="207"/>
      <c r="AL148" s="207"/>
    </row>
    <row r="149">
      <c r="A149" s="207"/>
      <c r="B149" s="233"/>
      <c r="C149" s="207"/>
      <c r="D149" s="234"/>
      <c r="E149" s="207"/>
      <c r="F149" s="207"/>
      <c r="G149" s="207"/>
      <c r="H149" s="207"/>
      <c r="I149" s="207"/>
      <c r="J149" s="207"/>
      <c r="K149" s="207"/>
      <c r="L149" s="207"/>
      <c r="M149" s="207"/>
      <c r="N149" s="207"/>
      <c r="O149" s="207"/>
      <c r="P149" s="207"/>
      <c r="Q149" s="207"/>
      <c r="R149" s="207"/>
      <c r="S149" s="207"/>
      <c r="T149" s="207"/>
      <c r="U149" s="207"/>
      <c r="V149" s="207"/>
      <c r="W149" s="207"/>
      <c r="X149" s="207"/>
      <c r="Y149" s="207"/>
      <c r="Z149" s="207"/>
      <c r="AA149" s="207"/>
      <c r="AB149" s="207"/>
      <c r="AC149" s="207"/>
      <c r="AD149" s="207"/>
      <c r="AE149" s="207"/>
      <c r="AF149" s="207"/>
      <c r="AG149" s="207"/>
      <c r="AH149" s="207"/>
      <c r="AI149" s="207"/>
      <c r="AJ149" s="207"/>
      <c r="AK149" s="207"/>
      <c r="AL149" s="207"/>
    </row>
    <row r="150">
      <c r="A150" s="207"/>
      <c r="B150" s="233"/>
      <c r="C150" s="207"/>
      <c r="D150" s="234"/>
      <c r="E150" s="207"/>
      <c r="F150" s="207"/>
      <c r="G150" s="207"/>
      <c r="H150" s="207"/>
      <c r="I150" s="207"/>
      <c r="J150" s="207"/>
      <c r="K150" s="207"/>
      <c r="L150" s="207"/>
      <c r="M150" s="207"/>
      <c r="N150" s="207"/>
      <c r="O150" s="207"/>
      <c r="P150" s="207"/>
      <c r="Q150" s="207"/>
      <c r="R150" s="207"/>
      <c r="S150" s="207"/>
      <c r="T150" s="207"/>
      <c r="U150" s="207"/>
      <c r="V150" s="207"/>
      <c r="W150" s="207"/>
      <c r="X150" s="207"/>
      <c r="Y150" s="207"/>
      <c r="Z150" s="207"/>
      <c r="AA150" s="207"/>
      <c r="AB150" s="207"/>
      <c r="AC150" s="207"/>
      <c r="AD150" s="207"/>
      <c r="AE150" s="207"/>
      <c r="AF150" s="207"/>
      <c r="AG150" s="207"/>
      <c r="AH150" s="207"/>
      <c r="AI150" s="207"/>
      <c r="AJ150" s="207"/>
      <c r="AK150" s="207"/>
      <c r="AL150" s="207"/>
    </row>
    <row r="151">
      <c r="A151" s="207"/>
      <c r="B151" s="233"/>
      <c r="C151" s="207"/>
      <c r="D151" s="234"/>
      <c r="E151" s="207"/>
      <c r="F151" s="207"/>
      <c r="G151" s="207"/>
      <c r="H151" s="207"/>
      <c r="I151" s="207"/>
      <c r="J151" s="207"/>
      <c r="K151" s="207"/>
      <c r="L151" s="207"/>
      <c r="M151" s="207"/>
      <c r="N151" s="207"/>
      <c r="O151" s="207"/>
      <c r="P151" s="207"/>
      <c r="Q151" s="207"/>
      <c r="R151" s="207"/>
      <c r="S151" s="207"/>
      <c r="T151" s="207"/>
      <c r="U151" s="207"/>
      <c r="V151" s="207"/>
      <c r="W151" s="207"/>
      <c r="X151" s="207"/>
      <c r="Y151" s="207"/>
      <c r="Z151" s="207"/>
      <c r="AA151" s="207"/>
      <c r="AB151" s="207"/>
      <c r="AC151" s="207"/>
      <c r="AD151" s="207"/>
      <c r="AE151" s="207"/>
      <c r="AF151" s="207"/>
      <c r="AG151" s="207"/>
      <c r="AH151" s="207"/>
      <c r="AI151" s="207"/>
      <c r="AJ151" s="207"/>
      <c r="AK151" s="207"/>
      <c r="AL151" s="207"/>
    </row>
    <row r="152">
      <c r="A152" s="207"/>
      <c r="B152" s="233"/>
      <c r="C152" s="207"/>
      <c r="D152" s="234"/>
      <c r="E152" s="207"/>
      <c r="F152" s="207"/>
      <c r="G152" s="207"/>
      <c r="H152" s="207"/>
      <c r="I152" s="207"/>
      <c r="J152" s="207"/>
      <c r="K152" s="207"/>
      <c r="L152" s="207"/>
      <c r="M152" s="207"/>
      <c r="N152" s="207"/>
      <c r="O152" s="207"/>
      <c r="P152" s="207"/>
      <c r="Q152" s="207"/>
      <c r="R152" s="207"/>
      <c r="S152" s="207"/>
      <c r="T152" s="207"/>
      <c r="U152" s="207"/>
      <c r="V152" s="207"/>
      <c r="W152" s="207"/>
      <c r="X152" s="207"/>
      <c r="Y152" s="207"/>
      <c r="Z152" s="207"/>
      <c r="AA152" s="207"/>
      <c r="AB152" s="207"/>
      <c r="AC152" s="207"/>
      <c r="AD152" s="207"/>
      <c r="AE152" s="207"/>
      <c r="AF152" s="207"/>
      <c r="AG152" s="207"/>
      <c r="AH152" s="207"/>
      <c r="AI152" s="207"/>
      <c r="AJ152" s="207"/>
      <c r="AK152" s="207"/>
      <c r="AL152" s="207"/>
    </row>
    <row r="153">
      <c r="A153" s="207"/>
      <c r="B153" s="233"/>
      <c r="C153" s="207"/>
      <c r="D153" s="234"/>
      <c r="E153" s="207"/>
      <c r="F153" s="207"/>
      <c r="G153" s="207"/>
      <c r="H153" s="207"/>
      <c r="I153" s="207"/>
      <c r="J153" s="207"/>
      <c r="K153" s="207"/>
      <c r="L153" s="207"/>
      <c r="M153" s="207"/>
      <c r="N153" s="207"/>
      <c r="O153" s="207"/>
      <c r="P153" s="207"/>
      <c r="Q153" s="207"/>
      <c r="R153" s="207"/>
      <c r="S153" s="207"/>
      <c r="T153" s="207"/>
      <c r="U153" s="207"/>
      <c r="V153" s="207"/>
      <c r="W153" s="207"/>
      <c r="X153" s="207"/>
      <c r="Y153" s="207"/>
      <c r="Z153" s="207"/>
      <c r="AA153" s="207"/>
      <c r="AB153" s="207"/>
      <c r="AC153" s="207"/>
      <c r="AD153" s="207"/>
      <c r="AE153" s="207"/>
      <c r="AF153" s="207"/>
      <c r="AG153" s="207"/>
      <c r="AH153" s="207"/>
      <c r="AI153" s="207"/>
      <c r="AJ153" s="207"/>
      <c r="AK153" s="207"/>
      <c r="AL153" s="207"/>
    </row>
    <row r="154">
      <c r="A154" s="207"/>
      <c r="B154" s="233"/>
      <c r="C154" s="207"/>
      <c r="D154" s="234"/>
      <c r="E154" s="207"/>
      <c r="F154" s="207"/>
      <c r="G154" s="207"/>
      <c r="H154" s="207"/>
      <c r="I154" s="207"/>
      <c r="J154" s="207"/>
      <c r="K154" s="207"/>
      <c r="L154" s="207"/>
      <c r="M154" s="207"/>
      <c r="N154" s="207"/>
      <c r="O154" s="207"/>
      <c r="P154" s="207"/>
      <c r="Q154" s="207"/>
      <c r="R154" s="207"/>
      <c r="S154" s="207"/>
      <c r="T154" s="207"/>
      <c r="U154" s="207"/>
      <c r="V154" s="207"/>
      <c r="W154" s="207"/>
      <c r="X154" s="207"/>
      <c r="Y154" s="207"/>
      <c r="Z154" s="207"/>
      <c r="AA154" s="207"/>
      <c r="AB154" s="207"/>
      <c r="AC154" s="207"/>
      <c r="AD154" s="207"/>
      <c r="AE154" s="207"/>
      <c r="AF154" s="207"/>
      <c r="AG154" s="207"/>
      <c r="AH154" s="207"/>
      <c r="AI154" s="207"/>
      <c r="AJ154" s="207"/>
      <c r="AK154" s="207"/>
      <c r="AL154" s="207"/>
    </row>
    <row r="155">
      <c r="A155" s="207"/>
      <c r="B155" s="233"/>
      <c r="C155" s="207"/>
      <c r="D155" s="234"/>
      <c r="E155" s="207"/>
      <c r="F155" s="207"/>
      <c r="G155" s="207"/>
      <c r="H155" s="207"/>
      <c r="I155" s="207"/>
      <c r="J155" s="207"/>
      <c r="K155" s="207"/>
      <c r="L155" s="207"/>
      <c r="M155" s="207"/>
      <c r="N155" s="207"/>
      <c r="O155" s="207"/>
      <c r="P155" s="207"/>
      <c r="Q155" s="207"/>
      <c r="R155" s="207"/>
      <c r="S155" s="207"/>
      <c r="T155" s="207"/>
      <c r="U155" s="207"/>
      <c r="V155" s="207"/>
      <c r="W155" s="207"/>
      <c r="X155" s="207"/>
      <c r="Y155" s="207"/>
      <c r="Z155" s="207"/>
      <c r="AA155" s="207"/>
      <c r="AB155" s="207"/>
      <c r="AC155" s="207"/>
      <c r="AD155" s="207"/>
      <c r="AE155" s="207"/>
      <c r="AF155" s="207"/>
      <c r="AG155" s="207"/>
      <c r="AH155" s="207"/>
      <c r="AI155" s="207"/>
      <c r="AJ155" s="207"/>
      <c r="AK155" s="207"/>
      <c r="AL155" s="207"/>
    </row>
    <row r="156">
      <c r="A156" s="207"/>
      <c r="B156" s="233"/>
      <c r="C156" s="207"/>
      <c r="D156" s="234"/>
      <c r="E156" s="207"/>
      <c r="F156" s="207"/>
      <c r="G156" s="207"/>
      <c r="H156" s="207"/>
      <c r="I156" s="207"/>
      <c r="J156" s="207"/>
      <c r="K156" s="207"/>
      <c r="L156" s="207"/>
      <c r="M156" s="207"/>
      <c r="N156" s="207"/>
      <c r="O156" s="207"/>
      <c r="P156" s="207"/>
      <c r="Q156" s="207"/>
      <c r="R156" s="207"/>
      <c r="S156" s="207"/>
      <c r="T156" s="207"/>
      <c r="U156" s="207"/>
      <c r="V156" s="207"/>
      <c r="W156" s="207"/>
      <c r="X156" s="207"/>
      <c r="Y156" s="207"/>
      <c r="Z156" s="207"/>
      <c r="AA156" s="207"/>
      <c r="AB156" s="207"/>
      <c r="AC156" s="207"/>
      <c r="AD156" s="207"/>
      <c r="AE156" s="207"/>
      <c r="AF156" s="207"/>
      <c r="AG156" s="207"/>
      <c r="AH156" s="207"/>
      <c r="AI156" s="207"/>
      <c r="AJ156" s="207"/>
      <c r="AK156" s="207"/>
      <c r="AL156" s="207"/>
    </row>
    <row r="157">
      <c r="A157" s="207"/>
      <c r="B157" s="233"/>
      <c r="C157" s="207"/>
      <c r="D157" s="234"/>
      <c r="E157" s="207"/>
      <c r="F157" s="207"/>
      <c r="G157" s="207"/>
      <c r="H157" s="207"/>
      <c r="I157" s="207"/>
      <c r="J157" s="207"/>
      <c r="K157" s="207"/>
      <c r="L157" s="207"/>
      <c r="M157" s="207"/>
      <c r="N157" s="207"/>
      <c r="O157" s="207"/>
      <c r="P157" s="207"/>
      <c r="Q157" s="207"/>
      <c r="R157" s="207"/>
      <c r="S157" s="207"/>
      <c r="T157" s="207"/>
      <c r="U157" s="207"/>
      <c r="V157" s="207"/>
      <c r="W157" s="207"/>
      <c r="X157" s="207"/>
      <c r="Y157" s="207"/>
      <c r="Z157" s="207"/>
      <c r="AA157" s="207"/>
      <c r="AB157" s="207"/>
      <c r="AC157" s="207"/>
      <c r="AD157" s="207"/>
      <c r="AE157" s="207"/>
      <c r="AF157" s="207"/>
      <c r="AG157" s="207"/>
      <c r="AH157" s="207"/>
      <c r="AI157" s="207"/>
      <c r="AJ157" s="207"/>
      <c r="AK157" s="207"/>
      <c r="AL157" s="207"/>
    </row>
    <row r="158">
      <c r="A158" s="207"/>
      <c r="B158" s="233"/>
      <c r="C158" s="207"/>
      <c r="D158" s="234"/>
      <c r="E158" s="207"/>
      <c r="F158" s="207"/>
      <c r="G158" s="207"/>
      <c r="H158" s="207"/>
      <c r="I158" s="207"/>
      <c r="J158" s="207"/>
      <c r="K158" s="207"/>
      <c r="L158" s="207"/>
      <c r="M158" s="207"/>
      <c r="N158" s="207"/>
      <c r="O158" s="207"/>
      <c r="P158" s="207"/>
      <c r="Q158" s="207"/>
      <c r="R158" s="207"/>
      <c r="S158" s="207"/>
      <c r="T158" s="207"/>
      <c r="U158" s="207"/>
      <c r="V158" s="207"/>
      <c r="W158" s="207"/>
      <c r="X158" s="207"/>
      <c r="Y158" s="207"/>
      <c r="Z158" s="207"/>
      <c r="AA158" s="207"/>
      <c r="AB158" s="207"/>
      <c r="AC158" s="207"/>
      <c r="AD158" s="207"/>
      <c r="AE158" s="207"/>
      <c r="AF158" s="207"/>
      <c r="AG158" s="207"/>
      <c r="AH158" s="207"/>
      <c r="AI158" s="207"/>
      <c r="AJ158" s="207"/>
      <c r="AK158" s="207"/>
      <c r="AL158" s="207"/>
    </row>
    <row r="159">
      <c r="A159" s="207"/>
      <c r="B159" s="233"/>
      <c r="C159" s="207"/>
      <c r="D159" s="234"/>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07"/>
      <c r="AH159" s="207"/>
      <c r="AI159" s="207"/>
      <c r="AJ159" s="207"/>
      <c r="AK159" s="207"/>
      <c r="AL159" s="207"/>
    </row>
    <row r="160">
      <c r="A160" s="207"/>
      <c r="B160" s="233"/>
      <c r="C160" s="207"/>
      <c r="D160" s="234"/>
      <c r="E160" s="207"/>
      <c r="F160" s="207"/>
      <c r="G160" s="207"/>
      <c r="H160" s="207"/>
      <c r="I160" s="207"/>
      <c r="J160" s="207"/>
      <c r="K160" s="207"/>
      <c r="L160" s="207"/>
      <c r="M160" s="207"/>
      <c r="N160" s="207"/>
      <c r="O160" s="207"/>
      <c r="P160" s="207"/>
      <c r="Q160" s="207"/>
      <c r="R160" s="207"/>
      <c r="S160" s="207"/>
      <c r="T160" s="207"/>
      <c r="U160" s="207"/>
      <c r="V160" s="207"/>
      <c r="W160" s="207"/>
      <c r="X160" s="207"/>
      <c r="Y160" s="207"/>
      <c r="Z160" s="207"/>
      <c r="AA160" s="207"/>
      <c r="AB160" s="207"/>
      <c r="AC160" s="207"/>
      <c r="AD160" s="207"/>
      <c r="AE160" s="207"/>
      <c r="AF160" s="207"/>
      <c r="AG160" s="207"/>
      <c r="AH160" s="207"/>
      <c r="AI160" s="207"/>
      <c r="AJ160" s="207"/>
      <c r="AK160" s="207"/>
      <c r="AL160" s="207"/>
    </row>
    <row r="161">
      <c r="A161" s="207"/>
      <c r="B161" s="233"/>
      <c r="C161" s="207"/>
      <c r="D161" s="234"/>
      <c r="E161" s="207"/>
      <c r="F161" s="207"/>
      <c r="G161" s="207"/>
      <c r="H161" s="207"/>
      <c r="I161" s="207"/>
      <c r="J161" s="207"/>
      <c r="K161" s="207"/>
      <c r="L161" s="207"/>
      <c r="M161" s="207"/>
      <c r="N161" s="207"/>
      <c r="O161" s="207"/>
      <c r="P161" s="207"/>
      <c r="Q161" s="207"/>
      <c r="R161" s="207"/>
      <c r="S161" s="207"/>
      <c r="T161" s="207"/>
      <c r="U161" s="207"/>
      <c r="V161" s="207"/>
      <c r="W161" s="207"/>
      <c r="X161" s="207"/>
      <c r="Y161" s="207"/>
      <c r="Z161" s="207"/>
      <c r="AA161" s="207"/>
      <c r="AB161" s="207"/>
      <c r="AC161" s="207"/>
      <c r="AD161" s="207"/>
      <c r="AE161" s="207"/>
      <c r="AF161" s="207"/>
      <c r="AG161" s="207"/>
      <c r="AH161" s="207"/>
      <c r="AI161" s="207"/>
      <c r="AJ161" s="207"/>
      <c r="AK161" s="207"/>
      <c r="AL161" s="207"/>
    </row>
    <row r="162">
      <c r="A162" s="207"/>
      <c r="B162" s="233"/>
      <c r="C162" s="207"/>
      <c r="D162" s="234"/>
      <c r="E162" s="207"/>
      <c r="F162" s="207"/>
      <c r="G162" s="207"/>
      <c r="H162" s="207"/>
      <c r="I162" s="207"/>
      <c r="J162" s="207"/>
      <c r="K162" s="207"/>
      <c r="L162" s="207"/>
      <c r="M162" s="207"/>
      <c r="N162" s="207"/>
      <c r="O162" s="207"/>
      <c r="P162" s="207"/>
      <c r="Q162" s="207"/>
      <c r="R162" s="207"/>
      <c r="S162" s="207"/>
      <c r="T162" s="207"/>
      <c r="U162" s="207"/>
      <c r="V162" s="207"/>
      <c r="W162" s="207"/>
      <c r="X162" s="207"/>
      <c r="Y162" s="207"/>
      <c r="Z162" s="207"/>
      <c r="AA162" s="207"/>
      <c r="AB162" s="207"/>
      <c r="AC162" s="207"/>
      <c r="AD162" s="207"/>
      <c r="AE162" s="207"/>
      <c r="AF162" s="207"/>
      <c r="AG162" s="207"/>
      <c r="AH162" s="207"/>
      <c r="AI162" s="207"/>
      <c r="AJ162" s="207"/>
      <c r="AK162" s="207"/>
      <c r="AL162" s="207"/>
    </row>
    <row r="163">
      <c r="A163" s="207"/>
      <c r="B163" s="233"/>
      <c r="C163" s="207"/>
      <c r="D163" s="234"/>
      <c r="E163" s="207"/>
      <c r="F163" s="207"/>
      <c r="G163" s="207"/>
      <c r="H163" s="207"/>
      <c r="I163" s="207"/>
      <c r="J163" s="207"/>
      <c r="K163" s="207"/>
      <c r="L163" s="207"/>
      <c r="M163" s="207"/>
      <c r="N163" s="207"/>
      <c r="O163" s="207"/>
      <c r="P163" s="207"/>
      <c r="Q163" s="207"/>
      <c r="R163" s="207"/>
      <c r="S163" s="207"/>
      <c r="T163" s="207"/>
      <c r="U163" s="207"/>
      <c r="V163" s="207"/>
      <c r="W163" s="207"/>
      <c r="X163" s="207"/>
      <c r="Y163" s="207"/>
      <c r="Z163" s="207"/>
      <c r="AA163" s="207"/>
      <c r="AB163" s="207"/>
      <c r="AC163" s="207"/>
      <c r="AD163" s="207"/>
      <c r="AE163" s="207"/>
      <c r="AF163" s="207"/>
      <c r="AG163" s="207"/>
      <c r="AH163" s="207"/>
      <c r="AI163" s="207"/>
      <c r="AJ163" s="207"/>
      <c r="AK163" s="207"/>
      <c r="AL163" s="207"/>
    </row>
    <row r="164">
      <c r="A164" s="207"/>
      <c r="B164" s="233"/>
      <c r="C164" s="207"/>
      <c r="D164" s="234"/>
      <c r="E164" s="207"/>
      <c r="F164" s="207"/>
      <c r="G164" s="207"/>
      <c r="H164" s="207"/>
      <c r="I164" s="207"/>
      <c r="J164" s="207"/>
      <c r="K164" s="207"/>
      <c r="L164" s="207"/>
      <c r="M164" s="207"/>
      <c r="N164" s="207"/>
      <c r="O164" s="207"/>
      <c r="P164" s="207"/>
      <c r="Q164" s="207"/>
      <c r="R164" s="207"/>
      <c r="S164" s="207"/>
      <c r="T164" s="207"/>
      <c r="U164" s="207"/>
      <c r="V164" s="207"/>
      <c r="W164" s="207"/>
      <c r="X164" s="207"/>
      <c r="Y164" s="207"/>
      <c r="Z164" s="207"/>
      <c r="AA164" s="207"/>
      <c r="AB164" s="207"/>
      <c r="AC164" s="207"/>
      <c r="AD164" s="207"/>
      <c r="AE164" s="207"/>
      <c r="AF164" s="207"/>
      <c r="AG164" s="207"/>
      <c r="AH164" s="207"/>
      <c r="AI164" s="207"/>
      <c r="AJ164" s="207"/>
      <c r="AK164" s="207"/>
      <c r="AL164" s="207"/>
    </row>
    <row r="165">
      <c r="A165" s="207"/>
      <c r="B165" s="233"/>
      <c r="C165" s="207"/>
      <c r="D165" s="234"/>
      <c r="E165" s="207"/>
      <c r="F165" s="207"/>
      <c r="G165" s="207"/>
      <c r="H165" s="207"/>
      <c r="I165" s="207"/>
      <c r="J165" s="207"/>
      <c r="K165" s="207"/>
      <c r="L165" s="207"/>
      <c r="M165" s="207"/>
      <c r="N165" s="207"/>
      <c r="O165" s="207"/>
      <c r="P165" s="207"/>
      <c r="Q165" s="207"/>
      <c r="R165" s="207"/>
      <c r="S165" s="207"/>
      <c r="T165" s="207"/>
      <c r="U165" s="207"/>
      <c r="V165" s="207"/>
      <c r="W165" s="207"/>
      <c r="X165" s="207"/>
      <c r="Y165" s="207"/>
      <c r="Z165" s="207"/>
      <c r="AA165" s="207"/>
      <c r="AB165" s="207"/>
      <c r="AC165" s="207"/>
      <c r="AD165" s="207"/>
      <c r="AE165" s="207"/>
      <c r="AF165" s="207"/>
      <c r="AG165" s="207"/>
      <c r="AH165" s="207"/>
      <c r="AI165" s="207"/>
      <c r="AJ165" s="207"/>
      <c r="AK165" s="207"/>
      <c r="AL165" s="207"/>
    </row>
    <row r="166">
      <c r="A166" s="207"/>
      <c r="B166" s="233"/>
      <c r="C166" s="207"/>
      <c r="D166" s="234"/>
      <c r="E166" s="207"/>
      <c r="F166" s="207"/>
      <c r="G166" s="207"/>
      <c r="H166" s="207"/>
      <c r="I166" s="207"/>
      <c r="J166" s="207"/>
      <c r="K166" s="207"/>
      <c r="L166" s="207"/>
      <c r="M166" s="207"/>
      <c r="N166" s="207"/>
      <c r="O166" s="207"/>
      <c r="P166" s="207"/>
      <c r="Q166" s="207"/>
      <c r="R166" s="207"/>
      <c r="S166" s="207"/>
      <c r="T166" s="207"/>
      <c r="U166" s="207"/>
      <c r="V166" s="207"/>
      <c r="W166" s="207"/>
      <c r="X166" s="207"/>
      <c r="Y166" s="207"/>
      <c r="Z166" s="207"/>
      <c r="AA166" s="207"/>
      <c r="AB166" s="207"/>
      <c r="AC166" s="207"/>
      <c r="AD166" s="207"/>
      <c r="AE166" s="207"/>
      <c r="AF166" s="207"/>
      <c r="AG166" s="207"/>
      <c r="AH166" s="207"/>
      <c r="AI166" s="207"/>
      <c r="AJ166" s="207"/>
      <c r="AK166" s="207"/>
      <c r="AL166" s="207"/>
    </row>
    <row r="167">
      <c r="A167" s="207"/>
      <c r="B167" s="233"/>
      <c r="C167" s="207"/>
      <c r="D167" s="234"/>
      <c r="E167" s="207"/>
      <c r="F167" s="207"/>
      <c r="G167" s="207"/>
      <c r="H167" s="207"/>
      <c r="I167" s="207"/>
      <c r="J167" s="207"/>
      <c r="K167" s="207"/>
      <c r="L167" s="207"/>
      <c r="M167" s="207"/>
      <c r="N167" s="207"/>
      <c r="O167" s="207"/>
      <c r="P167" s="207"/>
      <c r="Q167" s="207"/>
      <c r="R167" s="207"/>
      <c r="S167" s="207"/>
      <c r="T167" s="207"/>
      <c r="U167" s="207"/>
      <c r="V167" s="207"/>
      <c r="W167" s="207"/>
      <c r="X167" s="207"/>
      <c r="Y167" s="207"/>
      <c r="Z167" s="207"/>
      <c r="AA167" s="207"/>
      <c r="AB167" s="207"/>
      <c r="AC167" s="207"/>
      <c r="AD167" s="207"/>
      <c r="AE167" s="207"/>
      <c r="AF167" s="207"/>
      <c r="AG167" s="207"/>
      <c r="AH167" s="207"/>
      <c r="AI167" s="207"/>
      <c r="AJ167" s="207"/>
      <c r="AK167" s="207"/>
      <c r="AL167" s="207"/>
    </row>
    <row r="168">
      <c r="A168" s="207"/>
      <c r="B168" s="233"/>
      <c r="C168" s="207"/>
      <c r="D168" s="234"/>
      <c r="E168" s="207"/>
      <c r="F168" s="207"/>
      <c r="G168" s="207"/>
      <c r="H168" s="207"/>
      <c r="I168" s="207"/>
      <c r="J168" s="207"/>
      <c r="K168" s="207"/>
      <c r="L168" s="207"/>
      <c r="M168" s="207"/>
      <c r="N168" s="207"/>
      <c r="O168" s="207"/>
      <c r="P168" s="207"/>
      <c r="Q168" s="207"/>
      <c r="R168" s="207"/>
      <c r="S168" s="207"/>
      <c r="T168" s="207"/>
      <c r="U168" s="207"/>
      <c r="V168" s="207"/>
      <c r="W168" s="207"/>
      <c r="X168" s="207"/>
      <c r="Y168" s="207"/>
      <c r="Z168" s="207"/>
      <c r="AA168" s="207"/>
      <c r="AB168" s="207"/>
      <c r="AC168" s="207"/>
      <c r="AD168" s="207"/>
      <c r="AE168" s="207"/>
      <c r="AF168" s="207"/>
      <c r="AG168" s="207"/>
      <c r="AH168" s="207"/>
      <c r="AI168" s="207"/>
      <c r="AJ168" s="207"/>
      <c r="AK168" s="207"/>
      <c r="AL168" s="207"/>
    </row>
    <row r="169">
      <c r="A169" s="207"/>
      <c r="B169" s="233"/>
      <c r="C169" s="207"/>
      <c r="D169" s="234"/>
      <c r="E169" s="207"/>
      <c r="F169" s="207"/>
      <c r="G169" s="207"/>
      <c r="H169" s="207"/>
      <c r="I169" s="207"/>
      <c r="J169" s="207"/>
      <c r="K169" s="207"/>
      <c r="L169" s="207"/>
      <c r="M169" s="207"/>
      <c r="N169" s="207"/>
      <c r="O169" s="207"/>
      <c r="P169" s="207"/>
      <c r="Q169" s="207"/>
      <c r="R169" s="207"/>
      <c r="S169" s="207"/>
      <c r="T169" s="207"/>
      <c r="U169" s="207"/>
      <c r="V169" s="207"/>
      <c r="W169" s="207"/>
      <c r="X169" s="207"/>
      <c r="Y169" s="207"/>
      <c r="Z169" s="207"/>
      <c r="AA169" s="207"/>
      <c r="AB169" s="207"/>
      <c r="AC169" s="207"/>
      <c r="AD169" s="207"/>
      <c r="AE169" s="207"/>
      <c r="AF169" s="207"/>
      <c r="AG169" s="207"/>
      <c r="AH169" s="207"/>
      <c r="AI169" s="207"/>
      <c r="AJ169" s="207"/>
      <c r="AK169" s="207"/>
      <c r="AL169" s="207"/>
    </row>
    <row r="170">
      <c r="A170" s="207"/>
      <c r="B170" s="233"/>
      <c r="C170" s="207"/>
      <c r="D170" s="234"/>
      <c r="E170" s="207"/>
      <c r="F170" s="207"/>
      <c r="G170" s="207"/>
      <c r="H170" s="207"/>
      <c r="I170" s="207"/>
      <c r="J170" s="207"/>
      <c r="K170" s="207"/>
      <c r="L170" s="207"/>
      <c r="M170" s="207"/>
      <c r="N170" s="207"/>
      <c r="O170" s="207"/>
      <c r="P170" s="207"/>
      <c r="Q170" s="207"/>
      <c r="R170" s="207"/>
      <c r="S170" s="207"/>
      <c r="T170" s="207"/>
      <c r="U170" s="207"/>
      <c r="V170" s="207"/>
      <c r="W170" s="207"/>
      <c r="X170" s="207"/>
      <c r="Y170" s="207"/>
      <c r="Z170" s="207"/>
      <c r="AA170" s="207"/>
      <c r="AB170" s="207"/>
      <c r="AC170" s="207"/>
      <c r="AD170" s="207"/>
      <c r="AE170" s="207"/>
      <c r="AF170" s="207"/>
      <c r="AG170" s="207"/>
      <c r="AH170" s="207"/>
      <c r="AI170" s="207"/>
      <c r="AJ170" s="207"/>
      <c r="AK170" s="207"/>
      <c r="AL170" s="207"/>
    </row>
    <row r="171">
      <c r="A171" s="207"/>
      <c r="B171" s="233"/>
      <c r="C171" s="207"/>
      <c r="D171" s="234"/>
      <c r="E171" s="207"/>
      <c r="F171" s="207"/>
      <c r="G171" s="207"/>
      <c r="H171" s="207"/>
      <c r="I171" s="207"/>
      <c r="J171" s="207"/>
      <c r="K171" s="207"/>
      <c r="L171" s="207"/>
      <c r="M171" s="207"/>
      <c r="N171" s="207"/>
      <c r="O171" s="207"/>
      <c r="P171" s="207"/>
      <c r="Q171" s="207"/>
      <c r="R171" s="207"/>
      <c r="S171" s="207"/>
      <c r="T171" s="207"/>
      <c r="U171" s="207"/>
      <c r="V171" s="207"/>
      <c r="W171" s="207"/>
      <c r="X171" s="207"/>
      <c r="Y171" s="207"/>
      <c r="Z171" s="207"/>
      <c r="AA171" s="207"/>
      <c r="AB171" s="207"/>
      <c r="AC171" s="207"/>
      <c r="AD171" s="207"/>
      <c r="AE171" s="207"/>
      <c r="AF171" s="207"/>
      <c r="AG171" s="207"/>
      <c r="AH171" s="207"/>
      <c r="AI171" s="207"/>
      <c r="AJ171" s="207"/>
      <c r="AK171" s="207"/>
      <c r="AL171" s="207"/>
    </row>
    <row r="172">
      <c r="A172" s="207"/>
      <c r="B172" s="233"/>
      <c r="C172" s="207"/>
      <c r="D172" s="234"/>
      <c r="E172" s="207"/>
      <c r="F172" s="207"/>
      <c r="G172" s="207"/>
      <c r="H172" s="207"/>
      <c r="I172" s="207"/>
      <c r="J172" s="207"/>
      <c r="K172" s="207"/>
      <c r="L172" s="207"/>
      <c r="M172" s="207"/>
      <c r="N172" s="207"/>
      <c r="O172" s="207"/>
      <c r="P172" s="207"/>
      <c r="Q172" s="207"/>
      <c r="R172" s="207"/>
      <c r="S172" s="207"/>
      <c r="T172" s="207"/>
      <c r="U172" s="207"/>
      <c r="V172" s="207"/>
      <c r="W172" s="207"/>
      <c r="X172" s="207"/>
      <c r="Y172" s="207"/>
      <c r="Z172" s="207"/>
      <c r="AA172" s="207"/>
      <c r="AB172" s="207"/>
      <c r="AC172" s="207"/>
      <c r="AD172" s="207"/>
      <c r="AE172" s="207"/>
      <c r="AF172" s="207"/>
      <c r="AG172" s="207"/>
      <c r="AH172" s="207"/>
      <c r="AI172" s="207"/>
      <c r="AJ172" s="207"/>
      <c r="AK172" s="207"/>
      <c r="AL172" s="207"/>
    </row>
    <row r="173">
      <c r="A173" s="207"/>
      <c r="B173" s="233"/>
      <c r="C173" s="207"/>
      <c r="D173" s="234"/>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c r="AJ173" s="207"/>
      <c r="AK173" s="207"/>
      <c r="AL173" s="207"/>
    </row>
    <row r="174">
      <c r="A174" s="207"/>
      <c r="B174" s="233"/>
      <c r="C174" s="207"/>
      <c r="D174" s="234"/>
      <c r="E174" s="207"/>
      <c r="F174" s="207"/>
      <c r="G174" s="207"/>
      <c r="H174" s="207"/>
      <c r="I174" s="207"/>
      <c r="J174" s="207"/>
      <c r="K174" s="207"/>
      <c r="L174" s="207"/>
      <c r="M174" s="207"/>
      <c r="N174" s="207"/>
      <c r="O174" s="207"/>
      <c r="P174" s="207"/>
      <c r="Q174" s="207"/>
      <c r="R174" s="207"/>
      <c r="S174" s="207"/>
      <c r="T174" s="207"/>
      <c r="U174" s="207"/>
      <c r="V174" s="207"/>
      <c r="W174" s="207"/>
      <c r="X174" s="207"/>
      <c r="Y174" s="207"/>
      <c r="Z174" s="207"/>
      <c r="AA174" s="207"/>
      <c r="AB174" s="207"/>
      <c r="AC174" s="207"/>
      <c r="AD174" s="207"/>
      <c r="AE174" s="207"/>
      <c r="AF174" s="207"/>
      <c r="AG174" s="207"/>
      <c r="AH174" s="207"/>
      <c r="AI174" s="207"/>
      <c r="AJ174" s="207"/>
      <c r="AK174" s="207"/>
      <c r="AL174" s="207"/>
    </row>
    <row r="175">
      <c r="A175" s="207"/>
      <c r="B175" s="233"/>
      <c r="C175" s="207"/>
      <c r="D175" s="234"/>
      <c r="E175" s="207"/>
      <c r="F175" s="207"/>
      <c r="G175" s="207"/>
      <c r="H175" s="207"/>
      <c r="I175" s="207"/>
      <c r="J175" s="207"/>
      <c r="K175" s="207"/>
      <c r="L175" s="207"/>
      <c r="M175" s="207"/>
      <c r="N175" s="207"/>
      <c r="O175" s="207"/>
      <c r="P175" s="207"/>
      <c r="Q175" s="207"/>
      <c r="R175" s="207"/>
      <c r="S175" s="207"/>
      <c r="T175" s="207"/>
      <c r="U175" s="207"/>
      <c r="V175" s="207"/>
      <c r="W175" s="207"/>
      <c r="X175" s="207"/>
      <c r="Y175" s="207"/>
      <c r="Z175" s="207"/>
      <c r="AA175" s="207"/>
      <c r="AB175" s="207"/>
      <c r="AC175" s="207"/>
      <c r="AD175" s="207"/>
      <c r="AE175" s="207"/>
      <c r="AF175" s="207"/>
      <c r="AG175" s="207"/>
      <c r="AH175" s="207"/>
      <c r="AI175" s="207"/>
      <c r="AJ175" s="207"/>
      <c r="AK175" s="207"/>
      <c r="AL175" s="207"/>
    </row>
    <row r="176">
      <c r="A176" s="207"/>
      <c r="B176" s="233"/>
      <c r="C176" s="207"/>
      <c r="D176" s="234"/>
      <c r="E176" s="207"/>
      <c r="F176" s="207"/>
      <c r="G176" s="207"/>
      <c r="H176" s="207"/>
      <c r="I176" s="207"/>
      <c r="J176" s="207"/>
      <c r="K176" s="207"/>
      <c r="L176" s="207"/>
      <c r="M176" s="207"/>
      <c r="N176" s="207"/>
      <c r="O176" s="207"/>
      <c r="P176" s="207"/>
      <c r="Q176" s="207"/>
      <c r="R176" s="207"/>
      <c r="S176" s="207"/>
      <c r="T176" s="207"/>
      <c r="U176" s="207"/>
      <c r="V176" s="207"/>
      <c r="W176" s="207"/>
      <c r="X176" s="207"/>
      <c r="Y176" s="207"/>
      <c r="Z176" s="207"/>
      <c r="AA176" s="207"/>
      <c r="AB176" s="207"/>
      <c r="AC176" s="207"/>
      <c r="AD176" s="207"/>
      <c r="AE176" s="207"/>
      <c r="AF176" s="207"/>
      <c r="AG176" s="207"/>
      <c r="AH176" s="207"/>
      <c r="AI176" s="207"/>
      <c r="AJ176" s="207"/>
      <c r="AK176" s="207"/>
      <c r="AL176" s="207"/>
    </row>
    <row r="177">
      <c r="A177" s="207"/>
      <c r="B177" s="233"/>
      <c r="C177" s="207"/>
      <c r="D177" s="234"/>
      <c r="E177" s="207"/>
      <c r="F177" s="207"/>
      <c r="G177" s="207"/>
      <c r="H177" s="207"/>
      <c r="I177" s="207"/>
      <c r="J177" s="207"/>
      <c r="K177" s="207"/>
      <c r="L177" s="207"/>
      <c r="M177" s="207"/>
      <c r="N177" s="207"/>
      <c r="O177" s="207"/>
      <c r="P177" s="207"/>
      <c r="Q177" s="207"/>
      <c r="R177" s="207"/>
      <c r="S177" s="207"/>
      <c r="T177" s="207"/>
      <c r="U177" s="207"/>
      <c r="V177" s="207"/>
      <c r="W177" s="207"/>
      <c r="X177" s="207"/>
      <c r="Y177" s="207"/>
      <c r="Z177" s="207"/>
      <c r="AA177" s="207"/>
      <c r="AB177" s="207"/>
      <c r="AC177" s="207"/>
      <c r="AD177" s="207"/>
      <c r="AE177" s="207"/>
      <c r="AF177" s="207"/>
      <c r="AG177" s="207"/>
      <c r="AH177" s="207"/>
      <c r="AI177" s="207"/>
      <c r="AJ177" s="207"/>
      <c r="AK177" s="207"/>
      <c r="AL177" s="207"/>
    </row>
    <row r="178">
      <c r="A178" s="207"/>
      <c r="B178" s="233"/>
      <c r="C178" s="207"/>
      <c r="D178" s="234"/>
      <c r="E178" s="207"/>
      <c r="F178" s="207"/>
      <c r="G178" s="207"/>
      <c r="H178" s="207"/>
      <c r="I178" s="207"/>
      <c r="J178" s="207"/>
      <c r="K178" s="207"/>
      <c r="L178" s="207"/>
      <c r="M178" s="207"/>
      <c r="N178" s="207"/>
      <c r="O178" s="207"/>
      <c r="P178" s="207"/>
      <c r="Q178" s="207"/>
      <c r="R178" s="207"/>
      <c r="S178" s="207"/>
      <c r="T178" s="207"/>
      <c r="U178" s="207"/>
      <c r="V178" s="207"/>
      <c r="W178" s="207"/>
      <c r="X178" s="207"/>
      <c r="Y178" s="207"/>
      <c r="Z178" s="207"/>
      <c r="AA178" s="207"/>
      <c r="AB178" s="207"/>
      <c r="AC178" s="207"/>
      <c r="AD178" s="207"/>
      <c r="AE178" s="207"/>
      <c r="AF178" s="207"/>
      <c r="AG178" s="207"/>
      <c r="AH178" s="207"/>
      <c r="AI178" s="207"/>
      <c r="AJ178" s="207"/>
      <c r="AK178" s="207"/>
      <c r="AL178" s="207"/>
    </row>
    <row r="179">
      <c r="A179" s="207"/>
      <c r="B179" s="233"/>
      <c r="C179" s="207"/>
      <c r="D179" s="234"/>
      <c r="E179" s="207"/>
      <c r="F179" s="207"/>
      <c r="G179" s="207"/>
      <c r="H179" s="207"/>
      <c r="I179" s="207"/>
      <c r="J179" s="207"/>
      <c r="K179" s="207"/>
      <c r="L179" s="207"/>
      <c r="M179" s="207"/>
      <c r="N179" s="207"/>
      <c r="O179" s="207"/>
      <c r="P179" s="207"/>
      <c r="Q179" s="207"/>
      <c r="R179" s="207"/>
      <c r="S179" s="207"/>
      <c r="T179" s="207"/>
      <c r="U179" s="207"/>
      <c r="V179" s="207"/>
      <c r="W179" s="207"/>
      <c r="X179" s="207"/>
      <c r="Y179" s="207"/>
      <c r="Z179" s="207"/>
      <c r="AA179" s="207"/>
      <c r="AB179" s="207"/>
      <c r="AC179" s="207"/>
      <c r="AD179" s="207"/>
      <c r="AE179" s="207"/>
      <c r="AF179" s="207"/>
      <c r="AG179" s="207"/>
      <c r="AH179" s="207"/>
      <c r="AI179" s="207"/>
      <c r="AJ179" s="207"/>
      <c r="AK179" s="207"/>
      <c r="AL179" s="207"/>
    </row>
    <row r="180">
      <c r="A180" s="207"/>
      <c r="B180" s="233"/>
      <c r="C180" s="207"/>
      <c r="D180" s="234"/>
      <c r="E180" s="207"/>
      <c r="F180" s="207"/>
      <c r="G180" s="207"/>
      <c r="H180" s="207"/>
      <c r="I180" s="207"/>
      <c r="J180" s="207"/>
      <c r="K180" s="207"/>
      <c r="L180" s="207"/>
      <c r="M180" s="207"/>
      <c r="N180" s="207"/>
      <c r="O180" s="207"/>
      <c r="P180" s="207"/>
      <c r="Q180" s="207"/>
      <c r="R180" s="207"/>
      <c r="S180" s="207"/>
      <c r="T180" s="207"/>
      <c r="U180" s="207"/>
      <c r="V180" s="207"/>
      <c r="W180" s="207"/>
      <c r="X180" s="207"/>
      <c r="Y180" s="207"/>
      <c r="Z180" s="207"/>
      <c r="AA180" s="207"/>
      <c r="AB180" s="207"/>
      <c r="AC180" s="207"/>
      <c r="AD180" s="207"/>
      <c r="AE180" s="207"/>
      <c r="AF180" s="207"/>
      <c r="AG180" s="207"/>
      <c r="AH180" s="207"/>
      <c r="AI180" s="207"/>
      <c r="AJ180" s="207"/>
      <c r="AK180" s="207"/>
      <c r="AL180" s="207"/>
    </row>
    <row r="181">
      <c r="A181" s="207"/>
      <c r="B181" s="233"/>
      <c r="C181" s="207"/>
      <c r="D181" s="234"/>
      <c r="E181" s="207"/>
      <c r="F181" s="207"/>
      <c r="G181" s="207"/>
      <c r="H181" s="207"/>
      <c r="I181" s="207"/>
      <c r="J181" s="207"/>
      <c r="K181" s="207"/>
      <c r="L181" s="207"/>
      <c r="M181" s="207"/>
      <c r="N181" s="207"/>
      <c r="O181" s="207"/>
      <c r="P181" s="207"/>
      <c r="Q181" s="207"/>
      <c r="R181" s="207"/>
      <c r="S181" s="207"/>
      <c r="T181" s="207"/>
      <c r="U181" s="207"/>
      <c r="V181" s="207"/>
      <c r="W181" s="207"/>
      <c r="X181" s="207"/>
      <c r="Y181" s="207"/>
      <c r="Z181" s="207"/>
      <c r="AA181" s="207"/>
      <c r="AB181" s="207"/>
      <c r="AC181" s="207"/>
      <c r="AD181" s="207"/>
      <c r="AE181" s="207"/>
      <c r="AF181" s="207"/>
      <c r="AG181" s="207"/>
      <c r="AH181" s="207"/>
      <c r="AI181" s="207"/>
      <c r="AJ181" s="207"/>
      <c r="AK181" s="207"/>
      <c r="AL181" s="207"/>
    </row>
    <row r="182">
      <c r="A182" s="207"/>
      <c r="B182" s="233"/>
      <c r="C182" s="207"/>
      <c r="D182" s="234"/>
      <c r="E182" s="207"/>
      <c r="F182" s="207"/>
      <c r="G182" s="207"/>
      <c r="H182" s="207"/>
      <c r="I182" s="207"/>
      <c r="J182" s="207"/>
      <c r="K182" s="207"/>
      <c r="L182" s="207"/>
      <c r="M182" s="207"/>
      <c r="N182" s="207"/>
      <c r="O182" s="207"/>
      <c r="P182" s="207"/>
      <c r="Q182" s="207"/>
      <c r="R182" s="207"/>
      <c r="S182" s="207"/>
      <c r="T182" s="207"/>
      <c r="U182" s="207"/>
      <c r="V182" s="207"/>
      <c r="W182" s="207"/>
      <c r="X182" s="207"/>
      <c r="Y182" s="207"/>
      <c r="Z182" s="207"/>
      <c r="AA182" s="207"/>
      <c r="AB182" s="207"/>
      <c r="AC182" s="207"/>
      <c r="AD182" s="207"/>
      <c r="AE182" s="207"/>
      <c r="AF182" s="207"/>
      <c r="AG182" s="207"/>
      <c r="AH182" s="207"/>
      <c r="AI182" s="207"/>
      <c r="AJ182" s="207"/>
      <c r="AK182" s="207"/>
      <c r="AL182" s="207"/>
    </row>
    <row r="183">
      <c r="A183" s="207"/>
      <c r="B183" s="233"/>
      <c r="C183" s="207"/>
      <c r="D183" s="234"/>
      <c r="E183" s="207"/>
      <c r="F183" s="207"/>
      <c r="G183" s="207"/>
      <c r="H183" s="207"/>
      <c r="I183" s="207"/>
      <c r="J183" s="207"/>
      <c r="K183" s="207"/>
      <c r="L183" s="207"/>
      <c r="M183" s="207"/>
      <c r="N183" s="207"/>
      <c r="O183" s="207"/>
      <c r="P183" s="207"/>
      <c r="Q183" s="207"/>
      <c r="R183" s="207"/>
      <c r="S183" s="207"/>
      <c r="T183" s="207"/>
      <c r="U183" s="207"/>
      <c r="V183" s="207"/>
      <c r="W183" s="207"/>
      <c r="X183" s="207"/>
      <c r="Y183" s="207"/>
      <c r="Z183" s="207"/>
      <c r="AA183" s="207"/>
      <c r="AB183" s="207"/>
      <c r="AC183" s="207"/>
      <c r="AD183" s="207"/>
      <c r="AE183" s="207"/>
      <c r="AF183" s="207"/>
      <c r="AG183" s="207"/>
      <c r="AH183" s="207"/>
      <c r="AI183" s="207"/>
      <c r="AJ183" s="207"/>
      <c r="AK183" s="207"/>
      <c r="AL183" s="207"/>
    </row>
    <row r="184">
      <c r="A184" s="207"/>
      <c r="B184" s="233"/>
      <c r="C184" s="207"/>
      <c r="D184" s="234"/>
      <c r="E184" s="207"/>
      <c r="F184" s="207"/>
      <c r="G184" s="207"/>
      <c r="H184" s="207"/>
      <c r="I184" s="207"/>
      <c r="J184" s="207"/>
      <c r="K184" s="207"/>
      <c r="L184" s="207"/>
      <c r="M184" s="207"/>
      <c r="N184" s="207"/>
      <c r="O184" s="207"/>
      <c r="P184" s="207"/>
      <c r="Q184" s="207"/>
      <c r="R184" s="207"/>
      <c r="S184" s="207"/>
      <c r="T184" s="207"/>
      <c r="U184" s="207"/>
      <c r="V184" s="207"/>
      <c r="W184" s="207"/>
      <c r="X184" s="207"/>
      <c r="Y184" s="207"/>
      <c r="Z184" s="207"/>
      <c r="AA184" s="207"/>
      <c r="AB184" s="207"/>
      <c r="AC184" s="207"/>
      <c r="AD184" s="207"/>
      <c r="AE184" s="207"/>
      <c r="AF184" s="207"/>
      <c r="AG184" s="207"/>
      <c r="AH184" s="207"/>
      <c r="AI184" s="207"/>
      <c r="AJ184" s="207"/>
      <c r="AK184" s="207"/>
      <c r="AL184" s="207"/>
    </row>
    <row r="185">
      <c r="A185" s="207"/>
      <c r="B185" s="233"/>
      <c r="C185" s="207"/>
      <c r="D185" s="234"/>
      <c r="E185" s="207"/>
      <c r="F185" s="207"/>
      <c r="G185" s="207"/>
      <c r="H185" s="207"/>
      <c r="I185" s="207"/>
      <c r="J185" s="207"/>
      <c r="K185" s="207"/>
      <c r="L185" s="207"/>
      <c r="M185" s="207"/>
      <c r="N185" s="207"/>
      <c r="O185" s="207"/>
      <c r="P185" s="207"/>
      <c r="Q185" s="207"/>
      <c r="R185" s="207"/>
      <c r="S185" s="207"/>
      <c r="T185" s="207"/>
      <c r="U185" s="207"/>
      <c r="V185" s="207"/>
      <c r="W185" s="207"/>
      <c r="X185" s="207"/>
      <c r="Y185" s="207"/>
      <c r="Z185" s="207"/>
      <c r="AA185" s="207"/>
      <c r="AB185" s="207"/>
      <c r="AC185" s="207"/>
      <c r="AD185" s="207"/>
      <c r="AE185" s="207"/>
      <c r="AF185" s="207"/>
      <c r="AG185" s="207"/>
      <c r="AH185" s="207"/>
      <c r="AI185" s="207"/>
      <c r="AJ185" s="207"/>
      <c r="AK185" s="207"/>
      <c r="AL185" s="207"/>
    </row>
    <row r="186">
      <c r="A186" s="207"/>
      <c r="B186" s="233"/>
      <c r="C186" s="207"/>
      <c r="D186" s="234"/>
      <c r="E186" s="207"/>
      <c r="F186" s="207"/>
      <c r="G186" s="207"/>
      <c r="H186" s="207"/>
      <c r="I186" s="207"/>
      <c r="J186" s="207"/>
      <c r="K186" s="207"/>
      <c r="L186" s="207"/>
      <c r="M186" s="207"/>
      <c r="N186" s="207"/>
      <c r="O186" s="207"/>
      <c r="P186" s="207"/>
      <c r="Q186" s="207"/>
      <c r="R186" s="207"/>
      <c r="S186" s="207"/>
      <c r="T186" s="207"/>
      <c r="U186" s="207"/>
      <c r="V186" s="207"/>
      <c r="W186" s="207"/>
      <c r="X186" s="207"/>
      <c r="Y186" s="207"/>
      <c r="Z186" s="207"/>
      <c r="AA186" s="207"/>
      <c r="AB186" s="207"/>
      <c r="AC186" s="207"/>
      <c r="AD186" s="207"/>
      <c r="AE186" s="207"/>
      <c r="AF186" s="207"/>
      <c r="AG186" s="207"/>
      <c r="AH186" s="207"/>
      <c r="AI186" s="207"/>
      <c r="AJ186" s="207"/>
      <c r="AK186" s="207"/>
      <c r="AL186" s="207"/>
    </row>
    <row r="187">
      <c r="A187" s="207"/>
      <c r="B187" s="233"/>
      <c r="C187" s="207"/>
      <c r="D187" s="234"/>
      <c r="E187" s="207"/>
      <c r="F187" s="207"/>
      <c r="G187" s="207"/>
      <c r="H187" s="207"/>
      <c r="I187" s="207"/>
      <c r="J187" s="207"/>
      <c r="K187" s="207"/>
      <c r="L187" s="207"/>
      <c r="M187" s="207"/>
      <c r="N187" s="207"/>
      <c r="O187" s="207"/>
      <c r="P187" s="207"/>
      <c r="Q187" s="207"/>
      <c r="R187" s="207"/>
      <c r="S187" s="207"/>
      <c r="T187" s="207"/>
      <c r="U187" s="207"/>
      <c r="V187" s="207"/>
      <c r="W187" s="207"/>
      <c r="X187" s="207"/>
      <c r="Y187" s="207"/>
      <c r="Z187" s="207"/>
      <c r="AA187" s="207"/>
      <c r="AB187" s="207"/>
      <c r="AC187" s="207"/>
      <c r="AD187" s="207"/>
      <c r="AE187" s="207"/>
      <c r="AF187" s="207"/>
      <c r="AG187" s="207"/>
      <c r="AH187" s="207"/>
      <c r="AI187" s="207"/>
      <c r="AJ187" s="207"/>
      <c r="AK187" s="207"/>
      <c r="AL187" s="207"/>
    </row>
    <row r="188">
      <c r="A188" s="207"/>
      <c r="B188" s="233"/>
      <c r="C188" s="207"/>
      <c r="D188" s="234"/>
      <c r="E188" s="207"/>
      <c r="F188" s="207"/>
      <c r="G188" s="207"/>
      <c r="H188" s="207"/>
      <c r="I188" s="207"/>
      <c r="J188" s="207"/>
      <c r="K188" s="207"/>
      <c r="L188" s="207"/>
      <c r="M188" s="207"/>
      <c r="N188" s="207"/>
      <c r="O188" s="207"/>
      <c r="P188" s="207"/>
      <c r="Q188" s="207"/>
      <c r="R188" s="207"/>
      <c r="S188" s="207"/>
      <c r="T188" s="207"/>
      <c r="U188" s="207"/>
      <c r="V188" s="207"/>
      <c r="W188" s="207"/>
      <c r="X188" s="207"/>
      <c r="Y188" s="207"/>
      <c r="Z188" s="207"/>
      <c r="AA188" s="207"/>
      <c r="AB188" s="207"/>
      <c r="AC188" s="207"/>
      <c r="AD188" s="207"/>
      <c r="AE188" s="207"/>
      <c r="AF188" s="207"/>
      <c r="AG188" s="207"/>
      <c r="AH188" s="207"/>
      <c r="AI188" s="207"/>
      <c r="AJ188" s="207"/>
      <c r="AK188" s="207"/>
      <c r="AL188" s="207"/>
    </row>
    <row r="189">
      <c r="A189" s="207"/>
      <c r="B189" s="233"/>
      <c r="C189" s="207"/>
      <c r="D189" s="234"/>
      <c r="E189" s="207"/>
      <c r="F189" s="207"/>
      <c r="G189" s="207"/>
      <c r="H189" s="207"/>
      <c r="I189" s="207"/>
      <c r="J189" s="207"/>
      <c r="K189" s="207"/>
      <c r="L189" s="207"/>
      <c r="M189" s="207"/>
      <c r="N189" s="207"/>
      <c r="O189" s="207"/>
      <c r="P189" s="207"/>
      <c r="Q189" s="207"/>
      <c r="R189" s="207"/>
      <c r="S189" s="207"/>
      <c r="T189" s="207"/>
      <c r="U189" s="207"/>
      <c r="V189" s="207"/>
      <c r="W189" s="207"/>
      <c r="X189" s="207"/>
      <c r="Y189" s="207"/>
      <c r="Z189" s="207"/>
      <c r="AA189" s="207"/>
      <c r="AB189" s="207"/>
      <c r="AC189" s="207"/>
      <c r="AD189" s="207"/>
      <c r="AE189" s="207"/>
      <c r="AF189" s="207"/>
      <c r="AG189" s="207"/>
      <c r="AH189" s="207"/>
      <c r="AI189" s="207"/>
      <c r="AJ189" s="207"/>
      <c r="AK189" s="207"/>
      <c r="AL189" s="207"/>
    </row>
    <row r="190">
      <c r="A190" s="207"/>
      <c r="B190" s="233"/>
      <c r="C190" s="207"/>
      <c r="D190" s="234"/>
      <c r="E190" s="207"/>
      <c r="F190" s="207"/>
      <c r="G190" s="207"/>
      <c r="H190" s="207"/>
      <c r="I190" s="207"/>
      <c r="J190" s="207"/>
      <c r="K190" s="207"/>
      <c r="L190" s="207"/>
      <c r="M190" s="207"/>
      <c r="N190" s="207"/>
      <c r="O190" s="207"/>
      <c r="P190" s="207"/>
      <c r="Q190" s="207"/>
      <c r="R190" s="207"/>
      <c r="S190" s="207"/>
      <c r="T190" s="207"/>
      <c r="U190" s="207"/>
      <c r="V190" s="207"/>
      <c r="W190" s="207"/>
      <c r="X190" s="207"/>
      <c r="Y190" s="207"/>
      <c r="Z190" s="207"/>
      <c r="AA190" s="207"/>
      <c r="AB190" s="207"/>
      <c r="AC190" s="207"/>
      <c r="AD190" s="207"/>
      <c r="AE190" s="207"/>
      <c r="AF190" s="207"/>
      <c r="AG190" s="207"/>
      <c r="AH190" s="207"/>
      <c r="AI190" s="207"/>
      <c r="AJ190" s="207"/>
      <c r="AK190" s="207"/>
      <c r="AL190" s="207"/>
    </row>
    <row r="191">
      <c r="A191" s="207"/>
      <c r="B191" s="233"/>
      <c r="C191" s="207"/>
      <c r="D191" s="234"/>
      <c r="E191" s="207"/>
      <c r="F191" s="207"/>
      <c r="G191" s="207"/>
      <c r="H191" s="207"/>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07"/>
      <c r="AH191" s="207"/>
      <c r="AI191" s="207"/>
      <c r="AJ191" s="207"/>
      <c r="AK191" s="207"/>
      <c r="AL191" s="207"/>
    </row>
    <row r="192">
      <c r="A192" s="207"/>
      <c r="B192" s="233"/>
      <c r="C192" s="207"/>
      <c r="D192" s="234"/>
      <c r="E192" s="207"/>
      <c r="F192" s="207"/>
      <c r="G192" s="207"/>
      <c r="H192" s="207"/>
      <c r="I192" s="207"/>
      <c r="J192" s="207"/>
      <c r="K192" s="207"/>
      <c r="L192" s="207"/>
      <c r="M192" s="207"/>
      <c r="N192" s="207"/>
      <c r="O192" s="207"/>
      <c r="P192" s="207"/>
      <c r="Q192" s="207"/>
      <c r="R192" s="207"/>
      <c r="S192" s="207"/>
      <c r="T192" s="207"/>
      <c r="U192" s="207"/>
      <c r="V192" s="207"/>
      <c r="W192" s="207"/>
      <c r="X192" s="207"/>
      <c r="Y192" s="207"/>
      <c r="Z192" s="207"/>
      <c r="AA192" s="207"/>
      <c r="AB192" s="207"/>
      <c r="AC192" s="207"/>
      <c r="AD192" s="207"/>
      <c r="AE192" s="207"/>
      <c r="AF192" s="207"/>
      <c r="AG192" s="207"/>
      <c r="AH192" s="207"/>
      <c r="AI192" s="207"/>
      <c r="AJ192" s="207"/>
      <c r="AK192" s="207"/>
      <c r="AL192" s="207"/>
    </row>
    <row r="193">
      <c r="A193" s="207"/>
      <c r="B193" s="233"/>
      <c r="C193" s="207"/>
      <c r="D193" s="234"/>
      <c r="E193" s="207"/>
      <c r="F193" s="207"/>
      <c r="G193" s="207"/>
      <c r="H193" s="207"/>
      <c r="I193" s="207"/>
      <c r="J193" s="207"/>
      <c r="K193" s="207"/>
      <c r="L193" s="207"/>
      <c r="M193" s="207"/>
      <c r="N193" s="207"/>
      <c r="O193" s="207"/>
      <c r="P193" s="207"/>
      <c r="Q193" s="207"/>
      <c r="R193" s="207"/>
      <c r="S193" s="207"/>
      <c r="T193" s="207"/>
      <c r="U193" s="207"/>
      <c r="V193" s="207"/>
      <c r="W193" s="207"/>
      <c r="X193" s="207"/>
      <c r="Y193" s="207"/>
      <c r="Z193" s="207"/>
      <c r="AA193" s="207"/>
      <c r="AB193" s="207"/>
      <c r="AC193" s="207"/>
      <c r="AD193" s="207"/>
      <c r="AE193" s="207"/>
      <c r="AF193" s="207"/>
      <c r="AG193" s="207"/>
      <c r="AH193" s="207"/>
      <c r="AI193" s="207"/>
      <c r="AJ193" s="207"/>
      <c r="AK193" s="207"/>
      <c r="AL193" s="207"/>
    </row>
    <row r="194">
      <c r="A194" s="207"/>
      <c r="B194" s="233"/>
      <c r="C194" s="207"/>
      <c r="D194" s="234"/>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c r="AJ194" s="207"/>
      <c r="AK194" s="207"/>
      <c r="AL194" s="207"/>
    </row>
    <row r="195">
      <c r="A195" s="207"/>
      <c r="B195" s="233"/>
      <c r="C195" s="207"/>
      <c r="D195" s="234"/>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c r="AJ195" s="207"/>
      <c r="AK195" s="207"/>
      <c r="AL195" s="207"/>
    </row>
    <row r="196">
      <c r="A196" s="207"/>
      <c r="B196" s="233"/>
      <c r="C196" s="207"/>
      <c r="D196" s="234"/>
      <c r="E196" s="207"/>
      <c r="F196" s="207"/>
      <c r="G196" s="207"/>
      <c r="H196" s="207"/>
      <c r="I196" s="207"/>
      <c r="J196" s="207"/>
      <c r="K196" s="207"/>
      <c r="L196" s="207"/>
      <c r="M196" s="207"/>
      <c r="N196" s="207"/>
      <c r="O196" s="207"/>
      <c r="P196" s="207"/>
      <c r="Q196" s="207"/>
      <c r="R196" s="207"/>
      <c r="S196" s="207"/>
      <c r="T196" s="207"/>
      <c r="U196" s="207"/>
      <c r="V196" s="207"/>
      <c r="W196" s="207"/>
      <c r="X196" s="207"/>
      <c r="Y196" s="207"/>
      <c r="Z196" s="207"/>
      <c r="AA196" s="207"/>
      <c r="AB196" s="207"/>
      <c r="AC196" s="207"/>
      <c r="AD196" s="207"/>
      <c r="AE196" s="207"/>
      <c r="AF196" s="207"/>
      <c r="AG196" s="207"/>
      <c r="AH196" s="207"/>
      <c r="AI196" s="207"/>
      <c r="AJ196" s="207"/>
      <c r="AK196" s="207"/>
      <c r="AL196" s="207"/>
    </row>
    <row r="197">
      <c r="A197" s="207"/>
      <c r="B197" s="233"/>
      <c r="C197" s="207"/>
      <c r="D197" s="234"/>
      <c r="E197" s="207"/>
      <c r="F197" s="207"/>
      <c r="G197" s="207"/>
      <c r="H197" s="207"/>
      <c r="I197" s="207"/>
      <c r="J197" s="207"/>
      <c r="K197" s="207"/>
      <c r="L197" s="207"/>
      <c r="M197" s="207"/>
      <c r="N197" s="207"/>
      <c r="O197" s="207"/>
      <c r="P197" s="207"/>
      <c r="Q197" s="207"/>
      <c r="R197" s="207"/>
      <c r="S197" s="207"/>
      <c r="T197" s="207"/>
      <c r="U197" s="207"/>
      <c r="V197" s="207"/>
      <c r="W197" s="207"/>
      <c r="X197" s="207"/>
      <c r="Y197" s="207"/>
      <c r="Z197" s="207"/>
      <c r="AA197" s="207"/>
      <c r="AB197" s="207"/>
      <c r="AC197" s="207"/>
      <c r="AD197" s="207"/>
      <c r="AE197" s="207"/>
      <c r="AF197" s="207"/>
      <c r="AG197" s="207"/>
      <c r="AH197" s="207"/>
      <c r="AI197" s="207"/>
      <c r="AJ197" s="207"/>
      <c r="AK197" s="207"/>
      <c r="AL197" s="207"/>
    </row>
    <row r="198">
      <c r="A198" s="207"/>
      <c r="B198" s="233"/>
      <c r="C198" s="207"/>
      <c r="D198" s="234"/>
      <c r="E198" s="207"/>
      <c r="F198" s="207"/>
      <c r="G198" s="207"/>
      <c r="H198" s="207"/>
      <c r="I198" s="207"/>
      <c r="J198" s="207"/>
      <c r="K198" s="207"/>
      <c r="L198" s="207"/>
      <c r="M198" s="207"/>
      <c r="N198" s="207"/>
      <c r="O198" s="207"/>
      <c r="P198" s="207"/>
      <c r="Q198" s="207"/>
      <c r="R198" s="207"/>
      <c r="S198" s="207"/>
      <c r="T198" s="207"/>
      <c r="U198" s="207"/>
      <c r="V198" s="207"/>
      <c r="W198" s="207"/>
      <c r="X198" s="207"/>
      <c r="Y198" s="207"/>
      <c r="Z198" s="207"/>
      <c r="AA198" s="207"/>
      <c r="AB198" s="207"/>
      <c r="AC198" s="207"/>
      <c r="AD198" s="207"/>
      <c r="AE198" s="207"/>
      <c r="AF198" s="207"/>
      <c r="AG198" s="207"/>
      <c r="AH198" s="207"/>
      <c r="AI198" s="207"/>
      <c r="AJ198" s="207"/>
      <c r="AK198" s="207"/>
      <c r="AL198" s="207"/>
    </row>
    <row r="199">
      <c r="A199" s="207"/>
      <c r="B199" s="233"/>
      <c r="C199" s="207"/>
      <c r="D199" s="234"/>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207"/>
      <c r="AH199" s="207"/>
      <c r="AI199" s="207"/>
      <c r="AJ199" s="207"/>
      <c r="AK199" s="207"/>
      <c r="AL199" s="207"/>
    </row>
    <row r="200">
      <c r="A200" s="207"/>
      <c r="B200" s="233"/>
      <c r="C200" s="207"/>
      <c r="D200" s="234"/>
      <c r="E200" s="207"/>
      <c r="F200" s="207"/>
      <c r="G200" s="207"/>
      <c r="H200" s="207"/>
      <c r="I200" s="207"/>
      <c r="J200" s="207"/>
      <c r="K200" s="207"/>
      <c r="L200" s="207"/>
      <c r="M200" s="207"/>
      <c r="N200" s="207"/>
      <c r="O200" s="207"/>
      <c r="P200" s="207"/>
      <c r="Q200" s="207"/>
      <c r="R200" s="207"/>
      <c r="S200" s="207"/>
      <c r="T200" s="207"/>
      <c r="U200" s="207"/>
      <c r="V200" s="207"/>
      <c r="W200" s="207"/>
      <c r="X200" s="207"/>
      <c r="Y200" s="207"/>
      <c r="Z200" s="207"/>
      <c r="AA200" s="207"/>
      <c r="AB200" s="207"/>
      <c r="AC200" s="207"/>
      <c r="AD200" s="207"/>
      <c r="AE200" s="207"/>
      <c r="AF200" s="207"/>
      <c r="AG200" s="207"/>
      <c r="AH200" s="207"/>
      <c r="AI200" s="207"/>
      <c r="AJ200" s="207"/>
      <c r="AK200" s="207"/>
      <c r="AL200" s="207"/>
    </row>
    <row r="201">
      <c r="A201" s="207"/>
      <c r="B201" s="233"/>
      <c r="C201" s="207"/>
      <c r="D201" s="234"/>
      <c r="E201" s="207"/>
      <c r="F201" s="207"/>
      <c r="G201" s="207"/>
      <c r="H201" s="207"/>
      <c r="I201" s="207"/>
      <c r="J201" s="207"/>
      <c r="K201" s="207"/>
      <c r="L201" s="207"/>
      <c r="M201" s="207"/>
      <c r="N201" s="207"/>
      <c r="O201" s="207"/>
      <c r="P201" s="207"/>
      <c r="Q201" s="207"/>
      <c r="R201" s="207"/>
      <c r="S201" s="207"/>
      <c r="T201" s="207"/>
      <c r="U201" s="207"/>
      <c r="V201" s="207"/>
      <c r="W201" s="207"/>
      <c r="X201" s="207"/>
      <c r="Y201" s="207"/>
      <c r="Z201" s="207"/>
      <c r="AA201" s="207"/>
      <c r="AB201" s="207"/>
      <c r="AC201" s="207"/>
      <c r="AD201" s="207"/>
      <c r="AE201" s="207"/>
      <c r="AF201" s="207"/>
      <c r="AG201" s="207"/>
      <c r="AH201" s="207"/>
      <c r="AI201" s="207"/>
      <c r="AJ201" s="207"/>
      <c r="AK201" s="207"/>
      <c r="AL201" s="207"/>
    </row>
    <row r="202">
      <c r="A202" s="207"/>
      <c r="B202" s="233"/>
      <c r="C202" s="207"/>
      <c r="D202" s="234"/>
      <c r="E202" s="207"/>
      <c r="F202" s="207"/>
      <c r="G202" s="207"/>
      <c r="H202" s="207"/>
      <c r="I202" s="207"/>
      <c r="J202" s="207"/>
      <c r="K202" s="207"/>
      <c r="L202" s="207"/>
      <c r="M202" s="207"/>
      <c r="N202" s="207"/>
      <c r="O202" s="207"/>
      <c r="P202" s="207"/>
      <c r="Q202" s="207"/>
      <c r="R202" s="207"/>
      <c r="S202" s="207"/>
      <c r="T202" s="207"/>
      <c r="U202" s="207"/>
      <c r="V202" s="207"/>
      <c r="W202" s="207"/>
      <c r="X202" s="207"/>
      <c r="Y202" s="207"/>
      <c r="Z202" s="207"/>
      <c r="AA202" s="207"/>
      <c r="AB202" s="207"/>
      <c r="AC202" s="207"/>
      <c r="AD202" s="207"/>
      <c r="AE202" s="207"/>
      <c r="AF202" s="207"/>
      <c r="AG202" s="207"/>
      <c r="AH202" s="207"/>
      <c r="AI202" s="207"/>
      <c r="AJ202" s="207"/>
      <c r="AK202" s="207"/>
      <c r="AL202" s="207"/>
    </row>
    <row r="203">
      <c r="A203" s="207"/>
      <c r="B203" s="233"/>
      <c r="C203" s="207"/>
      <c r="D203" s="234"/>
      <c r="E203" s="207"/>
      <c r="F203" s="207"/>
      <c r="G203" s="207"/>
      <c r="H203" s="207"/>
      <c r="I203" s="207"/>
      <c r="J203" s="207"/>
      <c r="K203" s="207"/>
      <c r="L203" s="207"/>
      <c r="M203" s="207"/>
      <c r="N203" s="207"/>
      <c r="O203" s="207"/>
      <c r="P203" s="207"/>
      <c r="Q203" s="207"/>
      <c r="R203" s="207"/>
      <c r="S203" s="207"/>
      <c r="T203" s="207"/>
      <c r="U203" s="207"/>
      <c r="V203" s="207"/>
      <c r="W203" s="207"/>
      <c r="X203" s="207"/>
      <c r="Y203" s="207"/>
      <c r="Z203" s="207"/>
      <c r="AA203" s="207"/>
      <c r="AB203" s="207"/>
      <c r="AC203" s="207"/>
      <c r="AD203" s="207"/>
      <c r="AE203" s="207"/>
      <c r="AF203" s="207"/>
      <c r="AG203" s="207"/>
      <c r="AH203" s="207"/>
      <c r="AI203" s="207"/>
      <c r="AJ203" s="207"/>
      <c r="AK203" s="207"/>
      <c r="AL203" s="207"/>
    </row>
    <row r="204">
      <c r="A204" s="207"/>
      <c r="B204" s="233"/>
      <c r="C204" s="207"/>
      <c r="D204" s="234"/>
      <c r="E204" s="207"/>
      <c r="F204" s="207"/>
      <c r="G204" s="207"/>
      <c r="H204" s="207"/>
      <c r="I204" s="207"/>
      <c r="J204" s="207"/>
      <c r="K204" s="207"/>
      <c r="L204" s="207"/>
      <c r="M204" s="207"/>
      <c r="N204" s="207"/>
      <c r="O204" s="207"/>
      <c r="P204" s="207"/>
      <c r="Q204" s="207"/>
      <c r="R204" s="207"/>
      <c r="S204" s="207"/>
      <c r="T204" s="207"/>
      <c r="U204" s="207"/>
      <c r="V204" s="207"/>
      <c r="W204" s="207"/>
      <c r="X204" s="207"/>
      <c r="Y204" s="207"/>
      <c r="Z204" s="207"/>
      <c r="AA204" s="207"/>
      <c r="AB204" s="207"/>
      <c r="AC204" s="207"/>
      <c r="AD204" s="207"/>
      <c r="AE204" s="207"/>
      <c r="AF204" s="207"/>
      <c r="AG204" s="207"/>
      <c r="AH204" s="207"/>
      <c r="AI204" s="207"/>
      <c r="AJ204" s="207"/>
      <c r="AK204" s="207"/>
      <c r="AL204" s="207"/>
    </row>
    <row r="205">
      <c r="A205" s="207"/>
      <c r="B205" s="233"/>
      <c r="C205" s="207"/>
      <c r="D205" s="234"/>
      <c r="E205" s="207"/>
      <c r="F205" s="207"/>
      <c r="G205" s="207"/>
      <c r="H205" s="207"/>
      <c r="I205" s="207"/>
      <c r="J205" s="207"/>
      <c r="K205" s="207"/>
      <c r="L205" s="207"/>
      <c r="M205" s="207"/>
      <c r="N205" s="207"/>
      <c r="O205" s="207"/>
      <c r="P205" s="207"/>
      <c r="Q205" s="207"/>
      <c r="R205" s="207"/>
      <c r="S205" s="207"/>
      <c r="T205" s="207"/>
      <c r="U205" s="207"/>
      <c r="V205" s="207"/>
      <c r="W205" s="207"/>
      <c r="X205" s="207"/>
      <c r="Y205" s="207"/>
      <c r="Z205" s="207"/>
      <c r="AA205" s="207"/>
      <c r="AB205" s="207"/>
      <c r="AC205" s="207"/>
      <c r="AD205" s="207"/>
      <c r="AE205" s="207"/>
      <c r="AF205" s="207"/>
      <c r="AG205" s="207"/>
      <c r="AH205" s="207"/>
      <c r="AI205" s="207"/>
      <c r="AJ205" s="207"/>
      <c r="AK205" s="207"/>
      <c r="AL205" s="207"/>
    </row>
    <row r="206">
      <c r="A206" s="207"/>
      <c r="B206" s="233"/>
      <c r="C206" s="207"/>
      <c r="D206" s="234"/>
      <c r="E206" s="207"/>
      <c r="F206" s="207"/>
      <c r="G206" s="207"/>
      <c r="H206" s="207"/>
      <c r="I206" s="207"/>
      <c r="J206" s="207"/>
      <c r="K206" s="207"/>
      <c r="L206" s="207"/>
      <c r="M206" s="207"/>
      <c r="N206" s="207"/>
      <c r="O206" s="207"/>
      <c r="P206" s="207"/>
      <c r="Q206" s="207"/>
      <c r="R206" s="207"/>
      <c r="S206" s="207"/>
      <c r="T206" s="207"/>
      <c r="U206" s="207"/>
      <c r="V206" s="207"/>
      <c r="W206" s="207"/>
      <c r="X206" s="207"/>
      <c r="Y206" s="207"/>
      <c r="Z206" s="207"/>
      <c r="AA206" s="207"/>
      <c r="AB206" s="207"/>
      <c r="AC206" s="207"/>
      <c r="AD206" s="207"/>
      <c r="AE206" s="207"/>
      <c r="AF206" s="207"/>
      <c r="AG206" s="207"/>
      <c r="AH206" s="207"/>
      <c r="AI206" s="207"/>
      <c r="AJ206" s="207"/>
      <c r="AK206" s="207"/>
      <c r="AL206" s="207"/>
    </row>
    <row r="207">
      <c r="A207" s="207"/>
      <c r="B207" s="233"/>
      <c r="C207" s="207"/>
      <c r="D207" s="234"/>
      <c r="E207" s="207"/>
      <c r="F207" s="207"/>
      <c r="G207" s="207"/>
      <c r="H207" s="207"/>
      <c r="I207" s="207"/>
      <c r="J207" s="207"/>
      <c r="K207" s="207"/>
      <c r="L207" s="207"/>
      <c r="M207" s="207"/>
      <c r="N207" s="207"/>
      <c r="O207" s="207"/>
      <c r="P207" s="207"/>
      <c r="Q207" s="207"/>
      <c r="R207" s="207"/>
      <c r="S207" s="207"/>
      <c r="T207" s="207"/>
      <c r="U207" s="207"/>
      <c r="V207" s="207"/>
      <c r="W207" s="207"/>
      <c r="X207" s="207"/>
      <c r="Y207" s="207"/>
      <c r="Z207" s="207"/>
      <c r="AA207" s="207"/>
      <c r="AB207" s="207"/>
      <c r="AC207" s="207"/>
      <c r="AD207" s="207"/>
      <c r="AE207" s="207"/>
      <c r="AF207" s="207"/>
      <c r="AG207" s="207"/>
      <c r="AH207" s="207"/>
      <c r="AI207" s="207"/>
      <c r="AJ207" s="207"/>
      <c r="AK207" s="207"/>
      <c r="AL207" s="207"/>
    </row>
    <row r="208">
      <c r="A208" s="207"/>
      <c r="B208" s="233"/>
      <c r="C208" s="207"/>
      <c r="D208" s="234"/>
      <c r="E208" s="207"/>
      <c r="F208" s="207"/>
      <c r="G208" s="207"/>
      <c r="H208" s="207"/>
      <c r="I208" s="207"/>
      <c r="J208" s="207"/>
      <c r="K208" s="207"/>
      <c r="L208" s="207"/>
      <c r="M208" s="207"/>
      <c r="N208" s="207"/>
      <c r="O208" s="207"/>
      <c r="P208" s="207"/>
      <c r="Q208" s="207"/>
      <c r="R208" s="207"/>
      <c r="S208" s="207"/>
      <c r="T208" s="207"/>
      <c r="U208" s="207"/>
      <c r="V208" s="207"/>
      <c r="W208" s="207"/>
      <c r="X208" s="207"/>
      <c r="Y208" s="207"/>
      <c r="Z208" s="207"/>
      <c r="AA208" s="207"/>
      <c r="AB208" s="207"/>
      <c r="AC208" s="207"/>
      <c r="AD208" s="207"/>
      <c r="AE208" s="207"/>
      <c r="AF208" s="207"/>
      <c r="AG208" s="207"/>
      <c r="AH208" s="207"/>
      <c r="AI208" s="207"/>
      <c r="AJ208" s="207"/>
      <c r="AK208" s="207"/>
      <c r="AL208" s="207"/>
    </row>
    <row r="209">
      <c r="A209" s="207"/>
      <c r="B209" s="233"/>
      <c r="C209" s="207"/>
      <c r="D209" s="234"/>
      <c r="E209" s="207"/>
      <c r="F209" s="207"/>
      <c r="G209" s="207"/>
      <c r="H209" s="207"/>
      <c r="I209" s="207"/>
      <c r="J209" s="207"/>
      <c r="K209" s="207"/>
      <c r="L209" s="207"/>
      <c r="M209" s="207"/>
      <c r="N209" s="207"/>
      <c r="O209" s="207"/>
      <c r="P209" s="207"/>
      <c r="Q209" s="207"/>
      <c r="R209" s="207"/>
      <c r="S209" s="207"/>
      <c r="T209" s="207"/>
      <c r="U209" s="207"/>
      <c r="V209" s="207"/>
      <c r="W209" s="207"/>
      <c r="X209" s="207"/>
      <c r="Y209" s="207"/>
      <c r="Z209" s="207"/>
      <c r="AA209" s="207"/>
      <c r="AB209" s="207"/>
      <c r="AC209" s="207"/>
      <c r="AD209" s="207"/>
      <c r="AE209" s="207"/>
      <c r="AF209" s="207"/>
      <c r="AG209" s="207"/>
      <c r="AH209" s="207"/>
      <c r="AI209" s="207"/>
      <c r="AJ209" s="207"/>
      <c r="AK209" s="207"/>
      <c r="AL209" s="207"/>
    </row>
    <row r="210">
      <c r="A210" s="207"/>
      <c r="B210" s="233"/>
      <c r="C210" s="207"/>
      <c r="D210" s="234"/>
      <c r="E210" s="207"/>
      <c r="F210" s="207"/>
      <c r="G210" s="207"/>
      <c r="H210" s="207"/>
      <c r="I210" s="207"/>
      <c r="J210" s="207"/>
      <c r="K210" s="207"/>
      <c r="L210" s="207"/>
      <c r="M210" s="207"/>
      <c r="N210" s="207"/>
      <c r="O210" s="207"/>
      <c r="P210" s="207"/>
      <c r="Q210" s="207"/>
      <c r="R210" s="207"/>
      <c r="S210" s="207"/>
      <c r="T210" s="207"/>
      <c r="U210" s="207"/>
      <c r="V210" s="207"/>
      <c r="W210" s="207"/>
      <c r="X210" s="207"/>
      <c r="Y210" s="207"/>
      <c r="Z210" s="207"/>
      <c r="AA210" s="207"/>
      <c r="AB210" s="207"/>
      <c r="AC210" s="207"/>
      <c r="AD210" s="207"/>
      <c r="AE210" s="207"/>
      <c r="AF210" s="207"/>
      <c r="AG210" s="207"/>
      <c r="AH210" s="207"/>
      <c r="AI210" s="207"/>
      <c r="AJ210" s="207"/>
      <c r="AK210" s="207"/>
      <c r="AL210" s="207"/>
    </row>
    <row r="211">
      <c r="A211" s="207"/>
      <c r="B211" s="233"/>
      <c r="C211" s="207"/>
      <c r="D211" s="234"/>
      <c r="E211" s="207"/>
      <c r="F211" s="207"/>
      <c r="G211" s="207"/>
      <c r="H211" s="207"/>
      <c r="I211" s="207"/>
      <c r="J211" s="207"/>
      <c r="K211" s="207"/>
      <c r="L211" s="207"/>
      <c r="M211" s="207"/>
      <c r="N211" s="207"/>
      <c r="O211" s="207"/>
      <c r="P211" s="207"/>
      <c r="Q211" s="207"/>
      <c r="R211" s="207"/>
      <c r="S211" s="207"/>
      <c r="T211" s="207"/>
      <c r="U211" s="207"/>
      <c r="V211" s="207"/>
      <c r="W211" s="207"/>
      <c r="X211" s="207"/>
      <c r="Y211" s="207"/>
      <c r="Z211" s="207"/>
      <c r="AA211" s="207"/>
      <c r="AB211" s="207"/>
      <c r="AC211" s="207"/>
      <c r="AD211" s="207"/>
      <c r="AE211" s="207"/>
      <c r="AF211" s="207"/>
      <c r="AG211" s="207"/>
      <c r="AH211" s="207"/>
      <c r="AI211" s="207"/>
      <c r="AJ211" s="207"/>
      <c r="AK211" s="207"/>
      <c r="AL211" s="207"/>
    </row>
    <row r="212">
      <c r="A212" s="207"/>
      <c r="B212" s="233"/>
      <c r="C212" s="207"/>
      <c r="D212" s="234"/>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c r="AG212" s="207"/>
      <c r="AH212" s="207"/>
      <c r="AI212" s="207"/>
      <c r="AJ212" s="207"/>
      <c r="AK212" s="207"/>
      <c r="AL212" s="207"/>
    </row>
    <row r="213">
      <c r="A213" s="207"/>
      <c r="B213" s="233"/>
      <c r="C213" s="207"/>
      <c r="D213" s="234"/>
      <c r="E213" s="207"/>
      <c r="F213" s="207"/>
      <c r="G213" s="207"/>
      <c r="H213" s="207"/>
      <c r="I213" s="207"/>
      <c r="J213" s="207"/>
      <c r="K213" s="207"/>
      <c r="L213" s="207"/>
      <c r="M213" s="207"/>
      <c r="N213" s="207"/>
      <c r="O213" s="207"/>
      <c r="P213" s="207"/>
      <c r="Q213" s="207"/>
      <c r="R213" s="207"/>
      <c r="S213" s="207"/>
      <c r="T213" s="207"/>
      <c r="U213" s="207"/>
      <c r="V213" s="207"/>
      <c r="W213" s="207"/>
      <c r="X213" s="207"/>
      <c r="Y213" s="207"/>
      <c r="Z213" s="207"/>
      <c r="AA213" s="207"/>
      <c r="AB213" s="207"/>
      <c r="AC213" s="207"/>
      <c r="AD213" s="207"/>
      <c r="AE213" s="207"/>
      <c r="AF213" s="207"/>
      <c r="AG213" s="207"/>
      <c r="AH213" s="207"/>
      <c r="AI213" s="207"/>
      <c r="AJ213" s="207"/>
      <c r="AK213" s="207"/>
      <c r="AL213" s="207"/>
    </row>
    <row r="214">
      <c r="A214" s="207"/>
      <c r="B214" s="233"/>
      <c r="C214" s="207"/>
      <c r="D214" s="234"/>
      <c r="E214" s="207"/>
      <c r="F214" s="207"/>
      <c r="G214" s="207"/>
      <c r="H214" s="207"/>
      <c r="I214" s="207"/>
      <c r="J214" s="207"/>
      <c r="K214" s="207"/>
      <c r="L214" s="207"/>
      <c r="M214" s="207"/>
      <c r="N214" s="207"/>
      <c r="O214" s="207"/>
      <c r="P214" s="207"/>
      <c r="Q214" s="207"/>
      <c r="R214" s="207"/>
      <c r="S214" s="207"/>
      <c r="T214" s="207"/>
      <c r="U214" s="207"/>
      <c r="V214" s="207"/>
      <c r="W214" s="207"/>
      <c r="X214" s="207"/>
      <c r="Y214" s="207"/>
      <c r="Z214" s="207"/>
      <c r="AA214" s="207"/>
      <c r="AB214" s="207"/>
      <c r="AC214" s="207"/>
      <c r="AD214" s="207"/>
      <c r="AE214" s="207"/>
      <c r="AF214" s="207"/>
      <c r="AG214" s="207"/>
      <c r="AH214" s="207"/>
      <c r="AI214" s="207"/>
      <c r="AJ214" s="207"/>
      <c r="AK214" s="207"/>
      <c r="AL214" s="207"/>
    </row>
    <row r="215">
      <c r="A215" s="207"/>
      <c r="B215" s="233"/>
      <c r="C215" s="207"/>
      <c r="D215" s="234"/>
      <c r="E215" s="207"/>
      <c r="F215" s="207"/>
      <c r="G215" s="207"/>
      <c r="H215" s="207"/>
      <c r="I215" s="207"/>
      <c r="J215" s="207"/>
      <c r="K215" s="207"/>
      <c r="L215" s="207"/>
      <c r="M215" s="207"/>
      <c r="N215" s="207"/>
      <c r="O215" s="207"/>
      <c r="P215" s="207"/>
      <c r="Q215" s="207"/>
      <c r="R215" s="207"/>
      <c r="S215" s="207"/>
      <c r="T215" s="207"/>
      <c r="U215" s="207"/>
      <c r="V215" s="207"/>
      <c r="W215" s="207"/>
      <c r="X215" s="207"/>
      <c r="Y215" s="207"/>
      <c r="Z215" s="207"/>
      <c r="AA215" s="207"/>
      <c r="AB215" s="207"/>
      <c r="AC215" s="207"/>
      <c r="AD215" s="207"/>
      <c r="AE215" s="207"/>
      <c r="AF215" s="207"/>
      <c r="AG215" s="207"/>
      <c r="AH215" s="207"/>
      <c r="AI215" s="207"/>
      <c r="AJ215" s="207"/>
      <c r="AK215" s="207"/>
      <c r="AL215" s="207"/>
    </row>
    <row r="216">
      <c r="A216" s="207"/>
      <c r="B216" s="233"/>
      <c r="C216" s="207"/>
      <c r="D216" s="234"/>
      <c r="E216" s="207"/>
      <c r="F216" s="207"/>
      <c r="G216" s="207"/>
      <c r="H216" s="207"/>
      <c r="I216" s="207"/>
      <c r="J216" s="207"/>
      <c r="K216" s="207"/>
      <c r="L216" s="207"/>
      <c r="M216" s="207"/>
      <c r="N216" s="207"/>
      <c r="O216" s="207"/>
      <c r="P216" s="207"/>
      <c r="Q216" s="207"/>
      <c r="R216" s="207"/>
      <c r="S216" s="207"/>
      <c r="T216" s="207"/>
      <c r="U216" s="207"/>
      <c r="V216" s="207"/>
      <c r="W216" s="207"/>
      <c r="X216" s="207"/>
      <c r="Y216" s="207"/>
      <c r="Z216" s="207"/>
      <c r="AA216" s="207"/>
      <c r="AB216" s="207"/>
      <c r="AC216" s="207"/>
      <c r="AD216" s="207"/>
      <c r="AE216" s="207"/>
      <c r="AF216" s="207"/>
      <c r="AG216" s="207"/>
      <c r="AH216" s="207"/>
      <c r="AI216" s="207"/>
      <c r="AJ216" s="207"/>
      <c r="AK216" s="207"/>
      <c r="AL216" s="207"/>
    </row>
    <row r="217">
      <c r="A217" s="207"/>
      <c r="B217" s="233"/>
      <c r="C217" s="207"/>
      <c r="D217" s="234"/>
      <c r="E217" s="207"/>
      <c r="F217" s="207"/>
      <c r="G217" s="207"/>
      <c r="H217" s="207"/>
      <c r="I217" s="207"/>
      <c r="J217" s="207"/>
      <c r="K217" s="207"/>
      <c r="L217" s="207"/>
      <c r="M217" s="207"/>
      <c r="N217" s="207"/>
      <c r="O217" s="207"/>
      <c r="P217" s="207"/>
      <c r="Q217" s="207"/>
      <c r="R217" s="207"/>
      <c r="S217" s="207"/>
      <c r="T217" s="207"/>
      <c r="U217" s="207"/>
      <c r="V217" s="207"/>
      <c r="W217" s="207"/>
      <c r="X217" s="207"/>
      <c r="Y217" s="207"/>
      <c r="Z217" s="207"/>
      <c r="AA217" s="207"/>
      <c r="AB217" s="207"/>
      <c r="AC217" s="207"/>
      <c r="AD217" s="207"/>
      <c r="AE217" s="207"/>
      <c r="AF217" s="207"/>
      <c r="AG217" s="207"/>
      <c r="AH217" s="207"/>
      <c r="AI217" s="207"/>
      <c r="AJ217" s="207"/>
      <c r="AK217" s="207"/>
      <c r="AL217" s="207"/>
    </row>
    <row r="218">
      <c r="A218" s="207"/>
      <c r="B218" s="233"/>
      <c r="C218" s="207"/>
      <c r="D218" s="234"/>
      <c r="E218" s="207"/>
      <c r="F218" s="207"/>
      <c r="G218" s="207"/>
      <c r="H218" s="207"/>
      <c r="I218" s="207"/>
      <c r="J218" s="207"/>
      <c r="K218" s="207"/>
      <c r="L218" s="207"/>
      <c r="M218" s="207"/>
      <c r="N218" s="207"/>
      <c r="O218" s="207"/>
      <c r="P218" s="207"/>
      <c r="Q218" s="207"/>
      <c r="R218" s="207"/>
      <c r="S218" s="207"/>
      <c r="T218" s="207"/>
      <c r="U218" s="207"/>
      <c r="V218" s="207"/>
      <c r="W218" s="207"/>
      <c r="X218" s="207"/>
      <c r="Y218" s="207"/>
      <c r="Z218" s="207"/>
      <c r="AA218" s="207"/>
      <c r="AB218" s="207"/>
      <c r="AC218" s="207"/>
      <c r="AD218" s="207"/>
      <c r="AE218" s="207"/>
      <c r="AF218" s="207"/>
      <c r="AG218" s="207"/>
      <c r="AH218" s="207"/>
      <c r="AI218" s="207"/>
      <c r="AJ218" s="207"/>
      <c r="AK218" s="207"/>
      <c r="AL218" s="207"/>
    </row>
    <row r="219">
      <c r="A219" s="207"/>
      <c r="B219" s="233"/>
      <c r="C219" s="207"/>
      <c r="D219" s="234"/>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c r="AG219" s="207"/>
      <c r="AH219" s="207"/>
      <c r="AI219" s="207"/>
      <c r="AJ219" s="207"/>
      <c r="AK219" s="207"/>
      <c r="AL219" s="207"/>
    </row>
    <row r="220">
      <c r="A220" s="207"/>
      <c r="B220" s="233"/>
      <c r="C220" s="207"/>
      <c r="D220" s="234"/>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c r="AG220" s="207"/>
      <c r="AH220" s="207"/>
      <c r="AI220" s="207"/>
      <c r="AJ220" s="207"/>
      <c r="AK220" s="207"/>
      <c r="AL220" s="207"/>
    </row>
    <row r="221">
      <c r="A221" s="207"/>
      <c r="B221" s="233"/>
      <c r="C221" s="207"/>
      <c r="D221" s="234"/>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c r="AG221" s="207"/>
      <c r="AH221" s="207"/>
      <c r="AI221" s="207"/>
      <c r="AJ221" s="207"/>
      <c r="AK221" s="207"/>
      <c r="AL221" s="207"/>
    </row>
    <row r="222">
      <c r="A222" s="207"/>
      <c r="B222" s="233"/>
      <c r="C222" s="207"/>
      <c r="D222" s="234"/>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c r="AG222" s="207"/>
      <c r="AH222" s="207"/>
      <c r="AI222" s="207"/>
      <c r="AJ222" s="207"/>
      <c r="AK222" s="207"/>
      <c r="AL222" s="207"/>
    </row>
    <row r="223">
      <c r="A223" s="207"/>
      <c r="B223" s="233"/>
      <c r="C223" s="207"/>
      <c r="D223" s="234"/>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c r="AG223" s="207"/>
      <c r="AH223" s="207"/>
      <c r="AI223" s="207"/>
      <c r="AJ223" s="207"/>
      <c r="AK223" s="207"/>
      <c r="AL223" s="207"/>
    </row>
    <row r="224">
      <c r="A224" s="207"/>
      <c r="B224" s="233"/>
      <c r="C224" s="207"/>
      <c r="D224" s="234"/>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c r="AG224" s="207"/>
      <c r="AH224" s="207"/>
      <c r="AI224" s="207"/>
      <c r="AJ224" s="207"/>
      <c r="AK224" s="207"/>
      <c r="AL224" s="207"/>
    </row>
    <row r="225">
      <c r="A225" s="207"/>
      <c r="B225" s="233"/>
      <c r="C225" s="207"/>
      <c r="D225" s="234"/>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207"/>
      <c r="AH225" s="207"/>
      <c r="AI225" s="207"/>
      <c r="AJ225" s="207"/>
      <c r="AK225" s="207"/>
      <c r="AL225" s="207"/>
    </row>
    <row r="226">
      <c r="A226" s="207"/>
      <c r="B226" s="233"/>
      <c r="C226" s="207"/>
      <c r="D226" s="234"/>
      <c r="E226" s="207"/>
      <c r="F226" s="207"/>
      <c r="G226" s="207"/>
      <c r="H226" s="207"/>
      <c r="I226" s="207"/>
      <c r="J226" s="207"/>
      <c r="K226" s="207"/>
      <c r="L226" s="207"/>
      <c r="M226" s="207"/>
      <c r="N226" s="207"/>
      <c r="O226" s="207"/>
      <c r="P226" s="207"/>
      <c r="Q226" s="207"/>
      <c r="R226" s="207"/>
      <c r="S226" s="207"/>
      <c r="T226" s="207"/>
      <c r="U226" s="207"/>
      <c r="V226" s="207"/>
      <c r="W226" s="207"/>
      <c r="X226" s="207"/>
      <c r="Y226" s="207"/>
      <c r="Z226" s="207"/>
      <c r="AA226" s="207"/>
      <c r="AB226" s="207"/>
      <c r="AC226" s="207"/>
      <c r="AD226" s="207"/>
      <c r="AE226" s="207"/>
      <c r="AF226" s="207"/>
      <c r="AG226" s="207"/>
      <c r="AH226" s="207"/>
      <c r="AI226" s="207"/>
      <c r="AJ226" s="207"/>
      <c r="AK226" s="207"/>
      <c r="AL226" s="207"/>
    </row>
    <row r="227">
      <c r="A227" s="207"/>
      <c r="B227" s="233"/>
      <c r="C227" s="207"/>
      <c r="D227" s="234"/>
      <c r="E227" s="207"/>
      <c r="F227" s="207"/>
      <c r="G227" s="207"/>
      <c r="H227" s="207"/>
      <c r="I227" s="207"/>
      <c r="J227" s="207"/>
      <c r="K227" s="207"/>
      <c r="L227" s="207"/>
      <c r="M227" s="207"/>
      <c r="N227" s="207"/>
      <c r="O227" s="207"/>
      <c r="P227" s="207"/>
      <c r="Q227" s="207"/>
      <c r="R227" s="207"/>
      <c r="S227" s="207"/>
      <c r="T227" s="207"/>
      <c r="U227" s="207"/>
      <c r="V227" s="207"/>
      <c r="W227" s="207"/>
      <c r="X227" s="207"/>
      <c r="Y227" s="207"/>
      <c r="Z227" s="207"/>
      <c r="AA227" s="207"/>
      <c r="AB227" s="207"/>
      <c r="AC227" s="207"/>
      <c r="AD227" s="207"/>
      <c r="AE227" s="207"/>
      <c r="AF227" s="207"/>
      <c r="AG227" s="207"/>
      <c r="AH227" s="207"/>
      <c r="AI227" s="207"/>
      <c r="AJ227" s="207"/>
      <c r="AK227" s="207"/>
      <c r="AL227" s="207"/>
    </row>
    <row r="228">
      <c r="A228" s="207"/>
      <c r="B228" s="233"/>
      <c r="C228" s="207"/>
      <c r="D228" s="234"/>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c r="AI228" s="207"/>
      <c r="AJ228" s="207"/>
      <c r="AK228" s="207"/>
      <c r="AL228" s="207"/>
    </row>
    <row r="229">
      <c r="A229" s="207"/>
      <c r="B229" s="233"/>
      <c r="C229" s="207"/>
      <c r="D229" s="234"/>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c r="AI229" s="207"/>
      <c r="AJ229" s="207"/>
      <c r="AK229" s="207"/>
      <c r="AL229" s="207"/>
    </row>
    <row r="230">
      <c r="A230" s="207"/>
      <c r="B230" s="233"/>
      <c r="C230" s="207"/>
      <c r="D230" s="234"/>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c r="AI230" s="207"/>
      <c r="AJ230" s="207"/>
      <c r="AK230" s="207"/>
      <c r="AL230" s="207"/>
    </row>
    <row r="231">
      <c r="A231" s="207"/>
      <c r="B231" s="233"/>
      <c r="C231" s="207"/>
      <c r="D231" s="234"/>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c r="AI231" s="207"/>
      <c r="AJ231" s="207"/>
      <c r="AK231" s="207"/>
      <c r="AL231" s="207"/>
    </row>
    <row r="232">
      <c r="A232" s="207"/>
      <c r="B232" s="233"/>
      <c r="C232" s="207"/>
      <c r="D232" s="234"/>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c r="AI232" s="207"/>
      <c r="AJ232" s="207"/>
      <c r="AK232" s="207"/>
      <c r="AL232" s="207"/>
    </row>
    <row r="233">
      <c r="A233" s="207"/>
      <c r="B233" s="233"/>
      <c r="C233" s="207"/>
      <c r="D233" s="234"/>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c r="AI233" s="207"/>
      <c r="AJ233" s="207"/>
      <c r="AK233" s="207"/>
      <c r="AL233" s="207"/>
    </row>
    <row r="234">
      <c r="A234" s="207"/>
      <c r="B234" s="233"/>
      <c r="C234" s="207"/>
      <c r="D234" s="234"/>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c r="AI234" s="207"/>
      <c r="AJ234" s="207"/>
      <c r="AK234" s="207"/>
      <c r="AL234" s="207"/>
    </row>
    <row r="235">
      <c r="A235" s="207"/>
      <c r="B235" s="233"/>
      <c r="C235" s="207"/>
      <c r="D235" s="234"/>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c r="AI235" s="207"/>
      <c r="AJ235" s="207"/>
      <c r="AK235" s="207"/>
      <c r="AL235" s="207"/>
    </row>
    <row r="236">
      <c r="A236" s="207"/>
      <c r="B236" s="233"/>
      <c r="C236" s="207"/>
      <c r="D236" s="234"/>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c r="AI236" s="207"/>
      <c r="AJ236" s="207"/>
      <c r="AK236" s="207"/>
      <c r="AL236" s="207"/>
    </row>
    <row r="237">
      <c r="A237" s="207"/>
      <c r="B237" s="233"/>
      <c r="C237" s="207"/>
      <c r="D237" s="234"/>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c r="AI237" s="207"/>
      <c r="AJ237" s="207"/>
      <c r="AK237" s="207"/>
      <c r="AL237" s="207"/>
    </row>
    <row r="238">
      <c r="A238" s="207"/>
      <c r="B238" s="233"/>
      <c r="C238" s="207"/>
      <c r="D238" s="234"/>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c r="AI238" s="207"/>
      <c r="AJ238" s="207"/>
      <c r="AK238" s="207"/>
      <c r="AL238" s="207"/>
    </row>
    <row r="239">
      <c r="A239" s="207"/>
      <c r="B239" s="233"/>
      <c r="C239" s="207"/>
      <c r="D239" s="234"/>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c r="AI239" s="207"/>
      <c r="AJ239" s="207"/>
      <c r="AK239" s="207"/>
      <c r="AL239" s="207"/>
    </row>
    <row r="240">
      <c r="A240" s="207"/>
      <c r="B240" s="233"/>
      <c r="C240" s="207"/>
      <c r="D240" s="234"/>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c r="AI240" s="207"/>
      <c r="AJ240" s="207"/>
      <c r="AK240" s="207"/>
      <c r="AL240" s="207"/>
    </row>
    <row r="241">
      <c r="A241" s="207"/>
      <c r="B241" s="233"/>
      <c r="C241" s="207"/>
      <c r="D241" s="234"/>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c r="AI241" s="207"/>
      <c r="AJ241" s="207"/>
      <c r="AK241" s="207"/>
      <c r="AL241" s="207"/>
    </row>
    <row r="242">
      <c r="A242" s="207"/>
      <c r="B242" s="233"/>
      <c r="C242" s="207"/>
      <c r="D242" s="234"/>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c r="AI242" s="207"/>
      <c r="AJ242" s="207"/>
      <c r="AK242" s="207"/>
      <c r="AL242" s="207"/>
    </row>
    <row r="243">
      <c r="A243" s="207"/>
      <c r="B243" s="233"/>
      <c r="C243" s="207"/>
      <c r="D243" s="234"/>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c r="AJ243" s="207"/>
      <c r="AK243" s="207"/>
      <c r="AL243" s="207"/>
    </row>
    <row r="244">
      <c r="A244" s="207"/>
      <c r="B244" s="233"/>
      <c r="C244" s="207"/>
      <c r="D244" s="234"/>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c r="AI244" s="207"/>
      <c r="AJ244" s="207"/>
      <c r="AK244" s="207"/>
      <c r="AL244" s="207"/>
    </row>
    <row r="245">
      <c r="A245" s="207"/>
      <c r="B245" s="233"/>
      <c r="C245" s="207"/>
      <c r="D245" s="234"/>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c r="AJ245" s="207"/>
      <c r="AK245" s="207"/>
      <c r="AL245" s="207"/>
    </row>
    <row r="246">
      <c r="A246" s="207"/>
      <c r="B246" s="233"/>
      <c r="C246" s="207"/>
      <c r="D246" s="234"/>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c r="AI246" s="207"/>
      <c r="AJ246" s="207"/>
      <c r="AK246" s="207"/>
      <c r="AL246" s="207"/>
    </row>
    <row r="247">
      <c r="A247" s="207"/>
      <c r="B247" s="233"/>
      <c r="C247" s="207"/>
      <c r="D247" s="234"/>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c r="AI247" s="207"/>
      <c r="AJ247" s="207"/>
      <c r="AK247" s="207"/>
      <c r="AL247" s="207"/>
    </row>
    <row r="248">
      <c r="A248" s="207"/>
      <c r="B248" s="233"/>
      <c r="C248" s="207"/>
      <c r="D248" s="234"/>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c r="AJ248" s="207"/>
      <c r="AK248" s="207"/>
      <c r="AL248" s="207"/>
    </row>
    <row r="249">
      <c r="A249" s="207"/>
      <c r="B249" s="233"/>
      <c r="C249" s="207"/>
      <c r="D249" s="234"/>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c r="AI249" s="207"/>
      <c r="AJ249" s="207"/>
      <c r="AK249" s="207"/>
      <c r="AL249" s="207"/>
    </row>
    <row r="250">
      <c r="A250" s="207"/>
      <c r="B250" s="233"/>
      <c r="C250" s="207"/>
      <c r="D250" s="234"/>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c r="AI250" s="207"/>
      <c r="AJ250" s="207"/>
      <c r="AK250" s="207"/>
      <c r="AL250" s="207"/>
    </row>
    <row r="251">
      <c r="A251" s="207"/>
      <c r="B251" s="233"/>
      <c r="C251" s="207"/>
      <c r="D251" s="234"/>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c r="AI251" s="207"/>
      <c r="AJ251" s="207"/>
      <c r="AK251" s="207"/>
      <c r="AL251" s="207"/>
    </row>
    <row r="252">
      <c r="A252" s="207"/>
      <c r="B252" s="233"/>
      <c r="C252" s="207"/>
      <c r="D252" s="234"/>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c r="AI252" s="207"/>
      <c r="AJ252" s="207"/>
      <c r="AK252" s="207"/>
      <c r="AL252" s="207"/>
    </row>
    <row r="253">
      <c r="A253" s="207"/>
      <c r="B253" s="233"/>
      <c r="C253" s="207"/>
      <c r="D253" s="234"/>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c r="AJ253" s="207"/>
      <c r="AK253" s="207"/>
      <c r="AL253" s="207"/>
    </row>
    <row r="254">
      <c r="A254" s="207"/>
      <c r="B254" s="233"/>
      <c r="C254" s="207"/>
      <c r="D254" s="234"/>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c r="AI254" s="207"/>
      <c r="AJ254" s="207"/>
      <c r="AK254" s="207"/>
      <c r="AL254" s="207"/>
    </row>
    <row r="255">
      <c r="A255" s="207"/>
      <c r="B255" s="233"/>
      <c r="C255" s="207"/>
      <c r="D255" s="234"/>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c r="AI255" s="207"/>
      <c r="AJ255" s="207"/>
      <c r="AK255" s="207"/>
      <c r="AL255" s="207"/>
    </row>
    <row r="256">
      <c r="A256" s="207"/>
      <c r="B256" s="233"/>
      <c r="C256" s="207"/>
      <c r="D256" s="234"/>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c r="AI256" s="207"/>
      <c r="AJ256" s="207"/>
      <c r="AK256" s="207"/>
      <c r="AL256" s="207"/>
    </row>
    <row r="257">
      <c r="A257" s="207"/>
      <c r="B257" s="233"/>
      <c r="C257" s="207"/>
      <c r="D257" s="234"/>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c r="AI257" s="207"/>
      <c r="AJ257" s="207"/>
      <c r="AK257" s="207"/>
      <c r="AL257" s="207"/>
    </row>
    <row r="258">
      <c r="A258" s="207"/>
      <c r="B258" s="233"/>
      <c r="C258" s="207"/>
      <c r="D258" s="234"/>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c r="AI258" s="207"/>
      <c r="AJ258" s="207"/>
      <c r="AK258" s="207"/>
      <c r="AL258" s="207"/>
    </row>
    <row r="259">
      <c r="A259" s="207"/>
      <c r="B259" s="233"/>
      <c r="C259" s="207"/>
      <c r="D259" s="234"/>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c r="AI259" s="207"/>
      <c r="AJ259" s="207"/>
      <c r="AK259" s="207"/>
      <c r="AL259" s="207"/>
    </row>
    <row r="260">
      <c r="A260" s="207"/>
      <c r="B260" s="233"/>
      <c r="C260" s="207"/>
      <c r="D260" s="234"/>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c r="AI260" s="207"/>
      <c r="AJ260" s="207"/>
      <c r="AK260" s="207"/>
      <c r="AL260" s="207"/>
    </row>
    <row r="261">
      <c r="A261" s="207"/>
      <c r="B261" s="233"/>
      <c r="C261" s="207"/>
      <c r="D261" s="234"/>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c r="AI261" s="207"/>
      <c r="AJ261" s="207"/>
      <c r="AK261" s="207"/>
      <c r="AL261" s="207"/>
    </row>
    <row r="262">
      <c r="A262" s="207"/>
      <c r="B262" s="233"/>
      <c r="C262" s="207"/>
      <c r="D262" s="234"/>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c r="AI262" s="207"/>
      <c r="AJ262" s="207"/>
      <c r="AK262" s="207"/>
      <c r="AL262" s="207"/>
    </row>
    <row r="263">
      <c r="A263" s="207"/>
      <c r="B263" s="233"/>
      <c r="C263" s="207"/>
      <c r="D263" s="234"/>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c r="AI263" s="207"/>
      <c r="AJ263" s="207"/>
      <c r="AK263" s="207"/>
      <c r="AL263" s="207"/>
    </row>
    <row r="264">
      <c r="A264" s="207"/>
      <c r="B264" s="233"/>
      <c r="C264" s="207"/>
      <c r="D264" s="234"/>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c r="AI264" s="207"/>
      <c r="AJ264" s="207"/>
      <c r="AK264" s="207"/>
      <c r="AL264" s="207"/>
    </row>
    <row r="265">
      <c r="A265" s="207"/>
      <c r="B265" s="233"/>
      <c r="C265" s="207"/>
      <c r="D265" s="234"/>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c r="AI265" s="207"/>
      <c r="AJ265" s="207"/>
      <c r="AK265" s="207"/>
      <c r="AL265" s="207"/>
    </row>
    <row r="266">
      <c r="A266" s="207"/>
      <c r="B266" s="233"/>
      <c r="C266" s="207"/>
      <c r="D266" s="234"/>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c r="AI266" s="207"/>
      <c r="AJ266" s="207"/>
      <c r="AK266" s="207"/>
      <c r="AL266" s="207"/>
    </row>
    <row r="267">
      <c r="A267" s="207"/>
      <c r="B267" s="233"/>
      <c r="C267" s="207"/>
      <c r="D267" s="234"/>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c r="AI267" s="207"/>
      <c r="AJ267" s="207"/>
      <c r="AK267" s="207"/>
      <c r="AL267" s="207"/>
    </row>
    <row r="268">
      <c r="A268" s="207"/>
      <c r="B268" s="233"/>
      <c r="C268" s="207"/>
      <c r="D268" s="234"/>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c r="AI268" s="207"/>
      <c r="AJ268" s="207"/>
      <c r="AK268" s="207"/>
      <c r="AL268" s="207"/>
    </row>
    <row r="269">
      <c r="A269" s="207"/>
      <c r="B269" s="233"/>
      <c r="C269" s="207"/>
      <c r="D269" s="234"/>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c r="AI269" s="207"/>
      <c r="AJ269" s="207"/>
      <c r="AK269" s="207"/>
      <c r="AL269" s="207"/>
    </row>
    <row r="270">
      <c r="A270" s="207"/>
      <c r="B270" s="233"/>
      <c r="C270" s="207"/>
      <c r="D270" s="234"/>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c r="AI270" s="207"/>
      <c r="AJ270" s="207"/>
      <c r="AK270" s="207"/>
      <c r="AL270" s="207"/>
    </row>
    <row r="271">
      <c r="A271" s="207"/>
      <c r="B271" s="233"/>
      <c r="C271" s="207"/>
      <c r="D271" s="234"/>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c r="AI271" s="207"/>
      <c r="AJ271" s="207"/>
      <c r="AK271" s="207"/>
      <c r="AL271" s="207"/>
    </row>
    <row r="272">
      <c r="A272" s="207"/>
      <c r="B272" s="233"/>
      <c r="C272" s="207"/>
      <c r="D272" s="234"/>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c r="AI272" s="207"/>
      <c r="AJ272" s="207"/>
      <c r="AK272" s="207"/>
      <c r="AL272" s="207"/>
    </row>
    <row r="273">
      <c r="A273" s="207"/>
      <c r="B273" s="233"/>
      <c r="C273" s="207"/>
      <c r="D273" s="234"/>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c r="AI273" s="207"/>
      <c r="AJ273" s="207"/>
      <c r="AK273" s="207"/>
      <c r="AL273" s="207"/>
    </row>
    <row r="274">
      <c r="A274" s="207"/>
      <c r="B274" s="233"/>
      <c r="C274" s="207"/>
      <c r="D274" s="234"/>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c r="AI274" s="207"/>
      <c r="AJ274" s="207"/>
      <c r="AK274" s="207"/>
      <c r="AL274" s="207"/>
    </row>
    <row r="275">
      <c r="A275" s="207"/>
      <c r="B275" s="233"/>
      <c r="C275" s="207"/>
      <c r="D275" s="234"/>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c r="AI275" s="207"/>
      <c r="AJ275" s="207"/>
      <c r="AK275" s="207"/>
      <c r="AL275" s="207"/>
    </row>
    <row r="276">
      <c r="A276" s="207"/>
      <c r="B276" s="233"/>
      <c r="C276" s="207"/>
      <c r="D276" s="234"/>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c r="AI276" s="207"/>
      <c r="AJ276" s="207"/>
      <c r="AK276" s="207"/>
      <c r="AL276" s="207"/>
    </row>
    <row r="277">
      <c r="A277" s="207"/>
      <c r="B277" s="233"/>
      <c r="C277" s="207"/>
      <c r="D277" s="234"/>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c r="AJ277" s="207"/>
      <c r="AK277" s="207"/>
      <c r="AL277" s="207"/>
    </row>
    <row r="278">
      <c r="A278" s="207"/>
      <c r="B278" s="233"/>
      <c r="C278" s="207"/>
      <c r="D278" s="234"/>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c r="AI278" s="207"/>
      <c r="AJ278" s="207"/>
      <c r="AK278" s="207"/>
      <c r="AL278" s="207"/>
    </row>
    <row r="279">
      <c r="A279" s="207"/>
      <c r="B279" s="233"/>
      <c r="C279" s="207"/>
      <c r="D279" s="234"/>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c r="AJ279" s="207"/>
      <c r="AK279" s="207"/>
      <c r="AL279" s="207"/>
    </row>
    <row r="280">
      <c r="A280" s="207"/>
      <c r="B280" s="233"/>
      <c r="C280" s="207"/>
      <c r="D280" s="234"/>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c r="AI280" s="207"/>
      <c r="AJ280" s="207"/>
      <c r="AK280" s="207"/>
      <c r="AL280" s="207"/>
    </row>
    <row r="281">
      <c r="A281" s="207"/>
      <c r="B281" s="233"/>
      <c r="C281" s="207"/>
      <c r="D281" s="234"/>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c r="AI281" s="207"/>
      <c r="AJ281" s="207"/>
      <c r="AK281" s="207"/>
      <c r="AL281" s="207"/>
    </row>
    <row r="282">
      <c r="A282" s="207"/>
      <c r="B282" s="233"/>
      <c r="C282" s="207"/>
      <c r="D282" s="234"/>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c r="AJ282" s="207"/>
      <c r="AK282" s="207"/>
      <c r="AL282" s="207"/>
    </row>
    <row r="283">
      <c r="A283" s="207"/>
      <c r="B283" s="233"/>
      <c r="C283" s="207"/>
      <c r="D283" s="234"/>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c r="AI283" s="207"/>
      <c r="AJ283" s="207"/>
      <c r="AK283" s="207"/>
      <c r="AL283" s="207"/>
    </row>
    <row r="284">
      <c r="A284" s="207"/>
      <c r="B284" s="233"/>
      <c r="C284" s="207"/>
      <c r="D284" s="234"/>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c r="AI284" s="207"/>
      <c r="AJ284" s="207"/>
      <c r="AK284" s="207"/>
      <c r="AL284" s="207"/>
    </row>
    <row r="285">
      <c r="A285" s="207"/>
      <c r="B285" s="233"/>
      <c r="C285" s="207"/>
      <c r="D285" s="234"/>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c r="AI285" s="207"/>
      <c r="AJ285" s="207"/>
      <c r="AK285" s="207"/>
      <c r="AL285" s="207"/>
    </row>
    <row r="286">
      <c r="A286" s="207"/>
      <c r="B286" s="233"/>
      <c r="C286" s="207"/>
      <c r="D286" s="234"/>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c r="AI286" s="207"/>
      <c r="AJ286" s="207"/>
      <c r="AK286" s="207"/>
      <c r="AL286" s="207"/>
    </row>
    <row r="287">
      <c r="A287" s="207"/>
      <c r="B287" s="233"/>
      <c r="C287" s="207"/>
      <c r="D287" s="234"/>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c r="AI287" s="207"/>
      <c r="AJ287" s="207"/>
      <c r="AK287" s="207"/>
      <c r="AL287" s="207"/>
    </row>
    <row r="288">
      <c r="A288" s="207"/>
      <c r="B288" s="233"/>
      <c r="C288" s="207"/>
      <c r="D288" s="234"/>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c r="AI288" s="207"/>
      <c r="AJ288" s="207"/>
      <c r="AK288" s="207"/>
      <c r="AL288" s="207"/>
    </row>
    <row r="289">
      <c r="A289" s="207"/>
      <c r="B289" s="233"/>
      <c r="C289" s="207"/>
      <c r="D289" s="234"/>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c r="AI289" s="207"/>
      <c r="AJ289" s="207"/>
      <c r="AK289" s="207"/>
      <c r="AL289" s="207"/>
    </row>
    <row r="290">
      <c r="A290" s="207"/>
      <c r="B290" s="233"/>
      <c r="C290" s="207"/>
      <c r="D290" s="234"/>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c r="AI290" s="207"/>
      <c r="AJ290" s="207"/>
      <c r="AK290" s="207"/>
      <c r="AL290" s="207"/>
    </row>
    <row r="291">
      <c r="A291" s="207"/>
      <c r="B291" s="233"/>
      <c r="C291" s="207"/>
      <c r="D291" s="234"/>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c r="AJ291" s="207"/>
      <c r="AK291" s="207"/>
      <c r="AL291" s="207"/>
    </row>
    <row r="292">
      <c r="A292" s="207"/>
      <c r="B292" s="233"/>
      <c r="C292" s="207"/>
      <c r="D292" s="234"/>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c r="AI292" s="207"/>
      <c r="AJ292" s="207"/>
      <c r="AK292" s="207"/>
      <c r="AL292" s="207"/>
    </row>
    <row r="293">
      <c r="A293" s="207"/>
      <c r="B293" s="233"/>
      <c r="C293" s="207"/>
      <c r="D293" s="234"/>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c r="AI293" s="207"/>
      <c r="AJ293" s="207"/>
      <c r="AK293" s="207"/>
      <c r="AL293" s="207"/>
    </row>
    <row r="294">
      <c r="A294" s="207"/>
      <c r="B294" s="233"/>
      <c r="C294" s="207"/>
      <c r="D294" s="234"/>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c r="AI294" s="207"/>
      <c r="AJ294" s="207"/>
      <c r="AK294" s="207"/>
      <c r="AL294" s="207"/>
    </row>
    <row r="295">
      <c r="A295" s="207"/>
      <c r="B295" s="233"/>
      <c r="C295" s="207"/>
      <c r="D295" s="234"/>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c r="AI295" s="207"/>
      <c r="AJ295" s="207"/>
      <c r="AK295" s="207"/>
      <c r="AL295" s="207"/>
    </row>
    <row r="296">
      <c r="A296" s="207"/>
      <c r="B296" s="233"/>
      <c r="C296" s="207"/>
      <c r="D296" s="234"/>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c r="AJ296" s="207"/>
      <c r="AK296" s="207"/>
      <c r="AL296" s="207"/>
    </row>
    <row r="297">
      <c r="A297" s="207"/>
      <c r="B297" s="233"/>
      <c r="C297" s="207"/>
      <c r="D297" s="234"/>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c r="AJ297" s="207"/>
      <c r="AK297" s="207"/>
      <c r="AL297" s="207"/>
    </row>
    <row r="298">
      <c r="A298" s="207"/>
      <c r="B298" s="233"/>
      <c r="C298" s="207"/>
      <c r="D298" s="234"/>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c r="AJ298" s="207"/>
      <c r="AK298" s="207"/>
      <c r="AL298" s="207"/>
    </row>
    <row r="299">
      <c r="A299" s="207"/>
      <c r="B299" s="233"/>
      <c r="C299" s="207"/>
      <c r="D299" s="234"/>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c r="AJ299" s="207"/>
      <c r="AK299" s="207"/>
      <c r="AL299" s="207"/>
    </row>
    <row r="300">
      <c r="A300" s="207"/>
      <c r="B300" s="233"/>
      <c r="C300" s="207"/>
      <c r="D300" s="234"/>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c r="AJ300" s="207"/>
      <c r="AK300" s="207"/>
      <c r="AL300" s="207"/>
    </row>
    <row r="301">
      <c r="A301" s="207"/>
      <c r="B301" s="233"/>
      <c r="C301" s="207"/>
      <c r="D301" s="234"/>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c r="AJ301" s="207"/>
      <c r="AK301" s="207"/>
      <c r="AL301" s="207"/>
    </row>
    <row r="302">
      <c r="A302" s="207"/>
      <c r="B302" s="233"/>
      <c r="C302" s="207"/>
      <c r="D302" s="234"/>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c r="AJ302" s="207"/>
      <c r="AK302" s="207"/>
      <c r="AL302" s="207"/>
    </row>
    <row r="303">
      <c r="A303" s="207"/>
      <c r="B303" s="233"/>
      <c r="C303" s="207"/>
      <c r="D303" s="234"/>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c r="AJ303" s="207"/>
      <c r="AK303" s="207"/>
      <c r="AL303" s="207"/>
    </row>
    <row r="304">
      <c r="A304" s="207"/>
      <c r="B304" s="233"/>
      <c r="C304" s="207"/>
      <c r="D304" s="234"/>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c r="AJ304" s="207"/>
      <c r="AK304" s="207"/>
      <c r="AL304" s="207"/>
    </row>
    <row r="305">
      <c r="A305" s="207"/>
      <c r="B305" s="233"/>
      <c r="C305" s="207"/>
      <c r="D305" s="234"/>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c r="AJ305" s="207"/>
      <c r="AK305" s="207"/>
      <c r="AL305" s="207"/>
    </row>
    <row r="306">
      <c r="A306" s="207"/>
      <c r="B306" s="233"/>
      <c r="C306" s="207"/>
      <c r="D306" s="234"/>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c r="AJ306" s="207"/>
      <c r="AK306" s="207"/>
      <c r="AL306" s="207"/>
    </row>
    <row r="307">
      <c r="A307" s="207"/>
      <c r="B307" s="233"/>
      <c r="C307" s="207"/>
      <c r="D307" s="234"/>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c r="AJ307" s="207"/>
      <c r="AK307" s="207"/>
      <c r="AL307" s="207"/>
    </row>
    <row r="308">
      <c r="A308" s="207"/>
      <c r="B308" s="233"/>
      <c r="C308" s="207"/>
      <c r="D308" s="234"/>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c r="AJ308" s="207"/>
      <c r="AK308" s="207"/>
      <c r="AL308" s="207"/>
    </row>
    <row r="309">
      <c r="A309" s="207"/>
      <c r="B309" s="233"/>
      <c r="C309" s="207"/>
      <c r="D309" s="234"/>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c r="AJ309" s="207"/>
      <c r="AK309" s="207"/>
      <c r="AL309" s="207"/>
    </row>
    <row r="310">
      <c r="A310" s="207"/>
      <c r="B310" s="233"/>
      <c r="C310" s="207"/>
      <c r="D310" s="234"/>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c r="AJ310" s="207"/>
      <c r="AK310" s="207"/>
      <c r="AL310" s="207"/>
    </row>
    <row r="311">
      <c r="A311" s="207"/>
      <c r="B311" s="233"/>
      <c r="C311" s="207"/>
      <c r="D311" s="234"/>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c r="AJ311" s="207"/>
      <c r="AK311" s="207"/>
      <c r="AL311" s="207"/>
    </row>
    <row r="312">
      <c r="A312" s="207"/>
      <c r="B312" s="233"/>
      <c r="C312" s="207"/>
      <c r="D312" s="234"/>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c r="AJ312" s="207"/>
      <c r="AK312" s="207"/>
      <c r="AL312" s="207"/>
    </row>
    <row r="313">
      <c r="A313" s="207"/>
      <c r="B313" s="233"/>
      <c r="C313" s="207"/>
      <c r="D313" s="234"/>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c r="AI313" s="207"/>
      <c r="AJ313" s="207"/>
      <c r="AK313" s="207"/>
      <c r="AL313" s="207"/>
    </row>
    <row r="314">
      <c r="A314" s="207"/>
      <c r="B314" s="233"/>
      <c r="C314" s="207"/>
      <c r="D314" s="234"/>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c r="AI314" s="207"/>
      <c r="AJ314" s="207"/>
      <c r="AK314" s="207"/>
      <c r="AL314" s="207"/>
    </row>
    <row r="315">
      <c r="A315" s="207"/>
      <c r="B315" s="233"/>
      <c r="C315" s="207"/>
      <c r="D315" s="234"/>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c r="AI315" s="207"/>
      <c r="AJ315" s="207"/>
      <c r="AK315" s="207"/>
      <c r="AL315" s="207"/>
    </row>
    <row r="316">
      <c r="A316" s="207"/>
      <c r="B316" s="233"/>
      <c r="C316" s="207"/>
      <c r="D316" s="234"/>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c r="AI316" s="207"/>
      <c r="AJ316" s="207"/>
      <c r="AK316" s="207"/>
      <c r="AL316" s="207"/>
    </row>
    <row r="317">
      <c r="A317" s="207"/>
      <c r="B317" s="233"/>
      <c r="C317" s="207"/>
      <c r="D317" s="234"/>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c r="AI317" s="207"/>
      <c r="AJ317" s="207"/>
      <c r="AK317" s="207"/>
      <c r="AL317" s="207"/>
    </row>
    <row r="318">
      <c r="A318" s="207"/>
      <c r="B318" s="233"/>
      <c r="C318" s="207"/>
      <c r="D318" s="234"/>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c r="AI318" s="207"/>
      <c r="AJ318" s="207"/>
      <c r="AK318" s="207"/>
      <c r="AL318" s="207"/>
    </row>
    <row r="319">
      <c r="A319" s="207"/>
      <c r="B319" s="233"/>
      <c r="C319" s="207"/>
      <c r="D319" s="234"/>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c r="AI319" s="207"/>
      <c r="AJ319" s="207"/>
      <c r="AK319" s="207"/>
      <c r="AL319" s="207"/>
    </row>
    <row r="320">
      <c r="A320" s="207"/>
      <c r="B320" s="233"/>
      <c r="C320" s="207"/>
      <c r="D320" s="234"/>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c r="AI320" s="207"/>
      <c r="AJ320" s="207"/>
      <c r="AK320" s="207"/>
      <c r="AL320" s="207"/>
    </row>
    <row r="321">
      <c r="A321" s="207"/>
      <c r="B321" s="233"/>
      <c r="C321" s="207"/>
      <c r="D321" s="234"/>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c r="AI321" s="207"/>
      <c r="AJ321" s="207"/>
      <c r="AK321" s="207"/>
      <c r="AL321" s="207"/>
    </row>
    <row r="322">
      <c r="A322" s="207"/>
      <c r="B322" s="233"/>
      <c r="C322" s="207"/>
      <c r="D322" s="234"/>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c r="AI322" s="207"/>
      <c r="AJ322" s="207"/>
      <c r="AK322" s="207"/>
      <c r="AL322" s="207"/>
    </row>
    <row r="323">
      <c r="A323" s="207"/>
      <c r="B323" s="233"/>
      <c r="C323" s="207"/>
      <c r="D323" s="234"/>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c r="AI323" s="207"/>
      <c r="AJ323" s="207"/>
      <c r="AK323" s="207"/>
      <c r="AL323" s="207"/>
    </row>
    <row r="324">
      <c r="A324" s="207"/>
      <c r="B324" s="233"/>
      <c r="C324" s="207"/>
      <c r="D324" s="234"/>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c r="AI324" s="207"/>
      <c r="AJ324" s="207"/>
      <c r="AK324" s="207"/>
      <c r="AL324" s="207"/>
    </row>
    <row r="325">
      <c r="A325" s="207"/>
      <c r="B325" s="233"/>
      <c r="C325" s="207"/>
      <c r="D325" s="234"/>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c r="AI325" s="207"/>
      <c r="AJ325" s="207"/>
      <c r="AK325" s="207"/>
      <c r="AL325" s="207"/>
    </row>
    <row r="326">
      <c r="A326" s="207"/>
      <c r="B326" s="233"/>
      <c r="C326" s="207"/>
      <c r="D326" s="234"/>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c r="AI326" s="207"/>
      <c r="AJ326" s="207"/>
      <c r="AK326" s="207"/>
      <c r="AL326" s="207"/>
    </row>
    <row r="327">
      <c r="A327" s="207"/>
      <c r="B327" s="233"/>
      <c r="C327" s="207"/>
      <c r="D327" s="234"/>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c r="AI327" s="207"/>
      <c r="AJ327" s="207"/>
      <c r="AK327" s="207"/>
      <c r="AL327" s="207"/>
    </row>
    <row r="328">
      <c r="A328" s="207"/>
      <c r="B328" s="233"/>
      <c r="C328" s="207"/>
      <c r="D328" s="234"/>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c r="AI328" s="207"/>
      <c r="AJ328" s="207"/>
      <c r="AK328" s="207"/>
      <c r="AL328" s="207"/>
    </row>
    <row r="329">
      <c r="A329" s="207"/>
      <c r="B329" s="233"/>
      <c r="C329" s="207"/>
      <c r="D329" s="234"/>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c r="AI329" s="207"/>
      <c r="AJ329" s="207"/>
      <c r="AK329" s="207"/>
      <c r="AL329" s="207"/>
    </row>
    <row r="330">
      <c r="A330" s="207"/>
      <c r="B330" s="233"/>
      <c r="C330" s="207"/>
      <c r="D330" s="234"/>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c r="AI330" s="207"/>
      <c r="AJ330" s="207"/>
      <c r="AK330" s="207"/>
      <c r="AL330" s="207"/>
    </row>
    <row r="331">
      <c r="A331" s="207"/>
      <c r="B331" s="233"/>
      <c r="C331" s="207"/>
      <c r="D331" s="234"/>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c r="AI331" s="207"/>
      <c r="AJ331" s="207"/>
      <c r="AK331" s="207"/>
      <c r="AL331" s="207"/>
    </row>
    <row r="332">
      <c r="A332" s="207"/>
      <c r="B332" s="233"/>
      <c r="C332" s="207"/>
      <c r="D332" s="234"/>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c r="AI332" s="207"/>
      <c r="AJ332" s="207"/>
      <c r="AK332" s="207"/>
      <c r="AL332" s="207"/>
    </row>
    <row r="333">
      <c r="A333" s="207"/>
      <c r="B333" s="233"/>
      <c r="C333" s="207"/>
      <c r="D333" s="234"/>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c r="AI333" s="207"/>
      <c r="AJ333" s="207"/>
      <c r="AK333" s="207"/>
      <c r="AL333" s="207"/>
    </row>
    <row r="334">
      <c r="A334" s="207"/>
      <c r="B334" s="233"/>
      <c r="C334" s="207"/>
      <c r="D334" s="234"/>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c r="AI334" s="207"/>
      <c r="AJ334" s="207"/>
      <c r="AK334" s="207"/>
      <c r="AL334" s="207"/>
    </row>
    <row r="335">
      <c r="A335" s="207"/>
      <c r="B335" s="233"/>
      <c r="C335" s="207"/>
      <c r="D335" s="234"/>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c r="AI335" s="207"/>
      <c r="AJ335" s="207"/>
      <c r="AK335" s="207"/>
      <c r="AL335" s="207"/>
    </row>
    <row r="336">
      <c r="A336" s="207"/>
      <c r="B336" s="233"/>
      <c r="C336" s="207"/>
      <c r="D336" s="234"/>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c r="AI336" s="207"/>
      <c r="AJ336" s="207"/>
      <c r="AK336" s="207"/>
      <c r="AL336" s="207"/>
    </row>
    <row r="337">
      <c r="A337" s="207"/>
      <c r="B337" s="233"/>
      <c r="C337" s="207"/>
      <c r="D337" s="234"/>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c r="AI337" s="207"/>
      <c r="AJ337" s="207"/>
      <c r="AK337" s="207"/>
      <c r="AL337" s="207"/>
    </row>
    <row r="338">
      <c r="A338" s="207"/>
      <c r="B338" s="233"/>
      <c r="C338" s="207"/>
      <c r="D338" s="234"/>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c r="AI338" s="207"/>
      <c r="AJ338" s="207"/>
      <c r="AK338" s="207"/>
      <c r="AL338" s="207"/>
    </row>
    <row r="339">
      <c r="A339" s="207"/>
      <c r="B339" s="233"/>
      <c r="C339" s="207"/>
      <c r="D339" s="234"/>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c r="AJ339" s="207"/>
      <c r="AK339" s="207"/>
      <c r="AL339" s="207"/>
    </row>
    <row r="340">
      <c r="A340" s="207"/>
      <c r="B340" s="233"/>
      <c r="C340" s="207"/>
      <c r="D340" s="234"/>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c r="AI340" s="207"/>
      <c r="AJ340" s="207"/>
      <c r="AK340" s="207"/>
      <c r="AL340" s="207"/>
    </row>
    <row r="341">
      <c r="A341" s="207"/>
      <c r="B341" s="233"/>
      <c r="C341" s="207"/>
      <c r="D341" s="234"/>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c r="AI341" s="207"/>
      <c r="AJ341" s="207"/>
      <c r="AK341" s="207"/>
      <c r="AL341" s="207"/>
    </row>
    <row r="342">
      <c r="A342" s="207"/>
      <c r="B342" s="233"/>
      <c r="C342" s="207"/>
      <c r="D342" s="234"/>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c r="AI342" s="207"/>
      <c r="AJ342" s="207"/>
      <c r="AK342" s="207"/>
      <c r="AL342" s="207"/>
    </row>
    <row r="343">
      <c r="A343" s="207"/>
      <c r="B343" s="233"/>
      <c r="C343" s="207"/>
      <c r="D343" s="234"/>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c r="AI343" s="207"/>
      <c r="AJ343" s="207"/>
      <c r="AK343" s="207"/>
      <c r="AL343" s="207"/>
    </row>
    <row r="344">
      <c r="A344" s="207"/>
      <c r="B344" s="233"/>
      <c r="C344" s="207"/>
      <c r="D344" s="234"/>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c r="AI344" s="207"/>
      <c r="AJ344" s="207"/>
      <c r="AK344" s="207"/>
      <c r="AL344" s="207"/>
    </row>
    <row r="345">
      <c r="A345" s="207"/>
      <c r="B345" s="233"/>
      <c r="C345" s="207"/>
      <c r="D345" s="234"/>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c r="AI345" s="207"/>
      <c r="AJ345" s="207"/>
      <c r="AK345" s="207"/>
      <c r="AL345" s="207"/>
    </row>
    <row r="346">
      <c r="A346" s="207"/>
      <c r="B346" s="233"/>
      <c r="C346" s="207"/>
      <c r="D346" s="234"/>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c r="AI346" s="207"/>
      <c r="AJ346" s="207"/>
      <c r="AK346" s="207"/>
      <c r="AL346" s="207"/>
    </row>
    <row r="347">
      <c r="A347" s="207"/>
      <c r="B347" s="233"/>
      <c r="C347" s="207"/>
      <c r="D347" s="234"/>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c r="AI347" s="207"/>
      <c r="AJ347" s="207"/>
      <c r="AK347" s="207"/>
      <c r="AL347" s="207"/>
    </row>
    <row r="348">
      <c r="A348" s="207"/>
      <c r="B348" s="233"/>
      <c r="C348" s="207"/>
      <c r="D348" s="234"/>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c r="AI348" s="207"/>
      <c r="AJ348" s="207"/>
      <c r="AK348" s="207"/>
      <c r="AL348" s="207"/>
    </row>
    <row r="349">
      <c r="A349" s="207"/>
      <c r="B349" s="233"/>
      <c r="C349" s="207"/>
      <c r="D349" s="234"/>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c r="AI349" s="207"/>
      <c r="AJ349" s="207"/>
      <c r="AK349" s="207"/>
      <c r="AL349" s="207"/>
    </row>
    <row r="350">
      <c r="A350" s="207"/>
      <c r="B350" s="233"/>
      <c r="C350" s="207"/>
      <c r="D350" s="234"/>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c r="AI350" s="207"/>
      <c r="AJ350" s="207"/>
      <c r="AK350" s="207"/>
      <c r="AL350" s="207"/>
    </row>
    <row r="351">
      <c r="A351" s="207"/>
      <c r="B351" s="233"/>
      <c r="C351" s="207"/>
      <c r="D351" s="234"/>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c r="AI351" s="207"/>
      <c r="AJ351" s="207"/>
      <c r="AK351" s="207"/>
      <c r="AL351" s="207"/>
    </row>
    <row r="352">
      <c r="A352" s="207"/>
      <c r="B352" s="233"/>
      <c r="C352" s="207"/>
      <c r="D352" s="234"/>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c r="AI352" s="207"/>
      <c r="AJ352" s="207"/>
      <c r="AK352" s="207"/>
      <c r="AL352" s="207"/>
    </row>
    <row r="353">
      <c r="A353" s="207"/>
      <c r="B353" s="233"/>
      <c r="C353" s="207"/>
      <c r="D353" s="234"/>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c r="AI353" s="207"/>
      <c r="AJ353" s="207"/>
      <c r="AK353" s="207"/>
      <c r="AL353" s="207"/>
    </row>
    <row r="354">
      <c r="A354" s="207"/>
      <c r="B354" s="233"/>
      <c r="C354" s="207"/>
      <c r="D354" s="234"/>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c r="AI354" s="207"/>
      <c r="AJ354" s="207"/>
      <c r="AK354" s="207"/>
      <c r="AL354" s="207"/>
    </row>
    <row r="355">
      <c r="A355" s="207"/>
      <c r="B355" s="233"/>
      <c r="C355" s="207"/>
      <c r="D355" s="234"/>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c r="AI355" s="207"/>
      <c r="AJ355" s="207"/>
      <c r="AK355" s="207"/>
      <c r="AL355" s="207"/>
    </row>
    <row r="356">
      <c r="A356" s="207"/>
      <c r="B356" s="233"/>
      <c r="C356" s="207"/>
      <c r="D356" s="234"/>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c r="AI356" s="207"/>
      <c r="AJ356" s="207"/>
      <c r="AK356" s="207"/>
      <c r="AL356" s="207"/>
    </row>
    <row r="357">
      <c r="A357" s="207"/>
      <c r="B357" s="233"/>
      <c r="C357" s="207"/>
      <c r="D357" s="234"/>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c r="AI357" s="207"/>
      <c r="AJ357" s="207"/>
      <c r="AK357" s="207"/>
      <c r="AL357" s="207"/>
    </row>
    <row r="358">
      <c r="A358" s="207"/>
      <c r="B358" s="233"/>
      <c r="C358" s="207"/>
      <c r="D358" s="234"/>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c r="AI358" s="207"/>
      <c r="AJ358" s="207"/>
      <c r="AK358" s="207"/>
      <c r="AL358" s="207"/>
    </row>
    <row r="359">
      <c r="A359" s="207"/>
      <c r="B359" s="233"/>
      <c r="C359" s="207"/>
      <c r="D359" s="234"/>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c r="AI359" s="207"/>
      <c r="AJ359" s="207"/>
      <c r="AK359" s="207"/>
      <c r="AL359" s="207"/>
    </row>
    <row r="360">
      <c r="A360" s="207"/>
      <c r="B360" s="233"/>
      <c r="C360" s="207"/>
      <c r="D360" s="234"/>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c r="AI360" s="207"/>
      <c r="AJ360" s="207"/>
      <c r="AK360" s="207"/>
      <c r="AL360" s="207"/>
    </row>
    <row r="361">
      <c r="A361" s="207"/>
      <c r="B361" s="233"/>
      <c r="C361" s="207"/>
      <c r="D361" s="234"/>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c r="AI361" s="207"/>
      <c r="AJ361" s="207"/>
      <c r="AK361" s="207"/>
      <c r="AL361" s="207"/>
    </row>
    <row r="362">
      <c r="A362" s="207"/>
      <c r="B362" s="233"/>
      <c r="C362" s="207"/>
      <c r="D362" s="234"/>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c r="AI362" s="207"/>
      <c r="AJ362" s="207"/>
      <c r="AK362" s="207"/>
      <c r="AL362" s="207"/>
    </row>
    <row r="363">
      <c r="A363" s="207"/>
      <c r="B363" s="233"/>
      <c r="C363" s="207"/>
      <c r="D363" s="234"/>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c r="AI363" s="207"/>
      <c r="AJ363" s="207"/>
      <c r="AK363" s="207"/>
      <c r="AL363" s="207"/>
    </row>
    <row r="364">
      <c r="A364" s="207"/>
      <c r="B364" s="233"/>
      <c r="C364" s="207"/>
      <c r="D364" s="234"/>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c r="AI364" s="207"/>
      <c r="AJ364" s="207"/>
      <c r="AK364" s="207"/>
      <c r="AL364" s="207"/>
    </row>
    <row r="365">
      <c r="A365" s="207"/>
      <c r="B365" s="233"/>
      <c r="C365" s="207"/>
      <c r="D365" s="234"/>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c r="AI365" s="207"/>
      <c r="AJ365" s="207"/>
      <c r="AK365" s="207"/>
      <c r="AL365" s="207"/>
    </row>
    <row r="366">
      <c r="A366" s="207"/>
      <c r="B366" s="233"/>
      <c r="C366" s="207"/>
      <c r="D366" s="234"/>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c r="AI366" s="207"/>
      <c r="AJ366" s="207"/>
      <c r="AK366" s="207"/>
      <c r="AL366" s="207"/>
    </row>
    <row r="367">
      <c r="A367" s="207"/>
      <c r="B367" s="233"/>
      <c r="C367" s="207"/>
      <c r="D367" s="234"/>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c r="AI367" s="207"/>
      <c r="AJ367" s="207"/>
      <c r="AK367" s="207"/>
      <c r="AL367" s="207"/>
    </row>
    <row r="368">
      <c r="A368" s="207"/>
      <c r="B368" s="233"/>
      <c r="C368" s="207"/>
      <c r="D368" s="234"/>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c r="AI368" s="207"/>
      <c r="AJ368" s="207"/>
      <c r="AK368" s="207"/>
      <c r="AL368" s="207"/>
    </row>
    <row r="369">
      <c r="A369" s="207"/>
      <c r="B369" s="233"/>
      <c r="C369" s="207"/>
      <c r="D369" s="234"/>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c r="AI369" s="207"/>
      <c r="AJ369" s="207"/>
      <c r="AK369" s="207"/>
      <c r="AL369" s="207"/>
    </row>
    <row r="370">
      <c r="A370" s="207"/>
      <c r="B370" s="233"/>
      <c r="C370" s="207"/>
      <c r="D370" s="234"/>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c r="AI370" s="207"/>
      <c r="AJ370" s="207"/>
      <c r="AK370" s="207"/>
      <c r="AL370" s="207"/>
    </row>
    <row r="371">
      <c r="A371" s="207"/>
      <c r="B371" s="233"/>
      <c r="C371" s="207"/>
      <c r="D371" s="234"/>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c r="AI371" s="207"/>
      <c r="AJ371" s="207"/>
      <c r="AK371" s="207"/>
      <c r="AL371" s="207"/>
    </row>
    <row r="372">
      <c r="A372" s="207"/>
      <c r="B372" s="233"/>
      <c r="C372" s="207"/>
      <c r="D372" s="234"/>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c r="AI372" s="207"/>
      <c r="AJ372" s="207"/>
      <c r="AK372" s="207"/>
      <c r="AL372" s="207"/>
    </row>
    <row r="373">
      <c r="A373" s="207"/>
      <c r="B373" s="233"/>
      <c r="C373" s="207"/>
      <c r="D373" s="234"/>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c r="AI373" s="207"/>
      <c r="AJ373" s="207"/>
      <c r="AK373" s="207"/>
      <c r="AL373" s="207"/>
    </row>
    <row r="374">
      <c r="A374" s="207"/>
      <c r="B374" s="233"/>
      <c r="C374" s="207"/>
      <c r="D374" s="234"/>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c r="AI374" s="207"/>
      <c r="AJ374" s="207"/>
      <c r="AK374" s="207"/>
      <c r="AL374" s="207"/>
    </row>
    <row r="375">
      <c r="A375" s="207"/>
      <c r="B375" s="233"/>
      <c r="C375" s="207"/>
      <c r="D375" s="234"/>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c r="AI375" s="207"/>
      <c r="AJ375" s="207"/>
      <c r="AK375" s="207"/>
      <c r="AL375" s="207"/>
    </row>
    <row r="376">
      <c r="A376" s="207"/>
      <c r="B376" s="233"/>
      <c r="C376" s="207"/>
      <c r="D376" s="234"/>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c r="AI376" s="207"/>
      <c r="AJ376" s="207"/>
      <c r="AK376" s="207"/>
      <c r="AL376" s="207"/>
    </row>
    <row r="377">
      <c r="A377" s="207"/>
      <c r="B377" s="233"/>
      <c r="C377" s="207"/>
      <c r="D377" s="234"/>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c r="AI377" s="207"/>
      <c r="AJ377" s="207"/>
      <c r="AK377" s="207"/>
      <c r="AL377" s="207"/>
    </row>
    <row r="378">
      <c r="A378" s="207"/>
      <c r="B378" s="233"/>
      <c r="C378" s="207"/>
      <c r="D378" s="234"/>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c r="AI378" s="207"/>
      <c r="AJ378" s="207"/>
      <c r="AK378" s="207"/>
      <c r="AL378" s="207"/>
    </row>
    <row r="379">
      <c r="A379" s="207"/>
      <c r="B379" s="233"/>
      <c r="C379" s="207"/>
      <c r="D379" s="234"/>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c r="AI379" s="207"/>
      <c r="AJ379" s="207"/>
      <c r="AK379" s="207"/>
      <c r="AL379" s="207"/>
    </row>
    <row r="380">
      <c r="A380" s="207"/>
      <c r="B380" s="233"/>
      <c r="C380" s="207"/>
      <c r="D380" s="234"/>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c r="AJ380" s="207"/>
      <c r="AK380" s="207"/>
      <c r="AL380" s="207"/>
    </row>
    <row r="381">
      <c r="A381" s="207"/>
      <c r="B381" s="233"/>
      <c r="C381" s="207"/>
      <c r="D381" s="234"/>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c r="AI381" s="207"/>
      <c r="AJ381" s="207"/>
      <c r="AK381" s="207"/>
      <c r="AL381" s="207"/>
    </row>
    <row r="382">
      <c r="A382" s="207"/>
      <c r="B382" s="233"/>
      <c r="C382" s="207"/>
      <c r="D382" s="234"/>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c r="AI382" s="207"/>
      <c r="AJ382" s="207"/>
      <c r="AK382" s="207"/>
      <c r="AL382" s="207"/>
    </row>
    <row r="383">
      <c r="A383" s="207"/>
      <c r="B383" s="233"/>
      <c r="C383" s="207"/>
      <c r="D383" s="234"/>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c r="AJ383" s="207"/>
      <c r="AK383" s="207"/>
      <c r="AL383" s="207"/>
    </row>
    <row r="384">
      <c r="A384" s="207"/>
      <c r="B384" s="233"/>
      <c r="C384" s="207"/>
      <c r="D384" s="234"/>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c r="AI384" s="207"/>
      <c r="AJ384" s="207"/>
      <c r="AK384" s="207"/>
      <c r="AL384" s="207"/>
    </row>
    <row r="385">
      <c r="A385" s="207"/>
      <c r="B385" s="233"/>
      <c r="C385" s="207"/>
      <c r="D385" s="234"/>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c r="AI385" s="207"/>
      <c r="AJ385" s="207"/>
      <c r="AK385" s="207"/>
      <c r="AL385" s="207"/>
    </row>
    <row r="386">
      <c r="A386" s="207"/>
      <c r="B386" s="233"/>
      <c r="C386" s="207"/>
      <c r="D386" s="234"/>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c r="AI386" s="207"/>
      <c r="AJ386" s="207"/>
      <c r="AK386" s="207"/>
      <c r="AL386" s="207"/>
    </row>
    <row r="387">
      <c r="A387" s="207"/>
      <c r="B387" s="233"/>
      <c r="C387" s="207"/>
      <c r="D387" s="234"/>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c r="AJ387" s="207"/>
      <c r="AK387" s="207"/>
      <c r="AL387" s="207"/>
    </row>
    <row r="388">
      <c r="A388" s="207"/>
      <c r="B388" s="233"/>
      <c r="C388" s="207"/>
      <c r="D388" s="234"/>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c r="AI388" s="207"/>
      <c r="AJ388" s="207"/>
      <c r="AK388" s="207"/>
      <c r="AL388" s="207"/>
    </row>
    <row r="389">
      <c r="A389" s="207"/>
      <c r="B389" s="233"/>
      <c r="C389" s="207"/>
      <c r="D389" s="234"/>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c r="AI389" s="207"/>
      <c r="AJ389" s="207"/>
      <c r="AK389" s="207"/>
      <c r="AL389" s="207"/>
    </row>
    <row r="390">
      <c r="A390" s="207"/>
      <c r="B390" s="233"/>
      <c r="C390" s="207"/>
      <c r="D390" s="234"/>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c r="AI390" s="207"/>
      <c r="AJ390" s="207"/>
      <c r="AK390" s="207"/>
      <c r="AL390" s="207"/>
    </row>
    <row r="391">
      <c r="A391" s="207"/>
      <c r="B391" s="233"/>
      <c r="C391" s="207"/>
      <c r="D391" s="234"/>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c r="AI391" s="207"/>
      <c r="AJ391" s="207"/>
      <c r="AK391" s="207"/>
      <c r="AL391" s="207"/>
    </row>
    <row r="392">
      <c r="A392" s="207"/>
      <c r="B392" s="233"/>
      <c r="C392" s="207"/>
      <c r="D392" s="234"/>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c r="AI392" s="207"/>
      <c r="AJ392" s="207"/>
      <c r="AK392" s="207"/>
      <c r="AL392" s="207"/>
    </row>
    <row r="393">
      <c r="A393" s="207"/>
      <c r="B393" s="233"/>
      <c r="C393" s="207"/>
      <c r="D393" s="234"/>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c r="AI393" s="207"/>
      <c r="AJ393" s="207"/>
      <c r="AK393" s="207"/>
      <c r="AL393" s="207"/>
    </row>
    <row r="394">
      <c r="A394" s="207"/>
      <c r="B394" s="233"/>
      <c r="C394" s="207"/>
      <c r="D394" s="234"/>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c r="AI394" s="207"/>
      <c r="AJ394" s="207"/>
      <c r="AK394" s="207"/>
      <c r="AL394" s="207"/>
    </row>
    <row r="395">
      <c r="A395" s="207"/>
      <c r="B395" s="233"/>
      <c r="C395" s="207"/>
      <c r="D395" s="234"/>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c r="AI395" s="207"/>
      <c r="AJ395" s="207"/>
      <c r="AK395" s="207"/>
      <c r="AL395" s="207"/>
    </row>
    <row r="396">
      <c r="A396" s="207"/>
      <c r="B396" s="233"/>
      <c r="C396" s="207"/>
      <c r="D396" s="234"/>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c r="AI396" s="207"/>
      <c r="AJ396" s="207"/>
      <c r="AK396" s="207"/>
      <c r="AL396" s="207"/>
    </row>
    <row r="397">
      <c r="A397" s="207"/>
      <c r="B397" s="233"/>
      <c r="C397" s="207"/>
      <c r="D397" s="234"/>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c r="AI397" s="207"/>
      <c r="AJ397" s="207"/>
      <c r="AK397" s="207"/>
      <c r="AL397" s="207"/>
    </row>
    <row r="398">
      <c r="A398" s="207"/>
      <c r="B398" s="233"/>
      <c r="C398" s="207"/>
      <c r="D398" s="234"/>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c r="AI398" s="207"/>
      <c r="AJ398" s="207"/>
      <c r="AK398" s="207"/>
      <c r="AL398" s="207"/>
    </row>
    <row r="399">
      <c r="A399" s="207"/>
      <c r="B399" s="233"/>
      <c r="C399" s="207"/>
      <c r="D399" s="234"/>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c r="AI399" s="207"/>
      <c r="AJ399" s="207"/>
      <c r="AK399" s="207"/>
      <c r="AL399" s="207"/>
    </row>
    <row r="400">
      <c r="A400" s="207"/>
      <c r="B400" s="233"/>
      <c r="C400" s="207"/>
      <c r="D400" s="234"/>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c r="AI400" s="207"/>
      <c r="AJ400" s="207"/>
      <c r="AK400" s="207"/>
      <c r="AL400" s="207"/>
    </row>
    <row r="401">
      <c r="A401" s="207"/>
      <c r="B401" s="233"/>
      <c r="C401" s="207"/>
      <c r="D401" s="234"/>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c r="AI401" s="207"/>
      <c r="AJ401" s="207"/>
      <c r="AK401" s="207"/>
      <c r="AL401" s="207"/>
    </row>
    <row r="402">
      <c r="A402" s="207"/>
      <c r="B402" s="233"/>
      <c r="C402" s="207"/>
      <c r="D402" s="234"/>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c r="AI402" s="207"/>
      <c r="AJ402" s="207"/>
      <c r="AK402" s="207"/>
      <c r="AL402" s="207"/>
    </row>
    <row r="403">
      <c r="A403" s="207"/>
      <c r="B403" s="233"/>
      <c r="C403" s="207"/>
      <c r="D403" s="234"/>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c r="AI403" s="207"/>
      <c r="AJ403" s="207"/>
      <c r="AK403" s="207"/>
      <c r="AL403" s="207"/>
    </row>
    <row r="404">
      <c r="A404" s="207"/>
      <c r="B404" s="233"/>
      <c r="C404" s="207"/>
      <c r="D404" s="234"/>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c r="AI404" s="207"/>
      <c r="AJ404" s="207"/>
      <c r="AK404" s="207"/>
      <c r="AL404" s="207"/>
    </row>
    <row r="405">
      <c r="A405" s="207"/>
      <c r="B405" s="233"/>
      <c r="C405" s="207"/>
      <c r="D405" s="234"/>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c r="AI405" s="207"/>
      <c r="AJ405" s="207"/>
      <c r="AK405" s="207"/>
      <c r="AL405" s="207"/>
    </row>
    <row r="406">
      <c r="A406" s="207"/>
      <c r="B406" s="233"/>
      <c r="C406" s="207"/>
      <c r="D406" s="234"/>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c r="AI406" s="207"/>
      <c r="AJ406" s="207"/>
      <c r="AK406" s="207"/>
      <c r="AL406" s="207"/>
    </row>
    <row r="407">
      <c r="A407" s="207"/>
      <c r="B407" s="233"/>
      <c r="C407" s="207"/>
      <c r="D407" s="234"/>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c r="AI407" s="207"/>
      <c r="AJ407" s="207"/>
      <c r="AK407" s="207"/>
      <c r="AL407" s="207"/>
    </row>
    <row r="408">
      <c r="A408" s="207"/>
      <c r="B408" s="233"/>
      <c r="C408" s="207"/>
      <c r="D408" s="234"/>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c r="AJ408" s="207"/>
      <c r="AK408" s="207"/>
      <c r="AL408" s="207"/>
    </row>
    <row r="409">
      <c r="A409" s="207"/>
      <c r="B409" s="233"/>
      <c r="C409" s="207"/>
      <c r="D409" s="234"/>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c r="AJ409" s="207"/>
      <c r="AK409" s="207"/>
      <c r="AL409" s="207"/>
    </row>
    <row r="410">
      <c r="A410" s="207"/>
      <c r="B410" s="233"/>
      <c r="C410" s="207"/>
      <c r="D410" s="234"/>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c r="AI410" s="207"/>
      <c r="AJ410" s="207"/>
      <c r="AK410" s="207"/>
      <c r="AL410" s="207"/>
    </row>
    <row r="411">
      <c r="A411" s="207"/>
      <c r="B411" s="233"/>
      <c r="C411" s="207"/>
      <c r="D411" s="234"/>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c r="AI411" s="207"/>
      <c r="AJ411" s="207"/>
      <c r="AK411" s="207"/>
      <c r="AL411" s="207"/>
    </row>
    <row r="412">
      <c r="A412" s="207"/>
      <c r="B412" s="233"/>
      <c r="C412" s="207"/>
      <c r="D412" s="234"/>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c r="AI412" s="207"/>
      <c r="AJ412" s="207"/>
      <c r="AK412" s="207"/>
      <c r="AL412" s="207"/>
    </row>
    <row r="413">
      <c r="A413" s="207"/>
      <c r="B413" s="233"/>
      <c r="C413" s="207"/>
      <c r="D413" s="234"/>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c r="AI413" s="207"/>
      <c r="AJ413" s="207"/>
      <c r="AK413" s="207"/>
      <c r="AL413" s="207"/>
    </row>
    <row r="414">
      <c r="A414" s="207"/>
      <c r="B414" s="233"/>
      <c r="C414" s="207"/>
      <c r="D414" s="234"/>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c r="AI414" s="207"/>
      <c r="AJ414" s="207"/>
      <c r="AK414" s="207"/>
      <c r="AL414" s="207"/>
    </row>
    <row r="415">
      <c r="A415" s="207"/>
      <c r="B415" s="233"/>
      <c r="C415" s="207"/>
      <c r="D415" s="234"/>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c r="AI415" s="207"/>
      <c r="AJ415" s="207"/>
      <c r="AK415" s="207"/>
      <c r="AL415" s="207"/>
    </row>
    <row r="416">
      <c r="A416" s="207"/>
      <c r="B416" s="233"/>
      <c r="C416" s="207"/>
      <c r="D416" s="234"/>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c r="AI416" s="207"/>
      <c r="AJ416" s="207"/>
      <c r="AK416" s="207"/>
      <c r="AL416" s="207"/>
    </row>
    <row r="417">
      <c r="A417" s="207"/>
      <c r="B417" s="233"/>
      <c r="C417" s="207"/>
      <c r="D417" s="234"/>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c r="AI417" s="207"/>
      <c r="AJ417" s="207"/>
      <c r="AK417" s="207"/>
      <c r="AL417" s="207"/>
    </row>
    <row r="418">
      <c r="A418" s="207"/>
      <c r="B418" s="233"/>
      <c r="C418" s="207"/>
      <c r="D418" s="234"/>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c r="AI418" s="207"/>
      <c r="AJ418" s="207"/>
      <c r="AK418" s="207"/>
      <c r="AL418" s="207"/>
    </row>
    <row r="419">
      <c r="A419" s="207"/>
      <c r="B419" s="233"/>
      <c r="C419" s="207"/>
      <c r="D419" s="234"/>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c r="AI419" s="207"/>
      <c r="AJ419" s="207"/>
      <c r="AK419" s="207"/>
      <c r="AL419" s="207"/>
    </row>
    <row r="420">
      <c r="A420" s="207"/>
      <c r="B420" s="233"/>
      <c r="C420" s="207"/>
      <c r="D420" s="234"/>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c r="AI420" s="207"/>
      <c r="AJ420" s="207"/>
      <c r="AK420" s="207"/>
      <c r="AL420" s="207"/>
    </row>
    <row r="421">
      <c r="A421" s="207"/>
      <c r="B421" s="233"/>
      <c r="C421" s="207"/>
      <c r="D421" s="234"/>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c r="AI421" s="207"/>
      <c r="AJ421" s="207"/>
      <c r="AK421" s="207"/>
      <c r="AL421" s="207"/>
    </row>
    <row r="422">
      <c r="A422" s="207"/>
      <c r="B422" s="233"/>
      <c r="C422" s="207"/>
      <c r="D422" s="234"/>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c r="AI422" s="207"/>
      <c r="AJ422" s="207"/>
      <c r="AK422" s="207"/>
      <c r="AL422" s="207"/>
    </row>
    <row r="423">
      <c r="A423" s="207"/>
      <c r="B423" s="233"/>
      <c r="C423" s="207"/>
      <c r="D423" s="234"/>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c r="AI423" s="207"/>
      <c r="AJ423" s="207"/>
      <c r="AK423" s="207"/>
      <c r="AL423" s="207"/>
    </row>
    <row r="424">
      <c r="A424" s="207"/>
      <c r="B424" s="233"/>
      <c r="C424" s="207"/>
      <c r="D424" s="234"/>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c r="AI424" s="207"/>
      <c r="AJ424" s="207"/>
      <c r="AK424" s="207"/>
      <c r="AL424" s="207"/>
    </row>
    <row r="425">
      <c r="A425" s="207"/>
      <c r="B425" s="233"/>
      <c r="C425" s="207"/>
      <c r="D425" s="234"/>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c r="AI425" s="207"/>
      <c r="AJ425" s="207"/>
      <c r="AK425" s="207"/>
      <c r="AL425" s="207"/>
    </row>
    <row r="426">
      <c r="A426" s="207"/>
      <c r="B426" s="233"/>
      <c r="C426" s="207"/>
      <c r="D426" s="234"/>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c r="AI426" s="207"/>
      <c r="AJ426" s="207"/>
      <c r="AK426" s="207"/>
      <c r="AL426" s="207"/>
    </row>
    <row r="427">
      <c r="A427" s="207"/>
      <c r="B427" s="233"/>
      <c r="C427" s="207"/>
      <c r="D427" s="234"/>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c r="AI427" s="207"/>
      <c r="AJ427" s="207"/>
      <c r="AK427" s="207"/>
      <c r="AL427" s="207"/>
    </row>
    <row r="428">
      <c r="A428" s="207"/>
      <c r="B428" s="233"/>
      <c r="C428" s="207"/>
      <c r="D428" s="234"/>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c r="AI428" s="207"/>
      <c r="AJ428" s="207"/>
      <c r="AK428" s="207"/>
      <c r="AL428" s="207"/>
    </row>
    <row r="429">
      <c r="A429" s="207"/>
      <c r="B429" s="233"/>
      <c r="C429" s="207"/>
      <c r="D429" s="234"/>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c r="AI429" s="207"/>
      <c r="AJ429" s="207"/>
      <c r="AK429" s="207"/>
      <c r="AL429" s="207"/>
    </row>
    <row r="430">
      <c r="A430" s="207"/>
      <c r="B430" s="233"/>
      <c r="C430" s="207"/>
      <c r="D430" s="234"/>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c r="AI430" s="207"/>
      <c r="AJ430" s="207"/>
      <c r="AK430" s="207"/>
      <c r="AL430" s="207"/>
    </row>
    <row r="431">
      <c r="A431" s="207"/>
      <c r="B431" s="233"/>
      <c r="C431" s="207"/>
      <c r="D431" s="234"/>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c r="AI431" s="207"/>
      <c r="AJ431" s="207"/>
      <c r="AK431" s="207"/>
      <c r="AL431" s="207"/>
    </row>
    <row r="432">
      <c r="A432" s="207"/>
      <c r="B432" s="233"/>
      <c r="C432" s="207"/>
      <c r="D432" s="234"/>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c r="AI432" s="207"/>
      <c r="AJ432" s="207"/>
      <c r="AK432" s="207"/>
      <c r="AL432" s="207"/>
    </row>
    <row r="433">
      <c r="A433" s="207"/>
      <c r="B433" s="233"/>
      <c r="C433" s="207"/>
      <c r="D433" s="234"/>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c r="AI433" s="207"/>
      <c r="AJ433" s="207"/>
      <c r="AK433" s="207"/>
      <c r="AL433" s="207"/>
    </row>
    <row r="434">
      <c r="A434" s="207"/>
      <c r="B434" s="233"/>
      <c r="C434" s="207"/>
      <c r="D434" s="234"/>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c r="AI434" s="207"/>
      <c r="AJ434" s="207"/>
      <c r="AK434" s="207"/>
      <c r="AL434" s="207"/>
    </row>
    <row r="435">
      <c r="A435" s="207"/>
      <c r="B435" s="233"/>
      <c r="C435" s="207"/>
      <c r="D435" s="234"/>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c r="AJ435" s="207"/>
      <c r="AK435" s="207"/>
      <c r="AL435" s="207"/>
    </row>
    <row r="436">
      <c r="A436" s="207"/>
      <c r="B436" s="233"/>
      <c r="C436" s="207"/>
      <c r="D436" s="234"/>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c r="AI436" s="207"/>
      <c r="AJ436" s="207"/>
      <c r="AK436" s="207"/>
      <c r="AL436" s="207"/>
    </row>
    <row r="437">
      <c r="A437" s="207"/>
      <c r="B437" s="233"/>
      <c r="C437" s="207"/>
      <c r="D437" s="234"/>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c r="AJ437" s="207"/>
      <c r="AK437" s="207"/>
      <c r="AL437" s="207"/>
    </row>
    <row r="438">
      <c r="A438" s="207"/>
      <c r="B438" s="233"/>
      <c r="C438" s="207"/>
      <c r="D438" s="234"/>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c r="AI438" s="207"/>
      <c r="AJ438" s="207"/>
      <c r="AK438" s="207"/>
      <c r="AL438" s="207"/>
    </row>
    <row r="439">
      <c r="A439" s="207"/>
      <c r="B439" s="233"/>
      <c r="C439" s="207"/>
      <c r="D439" s="234"/>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c r="AI439" s="207"/>
      <c r="AJ439" s="207"/>
      <c r="AK439" s="207"/>
      <c r="AL439" s="207"/>
    </row>
    <row r="440">
      <c r="A440" s="207"/>
      <c r="B440" s="233"/>
      <c r="C440" s="207"/>
      <c r="D440" s="234"/>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c r="AJ440" s="207"/>
      <c r="AK440" s="207"/>
      <c r="AL440" s="207"/>
    </row>
    <row r="441">
      <c r="A441" s="207"/>
      <c r="B441" s="233"/>
      <c r="C441" s="207"/>
      <c r="D441" s="234"/>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c r="AI441" s="207"/>
      <c r="AJ441" s="207"/>
      <c r="AK441" s="207"/>
      <c r="AL441" s="207"/>
    </row>
    <row r="442">
      <c r="A442" s="207"/>
      <c r="B442" s="233"/>
      <c r="C442" s="207"/>
      <c r="D442" s="234"/>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c r="AI442" s="207"/>
      <c r="AJ442" s="207"/>
      <c r="AK442" s="207"/>
      <c r="AL442" s="207"/>
    </row>
    <row r="443">
      <c r="A443" s="207"/>
      <c r="B443" s="233"/>
      <c r="C443" s="207"/>
      <c r="D443" s="234"/>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c r="AI443" s="207"/>
      <c r="AJ443" s="207"/>
      <c r="AK443" s="207"/>
      <c r="AL443" s="207"/>
    </row>
    <row r="444">
      <c r="A444" s="207"/>
      <c r="B444" s="233"/>
      <c r="C444" s="207"/>
      <c r="D444" s="234"/>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c r="AI444" s="207"/>
      <c r="AJ444" s="207"/>
      <c r="AK444" s="207"/>
      <c r="AL444" s="207"/>
    </row>
    <row r="445">
      <c r="A445" s="207"/>
      <c r="B445" s="233"/>
      <c r="C445" s="207"/>
      <c r="D445" s="234"/>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c r="AI445" s="207"/>
      <c r="AJ445" s="207"/>
      <c r="AK445" s="207"/>
      <c r="AL445" s="207"/>
    </row>
    <row r="446">
      <c r="A446" s="207"/>
      <c r="B446" s="233"/>
      <c r="C446" s="207"/>
      <c r="D446" s="234"/>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c r="AI446" s="207"/>
      <c r="AJ446" s="207"/>
      <c r="AK446" s="207"/>
      <c r="AL446" s="207"/>
    </row>
    <row r="447">
      <c r="A447" s="207"/>
      <c r="B447" s="233"/>
      <c r="C447" s="207"/>
      <c r="D447" s="234"/>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c r="AI447" s="207"/>
      <c r="AJ447" s="207"/>
      <c r="AK447" s="207"/>
      <c r="AL447" s="207"/>
    </row>
    <row r="448">
      <c r="A448" s="207"/>
      <c r="B448" s="233"/>
      <c r="C448" s="207"/>
      <c r="D448" s="234"/>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c r="AI448" s="207"/>
      <c r="AJ448" s="207"/>
      <c r="AK448" s="207"/>
      <c r="AL448" s="207"/>
    </row>
    <row r="449">
      <c r="A449" s="207"/>
      <c r="B449" s="233"/>
      <c r="C449" s="207"/>
      <c r="D449" s="234"/>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c r="AI449" s="207"/>
      <c r="AJ449" s="207"/>
      <c r="AK449" s="207"/>
      <c r="AL449" s="207"/>
    </row>
    <row r="450">
      <c r="A450" s="207"/>
      <c r="B450" s="233"/>
      <c r="C450" s="207"/>
      <c r="D450" s="234"/>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c r="AI450" s="207"/>
      <c r="AJ450" s="207"/>
      <c r="AK450" s="207"/>
      <c r="AL450" s="207"/>
    </row>
    <row r="451">
      <c r="A451" s="207"/>
      <c r="B451" s="233"/>
      <c r="C451" s="207"/>
      <c r="D451" s="234"/>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c r="AI451" s="207"/>
      <c r="AJ451" s="207"/>
      <c r="AK451" s="207"/>
      <c r="AL451" s="207"/>
    </row>
    <row r="452">
      <c r="A452" s="207"/>
      <c r="B452" s="233"/>
      <c r="C452" s="207"/>
      <c r="D452" s="234"/>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c r="AI452" s="207"/>
      <c r="AJ452" s="207"/>
      <c r="AK452" s="207"/>
      <c r="AL452" s="207"/>
    </row>
    <row r="453">
      <c r="A453" s="207"/>
      <c r="B453" s="233"/>
      <c r="C453" s="207"/>
      <c r="D453" s="234"/>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c r="AI453" s="207"/>
      <c r="AJ453" s="207"/>
      <c r="AK453" s="207"/>
      <c r="AL453" s="207"/>
    </row>
    <row r="454">
      <c r="A454" s="207"/>
      <c r="B454" s="233"/>
      <c r="C454" s="207"/>
      <c r="D454" s="234"/>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c r="AI454" s="207"/>
      <c r="AJ454" s="207"/>
      <c r="AK454" s="207"/>
      <c r="AL454" s="207"/>
    </row>
    <row r="455">
      <c r="A455" s="207"/>
      <c r="B455" s="233"/>
      <c r="C455" s="207"/>
      <c r="D455" s="234"/>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c r="AI455" s="207"/>
      <c r="AJ455" s="207"/>
      <c r="AK455" s="207"/>
      <c r="AL455" s="207"/>
    </row>
    <row r="456">
      <c r="A456" s="207"/>
      <c r="B456" s="233"/>
      <c r="C456" s="207"/>
      <c r="D456" s="234"/>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c r="AI456" s="207"/>
      <c r="AJ456" s="207"/>
      <c r="AK456" s="207"/>
      <c r="AL456" s="207"/>
    </row>
    <row r="457">
      <c r="A457" s="207"/>
      <c r="B457" s="233"/>
      <c r="C457" s="207"/>
      <c r="D457" s="234"/>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c r="AI457" s="207"/>
      <c r="AJ457" s="207"/>
      <c r="AK457" s="207"/>
      <c r="AL457" s="207"/>
    </row>
    <row r="458">
      <c r="A458" s="207"/>
      <c r="B458" s="233"/>
      <c r="C458" s="207"/>
      <c r="D458" s="234"/>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c r="AI458" s="207"/>
      <c r="AJ458" s="207"/>
      <c r="AK458" s="207"/>
      <c r="AL458" s="207"/>
    </row>
    <row r="459">
      <c r="A459" s="207"/>
      <c r="B459" s="233"/>
      <c r="C459" s="207"/>
      <c r="D459" s="234"/>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c r="AI459" s="207"/>
      <c r="AJ459" s="207"/>
      <c r="AK459" s="207"/>
      <c r="AL459" s="207"/>
    </row>
    <row r="460">
      <c r="A460" s="207"/>
      <c r="B460" s="233"/>
      <c r="C460" s="207"/>
      <c r="D460" s="234"/>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c r="AI460" s="207"/>
      <c r="AJ460" s="207"/>
      <c r="AK460" s="207"/>
      <c r="AL460" s="207"/>
    </row>
    <row r="461">
      <c r="A461" s="207"/>
      <c r="B461" s="233"/>
      <c r="C461" s="207"/>
      <c r="D461" s="234"/>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c r="AI461" s="207"/>
      <c r="AJ461" s="207"/>
      <c r="AK461" s="207"/>
      <c r="AL461" s="207"/>
    </row>
    <row r="462">
      <c r="A462" s="207"/>
      <c r="B462" s="233"/>
      <c r="C462" s="207"/>
      <c r="D462" s="234"/>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c r="AI462" s="207"/>
      <c r="AJ462" s="207"/>
      <c r="AK462" s="207"/>
      <c r="AL462" s="207"/>
    </row>
    <row r="463">
      <c r="A463" s="207"/>
      <c r="B463" s="233"/>
      <c r="C463" s="207"/>
      <c r="D463" s="234"/>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c r="AI463" s="207"/>
      <c r="AJ463" s="207"/>
      <c r="AK463" s="207"/>
      <c r="AL463" s="207"/>
    </row>
    <row r="464">
      <c r="A464" s="207"/>
      <c r="B464" s="233"/>
      <c r="C464" s="207"/>
      <c r="D464" s="234"/>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c r="AI464" s="207"/>
      <c r="AJ464" s="207"/>
      <c r="AK464" s="207"/>
      <c r="AL464" s="207"/>
    </row>
    <row r="465">
      <c r="A465" s="207"/>
      <c r="B465" s="233"/>
      <c r="C465" s="207"/>
      <c r="D465" s="234"/>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c r="AI465" s="207"/>
      <c r="AJ465" s="207"/>
      <c r="AK465" s="207"/>
      <c r="AL465" s="207"/>
    </row>
    <row r="466">
      <c r="A466" s="207"/>
      <c r="B466" s="233"/>
      <c r="C466" s="207"/>
      <c r="D466" s="234"/>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c r="AI466" s="207"/>
      <c r="AJ466" s="207"/>
      <c r="AK466" s="207"/>
      <c r="AL466" s="207"/>
    </row>
    <row r="467">
      <c r="A467" s="207"/>
      <c r="B467" s="233"/>
      <c r="C467" s="207"/>
      <c r="D467" s="234"/>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c r="AI467" s="207"/>
      <c r="AJ467" s="207"/>
      <c r="AK467" s="207"/>
      <c r="AL467" s="207"/>
    </row>
    <row r="468">
      <c r="A468" s="207"/>
      <c r="B468" s="233"/>
      <c r="C468" s="207"/>
      <c r="D468" s="234"/>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c r="AI468" s="207"/>
      <c r="AJ468" s="207"/>
      <c r="AK468" s="207"/>
      <c r="AL468" s="207"/>
    </row>
    <row r="469">
      <c r="A469" s="207"/>
      <c r="B469" s="233"/>
      <c r="C469" s="207"/>
      <c r="D469" s="234"/>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c r="AI469" s="207"/>
      <c r="AJ469" s="207"/>
      <c r="AK469" s="207"/>
      <c r="AL469" s="207"/>
    </row>
    <row r="470">
      <c r="A470" s="207"/>
      <c r="B470" s="233"/>
      <c r="C470" s="207"/>
      <c r="D470" s="234"/>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c r="AI470" s="207"/>
      <c r="AJ470" s="207"/>
      <c r="AK470" s="207"/>
      <c r="AL470" s="207"/>
    </row>
    <row r="471">
      <c r="A471" s="207"/>
      <c r="B471" s="233"/>
      <c r="C471" s="207"/>
      <c r="D471" s="234"/>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c r="AI471" s="207"/>
      <c r="AJ471" s="207"/>
      <c r="AK471" s="207"/>
      <c r="AL471" s="207"/>
    </row>
    <row r="472">
      <c r="A472" s="207"/>
      <c r="B472" s="233"/>
      <c r="C472" s="207"/>
      <c r="D472" s="234"/>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c r="AI472" s="207"/>
      <c r="AJ472" s="207"/>
      <c r="AK472" s="207"/>
      <c r="AL472" s="207"/>
    </row>
    <row r="473">
      <c r="A473" s="207"/>
      <c r="B473" s="233"/>
      <c r="C473" s="207"/>
      <c r="D473" s="234"/>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c r="AI473" s="207"/>
      <c r="AJ473" s="207"/>
      <c r="AK473" s="207"/>
      <c r="AL473" s="207"/>
    </row>
    <row r="474">
      <c r="A474" s="207"/>
      <c r="B474" s="233"/>
      <c r="C474" s="207"/>
      <c r="D474" s="234"/>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c r="AI474" s="207"/>
      <c r="AJ474" s="207"/>
      <c r="AK474" s="207"/>
      <c r="AL474" s="207"/>
    </row>
    <row r="475">
      <c r="A475" s="207"/>
      <c r="B475" s="233"/>
      <c r="C475" s="207"/>
      <c r="D475" s="234"/>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c r="AI475" s="207"/>
      <c r="AJ475" s="207"/>
      <c r="AK475" s="207"/>
      <c r="AL475" s="207"/>
    </row>
    <row r="476">
      <c r="A476" s="207"/>
      <c r="B476" s="233"/>
      <c r="C476" s="207"/>
      <c r="D476" s="234"/>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c r="AI476" s="207"/>
      <c r="AJ476" s="207"/>
      <c r="AK476" s="207"/>
      <c r="AL476" s="207"/>
    </row>
    <row r="477">
      <c r="A477" s="207"/>
      <c r="B477" s="233"/>
      <c r="C477" s="207"/>
      <c r="D477" s="234"/>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c r="AI477" s="207"/>
      <c r="AJ477" s="207"/>
      <c r="AK477" s="207"/>
      <c r="AL477" s="207"/>
    </row>
    <row r="478">
      <c r="A478" s="207"/>
      <c r="B478" s="233"/>
      <c r="C478" s="207"/>
      <c r="D478" s="234"/>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c r="AI478" s="207"/>
      <c r="AJ478" s="207"/>
      <c r="AK478" s="207"/>
      <c r="AL478" s="207"/>
    </row>
    <row r="479">
      <c r="A479" s="207"/>
      <c r="B479" s="233"/>
      <c r="C479" s="207"/>
      <c r="D479" s="234"/>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c r="AI479" s="207"/>
      <c r="AJ479" s="207"/>
      <c r="AK479" s="207"/>
      <c r="AL479" s="207"/>
    </row>
    <row r="480">
      <c r="A480" s="207"/>
      <c r="B480" s="233"/>
      <c r="C480" s="207"/>
      <c r="D480" s="234"/>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c r="AI480" s="207"/>
      <c r="AJ480" s="207"/>
      <c r="AK480" s="207"/>
      <c r="AL480" s="207"/>
    </row>
    <row r="481">
      <c r="A481" s="207"/>
      <c r="B481" s="233"/>
      <c r="C481" s="207"/>
      <c r="D481" s="234"/>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c r="AI481" s="207"/>
      <c r="AJ481" s="207"/>
      <c r="AK481" s="207"/>
      <c r="AL481" s="207"/>
    </row>
    <row r="482">
      <c r="A482" s="207"/>
      <c r="B482" s="233"/>
      <c r="C482" s="207"/>
      <c r="D482" s="234"/>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c r="AI482" s="207"/>
      <c r="AJ482" s="207"/>
      <c r="AK482" s="207"/>
      <c r="AL482" s="207"/>
    </row>
    <row r="483">
      <c r="A483" s="207"/>
      <c r="B483" s="233"/>
      <c r="C483" s="207"/>
      <c r="D483" s="234"/>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c r="AJ483" s="207"/>
      <c r="AK483" s="207"/>
      <c r="AL483" s="207"/>
    </row>
    <row r="484">
      <c r="A484" s="207"/>
      <c r="B484" s="233"/>
      <c r="C484" s="207"/>
      <c r="D484" s="234"/>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c r="AI484" s="207"/>
      <c r="AJ484" s="207"/>
      <c r="AK484" s="207"/>
      <c r="AL484" s="207"/>
    </row>
    <row r="485">
      <c r="A485" s="207"/>
      <c r="B485" s="233"/>
      <c r="C485" s="207"/>
      <c r="D485" s="234"/>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c r="AI485" s="207"/>
      <c r="AJ485" s="207"/>
      <c r="AK485" s="207"/>
      <c r="AL485" s="207"/>
    </row>
    <row r="486">
      <c r="A486" s="207"/>
      <c r="B486" s="233"/>
      <c r="C486" s="207"/>
      <c r="D486" s="234"/>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c r="AI486" s="207"/>
      <c r="AJ486" s="207"/>
      <c r="AK486" s="207"/>
      <c r="AL486" s="207"/>
    </row>
    <row r="487">
      <c r="A487" s="207"/>
      <c r="B487" s="233"/>
      <c r="C487" s="207"/>
      <c r="D487" s="234"/>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c r="AI487" s="207"/>
      <c r="AJ487" s="207"/>
      <c r="AK487" s="207"/>
      <c r="AL487" s="207"/>
    </row>
    <row r="488">
      <c r="A488" s="207"/>
      <c r="B488" s="233"/>
      <c r="C488" s="207"/>
      <c r="D488" s="234"/>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c r="AI488" s="207"/>
      <c r="AJ488" s="207"/>
      <c r="AK488" s="207"/>
      <c r="AL488" s="207"/>
    </row>
    <row r="489">
      <c r="A489" s="207"/>
      <c r="B489" s="233"/>
      <c r="C489" s="207"/>
      <c r="D489" s="234"/>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c r="AI489" s="207"/>
      <c r="AJ489" s="207"/>
      <c r="AK489" s="207"/>
      <c r="AL489" s="207"/>
    </row>
    <row r="490">
      <c r="A490" s="207"/>
      <c r="B490" s="233"/>
      <c r="C490" s="207"/>
      <c r="D490" s="234"/>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c r="AI490" s="207"/>
      <c r="AJ490" s="207"/>
      <c r="AK490" s="207"/>
      <c r="AL490" s="207"/>
    </row>
    <row r="491">
      <c r="A491" s="207"/>
      <c r="B491" s="233"/>
      <c r="C491" s="207"/>
      <c r="D491" s="234"/>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c r="AI491" s="207"/>
      <c r="AJ491" s="207"/>
      <c r="AK491" s="207"/>
      <c r="AL491" s="207"/>
    </row>
    <row r="492">
      <c r="A492" s="207"/>
      <c r="B492" s="233"/>
      <c r="C492" s="207"/>
      <c r="D492" s="234"/>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c r="AI492" s="207"/>
      <c r="AJ492" s="207"/>
      <c r="AK492" s="207"/>
      <c r="AL492" s="207"/>
    </row>
    <row r="493">
      <c r="A493" s="207"/>
      <c r="B493" s="233"/>
      <c r="C493" s="207"/>
      <c r="D493" s="234"/>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c r="AI493" s="207"/>
      <c r="AJ493" s="207"/>
      <c r="AK493" s="207"/>
      <c r="AL493" s="207"/>
    </row>
    <row r="494">
      <c r="A494" s="207"/>
      <c r="B494" s="233"/>
      <c r="C494" s="207"/>
      <c r="D494" s="234"/>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c r="AI494" s="207"/>
      <c r="AJ494" s="207"/>
      <c r="AK494" s="207"/>
      <c r="AL494" s="207"/>
    </row>
    <row r="495">
      <c r="A495" s="207"/>
      <c r="B495" s="233"/>
      <c r="C495" s="207"/>
      <c r="D495" s="234"/>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c r="AI495" s="207"/>
      <c r="AJ495" s="207"/>
      <c r="AK495" s="207"/>
      <c r="AL495" s="207"/>
    </row>
    <row r="496">
      <c r="A496" s="207"/>
      <c r="B496" s="233"/>
      <c r="C496" s="207"/>
      <c r="D496" s="234"/>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c r="AI496" s="207"/>
      <c r="AJ496" s="207"/>
      <c r="AK496" s="207"/>
      <c r="AL496" s="207"/>
    </row>
    <row r="497">
      <c r="A497" s="207"/>
      <c r="B497" s="233"/>
      <c r="C497" s="207"/>
      <c r="D497" s="234"/>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c r="AI497" s="207"/>
      <c r="AJ497" s="207"/>
      <c r="AK497" s="207"/>
      <c r="AL497" s="207"/>
    </row>
    <row r="498">
      <c r="A498" s="207"/>
      <c r="B498" s="233"/>
      <c r="C498" s="207"/>
      <c r="D498" s="234"/>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c r="AI498" s="207"/>
      <c r="AJ498" s="207"/>
      <c r="AK498" s="207"/>
      <c r="AL498" s="207"/>
    </row>
    <row r="499">
      <c r="A499" s="207"/>
      <c r="B499" s="233"/>
      <c r="C499" s="207"/>
      <c r="D499" s="234"/>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c r="AI499" s="207"/>
      <c r="AJ499" s="207"/>
      <c r="AK499" s="207"/>
      <c r="AL499" s="207"/>
    </row>
    <row r="500">
      <c r="A500" s="207"/>
      <c r="B500" s="233"/>
      <c r="C500" s="207"/>
      <c r="D500" s="234"/>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c r="AI500" s="207"/>
      <c r="AJ500" s="207"/>
      <c r="AK500" s="207"/>
      <c r="AL500" s="207"/>
    </row>
    <row r="501">
      <c r="A501" s="207"/>
      <c r="B501" s="233"/>
      <c r="C501" s="207"/>
      <c r="D501" s="234"/>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c r="AI501" s="207"/>
      <c r="AJ501" s="207"/>
      <c r="AK501" s="207"/>
      <c r="AL501" s="207"/>
    </row>
    <row r="502">
      <c r="A502" s="207"/>
      <c r="B502" s="233"/>
      <c r="C502" s="207"/>
      <c r="D502" s="234"/>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c r="AI502" s="207"/>
      <c r="AJ502" s="207"/>
      <c r="AK502" s="207"/>
      <c r="AL502" s="207"/>
    </row>
    <row r="503">
      <c r="A503" s="207"/>
      <c r="B503" s="233"/>
      <c r="C503" s="207"/>
      <c r="D503" s="234"/>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c r="AI503" s="207"/>
      <c r="AJ503" s="207"/>
      <c r="AK503" s="207"/>
      <c r="AL503" s="207"/>
    </row>
    <row r="504">
      <c r="A504" s="207"/>
      <c r="B504" s="233"/>
      <c r="C504" s="207"/>
      <c r="D504" s="234"/>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c r="AI504" s="207"/>
      <c r="AJ504" s="207"/>
      <c r="AK504" s="207"/>
      <c r="AL504" s="207"/>
    </row>
    <row r="505">
      <c r="A505" s="207"/>
      <c r="B505" s="233"/>
      <c r="C505" s="207"/>
      <c r="D505" s="234"/>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c r="AI505" s="207"/>
      <c r="AJ505" s="207"/>
      <c r="AK505" s="207"/>
      <c r="AL505" s="207"/>
    </row>
    <row r="506">
      <c r="A506" s="207"/>
      <c r="B506" s="233"/>
      <c r="C506" s="207"/>
      <c r="D506" s="234"/>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c r="AI506" s="207"/>
      <c r="AJ506" s="207"/>
      <c r="AK506" s="207"/>
      <c r="AL506" s="207"/>
    </row>
    <row r="507">
      <c r="A507" s="207"/>
      <c r="B507" s="233"/>
      <c r="C507" s="207"/>
      <c r="D507" s="234"/>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c r="AI507" s="207"/>
      <c r="AJ507" s="207"/>
      <c r="AK507" s="207"/>
      <c r="AL507" s="207"/>
    </row>
    <row r="508">
      <c r="A508" s="207"/>
      <c r="B508" s="233"/>
      <c r="C508" s="207"/>
      <c r="D508" s="234"/>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c r="AI508" s="207"/>
      <c r="AJ508" s="207"/>
      <c r="AK508" s="207"/>
      <c r="AL508" s="207"/>
    </row>
    <row r="509">
      <c r="A509" s="207"/>
      <c r="B509" s="233"/>
      <c r="C509" s="207"/>
      <c r="D509" s="234"/>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c r="AI509" s="207"/>
      <c r="AJ509" s="207"/>
      <c r="AK509" s="207"/>
      <c r="AL509" s="207"/>
    </row>
    <row r="510">
      <c r="A510" s="207"/>
      <c r="B510" s="233"/>
      <c r="C510" s="207"/>
      <c r="D510" s="234"/>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c r="AI510" s="207"/>
      <c r="AJ510" s="207"/>
      <c r="AK510" s="207"/>
      <c r="AL510" s="207"/>
    </row>
    <row r="511">
      <c r="A511" s="207"/>
      <c r="B511" s="233"/>
      <c r="C511" s="207"/>
      <c r="D511" s="234"/>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c r="AI511" s="207"/>
      <c r="AJ511" s="207"/>
      <c r="AK511" s="207"/>
      <c r="AL511" s="207"/>
    </row>
    <row r="512">
      <c r="A512" s="207"/>
      <c r="B512" s="233"/>
      <c r="C512" s="207"/>
      <c r="D512" s="234"/>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c r="AI512" s="207"/>
      <c r="AJ512" s="207"/>
      <c r="AK512" s="207"/>
      <c r="AL512" s="207"/>
    </row>
    <row r="513">
      <c r="A513" s="207"/>
      <c r="B513" s="233"/>
      <c r="C513" s="207"/>
      <c r="D513" s="234"/>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c r="AI513" s="207"/>
      <c r="AJ513" s="207"/>
      <c r="AK513" s="207"/>
      <c r="AL513" s="207"/>
    </row>
    <row r="514">
      <c r="A514" s="207"/>
      <c r="B514" s="233"/>
      <c r="C514" s="207"/>
      <c r="D514" s="234"/>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c r="AI514" s="207"/>
      <c r="AJ514" s="207"/>
      <c r="AK514" s="207"/>
      <c r="AL514" s="207"/>
    </row>
    <row r="515">
      <c r="A515" s="207"/>
      <c r="B515" s="233"/>
      <c r="C515" s="207"/>
      <c r="D515" s="234"/>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c r="AI515" s="207"/>
      <c r="AJ515" s="207"/>
      <c r="AK515" s="207"/>
      <c r="AL515" s="207"/>
    </row>
    <row r="516">
      <c r="A516" s="207"/>
      <c r="B516" s="233"/>
      <c r="C516" s="207"/>
      <c r="D516" s="234"/>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c r="AI516" s="207"/>
      <c r="AJ516" s="207"/>
      <c r="AK516" s="207"/>
      <c r="AL516" s="207"/>
    </row>
    <row r="517">
      <c r="A517" s="207"/>
      <c r="B517" s="233"/>
      <c r="C517" s="207"/>
      <c r="D517" s="234"/>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c r="AI517" s="207"/>
      <c r="AJ517" s="207"/>
      <c r="AK517" s="207"/>
      <c r="AL517" s="207"/>
    </row>
    <row r="518">
      <c r="A518" s="207"/>
      <c r="B518" s="233"/>
      <c r="C518" s="207"/>
      <c r="D518" s="234"/>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c r="AI518" s="207"/>
      <c r="AJ518" s="207"/>
      <c r="AK518" s="207"/>
      <c r="AL518" s="207"/>
    </row>
    <row r="519">
      <c r="A519" s="207"/>
      <c r="B519" s="233"/>
      <c r="C519" s="207"/>
      <c r="D519" s="234"/>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c r="AI519" s="207"/>
      <c r="AJ519" s="207"/>
      <c r="AK519" s="207"/>
      <c r="AL519" s="207"/>
    </row>
    <row r="520">
      <c r="A520" s="207"/>
      <c r="B520" s="233"/>
      <c r="C520" s="207"/>
      <c r="D520" s="234"/>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c r="AI520" s="207"/>
      <c r="AJ520" s="207"/>
      <c r="AK520" s="207"/>
      <c r="AL520" s="207"/>
    </row>
    <row r="521">
      <c r="A521" s="207"/>
      <c r="B521" s="233"/>
      <c r="C521" s="207"/>
      <c r="D521" s="234"/>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c r="AI521" s="207"/>
      <c r="AJ521" s="207"/>
      <c r="AK521" s="207"/>
      <c r="AL521" s="207"/>
    </row>
    <row r="522">
      <c r="A522" s="207"/>
      <c r="B522" s="233"/>
      <c r="C522" s="207"/>
      <c r="D522" s="234"/>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c r="AI522" s="207"/>
      <c r="AJ522" s="207"/>
      <c r="AK522" s="207"/>
      <c r="AL522" s="207"/>
    </row>
    <row r="523">
      <c r="A523" s="207"/>
      <c r="B523" s="233"/>
      <c r="C523" s="207"/>
      <c r="D523" s="234"/>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c r="AI523" s="207"/>
      <c r="AJ523" s="207"/>
      <c r="AK523" s="207"/>
      <c r="AL523" s="207"/>
    </row>
    <row r="524">
      <c r="A524" s="207"/>
      <c r="B524" s="233"/>
      <c r="C524" s="207"/>
      <c r="D524" s="234"/>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c r="AI524" s="207"/>
      <c r="AJ524" s="207"/>
      <c r="AK524" s="207"/>
      <c r="AL524" s="207"/>
    </row>
    <row r="525">
      <c r="A525" s="207"/>
      <c r="B525" s="233"/>
      <c r="C525" s="207"/>
      <c r="D525" s="234"/>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c r="AI525" s="207"/>
      <c r="AJ525" s="207"/>
      <c r="AK525" s="207"/>
      <c r="AL525" s="207"/>
    </row>
    <row r="526">
      <c r="A526" s="207"/>
      <c r="B526" s="233"/>
      <c r="C526" s="207"/>
      <c r="D526" s="234"/>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c r="AI526" s="207"/>
      <c r="AJ526" s="207"/>
      <c r="AK526" s="207"/>
      <c r="AL526" s="207"/>
    </row>
    <row r="527">
      <c r="A527" s="207"/>
      <c r="B527" s="233"/>
      <c r="C527" s="207"/>
      <c r="D527" s="234"/>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c r="AJ527" s="207"/>
      <c r="AK527" s="207"/>
      <c r="AL527" s="207"/>
    </row>
    <row r="528">
      <c r="A528" s="207"/>
      <c r="B528" s="233"/>
      <c r="C528" s="207"/>
      <c r="D528" s="234"/>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c r="AJ528" s="207"/>
      <c r="AK528" s="207"/>
      <c r="AL528" s="207"/>
    </row>
    <row r="529">
      <c r="A529" s="207"/>
      <c r="B529" s="233"/>
      <c r="C529" s="207"/>
      <c r="D529" s="234"/>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c r="AI529" s="207"/>
      <c r="AJ529" s="207"/>
      <c r="AK529" s="207"/>
      <c r="AL529" s="207"/>
    </row>
    <row r="530">
      <c r="A530" s="207"/>
      <c r="B530" s="233"/>
      <c r="C530" s="207"/>
      <c r="D530" s="234"/>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c r="AI530" s="207"/>
      <c r="AJ530" s="207"/>
      <c r="AK530" s="207"/>
      <c r="AL530" s="207"/>
    </row>
    <row r="531">
      <c r="A531" s="207"/>
      <c r="B531" s="233"/>
      <c r="C531" s="207"/>
      <c r="D531" s="234"/>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c r="AJ531" s="207"/>
      <c r="AK531" s="207"/>
      <c r="AL531" s="207"/>
    </row>
    <row r="532">
      <c r="A532" s="207"/>
      <c r="B532" s="233"/>
      <c r="C532" s="207"/>
      <c r="D532" s="234"/>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c r="AI532" s="207"/>
      <c r="AJ532" s="207"/>
      <c r="AK532" s="207"/>
      <c r="AL532" s="207"/>
    </row>
    <row r="533">
      <c r="A533" s="207"/>
      <c r="B533" s="233"/>
      <c r="C533" s="207"/>
      <c r="D533" s="234"/>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c r="AI533" s="207"/>
      <c r="AJ533" s="207"/>
      <c r="AK533" s="207"/>
      <c r="AL533" s="207"/>
    </row>
    <row r="534">
      <c r="A534" s="207"/>
      <c r="B534" s="233"/>
      <c r="C534" s="207"/>
      <c r="D534" s="234"/>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c r="AI534" s="207"/>
      <c r="AJ534" s="207"/>
      <c r="AK534" s="207"/>
      <c r="AL534" s="207"/>
    </row>
    <row r="535">
      <c r="A535" s="207"/>
      <c r="B535" s="233"/>
      <c r="C535" s="207"/>
      <c r="D535" s="234"/>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c r="AI535" s="207"/>
      <c r="AJ535" s="207"/>
      <c r="AK535" s="207"/>
      <c r="AL535" s="207"/>
    </row>
    <row r="536">
      <c r="A536" s="207"/>
      <c r="B536" s="233"/>
      <c r="C536" s="207"/>
      <c r="D536" s="234"/>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c r="AI536" s="207"/>
      <c r="AJ536" s="207"/>
      <c r="AK536" s="207"/>
      <c r="AL536" s="207"/>
    </row>
    <row r="537">
      <c r="A537" s="207"/>
      <c r="B537" s="233"/>
      <c r="C537" s="207"/>
      <c r="D537" s="234"/>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c r="AI537" s="207"/>
      <c r="AJ537" s="207"/>
      <c r="AK537" s="207"/>
      <c r="AL537" s="207"/>
    </row>
    <row r="538">
      <c r="A538" s="207"/>
      <c r="B538" s="233"/>
      <c r="C538" s="207"/>
      <c r="D538" s="234"/>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c r="AI538" s="207"/>
      <c r="AJ538" s="207"/>
      <c r="AK538" s="207"/>
      <c r="AL538" s="207"/>
    </row>
    <row r="539">
      <c r="A539" s="207"/>
      <c r="B539" s="233"/>
      <c r="C539" s="207"/>
      <c r="D539" s="234"/>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c r="AI539" s="207"/>
      <c r="AJ539" s="207"/>
      <c r="AK539" s="207"/>
      <c r="AL539" s="207"/>
    </row>
    <row r="540">
      <c r="A540" s="207"/>
      <c r="B540" s="233"/>
      <c r="C540" s="207"/>
      <c r="D540" s="234"/>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c r="AI540" s="207"/>
      <c r="AJ540" s="207"/>
      <c r="AK540" s="207"/>
      <c r="AL540" s="207"/>
    </row>
    <row r="541">
      <c r="A541" s="207"/>
      <c r="B541" s="233"/>
      <c r="C541" s="207"/>
      <c r="D541" s="234"/>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c r="AI541" s="207"/>
      <c r="AJ541" s="207"/>
      <c r="AK541" s="207"/>
      <c r="AL541" s="207"/>
    </row>
    <row r="542">
      <c r="A542" s="207"/>
      <c r="B542" s="233"/>
      <c r="C542" s="207"/>
      <c r="D542" s="234"/>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c r="AI542" s="207"/>
      <c r="AJ542" s="207"/>
      <c r="AK542" s="207"/>
      <c r="AL542" s="207"/>
    </row>
    <row r="543">
      <c r="A543" s="207"/>
      <c r="B543" s="233"/>
      <c r="C543" s="207"/>
      <c r="D543" s="234"/>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c r="AI543" s="207"/>
      <c r="AJ543" s="207"/>
      <c r="AK543" s="207"/>
      <c r="AL543" s="207"/>
    </row>
    <row r="544">
      <c r="A544" s="207"/>
      <c r="B544" s="233"/>
      <c r="C544" s="207"/>
      <c r="D544" s="234"/>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c r="AI544" s="207"/>
      <c r="AJ544" s="207"/>
      <c r="AK544" s="207"/>
      <c r="AL544" s="207"/>
    </row>
    <row r="545">
      <c r="A545" s="207"/>
      <c r="B545" s="233"/>
      <c r="C545" s="207"/>
      <c r="D545" s="234"/>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c r="AI545" s="207"/>
      <c r="AJ545" s="207"/>
      <c r="AK545" s="207"/>
      <c r="AL545" s="207"/>
    </row>
    <row r="546">
      <c r="A546" s="207"/>
      <c r="B546" s="233"/>
      <c r="C546" s="207"/>
      <c r="D546" s="234"/>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c r="AI546" s="207"/>
      <c r="AJ546" s="207"/>
      <c r="AK546" s="207"/>
      <c r="AL546" s="207"/>
    </row>
    <row r="547">
      <c r="A547" s="207"/>
      <c r="B547" s="233"/>
      <c r="C547" s="207"/>
      <c r="D547" s="234"/>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c r="AI547" s="207"/>
      <c r="AJ547" s="207"/>
      <c r="AK547" s="207"/>
      <c r="AL547" s="207"/>
    </row>
    <row r="548">
      <c r="A548" s="207"/>
      <c r="B548" s="233"/>
      <c r="C548" s="207"/>
      <c r="D548" s="234"/>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c r="AI548" s="207"/>
      <c r="AJ548" s="207"/>
      <c r="AK548" s="207"/>
      <c r="AL548" s="207"/>
    </row>
    <row r="549">
      <c r="A549" s="207"/>
      <c r="B549" s="233"/>
      <c r="C549" s="207"/>
      <c r="D549" s="234"/>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c r="AI549" s="207"/>
      <c r="AJ549" s="207"/>
      <c r="AK549" s="207"/>
      <c r="AL549" s="207"/>
    </row>
    <row r="550">
      <c r="A550" s="207"/>
      <c r="B550" s="233"/>
      <c r="C550" s="207"/>
      <c r="D550" s="234"/>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c r="AI550" s="207"/>
      <c r="AJ550" s="207"/>
      <c r="AK550" s="207"/>
      <c r="AL550" s="207"/>
    </row>
    <row r="551">
      <c r="A551" s="207"/>
      <c r="B551" s="233"/>
      <c r="C551" s="207"/>
      <c r="D551" s="234"/>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c r="AI551" s="207"/>
      <c r="AJ551" s="207"/>
      <c r="AK551" s="207"/>
      <c r="AL551" s="207"/>
    </row>
    <row r="552">
      <c r="A552" s="207"/>
      <c r="B552" s="233"/>
      <c r="C552" s="207"/>
      <c r="D552" s="234"/>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c r="AI552" s="207"/>
      <c r="AJ552" s="207"/>
      <c r="AK552" s="207"/>
      <c r="AL552" s="207"/>
    </row>
    <row r="553">
      <c r="A553" s="207"/>
      <c r="B553" s="233"/>
      <c r="C553" s="207"/>
      <c r="D553" s="234"/>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c r="AI553" s="207"/>
      <c r="AJ553" s="207"/>
      <c r="AK553" s="207"/>
      <c r="AL553" s="207"/>
    </row>
    <row r="554">
      <c r="A554" s="207"/>
      <c r="B554" s="233"/>
      <c r="C554" s="207"/>
      <c r="D554" s="234"/>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c r="AI554" s="207"/>
      <c r="AJ554" s="207"/>
      <c r="AK554" s="207"/>
      <c r="AL554" s="207"/>
    </row>
    <row r="555">
      <c r="A555" s="207"/>
      <c r="B555" s="233"/>
      <c r="C555" s="207"/>
      <c r="D555" s="234"/>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c r="AI555" s="207"/>
      <c r="AJ555" s="207"/>
      <c r="AK555" s="207"/>
      <c r="AL555" s="207"/>
    </row>
    <row r="556">
      <c r="A556" s="207"/>
      <c r="B556" s="233"/>
      <c r="C556" s="207"/>
      <c r="D556" s="234"/>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c r="AI556" s="207"/>
      <c r="AJ556" s="207"/>
      <c r="AK556" s="207"/>
      <c r="AL556" s="207"/>
    </row>
    <row r="557">
      <c r="A557" s="207"/>
      <c r="B557" s="233"/>
      <c r="C557" s="207"/>
      <c r="D557" s="234"/>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c r="AI557" s="207"/>
      <c r="AJ557" s="207"/>
      <c r="AK557" s="207"/>
      <c r="AL557" s="207"/>
    </row>
    <row r="558">
      <c r="A558" s="207"/>
      <c r="B558" s="233"/>
      <c r="C558" s="207"/>
      <c r="D558" s="234"/>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c r="AI558" s="207"/>
      <c r="AJ558" s="207"/>
      <c r="AK558" s="207"/>
      <c r="AL558" s="207"/>
    </row>
    <row r="559">
      <c r="A559" s="207"/>
      <c r="B559" s="233"/>
      <c r="C559" s="207"/>
      <c r="D559" s="234"/>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c r="AI559" s="207"/>
      <c r="AJ559" s="207"/>
      <c r="AK559" s="207"/>
      <c r="AL559" s="207"/>
    </row>
    <row r="560">
      <c r="A560" s="207"/>
      <c r="B560" s="233"/>
      <c r="C560" s="207"/>
      <c r="D560" s="234"/>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c r="AI560" s="207"/>
      <c r="AJ560" s="207"/>
      <c r="AK560" s="207"/>
      <c r="AL560" s="207"/>
    </row>
    <row r="561">
      <c r="A561" s="207"/>
      <c r="B561" s="233"/>
      <c r="C561" s="207"/>
      <c r="D561" s="234"/>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c r="AI561" s="207"/>
      <c r="AJ561" s="207"/>
      <c r="AK561" s="207"/>
      <c r="AL561" s="207"/>
    </row>
    <row r="562">
      <c r="A562" s="207"/>
      <c r="B562" s="233"/>
      <c r="C562" s="207"/>
      <c r="D562" s="234"/>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c r="AI562" s="207"/>
      <c r="AJ562" s="207"/>
      <c r="AK562" s="207"/>
      <c r="AL562" s="207"/>
    </row>
    <row r="563">
      <c r="A563" s="207"/>
      <c r="B563" s="233"/>
      <c r="C563" s="207"/>
      <c r="D563" s="234"/>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c r="AI563" s="207"/>
      <c r="AJ563" s="207"/>
      <c r="AK563" s="207"/>
      <c r="AL563" s="207"/>
    </row>
    <row r="564">
      <c r="A564" s="207"/>
      <c r="B564" s="233"/>
      <c r="C564" s="207"/>
      <c r="D564" s="234"/>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c r="AI564" s="207"/>
      <c r="AJ564" s="207"/>
      <c r="AK564" s="207"/>
      <c r="AL564" s="207"/>
    </row>
    <row r="565">
      <c r="A565" s="207"/>
      <c r="B565" s="233"/>
      <c r="C565" s="207"/>
      <c r="D565" s="234"/>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c r="AI565" s="207"/>
      <c r="AJ565" s="207"/>
      <c r="AK565" s="207"/>
      <c r="AL565" s="207"/>
    </row>
    <row r="566">
      <c r="A566" s="207"/>
      <c r="B566" s="233"/>
      <c r="C566" s="207"/>
      <c r="D566" s="234"/>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c r="AI566" s="207"/>
      <c r="AJ566" s="207"/>
      <c r="AK566" s="207"/>
      <c r="AL566" s="207"/>
    </row>
    <row r="567">
      <c r="A567" s="207"/>
      <c r="B567" s="233"/>
      <c r="C567" s="207"/>
      <c r="D567" s="234"/>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c r="AI567" s="207"/>
      <c r="AJ567" s="207"/>
      <c r="AK567" s="207"/>
      <c r="AL567" s="207"/>
    </row>
    <row r="568">
      <c r="A568" s="207"/>
      <c r="B568" s="233"/>
      <c r="C568" s="207"/>
      <c r="D568" s="234"/>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c r="AI568" s="207"/>
      <c r="AJ568" s="207"/>
      <c r="AK568" s="207"/>
      <c r="AL568" s="207"/>
    </row>
    <row r="569">
      <c r="A569" s="207"/>
      <c r="B569" s="233"/>
      <c r="C569" s="207"/>
      <c r="D569" s="234"/>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c r="AI569" s="207"/>
      <c r="AJ569" s="207"/>
      <c r="AK569" s="207"/>
      <c r="AL569" s="207"/>
    </row>
    <row r="570">
      <c r="A570" s="207"/>
      <c r="B570" s="233"/>
      <c r="C570" s="207"/>
      <c r="D570" s="234"/>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c r="AI570" s="207"/>
      <c r="AJ570" s="207"/>
      <c r="AK570" s="207"/>
      <c r="AL570" s="207"/>
    </row>
    <row r="571">
      <c r="A571" s="207"/>
      <c r="B571" s="233"/>
      <c r="C571" s="207"/>
      <c r="D571" s="234"/>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c r="AI571" s="207"/>
      <c r="AJ571" s="207"/>
      <c r="AK571" s="207"/>
      <c r="AL571" s="207"/>
    </row>
    <row r="572">
      <c r="A572" s="207"/>
      <c r="B572" s="233"/>
      <c r="C572" s="207"/>
      <c r="D572" s="234"/>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c r="AI572" s="207"/>
      <c r="AJ572" s="207"/>
      <c r="AK572" s="207"/>
      <c r="AL572" s="207"/>
    </row>
    <row r="573">
      <c r="A573" s="207"/>
      <c r="B573" s="233"/>
      <c r="C573" s="207"/>
      <c r="D573" s="234"/>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c r="AI573" s="207"/>
      <c r="AJ573" s="207"/>
      <c r="AK573" s="207"/>
      <c r="AL573" s="207"/>
    </row>
    <row r="574">
      <c r="A574" s="207"/>
      <c r="B574" s="233"/>
      <c r="C574" s="207"/>
      <c r="D574" s="234"/>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c r="AI574" s="207"/>
      <c r="AJ574" s="207"/>
      <c r="AK574" s="207"/>
      <c r="AL574" s="207"/>
    </row>
    <row r="575">
      <c r="A575" s="207"/>
      <c r="B575" s="233"/>
      <c r="C575" s="207"/>
      <c r="D575" s="234"/>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c r="AI575" s="207"/>
      <c r="AJ575" s="207"/>
      <c r="AK575" s="207"/>
      <c r="AL575" s="207"/>
    </row>
    <row r="576">
      <c r="A576" s="207"/>
      <c r="B576" s="233"/>
      <c r="C576" s="207"/>
      <c r="D576" s="234"/>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c r="AI576" s="207"/>
      <c r="AJ576" s="207"/>
      <c r="AK576" s="207"/>
      <c r="AL576" s="207"/>
    </row>
    <row r="577">
      <c r="A577" s="207"/>
      <c r="B577" s="233"/>
      <c r="C577" s="207"/>
      <c r="D577" s="234"/>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c r="AI577" s="207"/>
      <c r="AJ577" s="207"/>
      <c r="AK577" s="207"/>
      <c r="AL577" s="207"/>
    </row>
    <row r="578">
      <c r="A578" s="207"/>
      <c r="B578" s="233"/>
      <c r="C578" s="207"/>
      <c r="D578" s="234"/>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c r="AI578" s="207"/>
      <c r="AJ578" s="207"/>
      <c r="AK578" s="207"/>
      <c r="AL578" s="207"/>
    </row>
    <row r="579">
      <c r="A579" s="207"/>
      <c r="B579" s="233"/>
      <c r="C579" s="207"/>
      <c r="D579" s="234"/>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c r="AJ579" s="207"/>
      <c r="AK579" s="207"/>
      <c r="AL579" s="207"/>
    </row>
    <row r="580">
      <c r="A580" s="207"/>
      <c r="B580" s="233"/>
      <c r="C580" s="207"/>
      <c r="D580" s="234"/>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c r="AI580" s="207"/>
      <c r="AJ580" s="207"/>
      <c r="AK580" s="207"/>
      <c r="AL580" s="207"/>
    </row>
    <row r="581">
      <c r="A581" s="207"/>
      <c r="B581" s="233"/>
      <c r="C581" s="207"/>
      <c r="D581" s="234"/>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c r="AI581" s="207"/>
      <c r="AJ581" s="207"/>
      <c r="AK581" s="207"/>
      <c r="AL581" s="207"/>
    </row>
    <row r="582">
      <c r="A582" s="207"/>
      <c r="B582" s="233"/>
      <c r="C582" s="207"/>
      <c r="D582" s="234"/>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c r="AI582" s="207"/>
      <c r="AJ582" s="207"/>
      <c r="AK582" s="207"/>
      <c r="AL582" s="207"/>
    </row>
    <row r="583">
      <c r="A583" s="207"/>
      <c r="B583" s="233"/>
      <c r="C583" s="207"/>
      <c r="D583" s="234"/>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c r="AI583" s="207"/>
      <c r="AJ583" s="207"/>
      <c r="AK583" s="207"/>
      <c r="AL583" s="207"/>
    </row>
    <row r="584">
      <c r="A584" s="207"/>
      <c r="B584" s="233"/>
      <c r="C584" s="207"/>
      <c r="D584" s="234"/>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c r="AI584" s="207"/>
      <c r="AJ584" s="207"/>
      <c r="AK584" s="207"/>
      <c r="AL584" s="207"/>
    </row>
    <row r="585">
      <c r="A585" s="207"/>
      <c r="B585" s="233"/>
      <c r="C585" s="207"/>
      <c r="D585" s="234"/>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c r="AI585" s="207"/>
      <c r="AJ585" s="207"/>
      <c r="AK585" s="207"/>
      <c r="AL585" s="207"/>
    </row>
    <row r="586">
      <c r="A586" s="207"/>
      <c r="B586" s="233"/>
      <c r="C586" s="207"/>
      <c r="D586" s="234"/>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c r="AI586" s="207"/>
      <c r="AJ586" s="207"/>
      <c r="AK586" s="207"/>
      <c r="AL586" s="207"/>
    </row>
    <row r="587">
      <c r="A587" s="207"/>
      <c r="B587" s="233"/>
      <c r="C587" s="207"/>
      <c r="D587" s="234"/>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c r="AI587" s="207"/>
      <c r="AJ587" s="207"/>
      <c r="AK587" s="207"/>
      <c r="AL587" s="207"/>
    </row>
    <row r="588">
      <c r="A588" s="207"/>
      <c r="B588" s="233"/>
      <c r="C588" s="207"/>
      <c r="D588" s="234"/>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c r="AI588" s="207"/>
      <c r="AJ588" s="207"/>
      <c r="AK588" s="207"/>
      <c r="AL588" s="207"/>
    </row>
    <row r="589">
      <c r="A589" s="207"/>
      <c r="B589" s="233"/>
      <c r="C589" s="207"/>
      <c r="D589" s="234"/>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c r="AI589" s="207"/>
      <c r="AJ589" s="207"/>
      <c r="AK589" s="207"/>
      <c r="AL589" s="207"/>
    </row>
    <row r="590">
      <c r="A590" s="207"/>
      <c r="B590" s="233"/>
      <c r="C590" s="207"/>
      <c r="D590" s="234"/>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c r="AI590" s="207"/>
      <c r="AJ590" s="207"/>
      <c r="AK590" s="207"/>
      <c r="AL590" s="207"/>
    </row>
    <row r="591">
      <c r="A591" s="207"/>
      <c r="B591" s="233"/>
      <c r="C591" s="207"/>
      <c r="D591" s="234"/>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c r="AI591" s="207"/>
      <c r="AJ591" s="207"/>
      <c r="AK591" s="207"/>
      <c r="AL591" s="207"/>
    </row>
    <row r="592">
      <c r="A592" s="207"/>
      <c r="B592" s="233"/>
      <c r="C592" s="207"/>
      <c r="D592" s="234"/>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c r="AI592" s="207"/>
      <c r="AJ592" s="207"/>
      <c r="AK592" s="207"/>
      <c r="AL592" s="207"/>
    </row>
    <row r="593">
      <c r="A593" s="207"/>
      <c r="B593" s="233"/>
      <c r="C593" s="207"/>
      <c r="D593" s="234"/>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c r="AI593" s="207"/>
      <c r="AJ593" s="207"/>
      <c r="AK593" s="207"/>
      <c r="AL593" s="207"/>
    </row>
    <row r="594">
      <c r="A594" s="207"/>
      <c r="B594" s="233"/>
      <c r="C594" s="207"/>
      <c r="D594" s="234"/>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c r="AI594" s="207"/>
      <c r="AJ594" s="207"/>
      <c r="AK594" s="207"/>
      <c r="AL594" s="207"/>
    </row>
    <row r="595">
      <c r="A595" s="207"/>
      <c r="B595" s="233"/>
      <c r="C595" s="207"/>
      <c r="D595" s="234"/>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c r="AI595" s="207"/>
      <c r="AJ595" s="207"/>
      <c r="AK595" s="207"/>
      <c r="AL595" s="207"/>
    </row>
    <row r="596">
      <c r="A596" s="207"/>
      <c r="B596" s="233"/>
      <c r="C596" s="207"/>
      <c r="D596" s="234"/>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c r="AI596" s="207"/>
      <c r="AJ596" s="207"/>
      <c r="AK596" s="207"/>
      <c r="AL596" s="207"/>
    </row>
    <row r="597">
      <c r="A597" s="207"/>
      <c r="B597" s="233"/>
      <c r="C597" s="207"/>
      <c r="D597" s="234"/>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c r="AI597" s="207"/>
      <c r="AJ597" s="207"/>
      <c r="AK597" s="207"/>
      <c r="AL597" s="207"/>
    </row>
    <row r="598">
      <c r="A598" s="207"/>
      <c r="B598" s="233"/>
      <c r="C598" s="207"/>
      <c r="D598" s="234"/>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c r="AI598" s="207"/>
      <c r="AJ598" s="207"/>
      <c r="AK598" s="207"/>
      <c r="AL598" s="207"/>
    </row>
    <row r="599">
      <c r="A599" s="207"/>
      <c r="B599" s="233"/>
      <c r="C599" s="207"/>
      <c r="D599" s="234"/>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c r="AI599" s="207"/>
      <c r="AJ599" s="207"/>
      <c r="AK599" s="207"/>
      <c r="AL599" s="207"/>
    </row>
    <row r="600">
      <c r="A600" s="207"/>
      <c r="B600" s="233"/>
      <c r="C600" s="207"/>
      <c r="D600" s="234"/>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c r="AI600" s="207"/>
      <c r="AJ600" s="207"/>
      <c r="AK600" s="207"/>
      <c r="AL600" s="207"/>
    </row>
    <row r="601">
      <c r="A601" s="207"/>
      <c r="B601" s="233"/>
      <c r="C601" s="207"/>
      <c r="D601" s="234"/>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c r="AI601" s="207"/>
      <c r="AJ601" s="207"/>
      <c r="AK601" s="207"/>
      <c r="AL601" s="207"/>
    </row>
    <row r="602">
      <c r="A602" s="207"/>
      <c r="B602" s="233"/>
      <c r="C602" s="207"/>
      <c r="D602" s="234"/>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c r="AI602" s="207"/>
      <c r="AJ602" s="207"/>
      <c r="AK602" s="207"/>
      <c r="AL602" s="207"/>
    </row>
    <row r="603">
      <c r="A603" s="207"/>
      <c r="B603" s="233"/>
      <c r="C603" s="207"/>
      <c r="D603" s="234"/>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c r="AI603" s="207"/>
      <c r="AJ603" s="207"/>
      <c r="AK603" s="207"/>
      <c r="AL603" s="207"/>
    </row>
    <row r="604">
      <c r="A604" s="207"/>
      <c r="B604" s="233"/>
      <c r="C604" s="207"/>
      <c r="D604" s="234"/>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c r="AI604" s="207"/>
      <c r="AJ604" s="207"/>
      <c r="AK604" s="207"/>
      <c r="AL604" s="207"/>
    </row>
    <row r="605">
      <c r="A605" s="207"/>
      <c r="B605" s="233"/>
      <c r="C605" s="207"/>
      <c r="D605" s="234"/>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c r="AI605" s="207"/>
      <c r="AJ605" s="207"/>
      <c r="AK605" s="207"/>
      <c r="AL605" s="207"/>
    </row>
    <row r="606">
      <c r="A606" s="207"/>
      <c r="B606" s="233"/>
      <c r="C606" s="207"/>
      <c r="D606" s="234"/>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c r="AI606" s="207"/>
      <c r="AJ606" s="207"/>
      <c r="AK606" s="207"/>
      <c r="AL606" s="207"/>
    </row>
    <row r="607">
      <c r="A607" s="207"/>
      <c r="B607" s="233"/>
      <c r="C607" s="207"/>
      <c r="D607" s="234"/>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c r="AI607" s="207"/>
      <c r="AJ607" s="207"/>
      <c r="AK607" s="207"/>
      <c r="AL607" s="207"/>
    </row>
    <row r="608">
      <c r="A608" s="207"/>
      <c r="B608" s="233"/>
      <c r="C608" s="207"/>
      <c r="D608" s="234"/>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c r="AI608" s="207"/>
      <c r="AJ608" s="207"/>
      <c r="AK608" s="207"/>
      <c r="AL608" s="207"/>
    </row>
    <row r="609">
      <c r="A609" s="207"/>
      <c r="B609" s="233"/>
      <c r="C609" s="207"/>
      <c r="D609" s="234"/>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c r="AI609" s="207"/>
      <c r="AJ609" s="207"/>
      <c r="AK609" s="207"/>
      <c r="AL609" s="207"/>
    </row>
    <row r="610">
      <c r="A610" s="207"/>
      <c r="B610" s="233"/>
      <c r="C610" s="207"/>
      <c r="D610" s="234"/>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c r="AI610" s="207"/>
      <c r="AJ610" s="207"/>
      <c r="AK610" s="207"/>
      <c r="AL610" s="207"/>
    </row>
    <row r="611">
      <c r="A611" s="207"/>
      <c r="B611" s="233"/>
      <c r="C611" s="207"/>
      <c r="D611" s="234"/>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c r="AI611" s="207"/>
      <c r="AJ611" s="207"/>
      <c r="AK611" s="207"/>
      <c r="AL611" s="207"/>
    </row>
    <row r="612">
      <c r="A612" s="207"/>
      <c r="B612" s="233"/>
      <c r="C612" s="207"/>
      <c r="D612" s="234"/>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c r="AI612" s="207"/>
      <c r="AJ612" s="207"/>
      <c r="AK612" s="207"/>
      <c r="AL612" s="207"/>
    </row>
    <row r="613">
      <c r="A613" s="207"/>
      <c r="B613" s="233"/>
      <c r="C613" s="207"/>
      <c r="D613" s="234"/>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c r="AI613" s="207"/>
      <c r="AJ613" s="207"/>
      <c r="AK613" s="207"/>
      <c r="AL613" s="207"/>
    </row>
    <row r="614">
      <c r="A614" s="207"/>
      <c r="B614" s="233"/>
      <c r="C614" s="207"/>
      <c r="D614" s="234"/>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c r="AI614" s="207"/>
      <c r="AJ614" s="207"/>
      <c r="AK614" s="207"/>
      <c r="AL614" s="207"/>
    </row>
    <row r="615">
      <c r="A615" s="207"/>
      <c r="B615" s="233"/>
      <c r="C615" s="207"/>
      <c r="D615" s="234"/>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c r="AI615" s="207"/>
      <c r="AJ615" s="207"/>
      <c r="AK615" s="207"/>
      <c r="AL615" s="207"/>
    </row>
    <row r="616">
      <c r="A616" s="207"/>
      <c r="B616" s="233"/>
      <c r="C616" s="207"/>
      <c r="D616" s="234"/>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c r="AI616" s="207"/>
      <c r="AJ616" s="207"/>
      <c r="AK616" s="207"/>
      <c r="AL616" s="207"/>
    </row>
    <row r="617">
      <c r="A617" s="207"/>
      <c r="B617" s="233"/>
      <c r="C617" s="207"/>
      <c r="D617" s="234"/>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c r="AI617" s="207"/>
      <c r="AJ617" s="207"/>
      <c r="AK617" s="207"/>
      <c r="AL617" s="207"/>
    </row>
    <row r="618">
      <c r="A618" s="207"/>
      <c r="B618" s="233"/>
      <c r="C618" s="207"/>
      <c r="D618" s="234"/>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c r="AI618" s="207"/>
      <c r="AJ618" s="207"/>
      <c r="AK618" s="207"/>
      <c r="AL618" s="207"/>
    </row>
    <row r="619">
      <c r="A619" s="207"/>
      <c r="B619" s="233"/>
      <c r="C619" s="207"/>
      <c r="D619" s="234"/>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c r="AI619" s="207"/>
      <c r="AJ619" s="207"/>
      <c r="AK619" s="207"/>
      <c r="AL619" s="207"/>
    </row>
    <row r="620">
      <c r="A620" s="207"/>
      <c r="B620" s="233"/>
      <c r="C620" s="207"/>
      <c r="D620" s="234"/>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c r="AI620" s="207"/>
      <c r="AJ620" s="207"/>
      <c r="AK620" s="207"/>
      <c r="AL620" s="207"/>
    </row>
    <row r="621">
      <c r="A621" s="207"/>
      <c r="B621" s="233"/>
      <c r="C621" s="207"/>
      <c r="D621" s="234"/>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c r="AI621" s="207"/>
      <c r="AJ621" s="207"/>
      <c r="AK621" s="207"/>
      <c r="AL621" s="207"/>
    </row>
    <row r="622">
      <c r="A622" s="207"/>
      <c r="B622" s="233"/>
      <c r="C622" s="207"/>
      <c r="D622" s="234"/>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c r="AI622" s="207"/>
      <c r="AJ622" s="207"/>
      <c r="AK622" s="207"/>
      <c r="AL622" s="207"/>
    </row>
    <row r="623">
      <c r="A623" s="207"/>
      <c r="B623" s="233"/>
      <c r="C623" s="207"/>
      <c r="D623" s="234"/>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c r="AJ623" s="207"/>
      <c r="AK623" s="207"/>
      <c r="AL623" s="207"/>
    </row>
    <row r="624">
      <c r="A624" s="207"/>
      <c r="B624" s="233"/>
      <c r="C624" s="207"/>
      <c r="D624" s="234"/>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c r="AI624" s="207"/>
      <c r="AJ624" s="207"/>
      <c r="AK624" s="207"/>
      <c r="AL624" s="207"/>
    </row>
    <row r="625">
      <c r="A625" s="207"/>
      <c r="B625" s="233"/>
      <c r="C625" s="207"/>
      <c r="D625" s="234"/>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c r="AI625" s="207"/>
      <c r="AJ625" s="207"/>
      <c r="AK625" s="207"/>
      <c r="AL625" s="207"/>
    </row>
    <row r="626">
      <c r="A626" s="207"/>
      <c r="B626" s="233"/>
      <c r="C626" s="207"/>
      <c r="D626" s="234"/>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c r="AI626" s="207"/>
      <c r="AJ626" s="207"/>
      <c r="AK626" s="207"/>
      <c r="AL626" s="207"/>
    </row>
    <row r="627">
      <c r="A627" s="207"/>
      <c r="B627" s="233"/>
      <c r="C627" s="207"/>
      <c r="D627" s="234"/>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c r="AJ627" s="207"/>
      <c r="AK627" s="207"/>
      <c r="AL627" s="207"/>
    </row>
    <row r="628">
      <c r="A628" s="207"/>
      <c r="B628" s="233"/>
      <c r="C628" s="207"/>
      <c r="D628" s="234"/>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c r="AI628" s="207"/>
      <c r="AJ628" s="207"/>
      <c r="AK628" s="207"/>
      <c r="AL628" s="207"/>
    </row>
    <row r="629">
      <c r="A629" s="207"/>
      <c r="B629" s="233"/>
      <c r="C629" s="207"/>
      <c r="D629" s="234"/>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c r="AI629" s="207"/>
      <c r="AJ629" s="207"/>
      <c r="AK629" s="207"/>
      <c r="AL629" s="207"/>
    </row>
    <row r="630">
      <c r="A630" s="207"/>
      <c r="B630" s="233"/>
      <c r="C630" s="207"/>
      <c r="D630" s="234"/>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c r="AI630" s="207"/>
      <c r="AJ630" s="207"/>
      <c r="AK630" s="207"/>
      <c r="AL630" s="207"/>
    </row>
    <row r="631">
      <c r="A631" s="207"/>
      <c r="B631" s="233"/>
      <c r="C631" s="207"/>
      <c r="D631" s="234"/>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c r="AI631" s="207"/>
      <c r="AJ631" s="207"/>
      <c r="AK631" s="207"/>
      <c r="AL631" s="207"/>
    </row>
    <row r="632">
      <c r="A632" s="207"/>
      <c r="B632" s="233"/>
      <c r="C632" s="207"/>
      <c r="D632" s="234"/>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c r="AI632" s="207"/>
      <c r="AJ632" s="207"/>
      <c r="AK632" s="207"/>
      <c r="AL632" s="207"/>
    </row>
    <row r="633">
      <c r="A633" s="207"/>
      <c r="B633" s="233"/>
      <c r="C633" s="207"/>
      <c r="D633" s="234"/>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c r="AJ633" s="207"/>
      <c r="AK633" s="207"/>
      <c r="AL633" s="207"/>
    </row>
    <row r="634">
      <c r="A634" s="207"/>
      <c r="B634" s="233"/>
      <c r="C634" s="207"/>
      <c r="D634" s="234"/>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c r="AI634" s="207"/>
      <c r="AJ634" s="207"/>
      <c r="AK634" s="207"/>
      <c r="AL634" s="207"/>
    </row>
    <row r="635">
      <c r="A635" s="207"/>
      <c r="B635" s="233"/>
      <c r="C635" s="207"/>
      <c r="D635" s="234"/>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c r="AI635" s="207"/>
      <c r="AJ635" s="207"/>
      <c r="AK635" s="207"/>
      <c r="AL635" s="207"/>
    </row>
    <row r="636">
      <c r="A636" s="207"/>
      <c r="B636" s="233"/>
      <c r="C636" s="207"/>
      <c r="D636" s="234"/>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c r="AI636" s="207"/>
      <c r="AJ636" s="207"/>
      <c r="AK636" s="207"/>
      <c r="AL636" s="207"/>
    </row>
    <row r="637">
      <c r="A637" s="207"/>
      <c r="B637" s="233"/>
      <c r="C637" s="207"/>
      <c r="D637" s="234"/>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c r="AI637" s="207"/>
      <c r="AJ637" s="207"/>
      <c r="AK637" s="207"/>
      <c r="AL637" s="207"/>
    </row>
    <row r="638">
      <c r="A638" s="207"/>
      <c r="B638" s="233"/>
      <c r="C638" s="207"/>
      <c r="D638" s="234"/>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c r="AI638" s="207"/>
      <c r="AJ638" s="207"/>
      <c r="AK638" s="207"/>
      <c r="AL638" s="207"/>
    </row>
    <row r="639">
      <c r="A639" s="207"/>
      <c r="B639" s="233"/>
      <c r="C639" s="207"/>
      <c r="D639" s="234"/>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c r="AI639" s="207"/>
      <c r="AJ639" s="207"/>
      <c r="AK639" s="207"/>
      <c r="AL639" s="207"/>
    </row>
    <row r="640">
      <c r="A640" s="207"/>
      <c r="B640" s="233"/>
      <c r="C640" s="207"/>
      <c r="D640" s="234"/>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c r="AI640" s="207"/>
      <c r="AJ640" s="207"/>
      <c r="AK640" s="207"/>
      <c r="AL640" s="207"/>
    </row>
    <row r="641">
      <c r="A641" s="207"/>
      <c r="B641" s="233"/>
      <c r="C641" s="207"/>
      <c r="D641" s="234"/>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c r="AI641" s="207"/>
      <c r="AJ641" s="207"/>
      <c r="AK641" s="207"/>
      <c r="AL641" s="207"/>
    </row>
    <row r="642">
      <c r="A642" s="207"/>
      <c r="B642" s="233"/>
      <c r="C642" s="207"/>
      <c r="D642" s="234"/>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c r="AI642" s="207"/>
      <c r="AJ642" s="207"/>
      <c r="AK642" s="207"/>
      <c r="AL642" s="207"/>
    </row>
    <row r="643">
      <c r="A643" s="207"/>
      <c r="B643" s="233"/>
      <c r="C643" s="207"/>
      <c r="D643" s="234"/>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c r="AI643" s="207"/>
      <c r="AJ643" s="207"/>
      <c r="AK643" s="207"/>
      <c r="AL643" s="207"/>
    </row>
    <row r="644">
      <c r="A644" s="207"/>
      <c r="B644" s="233"/>
      <c r="C644" s="207"/>
      <c r="D644" s="234"/>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c r="AI644" s="207"/>
      <c r="AJ644" s="207"/>
      <c r="AK644" s="207"/>
      <c r="AL644" s="207"/>
    </row>
    <row r="645">
      <c r="A645" s="207"/>
      <c r="B645" s="233"/>
      <c r="C645" s="207"/>
      <c r="D645" s="234"/>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c r="AI645" s="207"/>
      <c r="AJ645" s="207"/>
      <c r="AK645" s="207"/>
      <c r="AL645" s="207"/>
    </row>
    <row r="646">
      <c r="A646" s="207"/>
      <c r="B646" s="233"/>
      <c r="C646" s="207"/>
      <c r="D646" s="234"/>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c r="AI646" s="207"/>
      <c r="AJ646" s="207"/>
      <c r="AK646" s="207"/>
      <c r="AL646" s="207"/>
    </row>
    <row r="647">
      <c r="A647" s="207"/>
      <c r="B647" s="233"/>
      <c r="C647" s="207"/>
      <c r="D647" s="234"/>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c r="AI647" s="207"/>
      <c r="AJ647" s="207"/>
      <c r="AK647" s="207"/>
      <c r="AL647" s="207"/>
    </row>
    <row r="648">
      <c r="A648" s="207"/>
      <c r="B648" s="233"/>
      <c r="C648" s="207"/>
      <c r="D648" s="234"/>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c r="AI648" s="207"/>
      <c r="AJ648" s="207"/>
      <c r="AK648" s="207"/>
      <c r="AL648" s="207"/>
    </row>
    <row r="649">
      <c r="A649" s="207"/>
      <c r="B649" s="233"/>
      <c r="C649" s="207"/>
      <c r="D649" s="234"/>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c r="AI649" s="207"/>
      <c r="AJ649" s="207"/>
      <c r="AK649" s="207"/>
      <c r="AL649" s="207"/>
    </row>
    <row r="650">
      <c r="A650" s="207"/>
      <c r="B650" s="233"/>
      <c r="C650" s="207"/>
      <c r="D650" s="234"/>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c r="AI650" s="207"/>
      <c r="AJ650" s="207"/>
      <c r="AK650" s="207"/>
      <c r="AL650" s="207"/>
    </row>
    <row r="651">
      <c r="A651" s="207"/>
      <c r="B651" s="233"/>
      <c r="C651" s="207"/>
      <c r="D651" s="234"/>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c r="AI651" s="207"/>
      <c r="AJ651" s="207"/>
      <c r="AK651" s="207"/>
      <c r="AL651" s="207"/>
    </row>
    <row r="652">
      <c r="A652" s="207"/>
      <c r="B652" s="233"/>
      <c r="C652" s="207"/>
      <c r="D652" s="234"/>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c r="AI652" s="207"/>
      <c r="AJ652" s="207"/>
      <c r="AK652" s="207"/>
      <c r="AL652" s="207"/>
    </row>
    <row r="653">
      <c r="A653" s="207"/>
      <c r="B653" s="233"/>
      <c r="C653" s="207"/>
      <c r="D653" s="234"/>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c r="AI653" s="207"/>
      <c r="AJ653" s="207"/>
      <c r="AK653" s="207"/>
      <c r="AL653" s="207"/>
    </row>
    <row r="654">
      <c r="A654" s="207"/>
      <c r="B654" s="233"/>
      <c r="C654" s="207"/>
      <c r="D654" s="234"/>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c r="AI654" s="207"/>
      <c r="AJ654" s="207"/>
      <c r="AK654" s="207"/>
      <c r="AL654" s="207"/>
    </row>
    <row r="655">
      <c r="A655" s="207"/>
      <c r="B655" s="233"/>
      <c r="C655" s="207"/>
      <c r="D655" s="234"/>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c r="AI655" s="207"/>
      <c r="AJ655" s="207"/>
      <c r="AK655" s="207"/>
      <c r="AL655" s="207"/>
    </row>
    <row r="656">
      <c r="A656" s="207"/>
      <c r="B656" s="233"/>
      <c r="C656" s="207"/>
      <c r="D656" s="234"/>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c r="AI656" s="207"/>
      <c r="AJ656" s="207"/>
      <c r="AK656" s="207"/>
      <c r="AL656" s="207"/>
    </row>
    <row r="657">
      <c r="A657" s="207"/>
      <c r="B657" s="233"/>
      <c r="C657" s="207"/>
      <c r="D657" s="234"/>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c r="AI657" s="207"/>
      <c r="AJ657" s="207"/>
      <c r="AK657" s="207"/>
      <c r="AL657" s="207"/>
    </row>
    <row r="658">
      <c r="A658" s="207"/>
      <c r="B658" s="233"/>
      <c r="C658" s="207"/>
      <c r="D658" s="234"/>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c r="AI658" s="207"/>
      <c r="AJ658" s="207"/>
      <c r="AK658" s="207"/>
      <c r="AL658" s="207"/>
    </row>
    <row r="659">
      <c r="A659" s="207"/>
      <c r="B659" s="233"/>
      <c r="C659" s="207"/>
      <c r="D659" s="234"/>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c r="AI659" s="207"/>
      <c r="AJ659" s="207"/>
      <c r="AK659" s="207"/>
      <c r="AL659" s="207"/>
    </row>
    <row r="660">
      <c r="A660" s="207"/>
      <c r="B660" s="233"/>
      <c r="C660" s="207"/>
      <c r="D660" s="234"/>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c r="AI660" s="207"/>
      <c r="AJ660" s="207"/>
      <c r="AK660" s="207"/>
      <c r="AL660" s="207"/>
    </row>
    <row r="661">
      <c r="A661" s="207"/>
      <c r="B661" s="233"/>
      <c r="C661" s="207"/>
      <c r="D661" s="234"/>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c r="AI661" s="207"/>
      <c r="AJ661" s="207"/>
      <c r="AK661" s="207"/>
      <c r="AL661" s="207"/>
    </row>
    <row r="662">
      <c r="A662" s="207"/>
      <c r="B662" s="233"/>
      <c r="C662" s="207"/>
      <c r="D662" s="234"/>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c r="AI662" s="207"/>
      <c r="AJ662" s="207"/>
      <c r="AK662" s="207"/>
      <c r="AL662" s="207"/>
    </row>
    <row r="663">
      <c r="A663" s="207"/>
      <c r="B663" s="233"/>
      <c r="C663" s="207"/>
      <c r="D663" s="234"/>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c r="AI663" s="207"/>
      <c r="AJ663" s="207"/>
      <c r="AK663" s="207"/>
      <c r="AL663" s="207"/>
    </row>
    <row r="664">
      <c r="A664" s="207"/>
      <c r="B664" s="233"/>
      <c r="C664" s="207"/>
      <c r="D664" s="234"/>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c r="AI664" s="207"/>
      <c r="AJ664" s="207"/>
      <c r="AK664" s="207"/>
      <c r="AL664" s="207"/>
    </row>
    <row r="665">
      <c r="A665" s="207"/>
      <c r="B665" s="233"/>
      <c r="C665" s="207"/>
      <c r="D665" s="234"/>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c r="AI665" s="207"/>
      <c r="AJ665" s="207"/>
      <c r="AK665" s="207"/>
      <c r="AL665" s="207"/>
    </row>
    <row r="666">
      <c r="A666" s="207"/>
      <c r="B666" s="233"/>
      <c r="C666" s="207"/>
      <c r="D666" s="234"/>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c r="AI666" s="207"/>
      <c r="AJ666" s="207"/>
      <c r="AK666" s="207"/>
      <c r="AL666" s="207"/>
    </row>
    <row r="667">
      <c r="A667" s="207"/>
      <c r="B667" s="233"/>
      <c r="C667" s="207"/>
      <c r="D667" s="234"/>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c r="AI667" s="207"/>
      <c r="AJ667" s="207"/>
      <c r="AK667" s="207"/>
      <c r="AL667" s="207"/>
    </row>
    <row r="668">
      <c r="A668" s="207"/>
      <c r="B668" s="233"/>
      <c r="C668" s="207"/>
      <c r="D668" s="234"/>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c r="AI668" s="207"/>
      <c r="AJ668" s="207"/>
      <c r="AK668" s="207"/>
      <c r="AL668" s="207"/>
    </row>
    <row r="669">
      <c r="A669" s="207"/>
      <c r="B669" s="233"/>
      <c r="C669" s="207"/>
      <c r="D669" s="234"/>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c r="AI669" s="207"/>
      <c r="AJ669" s="207"/>
      <c r="AK669" s="207"/>
      <c r="AL669" s="207"/>
    </row>
    <row r="670">
      <c r="A670" s="207"/>
      <c r="B670" s="233"/>
      <c r="C670" s="207"/>
      <c r="D670" s="234"/>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c r="AI670" s="207"/>
      <c r="AJ670" s="207"/>
      <c r="AK670" s="207"/>
      <c r="AL670" s="207"/>
    </row>
    <row r="671">
      <c r="A671" s="207"/>
      <c r="B671" s="233"/>
      <c r="C671" s="207"/>
      <c r="D671" s="234"/>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c r="AI671" s="207"/>
      <c r="AJ671" s="207"/>
      <c r="AK671" s="207"/>
      <c r="AL671" s="207"/>
    </row>
    <row r="672">
      <c r="A672" s="207"/>
      <c r="B672" s="233"/>
      <c r="C672" s="207"/>
      <c r="D672" s="234"/>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c r="AI672" s="207"/>
      <c r="AJ672" s="207"/>
      <c r="AK672" s="207"/>
      <c r="AL672" s="207"/>
    </row>
    <row r="673">
      <c r="A673" s="207"/>
      <c r="B673" s="233"/>
      <c r="C673" s="207"/>
      <c r="D673" s="234"/>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c r="AI673" s="207"/>
      <c r="AJ673" s="207"/>
      <c r="AK673" s="207"/>
      <c r="AL673" s="207"/>
    </row>
    <row r="674">
      <c r="A674" s="207"/>
      <c r="B674" s="233"/>
      <c r="C674" s="207"/>
      <c r="D674" s="234"/>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c r="AI674" s="207"/>
      <c r="AJ674" s="207"/>
      <c r="AK674" s="207"/>
      <c r="AL674" s="207"/>
    </row>
    <row r="675">
      <c r="A675" s="207"/>
      <c r="B675" s="233"/>
      <c r="C675" s="207"/>
      <c r="D675" s="234"/>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c r="AJ675" s="207"/>
      <c r="AK675" s="207"/>
      <c r="AL675" s="207"/>
    </row>
    <row r="676">
      <c r="A676" s="207"/>
      <c r="B676" s="233"/>
      <c r="C676" s="207"/>
      <c r="D676" s="234"/>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c r="AI676" s="207"/>
      <c r="AJ676" s="207"/>
      <c r="AK676" s="207"/>
      <c r="AL676" s="207"/>
    </row>
    <row r="677">
      <c r="A677" s="207"/>
      <c r="B677" s="233"/>
      <c r="C677" s="207"/>
      <c r="D677" s="234"/>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c r="AI677" s="207"/>
      <c r="AJ677" s="207"/>
      <c r="AK677" s="207"/>
      <c r="AL677" s="207"/>
    </row>
    <row r="678">
      <c r="A678" s="207"/>
      <c r="B678" s="233"/>
      <c r="C678" s="207"/>
      <c r="D678" s="234"/>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c r="AI678" s="207"/>
      <c r="AJ678" s="207"/>
      <c r="AK678" s="207"/>
      <c r="AL678" s="207"/>
    </row>
    <row r="679">
      <c r="A679" s="207"/>
      <c r="B679" s="233"/>
      <c r="C679" s="207"/>
      <c r="D679" s="234"/>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c r="AI679" s="207"/>
      <c r="AJ679" s="207"/>
      <c r="AK679" s="207"/>
      <c r="AL679" s="207"/>
    </row>
    <row r="680">
      <c r="A680" s="207"/>
      <c r="B680" s="233"/>
      <c r="C680" s="207"/>
      <c r="D680" s="234"/>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c r="AI680" s="207"/>
      <c r="AJ680" s="207"/>
      <c r="AK680" s="207"/>
      <c r="AL680" s="207"/>
    </row>
    <row r="681">
      <c r="A681" s="207"/>
      <c r="B681" s="233"/>
      <c r="C681" s="207"/>
      <c r="D681" s="234"/>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c r="AI681" s="207"/>
      <c r="AJ681" s="207"/>
      <c r="AK681" s="207"/>
      <c r="AL681" s="207"/>
    </row>
    <row r="682">
      <c r="A682" s="207"/>
      <c r="B682" s="233"/>
      <c r="C682" s="207"/>
      <c r="D682" s="234"/>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c r="AI682" s="207"/>
      <c r="AJ682" s="207"/>
      <c r="AK682" s="207"/>
      <c r="AL682" s="207"/>
    </row>
    <row r="683">
      <c r="A683" s="207"/>
      <c r="B683" s="233"/>
      <c r="C683" s="207"/>
      <c r="D683" s="234"/>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c r="AI683" s="207"/>
      <c r="AJ683" s="207"/>
      <c r="AK683" s="207"/>
      <c r="AL683" s="207"/>
    </row>
    <row r="684">
      <c r="A684" s="207"/>
      <c r="B684" s="233"/>
      <c r="C684" s="207"/>
      <c r="D684" s="234"/>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c r="AI684" s="207"/>
      <c r="AJ684" s="207"/>
      <c r="AK684" s="207"/>
      <c r="AL684" s="207"/>
    </row>
    <row r="685">
      <c r="A685" s="207"/>
      <c r="B685" s="233"/>
      <c r="C685" s="207"/>
      <c r="D685" s="234"/>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c r="AI685" s="207"/>
      <c r="AJ685" s="207"/>
      <c r="AK685" s="207"/>
      <c r="AL685" s="207"/>
    </row>
    <row r="686">
      <c r="A686" s="207"/>
      <c r="B686" s="233"/>
      <c r="C686" s="207"/>
      <c r="D686" s="234"/>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c r="AI686" s="207"/>
      <c r="AJ686" s="207"/>
      <c r="AK686" s="207"/>
      <c r="AL686" s="207"/>
    </row>
    <row r="687">
      <c r="A687" s="207"/>
      <c r="B687" s="233"/>
      <c r="C687" s="207"/>
      <c r="D687" s="234"/>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c r="AI687" s="207"/>
      <c r="AJ687" s="207"/>
      <c r="AK687" s="207"/>
      <c r="AL687" s="207"/>
    </row>
    <row r="688">
      <c r="A688" s="207"/>
      <c r="B688" s="233"/>
      <c r="C688" s="207"/>
      <c r="D688" s="234"/>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c r="AI688" s="207"/>
      <c r="AJ688" s="207"/>
      <c r="AK688" s="207"/>
      <c r="AL688" s="207"/>
    </row>
    <row r="689">
      <c r="A689" s="207"/>
      <c r="B689" s="233"/>
      <c r="C689" s="207"/>
      <c r="D689" s="234"/>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c r="AI689" s="207"/>
      <c r="AJ689" s="207"/>
      <c r="AK689" s="207"/>
      <c r="AL689" s="207"/>
    </row>
    <row r="690">
      <c r="A690" s="207"/>
      <c r="B690" s="233"/>
      <c r="C690" s="207"/>
      <c r="D690" s="234"/>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c r="AI690" s="207"/>
      <c r="AJ690" s="207"/>
      <c r="AK690" s="207"/>
      <c r="AL690" s="207"/>
    </row>
    <row r="691">
      <c r="A691" s="207"/>
      <c r="B691" s="233"/>
      <c r="C691" s="207"/>
      <c r="D691" s="234"/>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c r="AI691" s="207"/>
      <c r="AJ691" s="207"/>
      <c r="AK691" s="207"/>
      <c r="AL691" s="207"/>
    </row>
    <row r="692">
      <c r="A692" s="207"/>
      <c r="B692" s="233"/>
      <c r="C692" s="207"/>
      <c r="D692" s="234"/>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c r="AI692" s="207"/>
      <c r="AJ692" s="207"/>
      <c r="AK692" s="207"/>
      <c r="AL692" s="207"/>
    </row>
    <row r="693">
      <c r="A693" s="207"/>
      <c r="B693" s="233"/>
      <c r="C693" s="207"/>
      <c r="D693" s="234"/>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c r="AI693" s="207"/>
      <c r="AJ693" s="207"/>
      <c r="AK693" s="207"/>
      <c r="AL693" s="207"/>
    </row>
    <row r="694">
      <c r="A694" s="207"/>
      <c r="B694" s="233"/>
      <c r="C694" s="207"/>
      <c r="D694" s="234"/>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c r="AI694" s="207"/>
      <c r="AJ694" s="207"/>
      <c r="AK694" s="207"/>
      <c r="AL694" s="207"/>
    </row>
    <row r="695">
      <c r="A695" s="207"/>
      <c r="B695" s="233"/>
      <c r="C695" s="207"/>
      <c r="D695" s="234"/>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c r="AI695" s="207"/>
      <c r="AJ695" s="207"/>
      <c r="AK695" s="207"/>
      <c r="AL695" s="207"/>
    </row>
    <row r="696">
      <c r="A696" s="207"/>
      <c r="B696" s="233"/>
      <c r="C696" s="207"/>
      <c r="D696" s="234"/>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c r="AI696" s="207"/>
      <c r="AJ696" s="207"/>
      <c r="AK696" s="207"/>
      <c r="AL696" s="207"/>
    </row>
    <row r="697">
      <c r="A697" s="207"/>
      <c r="B697" s="233"/>
      <c r="C697" s="207"/>
      <c r="D697" s="234"/>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c r="AI697" s="207"/>
      <c r="AJ697" s="207"/>
      <c r="AK697" s="207"/>
      <c r="AL697" s="207"/>
    </row>
    <row r="698">
      <c r="A698" s="207"/>
      <c r="B698" s="233"/>
      <c r="C698" s="207"/>
      <c r="D698" s="234"/>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c r="AI698" s="207"/>
      <c r="AJ698" s="207"/>
      <c r="AK698" s="207"/>
      <c r="AL698" s="207"/>
    </row>
    <row r="699">
      <c r="A699" s="207"/>
      <c r="B699" s="233"/>
      <c r="C699" s="207"/>
      <c r="D699" s="234"/>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c r="AI699" s="207"/>
      <c r="AJ699" s="207"/>
      <c r="AK699" s="207"/>
      <c r="AL699" s="207"/>
    </row>
    <row r="700">
      <c r="A700" s="207"/>
      <c r="B700" s="233"/>
      <c r="C700" s="207"/>
      <c r="D700" s="234"/>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c r="AI700" s="207"/>
      <c r="AJ700" s="207"/>
      <c r="AK700" s="207"/>
      <c r="AL700" s="207"/>
    </row>
    <row r="701">
      <c r="A701" s="207"/>
      <c r="B701" s="233"/>
      <c r="C701" s="207"/>
      <c r="D701" s="234"/>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c r="AI701" s="207"/>
      <c r="AJ701" s="207"/>
      <c r="AK701" s="207"/>
      <c r="AL701" s="207"/>
    </row>
    <row r="702">
      <c r="A702" s="207"/>
      <c r="B702" s="233"/>
      <c r="C702" s="207"/>
      <c r="D702" s="234"/>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c r="AI702" s="207"/>
      <c r="AJ702" s="207"/>
      <c r="AK702" s="207"/>
      <c r="AL702" s="207"/>
    </row>
    <row r="703">
      <c r="A703" s="207"/>
      <c r="B703" s="233"/>
      <c r="C703" s="207"/>
      <c r="D703" s="234"/>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c r="AI703" s="207"/>
      <c r="AJ703" s="207"/>
      <c r="AK703" s="207"/>
      <c r="AL703" s="207"/>
    </row>
    <row r="704">
      <c r="A704" s="207"/>
      <c r="B704" s="233"/>
      <c r="C704" s="207"/>
      <c r="D704" s="234"/>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c r="AI704" s="207"/>
      <c r="AJ704" s="207"/>
      <c r="AK704" s="207"/>
      <c r="AL704" s="207"/>
    </row>
    <row r="705">
      <c r="A705" s="207"/>
      <c r="B705" s="233"/>
      <c r="C705" s="207"/>
      <c r="D705" s="234"/>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c r="AI705" s="207"/>
      <c r="AJ705" s="207"/>
      <c r="AK705" s="207"/>
      <c r="AL705" s="207"/>
    </row>
    <row r="706">
      <c r="A706" s="207"/>
      <c r="B706" s="233"/>
      <c r="C706" s="207"/>
      <c r="D706" s="234"/>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c r="AI706" s="207"/>
      <c r="AJ706" s="207"/>
      <c r="AK706" s="207"/>
      <c r="AL706" s="207"/>
    </row>
    <row r="707">
      <c r="A707" s="207"/>
      <c r="B707" s="233"/>
      <c r="C707" s="207"/>
      <c r="D707" s="234"/>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c r="AI707" s="207"/>
      <c r="AJ707" s="207"/>
      <c r="AK707" s="207"/>
      <c r="AL707" s="207"/>
    </row>
    <row r="708">
      <c r="A708" s="207"/>
      <c r="B708" s="233"/>
      <c r="C708" s="207"/>
      <c r="D708" s="234"/>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c r="AI708" s="207"/>
      <c r="AJ708" s="207"/>
      <c r="AK708" s="207"/>
      <c r="AL708" s="207"/>
    </row>
    <row r="709">
      <c r="A709" s="207"/>
      <c r="B709" s="233"/>
      <c r="C709" s="207"/>
      <c r="D709" s="234"/>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c r="AI709" s="207"/>
      <c r="AJ709" s="207"/>
      <c r="AK709" s="207"/>
      <c r="AL709" s="207"/>
    </row>
    <row r="710">
      <c r="A710" s="207"/>
      <c r="B710" s="233"/>
      <c r="C710" s="207"/>
      <c r="D710" s="234"/>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c r="AI710" s="207"/>
      <c r="AJ710" s="207"/>
      <c r="AK710" s="207"/>
      <c r="AL710" s="207"/>
    </row>
    <row r="711">
      <c r="A711" s="207"/>
      <c r="B711" s="233"/>
      <c r="C711" s="207"/>
      <c r="D711" s="234"/>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c r="AI711" s="207"/>
      <c r="AJ711" s="207"/>
      <c r="AK711" s="207"/>
      <c r="AL711" s="207"/>
    </row>
    <row r="712">
      <c r="A712" s="207"/>
      <c r="B712" s="233"/>
      <c r="C712" s="207"/>
      <c r="D712" s="234"/>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c r="AI712" s="207"/>
      <c r="AJ712" s="207"/>
      <c r="AK712" s="207"/>
      <c r="AL712" s="207"/>
    </row>
    <row r="713">
      <c r="A713" s="207"/>
      <c r="B713" s="233"/>
      <c r="C713" s="207"/>
      <c r="D713" s="234"/>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c r="AI713" s="207"/>
      <c r="AJ713" s="207"/>
      <c r="AK713" s="207"/>
      <c r="AL713" s="207"/>
    </row>
    <row r="714">
      <c r="A714" s="207"/>
      <c r="B714" s="233"/>
      <c r="C714" s="207"/>
      <c r="D714" s="234"/>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c r="AI714" s="207"/>
      <c r="AJ714" s="207"/>
      <c r="AK714" s="207"/>
      <c r="AL714" s="207"/>
    </row>
    <row r="715">
      <c r="A715" s="207"/>
      <c r="B715" s="233"/>
      <c r="C715" s="207"/>
      <c r="D715" s="234"/>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c r="AI715" s="207"/>
      <c r="AJ715" s="207"/>
      <c r="AK715" s="207"/>
      <c r="AL715" s="207"/>
    </row>
    <row r="716">
      <c r="A716" s="207"/>
      <c r="B716" s="233"/>
      <c r="C716" s="207"/>
      <c r="D716" s="234"/>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c r="AI716" s="207"/>
      <c r="AJ716" s="207"/>
      <c r="AK716" s="207"/>
      <c r="AL716" s="207"/>
    </row>
    <row r="717">
      <c r="A717" s="207"/>
      <c r="B717" s="233"/>
      <c r="C717" s="207"/>
      <c r="D717" s="234"/>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c r="AI717" s="207"/>
      <c r="AJ717" s="207"/>
      <c r="AK717" s="207"/>
      <c r="AL717" s="207"/>
    </row>
    <row r="718">
      <c r="A718" s="207"/>
      <c r="B718" s="233"/>
      <c r="C718" s="207"/>
      <c r="D718" s="234"/>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c r="AI718" s="207"/>
      <c r="AJ718" s="207"/>
      <c r="AK718" s="207"/>
      <c r="AL718" s="207"/>
    </row>
    <row r="719">
      <c r="A719" s="207"/>
      <c r="B719" s="233"/>
      <c r="C719" s="207"/>
      <c r="D719" s="234"/>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c r="AI719" s="207"/>
      <c r="AJ719" s="207"/>
      <c r="AK719" s="207"/>
      <c r="AL719" s="207"/>
    </row>
    <row r="720">
      <c r="A720" s="207"/>
      <c r="B720" s="233"/>
      <c r="C720" s="207"/>
      <c r="D720" s="234"/>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c r="AI720" s="207"/>
      <c r="AJ720" s="207"/>
      <c r="AK720" s="207"/>
      <c r="AL720" s="207"/>
    </row>
    <row r="721">
      <c r="A721" s="207"/>
      <c r="B721" s="233"/>
      <c r="C721" s="207"/>
      <c r="D721" s="234"/>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c r="AI721" s="207"/>
      <c r="AJ721" s="207"/>
      <c r="AK721" s="207"/>
      <c r="AL721" s="207"/>
    </row>
    <row r="722">
      <c r="A722" s="207"/>
      <c r="B722" s="233"/>
      <c r="C722" s="207"/>
      <c r="D722" s="234"/>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c r="AI722" s="207"/>
      <c r="AJ722" s="207"/>
      <c r="AK722" s="207"/>
      <c r="AL722" s="207"/>
    </row>
    <row r="723">
      <c r="A723" s="207"/>
      <c r="B723" s="233"/>
      <c r="C723" s="207"/>
      <c r="D723" s="234"/>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c r="AJ723" s="207"/>
      <c r="AK723" s="207"/>
      <c r="AL723" s="207"/>
    </row>
    <row r="724">
      <c r="A724" s="207"/>
      <c r="B724" s="233"/>
      <c r="C724" s="207"/>
      <c r="D724" s="234"/>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c r="AI724" s="207"/>
      <c r="AJ724" s="207"/>
      <c r="AK724" s="207"/>
      <c r="AL724" s="207"/>
    </row>
    <row r="725">
      <c r="A725" s="207"/>
      <c r="B725" s="233"/>
      <c r="C725" s="207"/>
      <c r="D725" s="234"/>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c r="AI725" s="207"/>
      <c r="AJ725" s="207"/>
      <c r="AK725" s="207"/>
      <c r="AL725" s="207"/>
    </row>
    <row r="726">
      <c r="A726" s="207"/>
      <c r="B726" s="233"/>
      <c r="C726" s="207"/>
      <c r="D726" s="234"/>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c r="AI726" s="207"/>
      <c r="AJ726" s="207"/>
      <c r="AK726" s="207"/>
      <c r="AL726" s="207"/>
    </row>
    <row r="727">
      <c r="A727" s="207"/>
      <c r="B727" s="233"/>
      <c r="C727" s="207"/>
      <c r="D727" s="234"/>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c r="AI727" s="207"/>
      <c r="AJ727" s="207"/>
      <c r="AK727" s="207"/>
      <c r="AL727" s="207"/>
    </row>
    <row r="728">
      <c r="A728" s="207"/>
      <c r="B728" s="233"/>
      <c r="C728" s="207"/>
      <c r="D728" s="234"/>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c r="AI728" s="207"/>
      <c r="AJ728" s="207"/>
      <c r="AK728" s="207"/>
      <c r="AL728" s="207"/>
    </row>
    <row r="729">
      <c r="A729" s="207"/>
      <c r="B729" s="233"/>
      <c r="C729" s="207"/>
      <c r="D729" s="234"/>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c r="AI729" s="207"/>
      <c r="AJ729" s="207"/>
      <c r="AK729" s="207"/>
      <c r="AL729" s="207"/>
    </row>
    <row r="730">
      <c r="A730" s="207"/>
      <c r="B730" s="233"/>
      <c r="C730" s="207"/>
      <c r="D730" s="234"/>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c r="AI730" s="207"/>
      <c r="AJ730" s="207"/>
      <c r="AK730" s="207"/>
      <c r="AL730" s="207"/>
    </row>
    <row r="731">
      <c r="A731" s="207"/>
      <c r="B731" s="233"/>
      <c r="C731" s="207"/>
      <c r="D731" s="234"/>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c r="AI731" s="207"/>
      <c r="AJ731" s="207"/>
      <c r="AK731" s="207"/>
      <c r="AL731" s="207"/>
    </row>
    <row r="732">
      <c r="A732" s="207"/>
      <c r="B732" s="233"/>
      <c r="C732" s="207"/>
      <c r="D732" s="234"/>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c r="AI732" s="207"/>
      <c r="AJ732" s="207"/>
      <c r="AK732" s="207"/>
      <c r="AL732" s="207"/>
    </row>
    <row r="733">
      <c r="A733" s="207"/>
      <c r="B733" s="233"/>
      <c r="C733" s="207"/>
      <c r="D733" s="234"/>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c r="AI733" s="207"/>
      <c r="AJ733" s="207"/>
      <c r="AK733" s="207"/>
      <c r="AL733" s="207"/>
    </row>
    <row r="734">
      <c r="A734" s="207"/>
      <c r="B734" s="233"/>
      <c r="C734" s="207"/>
      <c r="D734" s="234"/>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c r="AI734" s="207"/>
      <c r="AJ734" s="207"/>
      <c r="AK734" s="207"/>
      <c r="AL734" s="207"/>
    </row>
    <row r="735">
      <c r="A735" s="207"/>
      <c r="B735" s="233"/>
      <c r="C735" s="207"/>
      <c r="D735" s="234"/>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c r="AI735" s="207"/>
      <c r="AJ735" s="207"/>
      <c r="AK735" s="207"/>
      <c r="AL735" s="207"/>
    </row>
    <row r="736">
      <c r="A736" s="207"/>
      <c r="B736" s="233"/>
      <c r="C736" s="207"/>
      <c r="D736" s="234"/>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c r="AI736" s="207"/>
      <c r="AJ736" s="207"/>
      <c r="AK736" s="207"/>
      <c r="AL736" s="207"/>
    </row>
    <row r="737">
      <c r="A737" s="207"/>
      <c r="B737" s="233"/>
      <c r="C737" s="207"/>
      <c r="D737" s="234"/>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c r="AI737" s="207"/>
      <c r="AJ737" s="207"/>
      <c r="AK737" s="207"/>
      <c r="AL737" s="207"/>
    </row>
    <row r="738">
      <c r="A738" s="207"/>
      <c r="B738" s="233"/>
      <c r="C738" s="207"/>
      <c r="D738" s="234"/>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c r="AI738" s="207"/>
      <c r="AJ738" s="207"/>
      <c r="AK738" s="207"/>
      <c r="AL738" s="207"/>
    </row>
    <row r="739">
      <c r="A739" s="207"/>
      <c r="B739" s="233"/>
      <c r="C739" s="207"/>
      <c r="D739" s="234"/>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c r="AI739" s="207"/>
      <c r="AJ739" s="207"/>
      <c r="AK739" s="207"/>
      <c r="AL739" s="207"/>
    </row>
    <row r="740">
      <c r="A740" s="207"/>
      <c r="B740" s="233"/>
      <c r="C740" s="207"/>
      <c r="D740" s="234"/>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c r="AI740" s="207"/>
      <c r="AJ740" s="207"/>
      <c r="AK740" s="207"/>
      <c r="AL740" s="207"/>
    </row>
    <row r="741">
      <c r="A741" s="207"/>
      <c r="B741" s="233"/>
      <c r="C741" s="207"/>
      <c r="D741" s="234"/>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c r="AI741" s="207"/>
      <c r="AJ741" s="207"/>
      <c r="AK741" s="207"/>
      <c r="AL741" s="207"/>
    </row>
    <row r="742">
      <c r="A742" s="207"/>
      <c r="B742" s="233"/>
      <c r="C742" s="207"/>
      <c r="D742" s="234"/>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c r="AI742" s="207"/>
      <c r="AJ742" s="207"/>
      <c r="AK742" s="207"/>
      <c r="AL742" s="207"/>
    </row>
    <row r="743">
      <c r="A743" s="207"/>
      <c r="B743" s="233"/>
      <c r="C743" s="207"/>
      <c r="D743" s="234"/>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c r="AI743" s="207"/>
      <c r="AJ743" s="207"/>
      <c r="AK743" s="207"/>
      <c r="AL743" s="207"/>
    </row>
    <row r="744">
      <c r="A744" s="207"/>
      <c r="B744" s="233"/>
      <c r="C744" s="207"/>
      <c r="D744" s="234"/>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c r="AI744" s="207"/>
      <c r="AJ744" s="207"/>
      <c r="AK744" s="207"/>
      <c r="AL744" s="207"/>
    </row>
    <row r="745">
      <c r="A745" s="207"/>
      <c r="B745" s="233"/>
      <c r="C745" s="207"/>
      <c r="D745" s="234"/>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c r="AI745" s="207"/>
      <c r="AJ745" s="207"/>
      <c r="AK745" s="207"/>
      <c r="AL745" s="207"/>
    </row>
    <row r="746">
      <c r="A746" s="207"/>
      <c r="B746" s="233"/>
      <c r="C746" s="207"/>
      <c r="D746" s="234"/>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c r="AI746" s="207"/>
      <c r="AJ746" s="207"/>
      <c r="AK746" s="207"/>
      <c r="AL746" s="207"/>
    </row>
    <row r="747">
      <c r="A747" s="207"/>
      <c r="B747" s="233"/>
      <c r="C747" s="207"/>
      <c r="D747" s="234"/>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c r="AI747" s="207"/>
      <c r="AJ747" s="207"/>
      <c r="AK747" s="207"/>
      <c r="AL747" s="207"/>
    </row>
    <row r="748">
      <c r="A748" s="207"/>
      <c r="B748" s="233"/>
      <c r="C748" s="207"/>
      <c r="D748" s="234"/>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c r="AI748" s="207"/>
      <c r="AJ748" s="207"/>
      <c r="AK748" s="207"/>
      <c r="AL748" s="207"/>
    </row>
    <row r="749">
      <c r="A749" s="207"/>
      <c r="B749" s="233"/>
      <c r="C749" s="207"/>
      <c r="D749" s="234"/>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c r="AI749" s="207"/>
      <c r="AJ749" s="207"/>
      <c r="AK749" s="207"/>
      <c r="AL749" s="207"/>
    </row>
    <row r="750">
      <c r="A750" s="207"/>
      <c r="B750" s="233"/>
      <c r="C750" s="207"/>
      <c r="D750" s="234"/>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c r="AI750" s="207"/>
      <c r="AJ750" s="207"/>
      <c r="AK750" s="207"/>
      <c r="AL750" s="207"/>
    </row>
    <row r="751">
      <c r="A751" s="207"/>
      <c r="B751" s="233"/>
      <c r="C751" s="207"/>
      <c r="D751" s="234"/>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c r="AI751" s="207"/>
      <c r="AJ751" s="207"/>
      <c r="AK751" s="207"/>
      <c r="AL751" s="207"/>
    </row>
    <row r="752">
      <c r="A752" s="207"/>
      <c r="B752" s="233"/>
      <c r="C752" s="207"/>
      <c r="D752" s="234"/>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c r="AI752" s="207"/>
      <c r="AJ752" s="207"/>
      <c r="AK752" s="207"/>
      <c r="AL752" s="207"/>
    </row>
    <row r="753">
      <c r="A753" s="207"/>
      <c r="B753" s="233"/>
      <c r="C753" s="207"/>
      <c r="D753" s="234"/>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c r="AI753" s="207"/>
      <c r="AJ753" s="207"/>
      <c r="AK753" s="207"/>
      <c r="AL753" s="207"/>
    </row>
    <row r="754">
      <c r="A754" s="207"/>
      <c r="B754" s="233"/>
      <c r="C754" s="207"/>
      <c r="D754" s="234"/>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c r="AI754" s="207"/>
      <c r="AJ754" s="207"/>
      <c r="AK754" s="207"/>
      <c r="AL754" s="207"/>
    </row>
    <row r="755">
      <c r="A755" s="207"/>
      <c r="B755" s="233"/>
      <c r="C755" s="207"/>
      <c r="D755" s="234"/>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c r="AI755" s="207"/>
      <c r="AJ755" s="207"/>
      <c r="AK755" s="207"/>
      <c r="AL755" s="207"/>
    </row>
    <row r="756">
      <c r="A756" s="207"/>
      <c r="B756" s="233"/>
      <c r="C756" s="207"/>
      <c r="D756" s="234"/>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c r="AI756" s="207"/>
      <c r="AJ756" s="207"/>
      <c r="AK756" s="207"/>
      <c r="AL756" s="207"/>
    </row>
    <row r="757">
      <c r="A757" s="207"/>
      <c r="B757" s="233"/>
      <c r="C757" s="207"/>
      <c r="D757" s="234"/>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c r="AI757" s="207"/>
      <c r="AJ757" s="207"/>
      <c r="AK757" s="207"/>
      <c r="AL757" s="207"/>
    </row>
    <row r="758">
      <c r="A758" s="207"/>
      <c r="B758" s="233"/>
      <c r="C758" s="207"/>
      <c r="D758" s="234"/>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c r="AI758" s="207"/>
      <c r="AJ758" s="207"/>
      <c r="AK758" s="207"/>
      <c r="AL758" s="207"/>
    </row>
    <row r="759">
      <c r="A759" s="207"/>
      <c r="B759" s="233"/>
      <c r="C759" s="207"/>
      <c r="D759" s="234"/>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c r="AI759" s="207"/>
      <c r="AJ759" s="207"/>
      <c r="AK759" s="207"/>
      <c r="AL759" s="207"/>
    </row>
    <row r="760">
      <c r="A760" s="207"/>
      <c r="B760" s="233"/>
      <c r="C760" s="207"/>
      <c r="D760" s="234"/>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c r="AI760" s="207"/>
      <c r="AJ760" s="207"/>
      <c r="AK760" s="207"/>
      <c r="AL760" s="207"/>
    </row>
    <row r="761">
      <c r="A761" s="207"/>
      <c r="B761" s="233"/>
      <c r="C761" s="207"/>
      <c r="D761" s="234"/>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c r="AI761" s="207"/>
      <c r="AJ761" s="207"/>
      <c r="AK761" s="207"/>
      <c r="AL761" s="207"/>
    </row>
    <row r="762">
      <c r="A762" s="207"/>
      <c r="B762" s="233"/>
      <c r="C762" s="207"/>
      <c r="D762" s="234"/>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c r="AI762" s="207"/>
      <c r="AJ762" s="207"/>
      <c r="AK762" s="207"/>
      <c r="AL762" s="207"/>
    </row>
    <row r="763">
      <c r="A763" s="207"/>
      <c r="B763" s="233"/>
      <c r="C763" s="207"/>
      <c r="D763" s="234"/>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c r="AI763" s="207"/>
      <c r="AJ763" s="207"/>
      <c r="AK763" s="207"/>
      <c r="AL763" s="207"/>
    </row>
    <row r="764">
      <c r="A764" s="207"/>
      <c r="B764" s="233"/>
      <c r="C764" s="207"/>
      <c r="D764" s="234"/>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c r="AI764" s="207"/>
      <c r="AJ764" s="207"/>
      <c r="AK764" s="207"/>
      <c r="AL764" s="207"/>
    </row>
    <row r="765">
      <c r="A765" s="207"/>
      <c r="B765" s="233"/>
      <c r="C765" s="207"/>
      <c r="D765" s="234"/>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c r="AI765" s="207"/>
      <c r="AJ765" s="207"/>
      <c r="AK765" s="207"/>
      <c r="AL765" s="207"/>
    </row>
    <row r="766">
      <c r="A766" s="207"/>
      <c r="B766" s="233"/>
      <c r="C766" s="207"/>
      <c r="D766" s="234"/>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c r="AI766" s="207"/>
      <c r="AJ766" s="207"/>
      <c r="AK766" s="207"/>
      <c r="AL766" s="207"/>
    </row>
    <row r="767">
      <c r="A767" s="207"/>
      <c r="B767" s="233"/>
      <c r="C767" s="207"/>
      <c r="D767" s="234"/>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c r="AI767" s="207"/>
      <c r="AJ767" s="207"/>
      <c r="AK767" s="207"/>
      <c r="AL767" s="207"/>
    </row>
    <row r="768">
      <c r="A768" s="207"/>
      <c r="B768" s="233"/>
      <c r="C768" s="207"/>
      <c r="D768" s="234"/>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c r="AI768" s="207"/>
      <c r="AJ768" s="207"/>
      <c r="AK768" s="207"/>
      <c r="AL768" s="207"/>
    </row>
    <row r="769">
      <c r="A769" s="207"/>
      <c r="B769" s="233"/>
      <c r="C769" s="207"/>
      <c r="D769" s="234"/>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c r="AI769" s="207"/>
      <c r="AJ769" s="207"/>
      <c r="AK769" s="207"/>
      <c r="AL769" s="207"/>
    </row>
    <row r="770">
      <c r="A770" s="207"/>
      <c r="B770" s="233"/>
      <c r="C770" s="207"/>
      <c r="D770" s="234"/>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c r="AI770" s="207"/>
      <c r="AJ770" s="207"/>
      <c r="AK770" s="207"/>
      <c r="AL770" s="207"/>
    </row>
    <row r="771">
      <c r="A771" s="207"/>
      <c r="B771" s="233"/>
      <c r="C771" s="207"/>
      <c r="D771" s="234"/>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c r="AJ771" s="207"/>
      <c r="AK771" s="207"/>
      <c r="AL771" s="207"/>
    </row>
    <row r="772">
      <c r="A772" s="207"/>
      <c r="B772" s="233"/>
      <c r="C772" s="207"/>
      <c r="D772" s="234"/>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c r="AI772" s="207"/>
      <c r="AJ772" s="207"/>
      <c r="AK772" s="207"/>
      <c r="AL772" s="207"/>
    </row>
    <row r="773">
      <c r="A773" s="207"/>
      <c r="B773" s="233"/>
      <c r="C773" s="207"/>
      <c r="D773" s="234"/>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c r="AI773" s="207"/>
      <c r="AJ773" s="207"/>
      <c r="AK773" s="207"/>
      <c r="AL773" s="207"/>
    </row>
    <row r="774">
      <c r="A774" s="207"/>
      <c r="B774" s="233"/>
      <c r="C774" s="207"/>
      <c r="D774" s="234"/>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c r="AI774" s="207"/>
      <c r="AJ774" s="207"/>
      <c r="AK774" s="207"/>
      <c r="AL774" s="207"/>
    </row>
    <row r="775">
      <c r="A775" s="207"/>
      <c r="B775" s="233"/>
      <c r="C775" s="207"/>
      <c r="D775" s="234"/>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c r="AI775" s="207"/>
      <c r="AJ775" s="207"/>
      <c r="AK775" s="207"/>
      <c r="AL775" s="207"/>
    </row>
    <row r="776">
      <c r="A776" s="207"/>
      <c r="B776" s="233"/>
      <c r="C776" s="207"/>
      <c r="D776" s="234"/>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c r="AI776" s="207"/>
      <c r="AJ776" s="207"/>
      <c r="AK776" s="207"/>
      <c r="AL776" s="207"/>
    </row>
    <row r="777">
      <c r="A777" s="207"/>
      <c r="B777" s="233"/>
      <c r="C777" s="207"/>
      <c r="D777" s="234"/>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c r="AI777" s="207"/>
      <c r="AJ777" s="207"/>
      <c r="AK777" s="207"/>
      <c r="AL777" s="207"/>
    </row>
    <row r="778">
      <c r="A778" s="207"/>
      <c r="B778" s="233"/>
      <c r="C778" s="207"/>
      <c r="D778" s="234"/>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c r="AI778" s="207"/>
      <c r="AJ778" s="207"/>
      <c r="AK778" s="207"/>
      <c r="AL778" s="207"/>
    </row>
    <row r="779">
      <c r="A779" s="207"/>
      <c r="B779" s="233"/>
      <c r="C779" s="207"/>
      <c r="D779" s="234"/>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c r="AI779" s="207"/>
      <c r="AJ779" s="207"/>
      <c r="AK779" s="207"/>
      <c r="AL779" s="207"/>
    </row>
    <row r="780">
      <c r="A780" s="207"/>
      <c r="B780" s="233"/>
      <c r="C780" s="207"/>
      <c r="D780" s="234"/>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c r="AI780" s="207"/>
      <c r="AJ780" s="207"/>
      <c r="AK780" s="207"/>
      <c r="AL780" s="207"/>
    </row>
    <row r="781">
      <c r="A781" s="207"/>
      <c r="B781" s="233"/>
      <c r="C781" s="207"/>
      <c r="D781" s="234"/>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c r="AI781" s="207"/>
      <c r="AJ781" s="207"/>
      <c r="AK781" s="207"/>
      <c r="AL781" s="207"/>
    </row>
    <row r="782">
      <c r="A782" s="207"/>
      <c r="B782" s="233"/>
      <c r="C782" s="207"/>
      <c r="D782" s="234"/>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c r="AI782" s="207"/>
      <c r="AJ782" s="207"/>
      <c r="AK782" s="207"/>
      <c r="AL782" s="207"/>
    </row>
    <row r="783">
      <c r="A783" s="207"/>
      <c r="B783" s="233"/>
      <c r="C783" s="207"/>
      <c r="D783" s="234"/>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c r="AI783" s="207"/>
      <c r="AJ783" s="207"/>
      <c r="AK783" s="207"/>
      <c r="AL783" s="207"/>
    </row>
    <row r="784">
      <c r="A784" s="207"/>
      <c r="B784" s="233"/>
      <c r="C784" s="207"/>
      <c r="D784" s="234"/>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c r="AI784" s="207"/>
      <c r="AJ784" s="207"/>
      <c r="AK784" s="207"/>
      <c r="AL784" s="207"/>
    </row>
    <row r="785">
      <c r="A785" s="207"/>
      <c r="B785" s="233"/>
      <c r="C785" s="207"/>
      <c r="D785" s="234"/>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c r="AI785" s="207"/>
      <c r="AJ785" s="207"/>
      <c r="AK785" s="207"/>
      <c r="AL785" s="207"/>
    </row>
    <row r="786">
      <c r="A786" s="207"/>
      <c r="B786" s="233"/>
      <c r="C786" s="207"/>
      <c r="D786" s="234"/>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c r="AI786" s="207"/>
      <c r="AJ786" s="207"/>
      <c r="AK786" s="207"/>
      <c r="AL786" s="207"/>
    </row>
    <row r="787">
      <c r="A787" s="207"/>
      <c r="B787" s="233"/>
      <c r="C787" s="207"/>
      <c r="D787" s="234"/>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c r="AI787" s="207"/>
      <c r="AJ787" s="207"/>
      <c r="AK787" s="207"/>
      <c r="AL787" s="207"/>
    </row>
    <row r="788">
      <c r="A788" s="207"/>
      <c r="B788" s="233"/>
      <c r="C788" s="207"/>
      <c r="D788" s="234"/>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c r="AI788" s="207"/>
      <c r="AJ788" s="207"/>
      <c r="AK788" s="207"/>
      <c r="AL788" s="207"/>
    </row>
    <row r="789">
      <c r="A789" s="207"/>
      <c r="B789" s="233"/>
      <c r="C789" s="207"/>
      <c r="D789" s="234"/>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c r="AI789" s="207"/>
      <c r="AJ789" s="207"/>
      <c r="AK789" s="207"/>
      <c r="AL789" s="207"/>
    </row>
    <row r="790">
      <c r="A790" s="207"/>
      <c r="B790" s="233"/>
      <c r="C790" s="207"/>
      <c r="D790" s="234"/>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c r="AI790" s="207"/>
      <c r="AJ790" s="207"/>
      <c r="AK790" s="207"/>
      <c r="AL790" s="207"/>
    </row>
    <row r="791">
      <c r="A791" s="207"/>
      <c r="B791" s="233"/>
      <c r="C791" s="207"/>
      <c r="D791" s="234"/>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c r="AI791" s="207"/>
      <c r="AJ791" s="207"/>
      <c r="AK791" s="207"/>
      <c r="AL791" s="207"/>
    </row>
    <row r="792">
      <c r="A792" s="207"/>
      <c r="B792" s="233"/>
      <c r="C792" s="207"/>
      <c r="D792" s="234"/>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c r="AI792" s="207"/>
      <c r="AJ792" s="207"/>
      <c r="AK792" s="207"/>
      <c r="AL792" s="207"/>
    </row>
    <row r="793">
      <c r="A793" s="207"/>
      <c r="B793" s="233"/>
      <c r="C793" s="207"/>
      <c r="D793" s="234"/>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c r="AI793" s="207"/>
      <c r="AJ793" s="207"/>
      <c r="AK793" s="207"/>
      <c r="AL793" s="207"/>
    </row>
    <row r="794">
      <c r="A794" s="207"/>
      <c r="B794" s="233"/>
      <c r="C794" s="207"/>
      <c r="D794" s="234"/>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c r="AI794" s="207"/>
      <c r="AJ794" s="207"/>
      <c r="AK794" s="207"/>
      <c r="AL794" s="207"/>
    </row>
    <row r="795">
      <c r="A795" s="207"/>
      <c r="B795" s="233"/>
      <c r="C795" s="207"/>
      <c r="D795" s="234"/>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c r="AI795" s="207"/>
      <c r="AJ795" s="207"/>
      <c r="AK795" s="207"/>
      <c r="AL795" s="207"/>
    </row>
    <row r="796">
      <c r="A796" s="207"/>
      <c r="B796" s="233"/>
      <c r="C796" s="207"/>
      <c r="D796" s="234"/>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c r="AI796" s="207"/>
      <c r="AJ796" s="207"/>
      <c r="AK796" s="207"/>
      <c r="AL796" s="207"/>
    </row>
    <row r="797">
      <c r="A797" s="207"/>
      <c r="B797" s="233"/>
      <c r="C797" s="207"/>
      <c r="D797" s="234"/>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c r="AI797" s="207"/>
      <c r="AJ797" s="207"/>
      <c r="AK797" s="207"/>
      <c r="AL797" s="207"/>
    </row>
    <row r="798">
      <c r="A798" s="207"/>
      <c r="B798" s="233"/>
      <c r="C798" s="207"/>
      <c r="D798" s="234"/>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c r="AI798" s="207"/>
      <c r="AJ798" s="207"/>
      <c r="AK798" s="207"/>
      <c r="AL798" s="207"/>
    </row>
    <row r="799">
      <c r="A799" s="207"/>
      <c r="B799" s="233"/>
      <c r="C799" s="207"/>
      <c r="D799" s="234"/>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c r="AI799" s="207"/>
      <c r="AJ799" s="207"/>
      <c r="AK799" s="207"/>
      <c r="AL799" s="207"/>
    </row>
    <row r="800">
      <c r="A800" s="207"/>
      <c r="B800" s="233"/>
      <c r="C800" s="207"/>
      <c r="D800" s="234"/>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c r="AI800" s="207"/>
      <c r="AJ800" s="207"/>
      <c r="AK800" s="207"/>
      <c r="AL800" s="207"/>
    </row>
    <row r="801">
      <c r="A801" s="207"/>
      <c r="B801" s="233"/>
      <c r="C801" s="207"/>
      <c r="D801" s="234"/>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c r="AI801" s="207"/>
      <c r="AJ801" s="207"/>
      <c r="AK801" s="207"/>
      <c r="AL801" s="207"/>
    </row>
    <row r="802">
      <c r="A802" s="207"/>
      <c r="B802" s="233"/>
      <c r="C802" s="207"/>
      <c r="D802" s="234"/>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c r="AI802" s="207"/>
      <c r="AJ802" s="207"/>
      <c r="AK802" s="207"/>
      <c r="AL802" s="207"/>
    </row>
    <row r="803">
      <c r="A803" s="207"/>
      <c r="B803" s="233"/>
      <c r="C803" s="207"/>
      <c r="D803" s="234"/>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c r="AI803" s="207"/>
      <c r="AJ803" s="207"/>
      <c r="AK803" s="207"/>
      <c r="AL803" s="207"/>
    </row>
    <row r="804">
      <c r="A804" s="207"/>
      <c r="B804" s="233"/>
      <c r="C804" s="207"/>
      <c r="D804" s="234"/>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c r="AI804" s="207"/>
      <c r="AJ804" s="207"/>
      <c r="AK804" s="207"/>
      <c r="AL804" s="207"/>
    </row>
    <row r="805">
      <c r="A805" s="207"/>
      <c r="B805" s="233"/>
      <c r="C805" s="207"/>
      <c r="D805" s="234"/>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c r="AI805" s="207"/>
      <c r="AJ805" s="207"/>
      <c r="AK805" s="207"/>
      <c r="AL805" s="207"/>
    </row>
    <row r="806">
      <c r="A806" s="207"/>
      <c r="B806" s="233"/>
      <c r="C806" s="207"/>
      <c r="D806" s="234"/>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c r="AI806" s="207"/>
      <c r="AJ806" s="207"/>
      <c r="AK806" s="207"/>
      <c r="AL806" s="207"/>
    </row>
    <row r="807">
      <c r="A807" s="207"/>
      <c r="B807" s="233"/>
      <c r="C807" s="207"/>
      <c r="D807" s="234"/>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c r="AI807" s="207"/>
      <c r="AJ807" s="207"/>
      <c r="AK807" s="207"/>
      <c r="AL807" s="207"/>
    </row>
    <row r="808">
      <c r="A808" s="207"/>
      <c r="B808" s="233"/>
      <c r="C808" s="207"/>
      <c r="D808" s="234"/>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c r="AI808" s="207"/>
      <c r="AJ808" s="207"/>
      <c r="AK808" s="207"/>
      <c r="AL808" s="207"/>
    </row>
    <row r="809">
      <c r="A809" s="207"/>
      <c r="B809" s="233"/>
      <c r="C809" s="207"/>
      <c r="D809" s="234"/>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c r="AI809" s="207"/>
      <c r="AJ809" s="207"/>
      <c r="AK809" s="207"/>
      <c r="AL809" s="207"/>
    </row>
    <row r="810">
      <c r="A810" s="207"/>
      <c r="B810" s="233"/>
      <c r="C810" s="207"/>
      <c r="D810" s="234"/>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c r="AI810" s="207"/>
      <c r="AJ810" s="207"/>
      <c r="AK810" s="207"/>
      <c r="AL810" s="207"/>
    </row>
    <row r="811">
      <c r="A811" s="207"/>
      <c r="B811" s="233"/>
      <c r="C811" s="207"/>
      <c r="D811" s="234"/>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c r="AI811" s="207"/>
      <c r="AJ811" s="207"/>
      <c r="AK811" s="207"/>
      <c r="AL811" s="207"/>
    </row>
    <row r="812">
      <c r="A812" s="207"/>
      <c r="B812" s="233"/>
      <c r="C812" s="207"/>
      <c r="D812" s="234"/>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c r="AI812" s="207"/>
      <c r="AJ812" s="207"/>
      <c r="AK812" s="207"/>
      <c r="AL812" s="207"/>
    </row>
    <row r="813">
      <c r="A813" s="207"/>
      <c r="B813" s="233"/>
      <c r="C813" s="207"/>
      <c r="D813" s="234"/>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c r="AI813" s="207"/>
      <c r="AJ813" s="207"/>
      <c r="AK813" s="207"/>
      <c r="AL813" s="207"/>
    </row>
    <row r="814">
      <c r="A814" s="207"/>
      <c r="B814" s="233"/>
      <c r="C814" s="207"/>
      <c r="D814" s="234"/>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c r="AI814" s="207"/>
      <c r="AJ814" s="207"/>
      <c r="AK814" s="207"/>
      <c r="AL814" s="207"/>
    </row>
    <row r="815">
      <c r="A815" s="207"/>
      <c r="B815" s="233"/>
      <c r="C815" s="207"/>
      <c r="D815" s="234"/>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c r="AI815" s="207"/>
      <c r="AJ815" s="207"/>
      <c r="AK815" s="207"/>
      <c r="AL815" s="207"/>
    </row>
    <row r="816">
      <c r="A816" s="207"/>
      <c r="B816" s="233"/>
      <c r="C816" s="207"/>
      <c r="D816" s="234"/>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c r="AI816" s="207"/>
      <c r="AJ816" s="207"/>
      <c r="AK816" s="207"/>
      <c r="AL816" s="207"/>
    </row>
    <row r="817">
      <c r="A817" s="207"/>
      <c r="B817" s="233"/>
      <c r="C817" s="207"/>
      <c r="D817" s="234"/>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c r="AI817" s="207"/>
      <c r="AJ817" s="207"/>
      <c r="AK817" s="207"/>
      <c r="AL817" s="207"/>
    </row>
    <row r="818">
      <c r="A818" s="207"/>
      <c r="B818" s="233"/>
      <c r="C818" s="207"/>
      <c r="D818" s="234"/>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c r="AI818" s="207"/>
      <c r="AJ818" s="207"/>
      <c r="AK818" s="207"/>
      <c r="AL818" s="207"/>
    </row>
    <row r="819">
      <c r="A819" s="207"/>
      <c r="B819" s="233"/>
      <c r="C819" s="207"/>
      <c r="D819" s="234"/>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c r="AJ819" s="207"/>
      <c r="AK819" s="207"/>
      <c r="AL819" s="207"/>
    </row>
    <row r="820">
      <c r="A820" s="207"/>
      <c r="B820" s="233"/>
      <c r="C820" s="207"/>
      <c r="D820" s="234"/>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c r="AI820" s="207"/>
      <c r="AJ820" s="207"/>
      <c r="AK820" s="207"/>
      <c r="AL820" s="207"/>
    </row>
    <row r="821">
      <c r="A821" s="207"/>
      <c r="B821" s="233"/>
      <c r="C821" s="207"/>
      <c r="D821" s="234"/>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c r="AI821" s="207"/>
      <c r="AJ821" s="207"/>
      <c r="AK821" s="207"/>
      <c r="AL821" s="207"/>
    </row>
    <row r="822">
      <c r="A822" s="207"/>
      <c r="B822" s="233"/>
      <c r="C822" s="207"/>
      <c r="D822" s="234"/>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c r="AI822" s="207"/>
      <c r="AJ822" s="207"/>
      <c r="AK822" s="207"/>
      <c r="AL822" s="207"/>
    </row>
    <row r="823">
      <c r="A823" s="207"/>
      <c r="B823" s="233"/>
      <c r="C823" s="207"/>
      <c r="D823" s="234"/>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c r="AI823" s="207"/>
      <c r="AJ823" s="207"/>
      <c r="AK823" s="207"/>
      <c r="AL823" s="207"/>
    </row>
    <row r="824">
      <c r="A824" s="207"/>
      <c r="B824" s="233"/>
      <c r="C824" s="207"/>
      <c r="D824" s="234"/>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c r="AI824" s="207"/>
      <c r="AJ824" s="207"/>
      <c r="AK824" s="207"/>
      <c r="AL824" s="207"/>
    </row>
    <row r="825">
      <c r="A825" s="207"/>
      <c r="B825" s="233"/>
      <c r="C825" s="207"/>
      <c r="D825" s="234"/>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c r="AI825" s="207"/>
      <c r="AJ825" s="207"/>
      <c r="AK825" s="207"/>
      <c r="AL825" s="207"/>
    </row>
    <row r="826">
      <c r="A826" s="207"/>
      <c r="B826" s="233"/>
      <c r="C826" s="207"/>
      <c r="D826" s="234"/>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c r="AI826" s="207"/>
      <c r="AJ826" s="207"/>
      <c r="AK826" s="207"/>
      <c r="AL826" s="207"/>
    </row>
    <row r="827">
      <c r="A827" s="207"/>
      <c r="B827" s="233"/>
      <c r="C827" s="207"/>
      <c r="D827" s="234"/>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c r="AI827" s="207"/>
      <c r="AJ827" s="207"/>
      <c r="AK827" s="207"/>
      <c r="AL827" s="207"/>
    </row>
    <row r="828">
      <c r="A828" s="207"/>
      <c r="B828" s="233"/>
      <c r="C828" s="207"/>
      <c r="D828" s="234"/>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c r="AI828" s="207"/>
      <c r="AJ828" s="207"/>
      <c r="AK828" s="207"/>
      <c r="AL828" s="207"/>
    </row>
    <row r="829">
      <c r="A829" s="207"/>
      <c r="B829" s="233"/>
      <c r="C829" s="207"/>
      <c r="D829" s="234"/>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c r="AI829" s="207"/>
      <c r="AJ829" s="207"/>
      <c r="AK829" s="207"/>
      <c r="AL829" s="207"/>
    </row>
    <row r="830">
      <c r="A830" s="207"/>
      <c r="B830" s="233"/>
      <c r="C830" s="207"/>
      <c r="D830" s="234"/>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c r="AI830" s="207"/>
      <c r="AJ830" s="207"/>
      <c r="AK830" s="207"/>
      <c r="AL830" s="207"/>
    </row>
    <row r="831">
      <c r="A831" s="207"/>
      <c r="B831" s="233"/>
      <c r="C831" s="207"/>
      <c r="D831" s="234"/>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c r="AI831" s="207"/>
      <c r="AJ831" s="207"/>
      <c r="AK831" s="207"/>
      <c r="AL831" s="207"/>
    </row>
    <row r="832">
      <c r="A832" s="207"/>
      <c r="B832" s="233"/>
      <c r="C832" s="207"/>
      <c r="D832" s="234"/>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c r="AI832" s="207"/>
      <c r="AJ832" s="207"/>
      <c r="AK832" s="207"/>
      <c r="AL832" s="207"/>
    </row>
    <row r="833">
      <c r="A833" s="207"/>
      <c r="B833" s="233"/>
      <c r="C833" s="207"/>
      <c r="D833" s="234"/>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c r="AI833" s="207"/>
      <c r="AJ833" s="207"/>
      <c r="AK833" s="207"/>
      <c r="AL833" s="207"/>
    </row>
    <row r="834">
      <c r="A834" s="207"/>
      <c r="B834" s="233"/>
      <c r="C834" s="207"/>
      <c r="D834" s="234"/>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c r="AI834" s="207"/>
      <c r="AJ834" s="207"/>
      <c r="AK834" s="207"/>
      <c r="AL834" s="207"/>
    </row>
    <row r="835">
      <c r="A835" s="207"/>
      <c r="B835" s="233"/>
      <c r="C835" s="207"/>
      <c r="D835" s="234"/>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c r="AI835" s="207"/>
      <c r="AJ835" s="207"/>
      <c r="AK835" s="207"/>
      <c r="AL835" s="207"/>
    </row>
    <row r="836">
      <c r="A836" s="207"/>
      <c r="B836" s="233"/>
      <c r="C836" s="207"/>
      <c r="D836" s="234"/>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c r="AI836" s="207"/>
      <c r="AJ836" s="207"/>
      <c r="AK836" s="207"/>
      <c r="AL836" s="207"/>
    </row>
    <row r="837">
      <c r="A837" s="207"/>
      <c r="B837" s="233"/>
      <c r="C837" s="207"/>
      <c r="D837" s="234"/>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c r="AI837" s="207"/>
      <c r="AJ837" s="207"/>
      <c r="AK837" s="207"/>
      <c r="AL837" s="207"/>
    </row>
    <row r="838">
      <c r="A838" s="207"/>
      <c r="B838" s="233"/>
      <c r="C838" s="207"/>
      <c r="D838" s="234"/>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c r="AI838" s="207"/>
      <c r="AJ838" s="207"/>
      <c r="AK838" s="207"/>
      <c r="AL838" s="207"/>
    </row>
    <row r="839">
      <c r="A839" s="207"/>
      <c r="B839" s="233"/>
      <c r="C839" s="207"/>
      <c r="D839" s="234"/>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c r="AI839" s="207"/>
      <c r="AJ839" s="207"/>
      <c r="AK839" s="207"/>
      <c r="AL839" s="207"/>
    </row>
    <row r="840">
      <c r="A840" s="207"/>
      <c r="B840" s="233"/>
      <c r="C840" s="207"/>
      <c r="D840" s="234"/>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c r="AI840" s="207"/>
      <c r="AJ840" s="207"/>
      <c r="AK840" s="207"/>
      <c r="AL840" s="207"/>
    </row>
    <row r="841">
      <c r="A841" s="207"/>
      <c r="B841" s="233"/>
      <c r="C841" s="207"/>
      <c r="D841" s="234"/>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c r="AI841" s="207"/>
      <c r="AJ841" s="207"/>
      <c r="AK841" s="207"/>
      <c r="AL841" s="207"/>
    </row>
    <row r="842">
      <c r="A842" s="207"/>
      <c r="B842" s="233"/>
      <c r="C842" s="207"/>
      <c r="D842" s="234"/>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c r="AI842" s="207"/>
      <c r="AJ842" s="207"/>
      <c r="AK842" s="207"/>
      <c r="AL842" s="207"/>
    </row>
    <row r="843">
      <c r="A843" s="207"/>
      <c r="B843" s="233"/>
      <c r="C843" s="207"/>
      <c r="D843" s="234"/>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c r="AI843" s="207"/>
      <c r="AJ843" s="207"/>
      <c r="AK843" s="207"/>
      <c r="AL843" s="207"/>
    </row>
    <row r="844">
      <c r="A844" s="207"/>
      <c r="B844" s="233"/>
      <c r="C844" s="207"/>
      <c r="D844" s="234"/>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c r="AI844" s="207"/>
      <c r="AJ844" s="207"/>
      <c r="AK844" s="207"/>
      <c r="AL844" s="207"/>
    </row>
    <row r="845">
      <c r="A845" s="207"/>
      <c r="B845" s="233"/>
      <c r="C845" s="207"/>
      <c r="D845" s="234"/>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c r="AI845" s="207"/>
      <c r="AJ845" s="207"/>
      <c r="AK845" s="207"/>
      <c r="AL845" s="207"/>
    </row>
    <row r="846">
      <c r="A846" s="207"/>
      <c r="B846" s="233"/>
      <c r="C846" s="207"/>
      <c r="D846" s="234"/>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c r="AI846" s="207"/>
      <c r="AJ846" s="207"/>
      <c r="AK846" s="207"/>
      <c r="AL846" s="207"/>
    </row>
    <row r="847">
      <c r="A847" s="207"/>
      <c r="B847" s="233"/>
      <c r="C847" s="207"/>
      <c r="D847" s="234"/>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c r="AI847" s="207"/>
      <c r="AJ847" s="207"/>
      <c r="AK847" s="207"/>
      <c r="AL847" s="207"/>
    </row>
    <row r="848">
      <c r="A848" s="207"/>
      <c r="B848" s="233"/>
      <c r="C848" s="207"/>
      <c r="D848" s="234"/>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c r="AI848" s="207"/>
      <c r="AJ848" s="207"/>
      <c r="AK848" s="207"/>
      <c r="AL848" s="207"/>
    </row>
    <row r="849">
      <c r="A849" s="207"/>
      <c r="B849" s="233"/>
      <c r="C849" s="207"/>
      <c r="D849" s="234"/>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c r="AI849" s="207"/>
      <c r="AJ849" s="207"/>
      <c r="AK849" s="207"/>
      <c r="AL849" s="207"/>
    </row>
    <row r="850">
      <c r="A850" s="207"/>
      <c r="B850" s="233"/>
      <c r="C850" s="207"/>
      <c r="D850" s="234"/>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c r="AI850" s="207"/>
      <c r="AJ850" s="207"/>
      <c r="AK850" s="207"/>
      <c r="AL850" s="207"/>
    </row>
    <row r="851">
      <c r="A851" s="207"/>
      <c r="B851" s="233"/>
      <c r="C851" s="207"/>
      <c r="D851" s="234"/>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c r="AI851" s="207"/>
      <c r="AJ851" s="207"/>
      <c r="AK851" s="207"/>
      <c r="AL851" s="207"/>
    </row>
    <row r="852">
      <c r="A852" s="207"/>
      <c r="B852" s="233"/>
      <c r="C852" s="207"/>
      <c r="D852" s="234"/>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c r="AI852" s="207"/>
      <c r="AJ852" s="207"/>
      <c r="AK852" s="207"/>
      <c r="AL852" s="207"/>
    </row>
    <row r="853">
      <c r="A853" s="207"/>
      <c r="B853" s="233"/>
      <c r="C853" s="207"/>
      <c r="D853" s="234"/>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c r="AI853" s="207"/>
      <c r="AJ853" s="207"/>
      <c r="AK853" s="207"/>
      <c r="AL853" s="207"/>
    </row>
    <row r="854">
      <c r="A854" s="207"/>
      <c r="B854" s="233"/>
      <c r="C854" s="207"/>
      <c r="D854" s="234"/>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c r="AI854" s="207"/>
      <c r="AJ854" s="207"/>
      <c r="AK854" s="207"/>
      <c r="AL854" s="207"/>
    </row>
    <row r="855">
      <c r="A855" s="207"/>
      <c r="B855" s="233"/>
      <c r="C855" s="207"/>
      <c r="D855" s="234"/>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c r="AI855" s="207"/>
      <c r="AJ855" s="207"/>
      <c r="AK855" s="207"/>
      <c r="AL855" s="207"/>
    </row>
    <row r="856">
      <c r="A856" s="207"/>
      <c r="B856" s="233"/>
      <c r="C856" s="207"/>
      <c r="D856" s="234"/>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c r="AI856" s="207"/>
      <c r="AJ856" s="207"/>
      <c r="AK856" s="207"/>
      <c r="AL856" s="207"/>
    </row>
    <row r="857">
      <c r="A857" s="207"/>
      <c r="B857" s="233"/>
      <c r="C857" s="207"/>
      <c r="D857" s="234"/>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c r="AI857" s="207"/>
      <c r="AJ857" s="207"/>
      <c r="AK857" s="207"/>
      <c r="AL857" s="207"/>
    </row>
    <row r="858">
      <c r="A858" s="207"/>
      <c r="B858" s="233"/>
      <c r="C858" s="207"/>
      <c r="D858" s="234"/>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c r="AI858" s="207"/>
      <c r="AJ858" s="207"/>
      <c r="AK858" s="207"/>
      <c r="AL858" s="207"/>
    </row>
    <row r="859">
      <c r="A859" s="207"/>
      <c r="B859" s="233"/>
      <c r="C859" s="207"/>
      <c r="D859" s="234"/>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c r="AI859" s="207"/>
      <c r="AJ859" s="207"/>
      <c r="AK859" s="207"/>
      <c r="AL859" s="207"/>
    </row>
    <row r="860">
      <c r="A860" s="207"/>
      <c r="B860" s="233"/>
      <c r="C860" s="207"/>
      <c r="D860" s="234"/>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c r="AI860" s="207"/>
      <c r="AJ860" s="207"/>
      <c r="AK860" s="207"/>
      <c r="AL860" s="207"/>
    </row>
    <row r="861">
      <c r="A861" s="207"/>
      <c r="B861" s="233"/>
      <c r="C861" s="207"/>
      <c r="D861" s="234"/>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c r="AI861" s="207"/>
      <c r="AJ861" s="207"/>
      <c r="AK861" s="207"/>
      <c r="AL861" s="207"/>
    </row>
    <row r="862">
      <c r="A862" s="207"/>
      <c r="B862" s="233"/>
      <c r="C862" s="207"/>
      <c r="D862" s="234"/>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c r="AI862" s="207"/>
      <c r="AJ862" s="207"/>
      <c r="AK862" s="207"/>
      <c r="AL862" s="207"/>
    </row>
    <row r="863">
      <c r="A863" s="207"/>
      <c r="B863" s="233"/>
      <c r="C863" s="207"/>
      <c r="D863" s="234"/>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c r="AI863" s="207"/>
      <c r="AJ863" s="207"/>
      <c r="AK863" s="207"/>
      <c r="AL863" s="207"/>
    </row>
    <row r="864">
      <c r="A864" s="207"/>
      <c r="B864" s="233"/>
      <c r="C864" s="207"/>
      <c r="D864" s="234"/>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c r="AI864" s="207"/>
      <c r="AJ864" s="207"/>
      <c r="AK864" s="207"/>
      <c r="AL864" s="207"/>
    </row>
    <row r="865">
      <c r="A865" s="207"/>
      <c r="B865" s="233"/>
      <c r="C865" s="207"/>
      <c r="D865" s="234"/>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c r="AI865" s="207"/>
      <c r="AJ865" s="207"/>
      <c r="AK865" s="207"/>
      <c r="AL865" s="207"/>
    </row>
    <row r="866">
      <c r="A866" s="207"/>
      <c r="B866" s="233"/>
      <c r="C866" s="207"/>
      <c r="D866" s="234"/>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c r="AI866" s="207"/>
      <c r="AJ866" s="207"/>
      <c r="AK866" s="207"/>
      <c r="AL866" s="207"/>
    </row>
    <row r="867">
      <c r="A867" s="207"/>
      <c r="B867" s="233"/>
      <c r="C867" s="207"/>
      <c r="D867" s="234"/>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c r="AJ867" s="207"/>
      <c r="AK867" s="207"/>
      <c r="AL867" s="207"/>
    </row>
    <row r="868">
      <c r="A868" s="207"/>
      <c r="B868" s="233"/>
      <c r="C868" s="207"/>
      <c r="D868" s="234"/>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c r="AI868" s="207"/>
      <c r="AJ868" s="207"/>
      <c r="AK868" s="207"/>
      <c r="AL868" s="207"/>
    </row>
    <row r="869">
      <c r="A869" s="207"/>
      <c r="B869" s="233"/>
      <c r="C869" s="207"/>
      <c r="D869" s="234"/>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c r="AI869" s="207"/>
      <c r="AJ869" s="207"/>
      <c r="AK869" s="207"/>
      <c r="AL869" s="207"/>
    </row>
    <row r="870">
      <c r="A870" s="207"/>
      <c r="B870" s="233"/>
      <c r="C870" s="207"/>
      <c r="D870" s="234"/>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c r="AI870" s="207"/>
      <c r="AJ870" s="207"/>
      <c r="AK870" s="207"/>
      <c r="AL870" s="207"/>
    </row>
    <row r="871">
      <c r="A871" s="207"/>
      <c r="B871" s="233"/>
      <c r="C871" s="207"/>
      <c r="D871" s="234"/>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c r="AI871" s="207"/>
      <c r="AJ871" s="207"/>
      <c r="AK871" s="207"/>
      <c r="AL871" s="207"/>
    </row>
    <row r="872">
      <c r="A872" s="207"/>
      <c r="B872" s="233"/>
      <c r="C872" s="207"/>
      <c r="D872" s="234"/>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c r="AI872" s="207"/>
      <c r="AJ872" s="207"/>
      <c r="AK872" s="207"/>
      <c r="AL872" s="207"/>
    </row>
    <row r="873">
      <c r="A873" s="207"/>
      <c r="B873" s="233"/>
      <c r="C873" s="207"/>
      <c r="D873" s="234"/>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c r="AI873" s="207"/>
      <c r="AJ873" s="207"/>
      <c r="AK873" s="207"/>
      <c r="AL873" s="207"/>
    </row>
    <row r="874">
      <c r="A874" s="207"/>
      <c r="B874" s="233"/>
      <c r="C874" s="207"/>
      <c r="D874" s="234"/>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c r="AI874" s="207"/>
      <c r="AJ874" s="207"/>
      <c r="AK874" s="207"/>
      <c r="AL874" s="207"/>
    </row>
    <row r="875">
      <c r="A875" s="207"/>
      <c r="B875" s="233"/>
      <c r="C875" s="207"/>
      <c r="D875" s="234"/>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c r="AI875" s="207"/>
      <c r="AJ875" s="207"/>
      <c r="AK875" s="207"/>
      <c r="AL875" s="207"/>
    </row>
    <row r="876">
      <c r="A876" s="207"/>
      <c r="B876" s="233"/>
      <c r="C876" s="207"/>
      <c r="D876" s="234"/>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c r="AI876" s="207"/>
      <c r="AJ876" s="207"/>
      <c r="AK876" s="207"/>
      <c r="AL876" s="207"/>
    </row>
    <row r="877">
      <c r="A877" s="207"/>
      <c r="B877" s="233"/>
      <c r="C877" s="207"/>
      <c r="D877" s="234"/>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c r="AI877" s="207"/>
      <c r="AJ877" s="207"/>
      <c r="AK877" s="207"/>
      <c r="AL877" s="207"/>
    </row>
    <row r="878">
      <c r="A878" s="207"/>
      <c r="B878" s="233"/>
      <c r="C878" s="207"/>
      <c r="D878" s="234"/>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c r="AI878" s="207"/>
      <c r="AJ878" s="207"/>
      <c r="AK878" s="207"/>
      <c r="AL878" s="207"/>
    </row>
    <row r="879">
      <c r="A879" s="207"/>
      <c r="B879" s="233"/>
      <c r="C879" s="207"/>
      <c r="D879" s="234"/>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c r="AI879" s="207"/>
      <c r="AJ879" s="207"/>
      <c r="AK879" s="207"/>
      <c r="AL879" s="207"/>
    </row>
    <row r="880">
      <c r="A880" s="207"/>
      <c r="B880" s="233"/>
      <c r="C880" s="207"/>
      <c r="D880" s="234"/>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c r="AI880" s="207"/>
      <c r="AJ880" s="207"/>
      <c r="AK880" s="207"/>
      <c r="AL880" s="207"/>
    </row>
    <row r="881">
      <c r="A881" s="207"/>
      <c r="B881" s="233"/>
      <c r="C881" s="207"/>
      <c r="D881" s="234"/>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c r="AI881" s="207"/>
      <c r="AJ881" s="207"/>
      <c r="AK881" s="207"/>
      <c r="AL881" s="207"/>
    </row>
    <row r="882">
      <c r="A882" s="207"/>
      <c r="B882" s="233"/>
      <c r="C882" s="207"/>
      <c r="D882" s="234"/>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c r="AI882" s="207"/>
      <c r="AJ882" s="207"/>
      <c r="AK882" s="207"/>
      <c r="AL882" s="207"/>
    </row>
    <row r="883">
      <c r="A883" s="207"/>
      <c r="B883" s="233"/>
      <c r="C883" s="207"/>
      <c r="D883" s="234"/>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c r="AI883" s="207"/>
      <c r="AJ883" s="207"/>
      <c r="AK883" s="207"/>
      <c r="AL883" s="207"/>
    </row>
    <row r="884">
      <c r="A884" s="207"/>
      <c r="B884" s="233"/>
      <c r="C884" s="207"/>
      <c r="D884" s="234"/>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c r="AI884" s="207"/>
      <c r="AJ884" s="207"/>
      <c r="AK884" s="207"/>
      <c r="AL884" s="207"/>
    </row>
    <row r="885">
      <c r="A885" s="207"/>
      <c r="B885" s="233"/>
      <c r="C885" s="207"/>
      <c r="D885" s="234"/>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c r="AI885" s="207"/>
      <c r="AJ885" s="207"/>
      <c r="AK885" s="207"/>
      <c r="AL885" s="207"/>
    </row>
    <row r="886">
      <c r="A886" s="207"/>
      <c r="B886" s="233"/>
      <c r="C886" s="207"/>
      <c r="D886" s="234"/>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c r="AI886" s="207"/>
      <c r="AJ886" s="207"/>
      <c r="AK886" s="207"/>
      <c r="AL886" s="207"/>
    </row>
    <row r="887">
      <c r="A887" s="207"/>
      <c r="B887" s="233"/>
      <c r="C887" s="207"/>
      <c r="D887" s="234"/>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c r="AI887" s="207"/>
      <c r="AJ887" s="207"/>
      <c r="AK887" s="207"/>
      <c r="AL887" s="207"/>
    </row>
    <row r="888">
      <c r="A888" s="207"/>
      <c r="B888" s="233"/>
      <c r="C888" s="207"/>
      <c r="D888" s="234"/>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c r="AI888" s="207"/>
      <c r="AJ888" s="207"/>
      <c r="AK888" s="207"/>
      <c r="AL888" s="207"/>
    </row>
    <row r="889">
      <c r="A889" s="207"/>
      <c r="B889" s="233"/>
      <c r="C889" s="207"/>
      <c r="D889" s="234"/>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c r="AI889" s="207"/>
      <c r="AJ889" s="207"/>
      <c r="AK889" s="207"/>
      <c r="AL889" s="207"/>
    </row>
    <row r="890">
      <c r="A890" s="207"/>
      <c r="B890" s="233"/>
      <c r="C890" s="207"/>
      <c r="D890" s="234"/>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c r="AI890" s="207"/>
      <c r="AJ890" s="207"/>
      <c r="AK890" s="207"/>
      <c r="AL890" s="207"/>
    </row>
    <row r="891">
      <c r="A891" s="207"/>
      <c r="B891" s="233"/>
      <c r="C891" s="207"/>
      <c r="D891" s="234"/>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c r="AI891" s="207"/>
      <c r="AJ891" s="207"/>
      <c r="AK891" s="207"/>
      <c r="AL891" s="207"/>
    </row>
    <row r="892">
      <c r="A892" s="207"/>
      <c r="B892" s="233"/>
      <c r="C892" s="207"/>
      <c r="D892" s="234"/>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c r="AI892" s="207"/>
      <c r="AJ892" s="207"/>
      <c r="AK892" s="207"/>
      <c r="AL892" s="207"/>
    </row>
    <row r="893">
      <c r="A893" s="207"/>
      <c r="B893" s="233"/>
      <c r="C893" s="207"/>
      <c r="D893" s="234"/>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c r="AI893" s="207"/>
      <c r="AJ893" s="207"/>
      <c r="AK893" s="207"/>
      <c r="AL893" s="207"/>
    </row>
    <row r="894">
      <c r="A894" s="207"/>
      <c r="B894" s="233"/>
      <c r="C894" s="207"/>
      <c r="D894" s="234"/>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c r="AI894" s="207"/>
      <c r="AJ894" s="207"/>
      <c r="AK894" s="207"/>
      <c r="AL894" s="207"/>
    </row>
    <row r="895">
      <c r="A895" s="207"/>
      <c r="B895" s="233"/>
      <c r="C895" s="207"/>
      <c r="D895" s="234"/>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c r="AI895" s="207"/>
      <c r="AJ895" s="207"/>
      <c r="AK895" s="207"/>
      <c r="AL895" s="207"/>
    </row>
    <row r="896">
      <c r="A896" s="207"/>
      <c r="B896" s="233"/>
      <c r="C896" s="207"/>
      <c r="D896" s="234"/>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c r="AI896" s="207"/>
      <c r="AJ896" s="207"/>
      <c r="AK896" s="207"/>
      <c r="AL896" s="207"/>
    </row>
    <row r="897">
      <c r="A897" s="207"/>
      <c r="B897" s="233"/>
      <c r="C897" s="207"/>
      <c r="D897" s="234"/>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c r="AI897" s="207"/>
      <c r="AJ897" s="207"/>
      <c r="AK897" s="207"/>
      <c r="AL897" s="207"/>
    </row>
    <row r="898">
      <c r="A898" s="207"/>
      <c r="B898" s="233"/>
      <c r="C898" s="207"/>
      <c r="D898" s="234"/>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c r="AI898" s="207"/>
      <c r="AJ898" s="207"/>
      <c r="AK898" s="207"/>
      <c r="AL898" s="207"/>
    </row>
    <row r="899">
      <c r="A899" s="207"/>
      <c r="B899" s="233"/>
      <c r="C899" s="207"/>
      <c r="D899" s="234"/>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c r="AI899" s="207"/>
      <c r="AJ899" s="207"/>
      <c r="AK899" s="207"/>
      <c r="AL899" s="207"/>
    </row>
    <row r="900">
      <c r="A900" s="207"/>
      <c r="B900" s="233"/>
      <c r="C900" s="207"/>
      <c r="D900" s="234"/>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c r="AI900" s="207"/>
      <c r="AJ900" s="207"/>
      <c r="AK900" s="207"/>
      <c r="AL900" s="207"/>
    </row>
    <row r="901">
      <c r="A901" s="207"/>
      <c r="B901" s="233"/>
      <c r="C901" s="207"/>
      <c r="D901" s="234"/>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c r="AI901" s="207"/>
      <c r="AJ901" s="207"/>
      <c r="AK901" s="207"/>
      <c r="AL901" s="207"/>
    </row>
    <row r="902">
      <c r="A902" s="207"/>
      <c r="B902" s="233"/>
      <c r="C902" s="207"/>
      <c r="D902" s="234"/>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c r="AI902" s="207"/>
      <c r="AJ902" s="207"/>
      <c r="AK902" s="207"/>
      <c r="AL902" s="207"/>
    </row>
    <row r="903">
      <c r="A903" s="207"/>
      <c r="B903" s="233"/>
      <c r="C903" s="207"/>
      <c r="D903" s="234"/>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c r="AI903" s="207"/>
      <c r="AJ903" s="207"/>
      <c r="AK903" s="207"/>
      <c r="AL903" s="207"/>
    </row>
    <row r="904">
      <c r="A904" s="207"/>
      <c r="B904" s="233"/>
      <c r="C904" s="207"/>
      <c r="D904" s="234"/>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c r="AI904" s="207"/>
      <c r="AJ904" s="207"/>
      <c r="AK904" s="207"/>
      <c r="AL904" s="207"/>
    </row>
    <row r="905">
      <c r="A905" s="207"/>
      <c r="B905" s="233"/>
      <c r="C905" s="207"/>
      <c r="D905" s="234"/>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c r="AI905" s="207"/>
      <c r="AJ905" s="207"/>
      <c r="AK905" s="207"/>
      <c r="AL905" s="207"/>
    </row>
    <row r="906">
      <c r="A906" s="207"/>
      <c r="B906" s="233"/>
      <c r="C906" s="207"/>
      <c r="D906" s="234"/>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c r="AI906" s="207"/>
      <c r="AJ906" s="207"/>
      <c r="AK906" s="207"/>
      <c r="AL906" s="207"/>
    </row>
    <row r="907">
      <c r="A907" s="207"/>
      <c r="B907" s="233"/>
      <c r="C907" s="207"/>
      <c r="D907" s="234"/>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c r="AI907" s="207"/>
      <c r="AJ907" s="207"/>
      <c r="AK907" s="207"/>
      <c r="AL907" s="207"/>
    </row>
    <row r="908">
      <c r="A908" s="207"/>
      <c r="B908" s="233"/>
      <c r="C908" s="207"/>
      <c r="D908" s="234"/>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c r="AI908" s="207"/>
      <c r="AJ908" s="207"/>
      <c r="AK908" s="207"/>
      <c r="AL908" s="207"/>
    </row>
    <row r="909">
      <c r="A909" s="207"/>
      <c r="B909" s="233"/>
      <c r="C909" s="207"/>
      <c r="D909" s="234"/>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c r="AI909" s="207"/>
      <c r="AJ909" s="207"/>
      <c r="AK909" s="207"/>
      <c r="AL909" s="207"/>
    </row>
    <row r="910">
      <c r="A910" s="207"/>
      <c r="B910" s="233"/>
      <c r="C910" s="207"/>
      <c r="D910" s="234"/>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c r="AI910" s="207"/>
      <c r="AJ910" s="207"/>
      <c r="AK910" s="207"/>
      <c r="AL910" s="207"/>
    </row>
    <row r="911">
      <c r="A911" s="207"/>
      <c r="B911" s="233"/>
      <c r="C911" s="207"/>
      <c r="D911" s="234"/>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c r="AI911" s="207"/>
      <c r="AJ911" s="207"/>
      <c r="AK911" s="207"/>
      <c r="AL911" s="207"/>
    </row>
    <row r="912">
      <c r="A912" s="207"/>
      <c r="B912" s="233"/>
      <c r="C912" s="207"/>
      <c r="D912" s="234"/>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c r="AI912" s="207"/>
      <c r="AJ912" s="207"/>
      <c r="AK912" s="207"/>
      <c r="AL912" s="207"/>
    </row>
    <row r="913">
      <c r="A913" s="207"/>
      <c r="B913" s="233"/>
      <c r="C913" s="207"/>
      <c r="D913" s="234"/>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c r="AI913" s="207"/>
      <c r="AJ913" s="207"/>
      <c r="AK913" s="207"/>
      <c r="AL913" s="207"/>
    </row>
    <row r="914">
      <c r="A914" s="207"/>
      <c r="B914" s="233"/>
      <c r="C914" s="207"/>
      <c r="D914" s="234"/>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c r="AI914" s="207"/>
      <c r="AJ914" s="207"/>
      <c r="AK914" s="207"/>
      <c r="AL914" s="207"/>
    </row>
    <row r="915">
      <c r="A915" s="207"/>
      <c r="B915" s="233"/>
      <c r="C915" s="207"/>
      <c r="D915" s="234"/>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c r="AJ915" s="207"/>
      <c r="AK915" s="207"/>
      <c r="AL915" s="207"/>
    </row>
    <row r="916">
      <c r="A916" s="207"/>
      <c r="B916" s="233"/>
      <c r="C916" s="207"/>
      <c r="D916" s="234"/>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c r="AI916" s="207"/>
      <c r="AJ916" s="207"/>
      <c r="AK916" s="207"/>
      <c r="AL916" s="207"/>
    </row>
    <row r="917">
      <c r="A917" s="207"/>
      <c r="B917" s="233"/>
      <c r="C917" s="207"/>
      <c r="D917" s="234"/>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c r="AI917" s="207"/>
      <c r="AJ917" s="207"/>
      <c r="AK917" s="207"/>
      <c r="AL917" s="207"/>
    </row>
    <row r="918">
      <c r="A918" s="207"/>
      <c r="B918" s="233"/>
      <c r="C918" s="207"/>
      <c r="D918" s="234"/>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c r="AI918" s="207"/>
      <c r="AJ918" s="207"/>
      <c r="AK918" s="207"/>
      <c r="AL918" s="207"/>
    </row>
    <row r="919">
      <c r="A919" s="207"/>
      <c r="B919" s="233"/>
      <c r="C919" s="207"/>
      <c r="D919" s="234"/>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c r="AI919" s="207"/>
      <c r="AJ919" s="207"/>
      <c r="AK919" s="207"/>
      <c r="AL919" s="207"/>
    </row>
    <row r="920">
      <c r="A920" s="207"/>
      <c r="B920" s="233"/>
      <c r="C920" s="207"/>
      <c r="D920" s="234"/>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c r="AI920" s="207"/>
      <c r="AJ920" s="207"/>
      <c r="AK920" s="207"/>
      <c r="AL920" s="207"/>
    </row>
    <row r="921">
      <c r="A921" s="207"/>
      <c r="B921" s="233"/>
      <c r="C921" s="207"/>
      <c r="D921" s="234"/>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c r="AI921" s="207"/>
      <c r="AJ921" s="207"/>
      <c r="AK921" s="207"/>
      <c r="AL921" s="207"/>
    </row>
    <row r="922">
      <c r="A922" s="207"/>
      <c r="B922" s="233"/>
      <c r="C922" s="207"/>
      <c r="D922" s="234"/>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c r="AI922" s="207"/>
      <c r="AJ922" s="207"/>
      <c r="AK922" s="207"/>
      <c r="AL922" s="207"/>
    </row>
    <row r="923">
      <c r="A923" s="207"/>
      <c r="B923" s="233"/>
      <c r="C923" s="207"/>
      <c r="D923" s="234"/>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c r="AI923" s="207"/>
      <c r="AJ923" s="207"/>
      <c r="AK923" s="207"/>
      <c r="AL923" s="207"/>
    </row>
    <row r="924">
      <c r="A924" s="207"/>
      <c r="B924" s="233"/>
      <c r="C924" s="207"/>
      <c r="D924" s="234"/>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c r="AI924" s="207"/>
      <c r="AJ924" s="207"/>
      <c r="AK924" s="207"/>
      <c r="AL924" s="207"/>
    </row>
    <row r="925">
      <c r="A925" s="207"/>
      <c r="B925" s="233"/>
      <c r="C925" s="207"/>
      <c r="D925" s="234"/>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c r="AI925" s="207"/>
      <c r="AJ925" s="207"/>
      <c r="AK925" s="207"/>
      <c r="AL925" s="207"/>
    </row>
    <row r="926">
      <c r="A926" s="207"/>
      <c r="B926" s="233"/>
      <c r="C926" s="207"/>
      <c r="D926" s="234"/>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c r="AI926" s="207"/>
      <c r="AJ926" s="207"/>
      <c r="AK926" s="207"/>
      <c r="AL926" s="207"/>
    </row>
    <row r="927">
      <c r="A927" s="207"/>
      <c r="B927" s="233"/>
      <c r="C927" s="207"/>
      <c r="D927" s="234"/>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c r="AI927" s="207"/>
      <c r="AJ927" s="207"/>
      <c r="AK927" s="207"/>
      <c r="AL927" s="207"/>
    </row>
    <row r="928">
      <c r="A928" s="207"/>
      <c r="B928" s="233"/>
      <c r="C928" s="207"/>
      <c r="D928" s="234"/>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c r="AI928" s="207"/>
      <c r="AJ928" s="207"/>
      <c r="AK928" s="207"/>
      <c r="AL928" s="207"/>
    </row>
    <row r="929">
      <c r="A929" s="207"/>
      <c r="B929" s="233"/>
      <c r="C929" s="207"/>
      <c r="D929" s="234"/>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c r="AI929" s="207"/>
      <c r="AJ929" s="207"/>
      <c r="AK929" s="207"/>
      <c r="AL929" s="207"/>
    </row>
    <row r="930">
      <c r="A930" s="207"/>
      <c r="B930" s="233"/>
      <c r="C930" s="207"/>
      <c r="D930" s="234"/>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c r="AI930" s="207"/>
      <c r="AJ930" s="207"/>
      <c r="AK930" s="207"/>
      <c r="AL930" s="207"/>
    </row>
    <row r="931">
      <c r="A931" s="207"/>
      <c r="B931" s="233"/>
      <c r="C931" s="207"/>
      <c r="D931" s="234"/>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c r="AI931" s="207"/>
      <c r="AJ931" s="207"/>
      <c r="AK931" s="207"/>
      <c r="AL931" s="207"/>
    </row>
    <row r="932">
      <c r="A932" s="207"/>
      <c r="B932" s="233"/>
      <c r="C932" s="207"/>
      <c r="D932" s="234"/>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c r="AI932" s="207"/>
      <c r="AJ932" s="207"/>
      <c r="AK932" s="207"/>
      <c r="AL932" s="207"/>
    </row>
    <row r="933">
      <c r="A933" s="207"/>
      <c r="B933" s="233"/>
      <c r="C933" s="207"/>
      <c r="D933" s="234"/>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c r="AI933" s="207"/>
      <c r="AJ933" s="207"/>
      <c r="AK933" s="207"/>
      <c r="AL933" s="207"/>
    </row>
    <row r="934">
      <c r="A934" s="207"/>
      <c r="B934" s="233"/>
      <c r="C934" s="207"/>
      <c r="D934" s="234"/>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c r="AI934" s="207"/>
      <c r="AJ934" s="207"/>
      <c r="AK934" s="207"/>
      <c r="AL934" s="207"/>
    </row>
    <row r="935">
      <c r="A935" s="207"/>
      <c r="B935" s="233"/>
      <c r="C935" s="207"/>
      <c r="D935" s="234"/>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c r="AI935" s="207"/>
      <c r="AJ935" s="207"/>
      <c r="AK935" s="207"/>
      <c r="AL935" s="207"/>
    </row>
    <row r="936">
      <c r="A936" s="207"/>
      <c r="B936" s="233"/>
      <c r="C936" s="207"/>
      <c r="D936" s="234"/>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c r="AI936" s="207"/>
      <c r="AJ936" s="207"/>
      <c r="AK936" s="207"/>
      <c r="AL936" s="207"/>
    </row>
    <row r="937">
      <c r="A937" s="207"/>
      <c r="B937" s="233"/>
      <c r="C937" s="207"/>
      <c r="D937" s="234"/>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c r="AI937" s="207"/>
      <c r="AJ937" s="207"/>
      <c r="AK937" s="207"/>
      <c r="AL937" s="207"/>
    </row>
    <row r="938">
      <c r="A938" s="207"/>
      <c r="B938" s="233"/>
      <c r="C938" s="207"/>
      <c r="D938" s="234"/>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c r="AI938" s="207"/>
      <c r="AJ938" s="207"/>
      <c r="AK938" s="207"/>
      <c r="AL938" s="207"/>
    </row>
    <row r="939">
      <c r="A939" s="207"/>
      <c r="B939" s="233"/>
      <c r="C939" s="207"/>
      <c r="D939" s="234"/>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c r="AI939" s="207"/>
      <c r="AJ939" s="207"/>
      <c r="AK939" s="207"/>
      <c r="AL939" s="207"/>
    </row>
    <row r="940">
      <c r="A940" s="207"/>
      <c r="B940" s="233"/>
      <c r="C940" s="207"/>
      <c r="D940" s="234"/>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c r="AI940" s="207"/>
      <c r="AJ940" s="207"/>
      <c r="AK940" s="207"/>
      <c r="AL940" s="207"/>
    </row>
    <row r="941">
      <c r="A941" s="207"/>
      <c r="B941" s="233"/>
      <c r="C941" s="207"/>
      <c r="D941" s="234"/>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c r="AI941" s="207"/>
      <c r="AJ941" s="207"/>
      <c r="AK941" s="207"/>
      <c r="AL941" s="207"/>
    </row>
    <row r="942">
      <c r="A942" s="207"/>
      <c r="B942" s="233"/>
      <c r="C942" s="207"/>
      <c r="D942" s="234"/>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c r="AI942" s="207"/>
      <c r="AJ942" s="207"/>
      <c r="AK942" s="207"/>
      <c r="AL942" s="207"/>
    </row>
    <row r="943">
      <c r="A943" s="207"/>
      <c r="B943" s="233"/>
      <c r="C943" s="207"/>
      <c r="D943" s="234"/>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c r="AI943" s="207"/>
      <c r="AJ943" s="207"/>
      <c r="AK943" s="207"/>
      <c r="AL943" s="207"/>
    </row>
    <row r="944">
      <c r="A944" s="207"/>
      <c r="B944" s="233"/>
      <c r="C944" s="207"/>
      <c r="D944" s="234"/>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c r="AI944" s="207"/>
      <c r="AJ944" s="207"/>
      <c r="AK944" s="207"/>
      <c r="AL944" s="207"/>
    </row>
    <row r="945">
      <c r="A945" s="207"/>
      <c r="B945" s="233"/>
      <c r="C945" s="207"/>
      <c r="D945" s="234"/>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c r="AI945" s="207"/>
      <c r="AJ945" s="207"/>
      <c r="AK945" s="207"/>
      <c r="AL945" s="207"/>
    </row>
    <row r="946">
      <c r="A946" s="207"/>
      <c r="B946" s="233"/>
      <c r="C946" s="207"/>
      <c r="D946" s="234"/>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c r="AI946" s="207"/>
      <c r="AJ946" s="207"/>
      <c r="AK946" s="207"/>
      <c r="AL946" s="207"/>
    </row>
    <row r="947">
      <c r="A947" s="207"/>
      <c r="B947" s="233"/>
      <c r="C947" s="207"/>
      <c r="D947" s="234"/>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c r="AI947" s="207"/>
      <c r="AJ947" s="207"/>
      <c r="AK947" s="207"/>
      <c r="AL947" s="207"/>
    </row>
    <row r="948">
      <c r="A948" s="207"/>
      <c r="B948" s="233"/>
      <c r="C948" s="207"/>
      <c r="D948" s="234"/>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c r="AI948" s="207"/>
      <c r="AJ948" s="207"/>
      <c r="AK948" s="207"/>
      <c r="AL948" s="207"/>
    </row>
    <row r="949">
      <c r="A949" s="207"/>
      <c r="B949" s="233"/>
      <c r="C949" s="207"/>
      <c r="D949" s="234"/>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c r="AI949" s="207"/>
      <c r="AJ949" s="207"/>
      <c r="AK949" s="207"/>
      <c r="AL949" s="207"/>
    </row>
    <row r="950">
      <c r="A950" s="207"/>
      <c r="B950" s="233"/>
      <c r="C950" s="207"/>
      <c r="D950" s="234"/>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c r="AI950" s="207"/>
      <c r="AJ950" s="207"/>
      <c r="AK950" s="207"/>
      <c r="AL950" s="207"/>
    </row>
    <row r="951">
      <c r="A951" s="207"/>
      <c r="B951" s="233"/>
      <c r="C951" s="207"/>
      <c r="D951" s="234"/>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c r="AI951" s="207"/>
      <c r="AJ951" s="207"/>
      <c r="AK951" s="207"/>
      <c r="AL951" s="207"/>
    </row>
    <row r="952">
      <c r="A952" s="207"/>
      <c r="B952" s="233"/>
      <c r="C952" s="207"/>
      <c r="D952" s="234"/>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c r="AI952" s="207"/>
      <c r="AJ952" s="207"/>
      <c r="AK952" s="207"/>
      <c r="AL952" s="207"/>
    </row>
    <row r="953">
      <c r="A953" s="207"/>
      <c r="B953" s="233"/>
      <c r="C953" s="207"/>
      <c r="D953" s="234"/>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c r="AI953" s="207"/>
      <c r="AJ953" s="207"/>
      <c r="AK953" s="207"/>
      <c r="AL953" s="207"/>
    </row>
    <row r="954">
      <c r="A954" s="207"/>
      <c r="B954" s="233"/>
      <c r="C954" s="207"/>
      <c r="D954" s="234"/>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c r="AI954" s="207"/>
      <c r="AJ954" s="207"/>
      <c r="AK954" s="207"/>
      <c r="AL954" s="207"/>
    </row>
    <row r="955">
      <c r="A955" s="207"/>
      <c r="B955" s="233"/>
      <c r="C955" s="207"/>
      <c r="D955" s="234"/>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c r="AI955" s="207"/>
      <c r="AJ955" s="207"/>
      <c r="AK955" s="207"/>
      <c r="AL955" s="207"/>
    </row>
    <row r="956">
      <c r="A956" s="207"/>
      <c r="B956" s="233"/>
      <c r="C956" s="207"/>
      <c r="D956" s="234"/>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c r="AI956" s="207"/>
      <c r="AJ956" s="207"/>
      <c r="AK956" s="207"/>
      <c r="AL956" s="207"/>
    </row>
    <row r="957">
      <c r="A957" s="207"/>
      <c r="B957" s="233"/>
      <c r="C957" s="207"/>
      <c r="D957" s="234"/>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c r="AI957" s="207"/>
      <c r="AJ957" s="207"/>
      <c r="AK957" s="207"/>
      <c r="AL957" s="207"/>
    </row>
    <row r="958">
      <c r="A958" s="207"/>
      <c r="B958" s="233"/>
      <c r="C958" s="207"/>
      <c r="D958" s="234"/>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c r="AI958" s="207"/>
      <c r="AJ958" s="207"/>
      <c r="AK958" s="207"/>
      <c r="AL958" s="207"/>
    </row>
    <row r="959">
      <c r="A959" s="207"/>
      <c r="B959" s="233"/>
      <c r="C959" s="207"/>
      <c r="D959" s="234"/>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c r="AI959" s="207"/>
      <c r="AJ959" s="207"/>
      <c r="AK959" s="207"/>
      <c r="AL959" s="207"/>
    </row>
    <row r="960">
      <c r="A960" s="207"/>
      <c r="B960" s="233"/>
      <c r="C960" s="207"/>
      <c r="D960" s="234"/>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c r="AI960" s="207"/>
      <c r="AJ960" s="207"/>
      <c r="AK960" s="207"/>
      <c r="AL960" s="207"/>
    </row>
    <row r="961">
      <c r="A961" s="207"/>
      <c r="B961" s="233"/>
      <c r="C961" s="207"/>
      <c r="D961" s="234"/>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c r="AI961" s="207"/>
      <c r="AJ961" s="207"/>
      <c r="AK961" s="207"/>
      <c r="AL961" s="207"/>
    </row>
    <row r="962">
      <c r="A962" s="207"/>
      <c r="B962" s="233"/>
      <c r="C962" s="207"/>
      <c r="D962" s="234"/>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c r="AI962" s="207"/>
      <c r="AJ962" s="207"/>
      <c r="AK962" s="207"/>
      <c r="AL962" s="207"/>
    </row>
    <row r="963">
      <c r="A963" s="207"/>
      <c r="B963" s="233"/>
      <c r="C963" s="207"/>
      <c r="D963" s="234"/>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c r="AI963" s="207"/>
      <c r="AJ963" s="207"/>
      <c r="AK963" s="207"/>
      <c r="AL963" s="207"/>
    </row>
    <row r="964">
      <c r="A964" s="207"/>
      <c r="B964" s="233"/>
      <c r="C964" s="207"/>
      <c r="D964" s="234"/>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c r="AI964" s="207"/>
      <c r="AJ964" s="207"/>
      <c r="AK964" s="207"/>
      <c r="AL964" s="207"/>
    </row>
    <row r="965">
      <c r="A965" s="207"/>
      <c r="B965" s="233"/>
      <c r="C965" s="207"/>
      <c r="D965" s="234"/>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c r="AI965" s="207"/>
      <c r="AJ965" s="207"/>
      <c r="AK965" s="207"/>
      <c r="AL965" s="207"/>
    </row>
    <row r="966">
      <c r="A966" s="207"/>
      <c r="B966" s="233"/>
      <c r="C966" s="207"/>
      <c r="D966" s="234"/>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c r="AI966" s="207"/>
      <c r="AJ966" s="207"/>
      <c r="AK966" s="207"/>
      <c r="AL966" s="207"/>
    </row>
    <row r="967">
      <c r="A967" s="207"/>
      <c r="B967" s="233"/>
      <c r="C967" s="207"/>
      <c r="D967" s="234"/>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c r="AI967" s="207"/>
      <c r="AJ967" s="207"/>
      <c r="AK967" s="207"/>
      <c r="AL967" s="207"/>
    </row>
    <row r="968">
      <c r="A968" s="207"/>
      <c r="B968" s="233"/>
      <c r="C968" s="207"/>
      <c r="D968" s="234"/>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c r="AI968" s="207"/>
      <c r="AJ968" s="207"/>
      <c r="AK968" s="207"/>
      <c r="AL968" s="207"/>
    </row>
    <row r="969">
      <c r="A969" s="207"/>
      <c r="B969" s="233"/>
      <c r="C969" s="207"/>
      <c r="D969" s="234"/>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c r="AI969" s="207"/>
      <c r="AJ969" s="207"/>
      <c r="AK969" s="207"/>
      <c r="AL969" s="207"/>
    </row>
    <row r="970">
      <c r="A970" s="207"/>
      <c r="B970" s="233"/>
      <c r="C970" s="207"/>
      <c r="D970" s="234"/>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c r="AI970" s="207"/>
      <c r="AJ970" s="207"/>
      <c r="AK970" s="207"/>
      <c r="AL970" s="207"/>
    </row>
    <row r="971">
      <c r="A971" s="207"/>
      <c r="B971" s="233"/>
      <c r="C971" s="207"/>
      <c r="D971" s="234"/>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c r="AI971" s="207"/>
      <c r="AJ971" s="207"/>
      <c r="AK971" s="207"/>
      <c r="AL971" s="207"/>
    </row>
    <row r="972">
      <c r="A972" s="207"/>
      <c r="B972" s="233"/>
      <c r="C972" s="207"/>
      <c r="D972" s="234"/>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c r="AI972" s="207"/>
      <c r="AJ972" s="207"/>
      <c r="AK972" s="207"/>
      <c r="AL972" s="207"/>
    </row>
    <row r="973">
      <c r="A973" s="207"/>
      <c r="B973" s="233"/>
      <c r="C973" s="207"/>
      <c r="D973" s="234"/>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c r="AI973" s="207"/>
      <c r="AJ973" s="207"/>
      <c r="AK973" s="207"/>
      <c r="AL973" s="207"/>
    </row>
    <row r="974">
      <c r="A974" s="207"/>
      <c r="B974" s="233"/>
      <c r="C974" s="207"/>
      <c r="D974" s="234"/>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c r="AI974" s="207"/>
      <c r="AJ974" s="207"/>
      <c r="AK974" s="207"/>
      <c r="AL974" s="207"/>
    </row>
    <row r="975">
      <c r="A975" s="207"/>
      <c r="B975" s="233"/>
      <c r="C975" s="207"/>
      <c r="D975" s="234"/>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c r="AI975" s="207"/>
      <c r="AJ975" s="207"/>
      <c r="AK975" s="207"/>
      <c r="AL975" s="207"/>
    </row>
    <row r="976">
      <c r="A976" s="207"/>
      <c r="B976" s="233"/>
      <c r="C976" s="207"/>
      <c r="D976" s="234"/>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c r="AI976" s="207"/>
      <c r="AJ976" s="207"/>
      <c r="AK976" s="207"/>
      <c r="AL976" s="207"/>
    </row>
    <row r="977">
      <c r="A977" s="207"/>
      <c r="B977" s="233"/>
      <c r="C977" s="207"/>
      <c r="D977" s="234"/>
      <c r="E977" s="207"/>
      <c r="F977" s="207"/>
      <c r="G977" s="207"/>
      <c r="H977" s="207"/>
      <c r="I977" s="207"/>
      <c r="J977" s="207"/>
      <c r="K977" s="207"/>
      <c r="L977" s="207"/>
      <c r="M977" s="207"/>
      <c r="N977" s="207"/>
      <c r="O977" s="207"/>
      <c r="P977" s="207"/>
      <c r="Q977" s="207"/>
      <c r="R977" s="207"/>
      <c r="S977" s="207"/>
      <c r="T977" s="207"/>
      <c r="U977" s="207"/>
      <c r="V977" s="207"/>
      <c r="W977" s="207"/>
      <c r="X977" s="207"/>
      <c r="Y977" s="207"/>
      <c r="Z977" s="207"/>
      <c r="AA977" s="207"/>
      <c r="AB977" s="207"/>
      <c r="AC977" s="207"/>
      <c r="AD977" s="207"/>
      <c r="AE977" s="207"/>
      <c r="AF977" s="207"/>
      <c r="AG977" s="207"/>
      <c r="AH977" s="207"/>
      <c r="AI977" s="207"/>
      <c r="AJ977" s="207"/>
      <c r="AK977" s="207"/>
      <c r="AL977" s="207"/>
    </row>
    <row r="978">
      <c r="A978" s="207"/>
      <c r="B978" s="233"/>
      <c r="C978" s="207"/>
      <c r="D978" s="234"/>
      <c r="E978" s="207"/>
      <c r="F978" s="207"/>
      <c r="G978" s="207"/>
      <c r="H978" s="207"/>
      <c r="I978" s="207"/>
      <c r="J978" s="207"/>
      <c r="K978" s="207"/>
      <c r="L978" s="207"/>
      <c r="M978" s="207"/>
      <c r="N978" s="207"/>
      <c r="O978" s="207"/>
      <c r="P978" s="207"/>
      <c r="Q978" s="207"/>
      <c r="R978" s="207"/>
      <c r="S978" s="207"/>
      <c r="T978" s="207"/>
      <c r="U978" s="207"/>
      <c r="V978" s="207"/>
      <c r="W978" s="207"/>
      <c r="X978" s="207"/>
      <c r="Y978" s="207"/>
      <c r="Z978" s="207"/>
      <c r="AA978" s="207"/>
      <c r="AB978" s="207"/>
      <c r="AC978" s="207"/>
      <c r="AD978" s="207"/>
      <c r="AE978" s="207"/>
      <c r="AF978" s="207"/>
      <c r="AG978" s="207"/>
      <c r="AH978" s="207"/>
      <c r="AI978" s="207"/>
      <c r="AJ978" s="207"/>
      <c r="AK978" s="207"/>
      <c r="AL978" s="207"/>
    </row>
    <row r="979">
      <c r="A979" s="207"/>
      <c r="B979" s="233"/>
      <c r="C979" s="207"/>
      <c r="D979" s="234"/>
      <c r="E979" s="207"/>
      <c r="F979" s="207"/>
      <c r="G979" s="207"/>
      <c r="H979" s="207"/>
      <c r="I979" s="207"/>
      <c r="J979" s="207"/>
      <c r="K979" s="207"/>
      <c r="L979" s="207"/>
      <c r="M979" s="207"/>
      <c r="N979" s="207"/>
      <c r="O979" s="207"/>
      <c r="P979" s="207"/>
      <c r="Q979" s="207"/>
      <c r="R979" s="207"/>
      <c r="S979" s="207"/>
      <c r="T979" s="207"/>
      <c r="U979" s="207"/>
      <c r="V979" s="207"/>
      <c r="W979" s="207"/>
      <c r="X979" s="207"/>
      <c r="Y979" s="207"/>
      <c r="Z979" s="207"/>
      <c r="AA979" s="207"/>
      <c r="AB979" s="207"/>
      <c r="AC979" s="207"/>
      <c r="AD979" s="207"/>
      <c r="AE979" s="207"/>
      <c r="AF979" s="207"/>
      <c r="AG979" s="207"/>
      <c r="AH979" s="207"/>
      <c r="AI979" s="207"/>
      <c r="AJ979" s="207"/>
      <c r="AK979" s="207"/>
      <c r="AL979" s="207"/>
    </row>
    <row r="980">
      <c r="A980" s="207"/>
      <c r="B980" s="233"/>
      <c r="C980" s="207"/>
      <c r="D980" s="234"/>
      <c r="E980" s="207"/>
      <c r="F980" s="207"/>
      <c r="G980" s="207"/>
      <c r="H980" s="207"/>
      <c r="I980" s="207"/>
      <c r="J980" s="207"/>
      <c r="K980" s="207"/>
      <c r="L980" s="207"/>
      <c r="M980" s="207"/>
      <c r="N980" s="207"/>
      <c r="O980" s="207"/>
      <c r="P980" s="207"/>
      <c r="Q980" s="207"/>
      <c r="R980" s="207"/>
      <c r="S980" s="207"/>
      <c r="T980" s="207"/>
      <c r="U980" s="207"/>
      <c r="V980" s="207"/>
      <c r="W980" s="207"/>
      <c r="X980" s="207"/>
      <c r="Y980" s="207"/>
      <c r="Z980" s="207"/>
      <c r="AA980" s="207"/>
      <c r="AB980" s="207"/>
      <c r="AC980" s="207"/>
      <c r="AD980" s="207"/>
      <c r="AE980" s="207"/>
      <c r="AF980" s="207"/>
      <c r="AG980" s="207"/>
      <c r="AH980" s="207"/>
      <c r="AI980" s="207"/>
      <c r="AJ980" s="207"/>
      <c r="AK980" s="207"/>
      <c r="AL980" s="207"/>
    </row>
    <row r="981">
      <c r="A981" s="207"/>
      <c r="B981" s="233"/>
      <c r="C981" s="207"/>
      <c r="D981" s="234"/>
      <c r="E981" s="207"/>
      <c r="F981" s="207"/>
      <c r="G981" s="207"/>
      <c r="H981" s="207"/>
      <c r="I981" s="207"/>
      <c r="J981" s="207"/>
      <c r="K981" s="207"/>
      <c r="L981" s="207"/>
      <c r="M981" s="207"/>
      <c r="N981" s="207"/>
      <c r="O981" s="207"/>
      <c r="P981" s="207"/>
      <c r="Q981" s="207"/>
      <c r="R981" s="207"/>
      <c r="S981" s="207"/>
      <c r="T981" s="207"/>
      <c r="U981" s="207"/>
      <c r="V981" s="207"/>
      <c r="W981" s="207"/>
      <c r="X981" s="207"/>
      <c r="Y981" s="207"/>
      <c r="Z981" s="207"/>
      <c r="AA981" s="207"/>
      <c r="AB981" s="207"/>
      <c r="AC981" s="207"/>
      <c r="AD981" s="207"/>
      <c r="AE981" s="207"/>
      <c r="AF981" s="207"/>
      <c r="AG981" s="207"/>
      <c r="AH981" s="207"/>
      <c r="AI981" s="207"/>
      <c r="AJ981" s="207"/>
      <c r="AK981" s="207"/>
      <c r="AL981" s="207"/>
    </row>
    <row r="982">
      <c r="A982" s="207"/>
      <c r="B982" s="233"/>
      <c r="C982" s="207"/>
      <c r="D982" s="234"/>
      <c r="E982" s="207"/>
      <c r="F982" s="207"/>
      <c r="G982" s="207"/>
      <c r="H982" s="207"/>
      <c r="I982" s="207"/>
      <c r="J982" s="207"/>
      <c r="K982" s="207"/>
      <c r="L982" s="207"/>
      <c r="M982" s="207"/>
      <c r="N982" s="207"/>
      <c r="O982" s="207"/>
      <c r="P982" s="207"/>
      <c r="Q982" s="207"/>
      <c r="R982" s="207"/>
      <c r="S982" s="207"/>
      <c r="T982" s="207"/>
      <c r="U982" s="207"/>
      <c r="V982" s="207"/>
      <c r="W982" s="207"/>
      <c r="X982" s="207"/>
      <c r="Y982" s="207"/>
      <c r="Z982" s="207"/>
      <c r="AA982" s="207"/>
      <c r="AB982" s="207"/>
      <c r="AC982" s="207"/>
      <c r="AD982" s="207"/>
      <c r="AE982" s="207"/>
      <c r="AF982" s="207"/>
      <c r="AG982" s="207"/>
      <c r="AH982" s="207"/>
      <c r="AI982" s="207"/>
      <c r="AJ982" s="207"/>
      <c r="AK982" s="207"/>
      <c r="AL982" s="207"/>
    </row>
    <row r="983">
      <c r="A983" s="207"/>
      <c r="B983" s="233"/>
      <c r="C983" s="207"/>
      <c r="D983" s="234"/>
      <c r="E983" s="207"/>
      <c r="F983" s="207"/>
      <c r="G983" s="207"/>
      <c r="H983" s="207"/>
      <c r="I983" s="207"/>
      <c r="J983" s="207"/>
      <c r="K983" s="207"/>
      <c r="L983" s="207"/>
      <c r="M983" s="207"/>
      <c r="N983" s="207"/>
      <c r="O983" s="207"/>
      <c r="P983" s="207"/>
      <c r="Q983" s="207"/>
      <c r="R983" s="207"/>
      <c r="S983" s="207"/>
      <c r="T983" s="207"/>
      <c r="U983" s="207"/>
      <c r="V983" s="207"/>
      <c r="W983" s="207"/>
      <c r="X983" s="207"/>
      <c r="Y983" s="207"/>
      <c r="Z983" s="207"/>
      <c r="AA983" s="207"/>
      <c r="AB983" s="207"/>
      <c r="AC983" s="207"/>
      <c r="AD983" s="207"/>
      <c r="AE983" s="207"/>
      <c r="AF983" s="207"/>
      <c r="AG983" s="207"/>
      <c r="AH983" s="207"/>
      <c r="AI983" s="207"/>
      <c r="AJ983" s="207"/>
      <c r="AK983" s="207"/>
      <c r="AL983" s="207"/>
    </row>
    <row r="984">
      <c r="A984" s="207"/>
      <c r="B984" s="233"/>
      <c r="C984" s="207"/>
      <c r="D984" s="234"/>
      <c r="E984" s="207"/>
      <c r="F984" s="207"/>
      <c r="G984" s="207"/>
      <c r="H984" s="207"/>
      <c r="I984" s="207"/>
      <c r="J984" s="207"/>
      <c r="K984" s="207"/>
      <c r="L984" s="207"/>
      <c r="M984" s="207"/>
      <c r="N984" s="207"/>
      <c r="O984" s="207"/>
      <c r="P984" s="207"/>
      <c r="Q984" s="207"/>
      <c r="R984" s="207"/>
      <c r="S984" s="207"/>
      <c r="T984" s="207"/>
      <c r="U984" s="207"/>
      <c r="V984" s="207"/>
      <c r="W984" s="207"/>
      <c r="X984" s="207"/>
      <c r="Y984" s="207"/>
      <c r="Z984" s="207"/>
      <c r="AA984" s="207"/>
      <c r="AB984" s="207"/>
      <c r="AC984" s="207"/>
      <c r="AD984" s="207"/>
      <c r="AE984" s="207"/>
      <c r="AF984" s="207"/>
      <c r="AG984" s="207"/>
      <c r="AH984" s="207"/>
      <c r="AI984" s="207"/>
      <c r="AJ984" s="207"/>
      <c r="AK984" s="207"/>
      <c r="AL984" s="207"/>
    </row>
    <row r="985">
      <c r="A985" s="207"/>
      <c r="B985" s="233"/>
      <c r="C985" s="207"/>
      <c r="D985" s="234"/>
      <c r="E985" s="207"/>
      <c r="F985" s="207"/>
      <c r="G985" s="207"/>
      <c r="H985" s="207"/>
      <c r="I985" s="207"/>
      <c r="J985" s="207"/>
      <c r="K985" s="207"/>
      <c r="L985" s="207"/>
      <c r="M985" s="207"/>
      <c r="N985" s="207"/>
      <c r="O985" s="207"/>
      <c r="P985" s="207"/>
      <c r="Q985" s="207"/>
      <c r="R985" s="207"/>
      <c r="S985" s="207"/>
      <c r="T985" s="207"/>
      <c r="U985" s="207"/>
      <c r="V985" s="207"/>
      <c r="W985" s="207"/>
      <c r="X985" s="207"/>
      <c r="Y985" s="207"/>
      <c r="Z985" s="207"/>
      <c r="AA985" s="207"/>
      <c r="AB985" s="207"/>
      <c r="AC985" s="207"/>
      <c r="AD985" s="207"/>
      <c r="AE985" s="207"/>
      <c r="AF985" s="207"/>
      <c r="AG985" s="207"/>
      <c r="AH985" s="207"/>
      <c r="AI985" s="207"/>
      <c r="AJ985" s="207"/>
      <c r="AK985" s="207"/>
      <c r="AL985" s="207"/>
    </row>
    <row r="986">
      <c r="A986" s="207"/>
      <c r="B986" s="233"/>
      <c r="C986" s="207"/>
      <c r="D986" s="234"/>
      <c r="E986" s="207"/>
      <c r="F986" s="207"/>
      <c r="G986" s="207"/>
      <c r="H986" s="207"/>
      <c r="I986" s="207"/>
      <c r="J986" s="207"/>
      <c r="K986" s="207"/>
      <c r="L986" s="207"/>
      <c r="M986" s="207"/>
      <c r="N986" s="207"/>
      <c r="O986" s="207"/>
      <c r="P986" s="207"/>
      <c r="Q986" s="207"/>
      <c r="R986" s="207"/>
      <c r="S986" s="207"/>
      <c r="T986" s="207"/>
      <c r="U986" s="207"/>
      <c r="V986" s="207"/>
      <c r="W986" s="207"/>
      <c r="X986" s="207"/>
      <c r="Y986" s="207"/>
      <c r="Z986" s="207"/>
      <c r="AA986" s="207"/>
      <c r="AB986" s="207"/>
      <c r="AC986" s="207"/>
      <c r="AD986" s="207"/>
      <c r="AE986" s="207"/>
      <c r="AF986" s="207"/>
      <c r="AG986" s="207"/>
      <c r="AH986" s="207"/>
      <c r="AI986" s="207"/>
      <c r="AJ986" s="207"/>
      <c r="AK986" s="207"/>
      <c r="AL986" s="207"/>
    </row>
    <row r="987">
      <c r="A987" s="207"/>
      <c r="B987" s="233"/>
      <c r="C987" s="207"/>
      <c r="D987" s="234"/>
      <c r="E987" s="207"/>
      <c r="F987" s="207"/>
      <c r="G987" s="207"/>
      <c r="H987" s="207"/>
      <c r="I987" s="207"/>
      <c r="J987" s="207"/>
      <c r="K987" s="207"/>
      <c r="L987" s="207"/>
      <c r="M987" s="207"/>
      <c r="N987" s="207"/>
      <c r="O987" s="207"/>
      <c r="P987" s="207"/>
      <c r="Q987" s="207"/>
      <c r="R987" s="207"/>
      <c r="S987" s="207"/>
      <c r="T987" s="207"/>
      <c r="U987" s="207"/>
      <c r="V987" s="207"/>
      <c r="W987" s="207"/>
      <c r="X987" s="207"/>
      <c r="Y987" s="207"/>
      <c r="Z987" s="207"/>
      <c r="AA987" s="207"/>
      <c r="AB987" s="207"/>
      <c r="AC987" s="207"/>
      <c r="AD987" s="207"/>
      <c r="AE987" s="207"/>
      <c r="AF987" s="207"/>
      <c r="AG987" s="207"/>
      <c r="AH987" s="207"/>
      <c r="AI987" s="207"/>
      <c r="AJ987" s="207"/>
      <c r="AK987" s="207"/>
      <c r="AL987" s="207"/>
    </row>
    <row r="988">
      <c r="A988" s="207"/>
      <c r="B988" s="233"/>
      <c r="C988" s="207"/>
      <c r="D988" s="234"/>
      <c r="E988" s="207"/>
      <c r="F988" s="207"/>
      <c r="G988" s="207"/>
      <c r="H988" s="207"/>
      <c r="I988" s="207"/>
      <c r="J988" s="207"/>
      <c r="K988" s="207"/>
      <c r="L988" s="207"/>
      <c r="M988" s="207"/>
      <c r="N988" s="207"/>
      <c r="O988" s="207"/>
      <c r="P988" s="207"/>
      <c r="Q988" s="207"/>
      <c r="R988" s="207"/>
      <c r="S988" s="207"/>
      <c r="T988" s="207"/>
      <c r="U988" s="207"/>
      <c r="V988" s="207"/>
      <c r="W988" s="207"/>
      <c r="X988" s="207"/>
      <c r="Y988" s="207"/>
      <c r="Z988" s="207"/>
      <c r="AA988" s="207"/>
      <c r="AB988" s="207"/>
      <c r="AC988" s="207"/>
      <c r="AD988" s="207"/>
      <c r="AE988" s="207"/>
      <c r="AF988" s="207"/>
      <c r="AG988" s="207"/>
      <c r="AH988" s="207"/>
      <c r="AI988" s="207"/>
      <c r="AJ988" s="207"/>
      <c r="AK988" s="207"/>
      <c r="AL988" s="207"/>
    </row>
    <row r="989">
      <c r="A989" s="207"/>
      <c r="B989" s="233"/>
      <c r="C989" s="207"/>
      <c r="D989" s="234"/>
      <c r="E989" s="207"/>
      <c r="F989" s="207"/>
      <c r="G989" s="207"/>
      <c r="H989" s="207"/>
      <c r="I989" s="207"/>
      <c r="J989" s="207"/>
      <c r="K989" s="207"/>
      <c r="L989" s="207"/>
      <c r="M989" s="207"/>
      <c r="N989" s="207"/>
      <c r="O989" s="207"/>
      <c r="P989" s="207"/>
      <c r="Q989" s="207"/>
      <c r="R989" s="207"/>
      <c r="S989" s="207"/>
      <c r="T989" s="207"/>
      <c r="U989" s="207"/>
      <c r="V989" s="207"/>
      <c r="W989" s="207"/>
      <c r="X989" s="207"/>
      <c r="Y989" s="207"/>
      <c r="Z989" s="207"/>
      <c r="AA989" s="207"/>
      <c r="AB989" s="207"/>
      <c r="AC989" s="207"/>
      <c r="AD989" s="207"/>
      <c r="AE989" s="207"/>
      <c r="AF989" s="207"/>
      <c r="AG989" s="207"/>
      <c r="AH989" s="207"/>
      <c r="AI989" s="207"/>
      <c r="AJ989" s="207"/>
      <c r="AK989" s="207"/>
      <c r="AL989" s="207"/>
    </row>
    <row r="990">
      <c r="A990" s="207"/>
      <c r="B990" s="233"/>
      <c r="C990" s="207"/>
      <c r="D990" s="234"/>
      <c r="E990" s="207"/>
      <c r="F990" s="207"/>
      <c r="G990" s="207"/>
      <c r="H990" s="207"/>
      <c r="I990" s="207"/>
      <c r="J990" s="207"/>
      <c r="K990" s="207"/>
      <c r="L990" s="207"/>
      <c r="M990" s="207"/>
      <c r="N990" s="207"/>
      <c r="O990" s="207"/>
      <c r="P990" s="207"/>
      <c r="Q990" s="207"/>
      <c r="R990" s="207"/>
      <c r="S990" s="207"/>
      <c r="T990" s="207"/>
      <c r="U990" s="207"/>
      <c r="V990" s="207"/>
      <c r="W990" s="207"/>
      <c r="X990" s="207"/>
      <c r="Y990" s="207"/>
      <c r="Z990" s="207"/>
      <c r="AA990" s="207"/>
      <c r="AB990" s="207"/>
      <c r="AC990" s="207"/>
      <c r="AD990" s="207"/>
      <c r="AE990" s="207"/>
      <c r="AF990" s="207"/>
      <c r="AG990" s="207"/>
      <c r="AH990" s="207"/>
      <c r="AI990" s="207"/>
      <c r="AJ990" s="207"/>
      <c r="AK990" s="207"/>
      <c r="AL990" s="207"/>
    </row>
    <row r="991">
      <c r="A991" s="207"/>
      <c r="B991" s="233"/>
      <c r="C991" s="207"/>
      <c r="D991" s="234"/>
      <c r="E991" s="207"/>
      <c r="F991" s="207"/>
      <c r="G991" s="207"/>
      <c r="H991" s="207"/>
      <c r="I991" s="207"/>
      <c r="J991" s="207"/>
      <c r="K991" s="207"/>
      <c r="L991" s="207"/>
      <c r="M991" s="207"/>
      <c r="N991" s="207"/>
      <c r="O991" s="207"/>
      <c r="P991" s="207"/>
      <c r="Q991" s="207"/>
      <c r="R991" s="207"/>
      <c r="S991" s="207"/>
      <c r="T991" s="207"/>
      <c r="U991" s="207"/>
      <c r="V991" s="207"/>
      <c r="W991" s="207"/>
      <c r="X991" s="207"/>
      <c r="Y991" s="207"/>
      <c r="Z991" s="207"/>
      <c r="AA991" s="207"/>
      <c r="AB991" s="207"/>
      <c r="AC991" s="207"/>
      <c r="AD991" s="207"/>
      <c r="AE991" s="207"/>
      <c r="AF991" s="207"/>
      <c r="AG991" s="207"/>
      <c r="AH991" s="207"/>
      <c r="AI991" s="207"/>
      <c r="AJ991" s="207"/>
      <c r="AK991" s="207"/>
      <c r="AL991" s="207"/>
    </row>
    <row r="992">
      <c r="A992" s="207"/>
      <c r="B992" s="233"/>
      <c r="C992" s="207"/>
      <c r="D992" s="234"/>
      <c r="E992" s="207"/>
      <c r="F992" s="207"/>
      <c r="G992" s="207"/>
      <c r="H992" s="207"/>
      <c r="I992" s="207"/>
      <c r="J992" s="207"/>
      <c r="K992" s="207"/>
      <c r="L992" s="207"/>
      <c r="M992" s="207"/>
      <c r="N992" s="207"/>
      <c r="O992" s="207"/>
      <c r="P992" s="207"/>
      <c r="Q992" s="207"/>
      <c r="R992" s="207"/>
      <c r="S992" s="207"/>
      <c r="T992" s="207"/>
      <c r="U992" s="207"/>
      <c r="V992" s="207"/>
      <c r="W992" s="207"/>
      <c r="X992" s="207"/>
      <c r="Y992" s="207"/>
      <c r="Z992" s="207"/>
      <c r="AA992" s="207"/>
      <c r="AB992" s="207"/>
      <c r="AC992" s="207"/>
      <c r="AD992" s="207"/>
      <c r="AE992" s="207"/>
      <c r="AF992" s="207"/>
      <c r="AG992" s="207"/>
      <c r="AH992" s="207"/>
      <c r="AI992" s="207"/>
      <c r="AJ992" s="207"/>
      <c r="AK992" s="207"/>
      <c r="AL992" s="207"/>
    </row>
    <row r="993">
      <c r="A993" s="207"/>
      <c r="B993" s="233"/>
      <c r="C993" s="207"/>
      <c r="D993" s="234"/>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c r="AG993" s="207"/>
      <c r="AH993" s="207"/>
      <c r="AI993" s="207"/>
      <c r="AJ993" s="207"/>
      <c r="AK993" s="207"/>
      <c r="AL993" s="207"/>
    </row>
    <row r="994">
      <c r="A994" s="207"/>
      <c r="B994" s="233"/>
      <c r="C994" s="207"/>
      <c r="D994" s="234"/>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c r="AG994" s="207"/>
      <c r="AH994" s="207"/>
      <c r="AI994" s="207"/>
      <c r="AJ994" s="207"/>
      <c r="AK994" s="207"/>
      <c r="AL994" s="207"/>
    </row>
    <row r="995">
      <c r="A995" s="207"/>
      <c r="B995" s="233"/>
      <c r="C995" s="207"/>
      <c r="D995" s="234"/>
      <c r="E995" s="207"/>
      <c r="F995" s="207"/>
      <c r="G995" s="207"/>
      <c r="H995" s="207"/>
      <c r="I995" s="207"/>
      <c r="J995" s="207"/>
      <c r="K995" s="207"/>
      <c r="L995" s="207"/>
      <c r="M995" s="207"/>
      <c r="N995" s="207"/>
      <c r="O995" s="207"/>
      <c r="P995" s="207"/>
      <c r="Q995" s="207"/>
      <c r="R995" s="207"/>
      <c r="S995" s="207"/>
      <c r="T995" s="207"/>
      <c r="U995" s="207"/>
      <c r="V995" s="207"/>
      <c r="W995" s="207"/>
      <c r="X995" s="207"/>
      <c r="Y995" s="207"/>
      <c r="Z995" s="207"/>
      <c r="AA995" s="207"/>
      <c r="AB995" s="207"/>
      <c r="AC995" s="207"/>
      <c r="AD995" s="207"/>
      <c r="AE995" s="207"/>
      <c r="AF995" s="207"/>
      <c r="AG995" s="207"/>
      <c r="AH995" s="207"/>
      <c r="AI995" s="207"/>
      <c r="AJ995" s="207"/>
      <c r="AK995" s="207"/>
      <c r="AL995" s="207"/>
    </row>
    <row r="996">
      <c r="A996" s="207"/>
      <c r="B996" s="233"/>
      <c r="C996" s="207"/>
      <c r="D996" s="234"/>
      <c r="E996" s="207"/>
      <c r="F996" s="207"/>
      <c r="G996" s="207"/>
      <c r="H996" s="207"/>
      <c r="I996" s="207"/>
      <c r="J996" s="207"/>
      <c r="K996" s="207"/>
      <c r="L996" s="207"/>
      <c r="M996" s="207"/>
      <c r="N996" s="207"/>
      <c r="O996" s="207"/>
      <c r="P996" s="207"/>
      <c r="Q996" s="207"/>
      <c r="R996" s="207"/>
      <c r="S996" s="207"/>
      <c r="T996" s="207"/>
      <c r="U996" s="207"/>
      <c r="V996" s="207"/>
      <c r="W996" s="207"/>
      <c r="X996" s="207"/>
      <c r="Y996" s="207"/>
      <c r="Z996" s="207"/>
      <c r="AA996" s="207"/>
      <c r="AB996" s="207"/>
      <c r="AC996" s="207"/>
      <c r="AD996" s="207"/>
      <c r="AE996" s="207"/>
      <c r="AF996" s="207"/>
      <c r="AG996" s="207"/>
      <c r="AH996" s="207"/>
      <c r="AI996" s="207"/>
      <c r="AJ996" s="207"/>
      <c r="AK996" s="207"/>
      <c r="AL996" s="207"/>
    </row>
    <row r="997">
      <c r="A997" s="207"/>
      <c r="B997" s="233"/>
      <c r="C997" s="207"/>
      <c r="D997" s="234"/>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c r="AG997" s="207"/>
      <c r="AH997" s="207"/>
      <c r="AI997" s="207"/>
      <c r="AJ997" s="207"/>
      <c r="AK997" s="207"/>
      <c r="AL997" s="207"/>
    </row>
    <row r="998">
      <c r="A998" s="207"/>
      <c r="B998" s="233"/>
      <c r="C998" s="207"/>
      <c r="D998" s="234"/>
      <c r="E998" s="207"/>
      <c r="F998" s="207"/>
      <c r="G998" s="207"/>
      <c r="H998" s="207"/>
      <c r="I998" s="207"/>
      <c r="J998" s="207"/>
      <c r="K998" s="207"/>
      <c r="L998" s="207"/>
      <c r="M998" s="207"/>
      <c r="N998" s="207"/>
      <c r="O998" s="207"/>
      <c r="P998" s="207"/>
      <c r="Q998" s="207"/>
      <c r="R998" s="207"/>
      <c r="S998" s="207"/>
      <c r="T998" s="207"/>
      <c r="U998" s="207"/>
      <c r="V998" s="207"/>
      <c r="W998" s="207"/>
      <c r="X998" s="207"/>
      <c r="Y998" s="207"/>
      <c r="Z998" s="207"/>
      <c r="AA998" s="207"/>
      <c r="AB998" s="207"/>
      <c r="AC998" s="207"/>
      <c r="AD998" s="207"/>
      <c r="AE998" s="207"/>
      <c r="AF998" s="207"/>
      <c r="AG998" s="207"/>
      <c r="AH998" s="207"/>
      <c r="AI998" s="207"/>
      <c r="AJ998" s="207"/>
      <c r="AK998" s="207"/>
      <c r="AL998" s="207"/>
    </row>
    <row r="999">
      <c r="A999" s="207"/>
      <c r="B999" s="233"/>
      <c r="C999" s="207"/>
      <c r="D999" s="234"/>
      <c r="E999" s="207"/>
      <c r="F999" s="207"/>
      <c r="G999" s="207"/>
      <c r="H999" s="207"/>
      <c r="I999" s="207"/>
      <c r="J999" s="207"/>
      <c r="K999" s="207"/>
      <c r="L999" s="207"/>
      <c r="M999" s="207"/>
      <c r="N999" s="207"/>
      <c r="O999" s="207"/>
      <c r="P999" s="207"/>
      <c r="Q999" s="207"/>
      <c r="R999" s="207"/>
      <c r="S999" s="207"/>
      <c r="T999" s="207"/>
      <c r="U999" s="207"/>
      <c r="V999" s="207"/>
      <c r="W999" s="207"/>
      <c r="X999" s="207"/>
      <c r="Y999" s="207"/>
      <c r="Z999" s="207"/>
      <c r="AA999" s="207"/>
      <c r="AB999" s="207"/>
      <c r="AC999" s="207"/>
      <c r="AD999" s="207"/>
      <c r="AE999" s="207"/>
      <c r="AF999" s="207"/>
      <c r="AG999" s="207"/>
      <c r="AH999" s="207"/>
      <c r="AI999" s="207"/>
      <c r="AJ999" s="207"/>
      <c r="AK999" s="207"/>
      <c r="AL999" s="207"/>
    </row>
    <row r="1000">
      <c r="A1000" s="207"/>
      <c r="B1000" s="233"/>
      <c r="C1000" s="207"/>
      <c r="D1000" s="234"/>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c r="AG1000" s="207"/>
      <c r="AH1000" s="207"/>
      <c r="AI1000" s="207"/>
      <c r="AJ1000" s="207"/>
      <c r="AK1000" s="207"/>
      <c r="AL1000" s="207"/>
    </row>
    <row r="1001">
      <c r="A1001" s="207"/>
      <c r="B1001" s="233"/>
      <c r="C1001" s="207"/>
      <c r="D1001" s="234"/>
      <c r="E1001" s="207"/>
      <c r="F1001" s="207"/>
      <c r="G1001" s="207"/>
      <c r="H1001" s="207"/>
      <c r="I1001" s="207"/>
      <c r="J1001" s="207"/>
      <c r="K1001" s="207"/>
      <c r="L1001" s="207"/>
      <c r="M1001" s="207"/>
      <c r="N1001" s="207"/>
      <c r="O1001" s="207"/>
      <c r="P1001" s="207"/>
      <c r="Q1001" s="207"/>
      <c r="R1001" s="207"/>
      <c r="S1001" s="207"/>
      <c r="T1001" s="207"/>
      <c r="U1001" s="207"/>
      <c r="V1001" s="207"/>
      <c r="W1001" s="207"/>
      <c r="X1001" s="207"/>
      <c r="Y1001" s="207"/>
      <c r="Z1001" s="207"/>
      <c r="AA1001" s="207"/>
      <c r="AB1001" s="207"/>
      <c r="AC1001" s="207"/>
      <c r="AD1001" s="207"/>
      <c r="AE1001" s="207"/>
      <c r="AF1001" s="207"/>
      <c r="AG1001" s="207"/>
      <c r="AH1001" s="207"/>
      <c r="AI1001" s="207"/>
      <c r="AJ1001" s="207"/>
      <c r="AK1001" s="207"/>
      <c r="AL1001" s="207"/>
    </row>
    <row r="1002">
      <c r="A1002" s="207"/>
      <c r="B1002" s="233"/>
      <c r="C1002" s="207"/>
      <c r="D1002" s="234"/>
      <c r="E1002" s="207"/>
      <c r="F1002" s="207"/>
      <c r="G1002" s="207"/>
      <c r="H1002" s="207"/>
      <c r="I1002" s="207"/>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c r="AG1002" s="207"/>
      <c r="AH1002" s="207"/>
      <c r="AI1002" s="207"/>
      <c r="AJ1002" s="207"/>
      <c r="AK1002" s="207"/>
      <c r="AL1002" s="207"/>
    </row>
    <row r="1003">
      <c r="A1003" s="207"/>
      <c r="B1003" s="233"/>
      <c r="C1003" s="207"/>
      <c r="D1003" s="234"/>
      <c r="E1003" s="207"/>
      <c r="F1003" s="207"/>
      <c r="G1003" s="207"/>
      <c r="H1003" s="207"/>
      <c r="I1003" s="207"/>
      <c r="J1003" s="207"/>
      <c r="K1003" s="207"/>
      <c r="L1003" s="207"/>
      <c r="M1003" s="207"/>
      <c r="N1003" s="207"/>
      <c r="O1003" s="207"/>
      <c r="P1003" s="207"/>
      <c r="Q1003" s="207"/>
      <c r="R1003" s="207"/>
      <c r="S1003" s="207"/>
      <c r="T1003" s="207"/>
      <c r="U1003" s="207"/>
      <c r="V1003" s="207"/>
      <c r="W1003" s="207"/>
      <c r="X1003" s="207"/>
      <c r="Y1003" s="207"/>
      <c r="Z1003" s="207"/>
      <c r="AA1003" s="207"/>
      <c r="AB1003" s="207"/>
      <c r="AC1003" s="207"/>
      <c r="AD1003" s="207"/>
      <c r="AE1003" s="207"/>
      <c r="AF1003" s="207"/>
      <c r="AG1003" s="207"/>
      <c r="AH1003" s="207"/>
      <c r="AI1003" s="207"/>
      <c r="AJ1003" s="207"/>
      <c r="AK1003" s="207"/>
      <c r="AL1003" s="207"/>
    </row>
    <row r="1004">
      <c r="A1004" s="207"/>
      <c r="B1004" s="233"/>
      <c r="C1004" s="207"/>
      <c r="D1004" s="234"/>
      <c r="E1004" s="207"/>
      <c r="F1004" s="207"/>
      <c r="G1004" s="207"/>
      <c r="H1004" s="207"/>
      <c r="I1004" s="207"/>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c r="AG1004" s="207"/>
      <c r="AH1004" s="207"/>
      <c r="AI1004" s="207"/>
      <c r="AJ1004" s="207"/>
      <c r="AK1004" s="207"/>
      <c r="AL1004" s="207"/>
    </row>
    <row r="1005">
      <c r="A1005" s="207"/>
      <c r="B1005" s="233"/>
      <c r="C1005" s="207"/>
      <c r="D1005" s="234"/>
      <c r="E1005" s="207"/>
      <c r="F1005" s="207"/>
      <c r="G1005" s="207"/>
      <c r="H1005" s="207"/>
      <c r="I1005" s="207"/>
      <c r="J1005" s="207"/>
      <c r="K1005" s="207"/>
      <c r="L1005" s="207"/>
      <c r="M1005" s="207"/>
      <c r="N1005" s="207"/>
      <c r="O1005" s="207"/>
      <c r="P1005" s="207"/>
      <c r="Q1005" s="207"/>
      <c r="R1005" s="207"/>
      <c r="S1005" s="207"/>
      <c r="T1005" s="207"/>
      <c r="U1005" s="207"/>
      <c r="V1005" s="207"/>
      <c r="W1005" s="207"/>
      <c r="X1005" s="207"/>
      <c r="Y1005" s="207"/>
      <c r="Z1005" s="207"/>
      <c r="AA1005" s="207"/>
      <c r="AB1005" s="207"/>
      <c r="AC1005" s="207"/>
      <c r="AD1005" s="207"/>
      <c r="AE1005" s="207"/>
      <c r="AF1005" s="207"/>
      <c r="AG1005" s="207"/>
      <c r="AH1005" s="207"/>
      <c r="AI1005" s="207"/>
      <c r="AJ1005" s="207"/>
      <c r="AK1005" s="207"/>
      <c r="AL1005" s="207"/>
    </row>
    <row r="1006">
      <c r="A1006" s="207"/>
      <c r="B1006" s="233"/>
      <c r="C1006" s="207"/>
      <c r="D1006" s="234"/>
      <c r="E1006" s="207"/>
      <c r="F1006" s="207"/>
      <c r="G1006" s="207"/>
      <c r="H1006" s="207"/>
      <c r="I1006" s="207"/>
      <c r="J1006" s="207"/>
      <c r="K1006" s="207"/>
      <c r="L1006" s="207"/>
      <c r="M1006" s="207"/>
      <c r="N1006" s="207"/>
      <c r="O1006" s="207"/>
      <c r="P1006" s="207"/>
      <c r="Q1006" s="207"/>
      <c r="R1006" s="207"/>
      <c r="S1006" s="207"/>
      <c r="T1006" s="207"/>
      <c r="U1006" s="207"/>
      <c r="V1006" s="207"/>
      <c r="W1006" s="207"/>
      <c r="X1006" s="207"/>
      <c r="Y1006" s="207"/>
      <c r="Z1006" s="207"/>
      <c r="AA1006" s="207"/>
      <c r="AB1006" s="207"/>
      <c r="AC1006" s="207"/>
      <c r="AD1006" s="207"/>
      <c r="AE1006" s="207"/>
      <c r="AF1006" s="207"/>
      <c r="AG1006" s="207"/>
      <c r="AH1006" s="207"/>
      <c r="AI1006" s="207"/>
      <c r="AJ1006" s="207"/>
      <c r="AK1006" s="207"/>
      <c r="AL1006" s="207"/>
    </row>
    <row r="1007">
      <c r="A1007" s="207"/>
      <c r="B1007" s="233"/>
      <c r="C1007" s="207"/>
      <c r="D1007" s="234"/>
      <c r="E1007" s="207"/>
      <c r="F1007" s="207"/>
      <c r="G1007" s="207"/>
      <c r="H1007" s="207"/>
      <c r="I1007" s="207"/>
      <c r="J1007" s="207"/>
      <c r="K1007" s="207"/>
      <c r="L1007" s="207"/>
      <c r="M1007" s="207"/>
      <c r="N1007" s="207"/>
      <c r="O1007" s="207"/>
      <c r="P1007" s="207"/>
      <c r="Q1007" s="207"/>
      <c r="R1007" s="207"/>
      <c r="S1007" s="207"/>
      <c r="T1007" s="207"/>
      <c r="U1007" s="207"/>
      <c r="V1007" s="207"/>
      <c r="W1007" s="207"/>
      <c r="X1007" s="207"/>
      <c r="Y1007" s="207"/>
      <c r="Z1007" s="207"/>
      <c r="AA1007" s="207"/>
      <c r="AB1007" s="207"/>
      <c r="AC1007" s="207"/>
      <c r="AD1007" s="207"/>
      <c r="AE1007" s="207"/>
      <c r="AF1007" s="207"/>
      <c r="AG1007" s="207"/>
      <c r="AH1007" s="207"/>
      <c r="AI1007" s="207"/>
      <c r="AJ1007" s="207"/>
      <c r="AK1007" s="207"/>
      <c r="AL1007" s="207"/>
    </row>
    <row r="1008">
      <c r="A1008" s="207"/>
      <c r="B1008" s="233"/>
      <c r="C1008" s="207"/>
      <c r="D1008" s="234"/>
      <c r="E1008" s="207"/>
      <c r="F1008" s="207"/>
      <c r="G1008" s="207"/>
      <c r="H1008" s="207"/>
      <c r="I1008" s="207"/>
      <c r="J1008" s="207"/>
      <c r="K1008" s="207"/>
      <c r="L1008" s="207"/>
      <c r="M1008" s="207"/>
      <c r="N1008" s="207"/>
      <c r="O1008" s="207"/>
      <c r="P1008" s="207"/>
      <c r="Q1008" s="207"/>
      <c r="R1008" s="207"/>
      <c r="S1008" s="207"/>
      <c r="T1008" s="207"/>
      <c r="U1008" s="207"/>
      <c r="V1008" s="207"/>
      <c r="W1008" s="207"/>
      <c r="X1008" s="207"/>
      <c r="Y1008" s="207"/>
      <c r="Z1008" s="207"/>
      <c r="AA1008" s="207"/>
      <c r="AB1008" s="207"/>
      <c r="AC1008" s="207"/>
      <c r="AD1008" s="207"/>
      <c r="AE1008" s="207"/>
      <c r="AF1008" s="207"/>
      <c r="AG1008" s="207"/>
      <c r="AH1008" s="207"/>
      <c r="AI1008" s="207"/>
      <c r="AJ1008" s="207"/>
      <c r="AK1008" s="207"/>
      <c r="AL1008" s="207"/>
    </row>
    <row r="1009">
      <c r="A1009" s="207"/>
      <c r="B1009" s="233"/>
      <c r="C1009" s="207"/>
      <c r="D1009" s="234"/>
      <c r="E1009" s="207"/>
      <c r="F1009" s="207"/>
      <c r="G1009" s="207"/>
      <c r="H1009" s="207"/>
      <c r="I1009" s="207"/>
      <c r="J1009" s="207"/>
      <c r="K1009" s="207"/>
      <c r="L1009" s="207"/>
      <c r="M1009" s="207"/>
      <c r="N1009" s="207"/>
      <c r="O1009" s="207"/>
      <c r="P1009" s="207"/>
      <c r="Q1009" s="207"/>
      <c r="R1009" s="207"/>
      <c r="S1009" s="207"/>
      <c r="T1009" s="207"/>
      <c r="U1009" s="207"/>
      <c r="V1009" s="207"/>
      <c r="W1009" s="207"/>
      <c r="X1009" s="207"/>
      <c r="Y1009" s="207"/>
      <c r="Z1009" s="207"/>
      <c r="AA1009" s="207"/>
      <c r="AB1009" s="207"/>
      <c r="AC1009" s="207"/>
      <c r="AD1009" s="207"/>
      <c r="AE1009" s="207"/>
      <c r="AF1009" s="207"/>
      <c r="AG1009" s="207"/>
      <c r="AH1009" s="207"/>
      <c r="AI1009" s="207"/>
      <c r="AJ1009" s="207"/>
      <c r="AK1009" s="207"/>
      <c r="AL1009" s="207"/>
    </row>
    <row r="1010">
      <c r="A1010" s="207"/>
      <c r="B1010" s="233"/>
      <c r="C1010" s="207"/>
      <c r="D1010" s="234"/>
      <c r="E1010" s="207"/>
      <c r="F1010" s="207"/>
      <c r="G1010" s="207"/>
      <c r="H1010" s="207"/>
      <c r="I1010" s="207"/>
      <c r="J1010" s="207"/>
      <c r="K1010" s="207"/>
      <c r="L1010" s="207"/>
      <c r="M1010" s="207"/>
      <c r="N1010" s="207"/>
      <c r="O1010" s="207"/>
      <c r="P1010" s="207"/>
      <c r="Q1010" s="207"/>
      <c r="R1010" s="207"/>
      <c r="S1010" s="207"/>
      <c r="T1010" s="207"/>
      <c r="U1010" s="207"/>
      <c r="V1010" s="207"/>
      <c r="W1010" s="207"/>
      <c r="X1010" s="207"/>
      <c r="Y1010" s="207"/>
      <c r="Z1010" s="207"/>
      <c r="AA1010" s="207"/>
      <c r="AB1010" s="207"/>
      <c r="AC1010" s="207"/>
      <c r="AD1010" s="207"/>
      <c r="AE1010" s="207"/>
      <c r="AF1010" s="207"/>
      <c r="AG1010" s="207"/>
      <c r="AH1010" s="207"/>
      <c r="AI1010" s="207"/>
      <c r="AJ1010" s="207"/>
      <c r="AK1010" s="207"/>
      <c r="AL1010" s="207"/>
    </row>
    <row r="1011">
      <c r="A1011" s="207"/>
      <c r="B1011" s="233"/>
      <c r="C1011" s="207"/>
      <c r="D1011" s="234"/>
      <c r="E1011" s="207"/>
      <c r="F1011" s="207"/>
      <c r="G1011" s="207"/>
      <c r="H1011" s="207"/>
      <c r="I1011" s="207"/>
      <c r="J1011" s="207"/>
      <c r="K1011" s="207"/>
      <c r="L1011" s="207"/>
      <c r="M1011" s="207"/>
      <c r="N1011" s="207"/>
      <c r="O1011" s="207"/>
      <c r="P1011" s="207"/>
      <c r="Q1011" s="207"/>
      <c r="R1011" s="207"/>
      <c r="S1011" s="207"/>
      <c r="T1011" s="207"/>
      <c r="U1011" s="207"/>
      <c r="V1011" s="207"/>
      <c r="W1011" s="207"/>
      <c r="X1011" s="207"/>
      <c r="Y1011" s="207"/>
      <c r="Z1011" s="207"/>
      <c r="AA1011" s="207"/>
      <c r="AB1011" s="207"/>
      <c r="AC1011" s="207"/>
      <c r="AD1011" s="207"/>
      <c r="AE1011" s="207"/>
      <c r="AF1011" s="207"/>
      <c r="AG1011" s="207"/>
      <c r="AH1011" s="207"/>
      <c r="AI1011" s="207"/>
      <c r="AJ1011" s="207"/>
      <c r="AK1011" s="207"/>
      <c r="AL1011" s="207"/>
    </row>
    <row r="1012">
      <c r="A1012" s="207"/>
      <c r="B1012" s="233"/>
      <c r="C1012" s="207"/>
      <c r="D1012" s="234"/>
      <c r="E1012" s="207"/>
      <c r="F1012" s="207"/>
      <c r="G1012" s="207"/>
      <c r="H1012" s="207"/>
      <c r="I1012" s="207"/>
      <c r="J1012" s="207"/>
      <c r="K1012" s="207"/>
      <c r="L1012" s="207"/>
      <c r="M1012" s="207"/>
      <c r="N1012" s="207"/>
      <c r="O1012" s="207"/>
      <c r="P1012" s="207"/>
      <c r="Q1012" s="207"/>
      <c r="R1012" s="207"/>
      <c r="S1012" s="207"/>
      <c r="T1012" s="207"/>
      <c r="U1012" s="207"/>
      <c r="V1012" s="207"/>
      <c r="W1012" s="207"/>
      <c r="X1012" s="207"/>
      <c r="Y1012" s="207"/>
      <c r="Z1012" s="207"/>
      <c r="AA1012" s="207"/>
      <c r="AB1012" s="207"/>
      <c r="AC1012" s="207"/>
      <c r="AD1012" s="207"/>
      <c r="AE1012" s="207"/>
      <c r="AF1012" s="207"/>
      <c r="AG1012" s="207"/>
      <c r="AH1012" s="207"/>
      <c r="AI1012" s="207"/>
      <c r="AJ1012" s="207"/>
      <c r="AK1012" s="207"/>
      <c r="AL1012" s="207"/>
    </row>
    <row r="1013">
      <c r="A1013" s="207"/>
      <c r="B1013" s="233"/>
      <c r="C1013" s="207"/>
      <c r="D1013" s="234"/>
      <c r="E1013" s="207"/>
      <c r="F1013" s="207"/>
      <c r="G1013" s="207"/>
      <c r="H1013" s="207"/>
      <c r="I1013" s="207"/>
      <c r="J1013" s="207"/>
      <c r="K1013" s="207"/>
      <c r="L1013" s="207"/>
      <c r="M1013" s="207"/>
      <c r="N1013" s="207"/>
      <c r="O1013" s="207"/>
      <c r="P1013" s="207"/>
      <c r="Q1013" s="207"/>
      <c r="R1013" s="207"/>
      <c r="S1013" s="207"/>
      <c r="T1013" s="207"/>
      <c r="U1013" s="207"/>
      <c r="V1013" s="207"/>
      <c r="W1013" s="207"/>
      <c r="X1013" s="207"/>
      <c r="Y1013" s="207"/>
      <c r="Z1013" s="207"/>
      <c r="AA1013" s="207"/>
      <c r="AB1013" s="207"/>
      <c r="AC1013" s="207"/>
      <c r="AD1013" s="207"/>
      <c r="AE1013" s="207"/>
      <c r="AF1013" s="207"/>
      <c r="AG1013" s="207"/>
      <c r="AH1013" s="207"/>
      <c r="AI1013" s="207"/>
      <c r="AJ1013" s="207"/>
      <c r="AK1013" s="207"/>
      <c r="AL1013" s="207"/>
    </row>
    <row r="1014">
      <c r="A1014" s="207"/>
      <c r="B1014" s="233"/>
      <c r="C1014" s="207"/>
      <c r="D1014" s="234"/>
      <c r="E1014" s="207"/>
      <c r="F1014" s="207"/>
      <c r="G1014" s="207"/>
      <c r="H1014" s="207"/>
      <c r="I1014" s="207"/>
      <c r="J1014" s="207"/>
      <c r="K1014" s="207"/>
      <c r="L1014" s="207"/>
      <c r="M1014" s="207"/>
      <c r="N1014" s="207"/>
      <c r="O1014" s="207"/>
      <c r="P1014" s="207"/>
      <c r="Q1014" s="207"/>
      <c r="R1014" s="207"/>
      <c r="S1014" s="207"/>
      <c r="T1014" s="207"/>
      <c r="U1014" s="207"/>
      <c r="V1014" s="207"/>
      <c r="W1014" s="207"/>
      <c r="X1014" s="207"/>
      <c r="Y1014" s="207"/>
      <c r="Z1014" s="207"/>
      <c r="AA1014" s="207"/>
      <c r="AB1014" s="207"/>
      <c r="AC1014" s="207"/>
      <c r="AD1014" s="207"/>
      <c r="AE1014" s="207"/>
      <c r="AF1014" s="207"/>
      <c r="AG1014" s="207"/>
      <c r="AH1014" s="207"/>
      <c r="AI1014" s="207"/>
      <c r="AJ1014" s="207"/>
      <c r="AK1014" s="207"/>
      <c r="AL1014" s="207"/>
    </row>
    <row r="1015">
      <c r="A1015" s="207"/>
      <c r="B1015" s="233"/>
      <c r="C1015" s="207"/>
      <c r="D1015" s="234"/>
      <c r="E1015" s="207"/>
      <c r="F1015" s="207"/>
      <c r="G1015" s="207"/>
      <c r="H1015" s="207"/>
      <c r="I1015" s="207"/>
      <c r="J1015" s="207"/>
      <c r="K1015" s="207"/>
      <c r="L1015" s="207"/>
      <c r="M1015" s="207"/>
      <c r="N1015" s="207"/>
      <c r="O1015" s="207"/>
      <c r="P1015" s="207"/>
      <c r="Q1015" s="207"/>
      <c r="R1015" s="207"/>
      <c r="S1015" s="207"/>
      <c r="T1015" s="207"/>
      <c r="U1015" s="207"/>
      <c r="V1015" s="207"/>
      <c r="W1015" s="207"/>
      <c r="X1015" s="207"/>
      <c r="Y1015" s="207"/>
      <c r="Z1015" s="207"/>
      <c r="AA1015" s="207"/>
      <c r="AB1015" s="207"/>
      <c r="AC1015" s="207"/>
      <c r="AD1015" s="207"/>
      <c r="AE1015" s="207"/>
      <c r="AF1015" s="207"/>
      <c r="AG1015" s="207"/>
      <c r="AH1015" s="207"/>
      <c r="AI1015" s="207"/>
      <c r="AJ1015" s="207"/>
      <c r="AK1015" s="207"/>
      <c r="AL1015" s="207"/>
    </row>
    <row r="1016">
      <c r="A1016" s="207"/>
      <c r="B1016" s="233"/>
      <c r="C1016" s="207"/>
      <c r="D1016" s="234"/>
      <c r="E1016" s="207"/>
      <c r="F1016" s="207"/>
      <c r="G1016" s="207"/>
      <c r="H1016" s="207"/>
      <c r="I1016" s="207"/>
      <c r="J1016" s="207"/>
      <c r="K1016" s="207"/>
      <c r="L1016" s="207"/>
      <c r="M1016" s="207"/>
      <c r="N1016" s="207"/>
      <c r="O1016" s="207"/>
      <c r="P1016" s="207"/>
      <c r="Q1016" s="207"/>
      <c r="R1016" s="207"/>
      <c r="S1016" s="207"/>
      <c r="T1016" s="207"/>
      <c r="U1016" s="207"/>
      <c r="V1016" s="207"/>
      <c r="W1016" s="207"/>
      <c r="X1016" s="207"/>
      <c r="Y1016" s="207"/>
      <c r="Z1016" s="207"/>
      <c r="AA1016" s="207"/>
      <c r="AB1016" s="207"/>
      <c r="AC1016" s="207"/>
      <c r="AD1016" s="207"/>
      <c r="AE1016" s="207"/>
      <c r="AF1016" s="207"/>
      <c r="AG1016" s="207"/>
      <c r="AH1016" s="207"/>
      <c r="AI1016" s="207"/>
      <c r="AJ1016" s="207"/>
      <c r="AK1016" s="207"/>
      <c r="AL1016" s="207"/>
    </row>
    <row r="1017">
      <c r="A1017" s="207"/>
      <c r="B1017" s="233"/>
      <c r="C1017" s="207"/>
      <c r="D1017" s="234"/>
      <c r="E1017" s="207"/>
      <c r="F1017" s="207"/>
      <c r="G1017" s="207"/>
      <c r="H1017" s="207"/>
      <c r="I1017" s="207"/>
      <c r="J1017" s="207"/>
      <c r="K1017" s="207"/>
      <c r="L1017" s="207"/>
      <c r="M1017" s="207"/>
      <c r="N1017" s="207"/>
      <c r="O1017" s="207"/>
      <c r="P1017" s="207"/>
      <c r="Q1017" s="207"/>
      <c r="R1017" s="207"/>
      <c r="S1017" s="207"/>
      <c r="T1017" s="207"/>
      <c r="U1017" s="207"/>
      <c r="V1017" s="207"/>
      <c r="W1017" s="207"/>
      <c r="X1017" s="207"/>
      <c r="Y1017" s="207"/>
      <c r="Z1017" s="207"/>
      <c r="AA1017" s="207"/>
      <c r="AB1017" s="207"/>
      <c r="AC1017" s="207"/>
      <c r="AD1017" s="207"/>
      <c r="AE1017" s="207"/>
      <c r="AF1017" s="207"/>
      <c r="AG1017" s="207"/>
      <c r="AH1017" s="207"/>
      <c r="AI1017" s="207"/>
      <c r="AJ1017" s="207"/>
      <c r="AK1017" s="207"/>
      <c r="AL1017" s="207"/>
    </row>
    <row r="1018">
      <c r="A1018" s="207"/>
      <c r="B1018" s="233"/>
      <c r="C1018" s="207"/>
      <c r="D1018" s="234"/>
      <c r="E1018" s="207"/>
      <c r="F1018" s="207"/>
      <c r="G1018" s="207"/>
      <c r="H1018" s="207"/>
      <c r="I1018" s="207"/>
      <c r="J1018" s="207"/>
      <c r="K1018" s="207"/>
      <c r="L1018" s="207"/>
      <c r="M1018" s="207"/>
      <c r="N1018" s="207"/>
      <c r="O1018" s="207"/>
      <c r="P1018" s="207"/>
      <c r="Q1018" s="207"/>
      <c r="R1018" s="207"/>
      <c r="S1018" s="207"/>
      <c r="T1018" s="207"/>
      <c r="U1018" s="207"/>
      <c r="V1018" s="207"/>
      <c r="W1018" s="207"/>
      <c r="X1018" s="207"/>
      <c r="Y1018" s="207"/>
      <c r="Z1018" s="207"/>
      <c r="AA1018" s="207"/>
      <c r="AB1018" s="207"/>
      <c r="AC1018" s="207"/>
      <c r="AD1018" s="207"/>
      <c r="AE1018" s="207"/>
      <c r="AF1018" s="207"/>
      <c r="AG1018" s="207"/>
      <c r="AH1018" s="207"/>
      <c r="AI1018" s="207"/>
      <c r="AJ1018" s="207"/>
      <c r="AK1018" s="207"/>
      <c r="AL1018" s="207"/>
    </row>
    <row r="1019">
      <c r="A1019" s="207"/>
      <c r="B1019" s="233"/>
      <c r="C1019" s="207"/>
      <c r="D1019" s="234"/>
      <c r="E1019" s="207"/>
      <c r="F1019" s="207"/>
      <c r="G1019" s="207"/>
      <c r="H1019" s="207"/>
      <c r="I1019" s="207"/>
      <c r="J1019" s="207"/>
      <c r="K1019" s="207"/>
      <c r="L1019" s="207"/>
      <c r="M1019" s="207"/>
      <c r="N1019" s="207"/>
      <c r="O1019" s="207"/>
      <c r="P1019" s="207"/>
      <c r="Q1019" s="207"/>
      <c r="R1019" s="207"/>
      <c r="S1019" s="207"/>
      <c r="T1019" s="207"/>
      <c r="U1019" s="207"/>
      <c r="V1019" s="207"/>
      <c r="W1019" s="207"/>
      <c r="X1019" s="207"/>
      <c r="Y1019" s="207"/>
      <c r="Z1019" s="207"/>
      <c r="AA1019" s="207"/>
      <c r="AB1019" s="207"/>
      <c r="AC1019" s="207"/>
      <c r="AD1019" s="207"/>
      <c r="AE1019" s="207"/>
      <c r="AF1019" s="207"/>
      <c r="AG1019" s="207"/>
      <c r="AH1019" s="207"/>
      <c r="AI1019" s="207"/>
      <c r="AJ1019" s="207"/>
      <c r="AK1019" s="207"/>
      <c r="AL1019" s="207"/>
    </row>
    <row r="1020">
      <c r="A1020" s="207"/>
      <c r="B1020" s="233"/>
      <c r="C1020" s="207"/>
      <c r="D1020" s="234"/>
      <c r="E1020" s="207"/>
      <c r="F1020" s="207"/>
      <c r="G1020" s="207"/>
      <c r="H1020" s="207"/>
      <c r="I1020" s="207"/>
      <c r="J1020" s="207"/>
      <c r="K1020" s="207"/>
      <c r="L1020" s="207"/>
      <c r="M1020" s="207"/>
      <c r="N1020" s="207"/>
      <c r="O1020" s="207"/>
      <c r="P1020" s="207"/>
      <c r="Q1020" s="207"/>
      <c r="R1020" s="207"/>
      <c r="S1020" s="207"/>
      <c r="T1020" s="207"/>
      <c r="U1020" s="207"/>
      <c r="V1020" s="207"/>
      <c r="W1020" s="207"/>
      <c r="X1020" s="207"/>
      <c r="Y1020" s="207"/>
      <c r="Z1020" s="207"/>
      <c r="AA1020" s="207"/>
      <c r="AB1020" s="207"/>
      <c r="AC1020" s="207"/>
      <c r="AD1020" s="207"/>
      <c r="AE1020" s="207"/>
      <c r="AF1020" s="207"/>
      <c r="AG1020" s="207"/>
      <c r="AH1020" s="207"/>
      <c r="AI1020" s="207"/>
      <c r="AJ1020" s="207"/>
      <c r="AK1020" s="207"/>
      <c r="AL1020" s="207"/>
    </row>
    <row r="1021">
      <c r="A1021" s="207"/>
      <c r="B1021" s="233"/>
      <c r="C1021" s="207"/>
      <c r="D1021" s="234"/>
      <c r="E1021" s="207"/>
      <c r="F1021" s="207"/>
      <c r="G1021" s="207"/>
      <c r="H1021" s="207"/>
      <c r="I1021" s="207"/>
      <c r="J1021" s="207"/>
      <c r="K1021" s="207"/>
      <c r="L1021" s="207"/>
      <c r="M1021" s="207"/>
      <c r="N1021" s="207"/>
      <c r="O1021" s="207"/>
      <c r="P1021" s="207"/>
      <c r="Q1021" s="207"/>
      <c r="R1021" s="207"/>
      <c r="S1021" s="207"/>
      <c r="T1021" s="207"/>
      <c r="U1021" s="207"/>
      <c r="V1021" s="207"/>
      <c r="W1021" s="207"/>
      <c r="X1021" s="207"/>
      <c r="Y1021" s="207"/>
      <c r="Z1021" s="207"/>
      <c r="AA1021" s="207"/>
      <c r="AB1021" s="207"/>
      <c r="AC1021" s="207"/>
      <c r="AD1021" s="207"/>
      <c r="AE1021" s="207"/>
      <c r="AF1021" s="207"/>
      <c r="AG1021" s="207"/>
      <c r="AH1021" s="207"/>
      <c r="AI1021" s="207"/>
      <c r="AJ1021" s="207"/>
      <c r="AK1021" s="207"/>
      <c r="AL1021" s="207"/>
    </row>
    <row r="1022">
      <c r="A1022" s="207"/>
      <c r="B1022" s="233"/>
      <c r="C1022" s="207"/>
      <c r="D1022" s="234"/>
      <c r="E1022" s="207"/>
      <c r="F1022" s="207"/>
      <c r="G1022" s="207"/>
      <c r="H1022" s="207"/>
      <c r="I1022" s="207"/>
      <c r="J1022" s="207"/>
      <c r="K1022" s="207"/>
      <c r="L1022" s="207"/>
      <c r="M1022" s="207"/>
      <c r="N1022" s="207"/>
      <c r="O1022" s="207"/>
      <c r="P1022" s="207"/>
      <c r="Q1022" s="207"/>
      <c r="R1022" s="207"/>
      <c r="S1022" s="207"/>
      <c r="T1022" s="207"/>
      <c r="U1022" s="207"/>
      <c r="V1022" s="207"/>
      <c r="W1022" s="207"/>
      <c r="X1022" s="207"/>
      <c r="Y1022" s="207"/>
      <c r="Z1022" s="207"/>
      <c r="AA1022" s="207"/>
      <c r="AB1022" s="207"/>
      <c r="AC1022" s="207"/>
      <c r="AD1022" s="207"/>
      <c r="AE1022" s="207"/>
      <c r="AF1022" s="207"/>
      <c r="AG1022" s="207"/>
      <c r="AH1022" s="207"/>
      <c r="AI1022" s="207"/>
      <c r="AJ1022" s="207"/>
      <c r="AK1022" s="207"/>
      <c r="AL1022" s="207"/>
    </row>
    <row r="1023">
      <c r="A1023" s="207"/>
      <c r="B1023" s="233"/>
      <c r="C1023" s="207"/>
      <c r="D1023" s="234"/>
      <c r="E1023" s="207"/>
      <c r="F1023" s="207"/>
      <c r="G1023" s="207"/>
      <c r="H1023" s="207"/>
      <c r="I1023" s="207"/>
      <c r="J1023" s="207"/>
      <c r="K1023" s="207"/>
      <c r="L1023" s="207"/>
      <c r="M1023" s="207"/>
      <c r="N1023" s="207"/>
      <c r="O1023" s="207"/>
      <c r="P1023" s="207"/>
      <c r="Q1023" s="207"/>
      <c r="R1023" s="207"/>
      <c r="S1023" s="207"/>
      <c r="T1023" s="207"/>
      <c r="U1023" s="207"/>
      <c r="V1023" s="207"/>
      <c r="W1023" s="207"/>
      <c r="X1023" s="207"/>
      <c r="Y1023" s="207"/>
      <c r="Z1023" s="207"/>
      <c r="AA1023" s="207"/>
      <c r="AB1023" s="207"/>
      <c r="AC1023" s="207"/>
      <c r="AD1023" s="207"/>
      <c r="AE1023" s="207"/>
      <c r="AF1023" s="207"/>
      <c r="AG1023" s="207"/>
      <c r="AH1023" s="207"/>
      <c r="AI1023" s="207"/>
      <c r="AJ1023" s="207"/>
      <c r="AK1023" s="207"/>
      <c r="AL1023" s="207"/>
    </row>
    <row r="1024">
      <c r="A1024" s="207"/>
      <c r="B1024" s="233"/>
      <c r="C1024" s="207"/>
      <c r="D1024" s="234"/>
      <c r="E1024" s="207"/>
      <c r="F1024" s="207"/>
      <c r="G1024" s="207"/>
      <c r="H1024" s="207"/>
      <c r="I1024" s="207"/>
      <c r="J1024" s="207"/>
      <c r="K1024" s="207"/>
      <c r="L1024" s="207"/>
      <c r="M1024" s="207"/>
      <c r="N1024" s="207"/>
      <c r="O1024" s="207"/>
      <c r="P1024" s="207"/>
      <c r="Q1024" s="207"/>
      <c r="R1024" s="207"/>
      <c r="S1024" s="207"/>
      <c r="T1024" s="207"/>
      <c r="U1024" s="207"/>
      <c r="V1024" s="207"/>
      <c r="W1024" s="207"/>
      <c r="X1024" s="207"/>
      <c r="Y1024" s="207"/>
      <c r="Z1024" s="207"/>
      <c r="AA1024" s="207"/>
      <c r="AB1024" s="207"/>
      <c r="AC1024" s="207"/>
      <c r="AD1024" s="207"/>
      <c r="AE1024" s="207"/>
      <c r="AF1024" s="207"/>
      <c r="AG1024" s="207"/>
      <c r="AH1024" s="207"/>
      <c r="AI1024" s="207"/>
      <c r="AJ1024" s="207"/>
      <c r="AK1024" s="207"/>
      <c r="AL1024" s="207"/>
    </row>
    <row r="1025">
      <c r="A1025" s="207"/>
      <c r="B1025" s="233"/>
      <c r="C1025" s="207"/>
      <c r="D1025" s="234"/>
      <c r="E1025" s="207"/>
      <c r="F1025" s="207"/>
      <c r="G1025" s="207"/>
      <c r="H1025" s="207"/>
      <c r="I1025" s="207"/>
      <c r="J1025" s="207"/>
      <c r="K1025" s="207"/>
      <c r="L1025" s="207"/>
      <c r="M1025" s="207"/>
      <c r="N1025" s="207"/>
      <c r="O1025" s="207"/>
      <c r="P1025" s="207"/>
      <c r="Q1025" s="207"/>
      <c r="R1025" s="207"/>
      <c r="S1025" s="207"/>
      <c r="T1025" s="207"/>
      <c r="U1025" s="207"/>
      <c r="V1025" s="207"/>
      <c r="W1025" s="207"/>
      <c r="X1025" s="207"/>
      <c r="Y1025" s="207"/>
      <c r="Z1025" s="207"/>
      <c r="AA1025" s="207"/>
      <c r="AB1025" s="207"/>
      <c r="AC1025" s="207"/>
      <c r="AD1025" s="207"/>
      <c r="AE1025" s="207"/>
      <c r="AF1025" s="207"/>
      <c r="AG1025" s="207"/>
      <c r="AH1025" s="207"/>
      <c r="AI1025" s="207"/>
      <c r="AJ1025" s="207"/>
      <c r="AK1025" s="207"/>
      <c r="AL1025" s="207"/>
    </row>
    <row r="1026">
      <c r="A1026" s="207"/>
      <c r="B1026" s="233"/>
      <c r="C1026" s="207"/>
      <c r="D1026" s="234"/>
      <c r="E1026" s="207"/>
      <c r="F1026" s="207"/>
      <c r="G1026" s="207"/>
      <c r="H1026" s="207"/>
      <c r="I1026" s="207"/>
      <c r="J1026" s="207"/>
      <c r="K1026" s="207"/>
      <c r="L1026" s="207"/>
      <c r="M1026" s="207"/>
      <c r="N1026" s="207"/>
      <c r="O1026" s="207"/>
      <c r="P1026" s="207"/>
      <c r="Q1026" s="207"/>
      <c r="R1026" s="207"/>
      <c r="S1026" s="207"/>
      <c r="T1026" s="207"/>
      <c r="U1026" s="207"/>
      <c r="V1026" s="207"/>
      <c r="W1026" s="207"/>
      <c r="X1026" s="207"/>
      <c r="Y1026" s="207"/>
      <c r="Z1026" s="207"/>
      <c r="AA1026" s="207"/>
      <c r="AB1026" s="207"/>
      <c r="AC1026" s="207"/>
      <c r="AD1026" s="207"/>
      <c r="AE1026" s="207"/>
      <c r="AF1026" s="207"/>
      <c r="AG1026" s="207"/>
      <c r="AH1026" s="207"/>
      <c r="AI1026" s="207"/>
      <c r="AJ1026" s="207"/>
      <c r="AK1026" s="207"/>
      <c r="AL1026" s="207"/>
    </row>
    <row r="1027">
      <c r="A1027" s="207"/>
      <c r="B1027" s="233"/>
      <c r="C1027" s="207"/>
      <c r="D1027" s="234"/>
      <c r="E1027" s="207"/>
      <c r="F1027" s="207"/>
      <c r="G1027" s="207"/>
      <c r="H1027" s="207"/>
      <c r="I1027" s="207"/>
      <c r="J1027" s="207"/>
      <c r="K1027" s="207"/>
      <c r="L1027" s="207"/>
      <c r="M1027" s="207"/>
      <c r="N1027" s="207"/>
      <c r="O1027" s="207"/>
      <c r="P1027" s="207"/>
      <c r="Q1027" s="207"/>
      <c r="R1027" s="207"/>
      <c r="S1027" s="207"/>
      <c r="T1027" s="207"/>
      <c r="U1027" s="207"/>
      <c r="V1027" s="207"/>
      <c r="W1027" s="207"/>
      <c r="X1027" s="207"/>
      <c r="Y1027" s="207"/>
      <c r="Z1027" s="207"/>
      <c r="AA1027" s="207"/>
      <c r="AB1027" s="207"/>
      <c r="AC1027" s="207"/>
      <c r="AD1027" s="207"/>
      <c r="AE1027" s="207"/>
      <c r="AF1027" s="207"/>
      <c r="AG1027" s="207"/>
      <c r="AH1027" s="207"/>
      <c r="AI1027" s="207"/>
      <c r="AJ1027" s="207"/>
      <c r="AK1027" s="207"/>
      <c r="AL1027" s="207"/>
    </row>
    <row r="1028">
      <c r="A1028" s="207"/>
      <c r="B1028" s="233"/>
      <c r="C1028" s="207"/>
      <c r="D1028" s="234"/>
      <c r="E1028" s="207"/>
      <c r="F1028" s="207"/>
      <c r="G1028" s="207"/>
      <c r="H1028" s="207"/>
      <c r="I1028" s="207"/>
      <c r="J1028" s="207"/>
      <c r="K1028" s="207"/>
      <c r="L1028" s="207"/>
      <c r="M1028" s="207"/>
      <c r="N1028" s="207"/>
      <c r="O1028" s="207"/>
      <c r="P1028" s="207"/>
      <c r="Q1028" s="207"/>
      <c r="R1028" s="207"/>
      <c r="S1028" s="207"/>
      <c r="T1028" s="207"/>
      <c r="U1028" s="207"/>
      <c r="V1028" s="207"/>
      <c r="W1028" s="207"/>
      <c r="X1028" s="207"/>
      <c r="Y1028" s="207"/>
      <c r="Z1028" s="207"/>
      <c r="AA1028" s="207"/>
      <c r="AB1028" s="207"/>
      <c r="AC1028" s="207"/>
      <c r="AD1028" s="207"/>
      <c r="AE1028" s="207"/>
      <c r="AF1028" s="207"/>
      <c r="AG1028" s="207"/>
      <c r="AH1028" s="207"/>
      <c r="AI1028" s="207"/>
      <c r="AJ1028" s="207"/>
      <c r="AK1028" s="207"/>
      <c r="AL1028" s="207"/>
    </row>
    <row r="1029">
      <c r="A1029" s="207"/>
      <c r="B1029" s="233"/>
      <c r="C1029" s="207"/>
      <c r="D1029" s="234"/>
      <c r="E1029" s="207"/>
      <c r="F1029" s="207"/>
      <c r="G1029" s="207"/>
      <c r="H1029" s="207"/>
      <c r="I1029" s="207"/>
      <c r="J1029" s="207"/>
      <c r="K1029" s="207"/>
      <c r="L1029" s="207"/>
      <c r="M1029" s="207"/>
      <c r="N1029" s="207"/>
      <c r="O1029" s="207"/>
      <c r="P1029" s="207"/>
      <c r="Q1029" s="207"/>
      <c r="R1029" s="207"/>
      <c r="S1029" s="207"/>
      <c r="T1029" s="207"/>
      <c r="U1029" s="207"/>
      <c r="V1029" s="207"/>
      <c r="W1029" s="207"/>
      <c r="X1029" s="207"/>
      <c r="Y1029" s="207"/>
      <c r="Z1029" s="207"/>
      <c r="AA1029" s="207"/>
      <c r="AB1029" s="207"/>
      <c r="AC1029" s="207"/>
      <c r="AD1029" s="207"/>
      <c r="AE1029" s="207"/>
      <c r="AF1029" s="207"/>
      <c r="AG1029" s="207"/>
      <c r="AH1029" s="207"/>
      <c r="AI1029" s="207"/>
      <c r="AJ1029" s="207"/>
      <c r="AK1029" s="207"/>
      <c r="AL1029" s="207"/>
    </row>
    <row r="1030">
      <c r="A1030" s="207"/>
      <c r="B1030" s="233"/>
      <c r="C1030" s="207"/>
      <c r="D1030" s="234"/>
      <c r="E1030" s="207"/>
      <c r="F1030" s="207"/>
      <c r="G1030" s="207"/>
      <c r="H1030" s="207"/>
      <c r="I1030" s="207"/>
      <c r="J1030" s="207"/>
      <c r="K1030" s="207"/>
      <c r="L1030" s="207"/>
      <c r="M1030" s="207"/>
      <c r="N1030" s="207"/>
      <c r="O1030" s="207"/>
      <c r="P1030" s="207"/>
      <c r="Q1030" s="207"/>
      <c r="R1030" s="207"/>
      <c r="S1030" s="207"/>
      <c r="T1030" s="207"/>
      <c r="U1030" s="207"/>
      <c r="V1030" s="207"/>
      <c r="W1030" s="207"/>
      <c r="X1030" s="207"/>
      <c r="Y1030" s="207"/>
      <c r="Z1030" s="207"/>
      <c r="AA1030" s="207"/>
      <c r="AB1030" s="207"/>
      <c r="AC1030" s="207"/>
      <c r="AD1030" s="207"/>
      <c r="AE1030" s="207"/>
      <c r="AF1030" s="207"/>
      <c r="AG1030" s="207"/>
      <c r="AH1030" s="207"/>
      <c r="AI1030" s="207"/>
      <c r="AJ1030" s="207"/>
      <c r="AK1030" s="207"/>
      <c r="AL1030" s="207"/>
    </row>
    <row r="1031">
      <c r="A1031" s="207"/>
      <c r="B1031" s="233"/>
      <c r="C1031" s="207"/>
      <c r="D1031" s="234"/>
      <c r="E1031" s="207"/>
      <c r="F1031" s="207"/>
      <c r="G1031" s="207"/>
      <c r="H1031" s="207"/>
      <c r="I1031" s="207"/>
      <c r="J1031" s="207"/>
      <c r="K1031" s="207"/>
      <c r="L1031" s="207"/>
      <c r="M1031" s="207"/>
      <c r="N1031" s="207"/>
      <c r="O1031" s="207"/>
      <c r="P1031" s="207"/>
      <c r="Q1031" s="207"/>
      <c r="R1031" s="207"/>
      <c r="S1031" s="207"/>
      <c r="T1031" s="207"/>
      <c r="U1031" s="207"/>
      <c r="V1031" s="207"/>
      <c r="W1031" s="207"/>
      <c r="X1031" s="207"/>
      <c r="Y1031" s="207"/>
      <c r="Z1031" s="207"/>
      <c r="AA1031" s="207"/>
      <c r="AB1031" s="207"/>
      <c r="AC1031" s="207"/>
      <c r="AD1031" s="207"/>
      <c r="AE1031" s="207"/>
      <c r="AF1031" s="207"/>
      <c r="AG1031" s="207"/>
      <c r="AH1031" s="207"/>
      <c r="AI1031" s="207"/>
      <c r="AJ1031" s="207"/>
      <c r="AK1031" s="207"/>
      <c r="AL1031" s="207"/>
    </row>
    <row r="1032">
      <c r="A1032" s="207"/>
      <c r="B1032" s="233"/>
      <c r="C1032" s="207"/>
      <c r="D1032" s="234"/>
      <c r="E1032" s="207"/>
      <c r="F1032" s="207"/>
      <c r="G1032" s="207"/>
      <c r="H1032" s="207"/>
      <c r="I1032" s="207"/>
      <c r="J1032" s="207"/>
      <c r="K1032" s="207"/>
      <c r="L1032" s="207"/>
      <c r="M1032" s="207"/>
      <c r="N1032" s="207"/>
      <c r="O1032" s="207"/>
      <c r="P1032" s="207"/>
      <c r="Q1032" s="207"/>
      <c r="R1032" s="207"/>
      <c r="S1032" s="207"/>
      <c r="T1032" s="207"/>
      <c r="U1032" s="207"/>
      <c r="V1032" s="207"/>
      <c r="W1032" s="207"/>
      <c r="X1032" s="207"/>
      <c r="Y1032" s="207"/>
      <c r="Z1032" s="207"/>
      <c r="AA1032" s="207"/>
      <c r="AB1032" s="207"/>
      <c r="AC1032" s="207"/>
      <c r="AD1032" s="207"/>
      <c r="AE1032" s="207"/>
      <c r="AF1032" s="207"/>
      <c r="AG1032" s="207"/>
      <c r="AH1032" s="207"/>
      <c r="AI1032" s="207"/>
      <c r="AJ1032" s="207"/>
      <c r="AK1032" s="207"/>
      <c r="AL1032" s="207"/>
    </row>
    <row r="1033">
      <c r="A1033" s="207"/>
      <c r="B1033" s="233"/>
      <c r="C1033" s="207"/>
      <c r="D1033" s="234"/>
      <c r="E1033" s="207"/>
      <c r="F1033" s="207"/>
      <c r="G1033" s="207"/>
      <c r="H1033" s="207"/>
      <c r="I1033" s="207"/>
      <c r="J1033" s="207"/>
      <c r="K1033" s="207"/>
      <c r="L1033" s="207"/>
      <c r="M1033" s="207"/>
      <c r="N1033" s="207"/>
      <c r="O1033" s="207"/>
      <c r="P1033" s="207"/>
      <c r="Q1033" s="207"/>
      <c r="R1033" s="207"/>
      <c r="S1033" s="207"/>
      <c r="T1033" s="207"/>
      <c r="U1033" s="207"/>
      <c r="V1033" s="207"/>
      <c r="W1033" s="207"/>
      <c r="X1033" s="207"/>
      <c r="Y1033" s="207"/>
      <c r="Z1033" s="207"/>
      <c r="AA1033" s="207"/>
      <c r="AB1033" s="207"/>
      <c r="AC1033" s="207"/>
      <c r="AD1033" s="207"/>
      <c r="AE1033" s="207"/>
      <c r="AF1033" s="207"/>
      <c r="AG1033" s="207"/>
      <c r="AH1033" s="207"/>
      <c r="AI1033" s="207"/>
      <c r="AJ1033" s="207"/>
      <c r="AK1033" s="207"/>
      <c r="AL1033" s="207"/>
    </row>
    <row r="1034">
      <c r="A1034" s="207"/>
      <c r="B1034" s="233"/>
      <c r="C1034" s="207"/>
      <c r="D1034" s="234"/>
      <c r="E1034" s="207"/>
      <c r="F1034" s="207"/>
      <c r="G1034" s="207"/>
      <c r="H1034" s="207"/>
      <c r="I1034" s="207"/>
      <c r="J1034" s="207"/>
      <c r="K1034" s="207"/>
      <c r="L1034" s="207"/>
      <c r="M1034" s="207"/>
      <c r="N1034" s="207"/>
      <c r="O1034" s="207"/>
      <c r="P1034" s="207"/>
      <c r="Q1034" s="207"/>
      <c r="R1034" s="207"/>
      <c r="S1034" s="207"/>
      <c r="T1034" s="207"/>
      <c r="U1034" s="207"/>
      <c r="V1034" s="207"/>
      <c r="W1034" s="207"/>
      <c r="X1034" s="207"/>
      <c r="Y1034" s="207"/>
      <c r="Z1034" s="207"/>
      <c r="AA1034" s="207"/>
      <c r="AB1034" s="207"/>
      <c r="AC1034" s="207"/>
      <c r="AD1034" s="207"/>
      <c r="AE1034" s="207"/>
      <c r="AF1034" s="207"/>
      <c r="AG1034" s="207"/>
      <c r="AH1034" s="207"/>
      <c r="AI1034" s="207"/>
      <c r="AJ1034" s="207"/>
      <c r="AK1034" s="207"/>
      <c r="AL1034" s="207"/>
    </row>
    <row r="1035">
      <c r="A1035" s="207"/>
      <c r="B1035" s="233"/>
      <c r="C1035" s="207"/>
      <c r="D1035" s="234"/>
      <c r="E1035" s="207"/>
      <c r="F1035" s="207"/>
      <c r="G1035" s="207"/>
      <c r="H1035" s="207"/>
      <c r="I1035" s="207"/>
      <c r="J1035" s="207"/>
      <c r="K1035" s="207"/>
      <c r="L1035" s="207"/>
      <c r="M1035" s="207"/>
      <c r="N1035" s="207"/>
      <c r="O1035" s="207"/>
      <c r="P1035" s="207"/>
      <c r="Q1035" s="207"/>
      <c r="R1035" s="207"/>
      <c r="S1035" s="207"/>
      <c r="T1035" s="207"/>
      <c r="U1035" s="207"/>
      <c r="V1035" s="207"/>
      <c r="W1035" s="207"/>
      <c r="X1035" s="207"/>
      <c r="Y1035" s="207"/>
      <c r="Z1035" s="207"/>
      <c r="AA1035" s="207"/>
      <c r="AB1035" s="207"/>
      <c r="AC1035" s="207"/>
      <c r="AD1035" s="207"/>
      <c r="AE1035" s="207"/>
      <c r="AF1035" s="207"/>
      <c r="AG1035" s="207"/>
      <c r="AH1035" s="207"/>
      <c r="AI1035" s="207"/>
      <c r="AJ1035" s="207"/>
      <c r="AK1035" s="207"/>
      <c r="AL1035" s="207"/>
    </row>
  </sheetData>
  <mergeCells count="12">
    <mergeCell ref="B16:B18"/>
    <mergeCell ref="B19:B21"/>
    <mergeCell ref="B22:B24"/>
    <mergeCell ref="B25:B27"/>
    <mergeCell ref="B28:B30"/>
    <mergeCell ref="S1:V1"/>
    <mergeCell ref="B2:B3"/>
    <mergeCell ref="C2:C3"/>
    <mergeCell ref="B4:B6"/>
    <mergeCell ref="B7:B9"/>
    <mergeCell ref="B10:B12"/>
    <mergeCell ref="B13:B1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1.25"/>
    <col customWidth="1" min="5" max="5" width="39.63"/>
    <col customWidth="1" min="6" max="6" width="20.0"/>
    <col customWidth="1" min="7" max="7" width="5.63"/>
    <col customWidth="1" min="8" max="8" width="1.25"/>
    <col customWidth="1" min="12" max="12" width="39.63"/>
    <col customWidth="1" min="13" max="13" width="20.0"/>
    <col customWidth="1" min="14" max="14" width="5.63"/>
    <col customWidth="1" min="15" max="15" width="2.0"/>
    <col customWidth="1" min="17" max="17" width="15.25"/>
    <col customWidth="1" min="18" max="18" width="15.88"/>
    <col customWidth="1" min="19" max="19" width="39.63"/>
    <col customWidth="1" min="20" max="20" width="20.0"/>
    <col customWidth="1" min="21" max="21" width="5.63"/>
    <col customWidth="1" min="22" max="22" width="5.88"/>
    <col customWidth="1" min="26" max="26" width="39.63"/>
    <col customWidth="1" min="27" max="27" width="20.0"/>
    <col customWidth="1" min="28" max="28" width="5.63"/>
    <col customWidth="1" min="29" max="29" width="5.88"/>
    <col customWidth="1" min="33" max="33" width="39.63"/>
    <col customWidth="1" min="34" max="34" width="20.0"/>
    <col customWidth="1" min="35" max="36" width="5.63"/>
  </cols>
  <sheetData>
    <row r="1">
      <c r="A1" s="61"/>
      <c r="B1" s="60"/>
      <c r="C1" s="235"/>
      <c r="D1" s="235"/>
      <c r="E1" s="60"/>
      <c r="F1" s="60"/>
      <c r="G1" s="236"/>
      <c r="H1" s="60"/>
      <c r="I1" s="60"/>
      <c r="J1" s="235"/>
      <c r="K1" s="235"/>
      <c r="L1" s="60"/>
      <c r="M1" s="60"/>
      <c r="N1" s="236"/>
      <c r="O1" s="60"/>
      <c r="P1" s="60"/>
      <c r="Q1" s="235"/>
      <c r="R1" s="235"/>
      <c r="S1" s="60"/>
      <c r="T1" s="60"/>
      <c r="U1" s="236"/>
      <c r="V1" s="60"/>
      <c r="W1" s="60"/>
      <c r="X1" s="235"/>
      <c r="Y1" s="235"/>
      <c r="Z1" s="60"/>
      <c r="AA1" s="60"/>
      <c r="AB1" s="236"/>
      <c r="AC1" s="60"/>
      <c r="AD1" s="60"/>
      <c r="AE1" s="235"/>
      <c r="AF1" s="235"/>
      <c r="AG1" s="60"/>
      <c r="AH1" s="60"/>
      <c r="AI1" s="236"/>
      <c r="AJ1" s="236"/>
    </row>
    <row r="2">
      <c r="A2" s="237"/>
      <c r="B2" s="238" t="s">
        <v>12</v>
      </c>
      <c r="C2" s="239" t="s">
        <v>426</v>
      </c>
      <c r="D2" s="44"/>
      <c r="E2" s="240"/>
      <c r="F2" s="240"/>
      <c r="G2" s="241"/>
      <c r="H2" s="240"/>
      <c r="I2" s="238" t="s">
        <v>12</v>
      </c>
      <c r="J2" s="239" t="s">
        <v>426</v>
      </c>
      <c r="K2" s="44"/>
      <c r="L2" s="240"/>
      <c r="M2" s="240"/>
      <c r="N2" s="241"/>
      <c r="O2" s="240"/>
      <c r="P2" s="238" t="s">
        <v>12</v>
      </c>
      <c r="Q2" s="239" t="s">
        <v>426</v>
      </c>
      <c r="R2" s="44"/>
      <c r="S2" s="240"/>
      <c r="T2" s="240"/>
      <c r="U2" s="241"/>
      <c r="V2" s="240"/>
      <c r="W2" s="238" t="s">
        <v>12</v>
      </c>
      <c r="X2" s="239" t="s">
        <v>426</v>
      </c>
      <c r="Y2" s="44"/>
      <c r="Z2" s="240"/>
      <c r="AA2" s="240"/>
      <c r="AB2" s="241"/>
      <c r="AC2" s="240"/>
      <c r="AD2" s="238" t="s">
        <v>12</v>
      </c>
      <c r="AE2" s="239" t="s">
        <v>426</v>
      </c>
      <c r="AF2" s="44"/>
      <c r="AG2" s="240"/>
      <c r="AH2" s="240"/>
      <c r="AI2" s="241"/>
      <c r="AJ2" s="241"/>
    </row>
    <row r="3">
      <c r="A3" s="237"/>
      <c r="B3" s="242" t="s">
        <v>427</v>
      </c>
      <c r="C3" s="239" t="s">
        <v>428</v>
      </c>
      <c r="D3" s="44"/>
      <c r="E3" s="240"/>
      <c r="F3" s="240"/>
      <c r="G3" s="241"/>
      <c r="H3" s="240"/>
      <c r="I3" s="242" t="s">
        <v>427</v>
      </c>
      <c r="J3" s="239" t="s">
        <v>429</v>
      </c>
      <c r="K3" s="44"/>
      <c r="L3" s="240"/>
      <c r="M3" s="240"/>
      <c r="N3" s="241"/>
      <c r="O3" s="240"/>
      <c r="P3" s="242" t="s">
        <v>427</v>
      </c>
      <c r="Q3" s="239" t="s">
        <v>430</v>
      </c>
      <c r="R3" s="44"/>
      <c r="S3" s="240"/>
      <c r="T3" s="240"/>
      <c r="U3" s="241"/>
      <c r="V3" s="240"/>
      <c r="W3" s="242" t="s">
        <v>427</v>
      </c>
      <c r="X3" s="239" t="s">
        <v>431</v>
      </c>
      <c r="Y3" s="44"/>
      <c r="Z3" s="240"/>
      <c r="AA3" s="240"/>
      <c r="AB3" s="241"/>
      <c r="AC3" s="240"/>
      <c r="AD3" s="242" t="s">
        <v>427</v>
      </c>
      <c r="AE3" s="239" t="s">
        <v>21</v>
      </c>
      <c r="AF3" s="44"/>
      <c r="AG3" s="240"/>
      <c r="AH3" s="240"/>
      <c r="AI3" s="241"/>
      <c r="AJ3" s="241"/>
    </row>
    <row r="4">
      <c r="A4" s="61"/>
      <c r="B4" s="243" t="s">
        <v>390</v>
      </c>
      <c r="C4" s="184"/>
      <c r="D4" s="244" t="s">
        <v>432</v>
      </c>
      <c r="E4" s="244" t="s">
        <v>433</v>
      </c>
      <c r="F4" s="245" t="s">
        <v>434</v>
      </c>
      <c r="G4" s="245" t="s">
        <v>435</v>
      </c>
      <c r="H4" s="60"/>
      <c r="I4" s="243" t="s">
        <v>390</v>
      </c>
      <c r="J4" s="184"/>
      <c r="K4" s="244" t="s">
        <v>432</v>
      </c>
      <c r="L4" s="244" t="s">
        <v>433</v>
      </c>
      <c r="M4" s="244" t="s">
        <v>436</v>
      </c>
      <c r="N4" s="245" t="s">
        <v>435</v>
      </c>
      <c r="O4" s="60"/>
      <c r="P4" s="243" t="s">
        <v>390</v>
      </c>
      <c r="Q4" s="184"/>
      <c r="R4" s="244" t="s">
        <v>432</v>
      </c>
      <c r="S4" s="244" t="s">
        <v>433</v>
      </c>
      <c r="T4" s="244" t="s">
        <v>436</v>
      </c>
      <c r="U4" s="245" t="s">
        <v>435</v>
      </c>
      <c r="V4" s="60"/>
      <c r="W4" s="243" t="s">
        <v>390</v>
      </c>
      <c r="X4" s="184"/>
      <c r="Y4" s="244" t="s">
        <v>432</v>
      </c>
      <c r="Z4" s="244" t="s">
        <v>433</v>
      </c>
      <c r="AA4" s="244" t="s">
        <v>436</v>
      </c>
      <c r="AB4" s="245" t="s">
        <v>435</v>
      </c>
      <c r="AC4" s="60"/>
      <c r="AD4" s="243" t="s">
        <v>390</v>
      </c>
      <c r="AE4" s="184"/>
      <c r="AF4" s="244" t="s">
        <v>432</v>
      </c>
      <c r="AG4" s="244" t="s">
        <v>433</v>
      </c>
      <c r="AH4" s="244" t="s">
        <v>436</v>
      </c>
      <c r="AI4" s="245" t="s">
        <v>435</v>
      </c>
      <c r="AJ4" s="246"/>
    </row>
    <row r="5" ht="15.75" customHeight="1">
      <c r="A5" s="61"/>
      <c r="B5" s="247" t="s">
        <v>437</v>
      </c>
      <c r="C5" s="248" t="s">
        <v>438</v>
      </c>
      <c r="D5" s="249" t="s">
        <v>439</v>
      </c>
      <c r="E5" s="250" t="s">
        <v>440</v>
      </c>
      <c r="F5" s="250" t="s">
        <v>441</v>
      </c>
      <c r="G5" s="251" t="s">
        <v>189</v>
      </c>
      <c r="H5" s="60"/>
      <c r="I5" s="247" t="s">
        <v>437</v>
      </c>
      <c r="J5" s="248" t="s">
        <v>442</v>
      </c>
      <c r="K5" s="251" t="s">
        <v>443</v>
      </c>
      <c r="L5" s="252" t="s">
        <v>444</v>
      </c>
      <c r="M5" s="253"/>
      <c r="N5" s="251" t="s">
        <v>189</v>
      </c>
      <c r="O5" s="60"/>
      <c r="P5" s="247" t="s">
        <v>437</v>
      </c>
      <c r="Q5" s="248" t="s">
        <v>445</v>
      </c>
      <c r="R5" s="251" t="s">
        <v>446</v>
      </c>
      <c r="S5" s="252" t="s">
        <v>447</v>
      </c>
      <c r="T5" s="253"/>
      <c r="U5" s="251" t="s">
        <v>189</v>
      </c>
      <c r="V5" s="60"/>
      <c r="W5" s="247" t="s">
        <v>437</v>
      </c>
      <c r="X5" s="248" t="s">
        <v>442</v>
      </c>
      <c r="Y5" s="251" t="s">
        <v>448</v>
      </c>
      <c r="Z5" s="253"/>
      <c r="AA5" s="253"/>
      <c r="AB5" s="251" t="s">
        <v>189</v>
      </c>
      <c r="AC5" s="60"/>
      <c r="AD5" s="247" t="s">
        <v>437</v>
      </c>
      <c r="AE5" s="248" t="s">
        <v>449</v>
      </c>
      <c r="AF5" s="251" t="s">
        <v>450</v>
      </c>
      <c r="AG5" s="252" t="s">
        <v>451</v>
      </c>
      <c r="AH5" s="252" t="s">
        <v>452</v>
      </c>
      <c r="AI5" s="251" t="s">
        <v>189</v>
      </c>
      <c r="AJ5" s="254"/>
    </row>
    <row r="6" ht="15.75" customHeight="1">
      <c r="A6" s="61"/>
      <c r="B6" s="247" t="s">
        <v>453</v>
      </c>
      <c r="C6" s="255" t="s">
        <v>23</v>
      </c>
      <c r="D6" s="256"/>
      <c r="E6" s="256"/>
      <c r="F6" s="256"/>
      <c r="G6" s="256"/>
      <c r="H6" s="60"/>
      <c r="I6" s="247" t="s">
        <v>453</v>
      </c>
      <c r="J6" s="255" t="s">
        <v>55</v>
      </c>
      <c r="K6" s="256"/>
      <c r="L6" s="256"/>
      <c r="M6" s="256"/>
      <c r="N6" s="256"/>
      <c r="O6" s="60"/>
      <c r="P6" s="247" t="s">
        <v>453</v>
      </c>
      <c r="Q6" s="255" t="s">
        <v>110</v>
      </c>
      <c r="R6" s="256"/>
      <c r="S6" s="252" t="s">
        <v>454</v>
      </c>
      <c r="T6" s="256"/>
      <c r="U6" s="256"/>
      <c r="V6" s="60"/>
      <c r="W6" s="247" t="s">
        <v>453</v>
      </c>
      <c r="X6" s="255" t="s">
        <v>37</v>
      </c>
      <c r="Y6" s="256"/>
      <c r="Z6" s="256"/>
      <c r="AA6" s="256"/>
      <c r="AB6" s="256"/>
      <c r="AC6" s="60"/>
      <c r="AD6" s="247" t="s">
        <v>453</v>
      </c>
      <c r="AE6" s="255" t="s">
        <v>21</v>
      </c>
      <c r="AF6" s="256"/>
      <c r="AG6" s="256"/>
      <c r="AH6" s="256"/>
      <c r="AI6" s="256"/>
      <c r="AJ6" s="254"/>
    </row>
    <row r="7" ht="15.75" customHeight="1">
      <c r="A7" s="61"/>
      <c r="B7" s="247" t="s">
        <v>455</v>
      </c>
      <c r="C7" s="255" t="s">
        <v>456</v>
      </c>
      <c r="D7" s="256"/>
      <c r="E7" s="256"/>
      <c r="F7" s="256"/>
      <c r="G7" s="256"/>
      <c r="H7" s="60"/>
      <c r="I7" s="247" t="s">
        <v>455</v>
      </c>
      <c r="J7" s="255" t="s">
        <v>457</v>
      </c>
      <c r="K7" s="256"/>
      <c r="L7" s="256"/>
      <c r="M7" s="256"/>
      <c r="N7" s="256"/>
      <c r="O7" s="60"/>
      <c r="P7" s="247" t="s">
        <v>455</v>
      </c>
      <c r="Q7" s="255" t="s">
        <v>458</v>
      </c>
      <c r="R7" s="256"/>
      <c r="S7" s="252" t="s">
        <v>459</v>
      </c>
      <c r="T7" s="256"/>
      <c r="U7" s="256"/>
      <c r="V7" s="60"/>
      <c r="W7" s="247" t="s">
        <v>455</v>
      </c>
      <c r="X7" s="255" t="s">
        <v>460</v>
      </c>
      <c r="Y7" s="256"/>
      <c r="Z7" s="256"/>
      <c r="AA7" s="256"/>
      <c r="AB7" s="256"/>
      <c r="AC7" s="60"/>
      <c r="AD7" s="247" t="s">
        <v>455</v>
      </c>
      <c r="AE7" s="255" t="s">
        <v>461</v>
      </c>
      <c r="AF7" s="256"/>
      <c r="AG7" s="256"/>
      <c r="AH7" s="256"/>
      <c r="AI7" s="256"/>
      <c r="AJ7" s="254"/>
    </row>
    <row r="8" ht="15.75" customHeight="1">
      <c r="A8" s="61"/>
      <c r="B8" s="247" t="s">
        <v>462</v>
      </c>
      <c r="C8" s="257" t="s">
        <v>463</v>
      </c>
      <c r="D8" s="256"/>
      <c r="E8" s="256"/>
      <c r="F8" s="256"/>
      <c r="G8" s="184"/>
      <c r="H8" s="60"/>
      <c r="I8" s="247" t="s">
        <v>462</v>
      </c>
      <c r="J8" s="255" t="s">
        <v>464</v>
      </c>
      <c r="K8" s="184"/>
      <c r="L8" s="184"/>
      <c r="M8" s="184"/>
      <c r="N8" s="184"/>
      <c r="O8" s="60"/>
      <c r="P8" s="247" t="s">
        <v>462</v>
      </c>
      <c r="Q8" s="258"/>
      <c r="R8" s="184"/>
      <c r="S8" s="259" t="s">
        <v>465</v>
      </c>
      <c r="T8" s="184"/>
      <c r="U8" s="184"/>
      <c r="V8" s="60"/>
      <c r="W8" s="247" t="s">
        <v>462</v>
      </c>
      <c r="X8" s="255" t="s">
        <v>466</v>
      </c>
      <c r="Y8" s="184"/>
      <c r="Z8" s="184"/>
      <c r="AA8" s="184"/>
      <c r="AB8" s="184"/>
      <c r="AC8" s="60"/>
      <c r="AD8" s="247" t="s">
        <v>462</v>
      </c>
      <c r="AE8" s="255" t="s">
        <v>467</v>
      </c>
      <c r="AF8" s="184"/>
      <c r="AG8" s="184"/>
      <c r="AH8" s="184"/>
      <c r="AI8" s="184"/>
      <c r="AJ8" s="254"/>
    </row>
    <row r="9" ht="15.75" customHeight="1">
      <c r="A9" s="61"/>
      <c r="B9" s="260" t="s">
        <v>437</v>
      </c>
      <c r="C9" s="261"/>
      <c r="D9" s="256"/>
      <c r="E9" s="256"/>
      <c r="F9" s="256"/>
      <c r="G9" s="251" t="s">
        <v>189</v>
      </c>
      <c r="H9" s="60"/>
      <c r="I9" s="260" t="s">
        <v>437</v>
      </c>
      <c r="J9" s="248" t="s">
        <v>468</v>
      </c>
      <c r="K9" s="251" t="s">
        <v>469</v>
      </c>
      <c r="L9" s="252" t="s">
        <v>470</v>
      </c>
      <c r="M9" s="253"/>
      <c r="N9" s="251" t="s">
        <v>189</v>
      </c>
      <c r="O9" s="60"/>
      <c r="P9" s="260" t="s">
        <v>437</v>
      </c>
      <c r="Q9" s="248" t="s">
        <v>471</v>
      </c>
      <c r="R9" s="251" t="s">
        <v>472</v>
      </c>
      <c r="S9" s="252" t="s">
        <v>473</v>
      </c>
      <c r="T9" s="253"/>
      <c r="U9" s="251" t="s">
        <v>189</v>
      </c>
      <c r="V9" s="60"/>
      <c r="W9" s="260" t="s">
        <v>437</v>
      </c>
      <c r="X9" s="248" t="s">
        <v>474</v>
      </c>
      <c r="Y9" s="262" t="s">
        <v>475</v>
      </c>
      <c r="Z9" s="252" t="s">
        <v>476</v>
      </c>
      <c r="AA9" s="253"/>
      <c r="AB9" s="251" t="s">
        <v>189</v>
      </c>
      <c r="AC9" s="60"/>
      <c r="AD9" s="260" t="s">
        <v>437</v>
      </c>
      <c r="AE9" s="248"/>
      <c r="AF9" s="251" t="s">
        <v>477</v>
      </c>
      <c r="AG9" s="252" t="s">
        <v>478</v>
      </c>
      <c r="AH9" s="252" t="s">
        <v>479</v>
      </c>
      <c r="AI9" s="251" t="s">
        <v>189</v>
      </c>
      <c r="AJ9" s="254"/>
    </row>
    <row r="10" ht="15.75" customHeight="1">
      <c r="A10" s="61"/>
      <c r="B10" s="260" t="s">
        <v>453</v>
      </c>
      <c r="C10" s="258"/>
      <c r="D10" s="256"/>
      <c r="E10" s="256"/>
      <c r="F10" s="256"/>
      <c r="G10" s="256"/>
      <c r="H10" s="60"/>
      <c r="I10" s="260" t="s">
        <v>453</v>
      </c>
      <c r="J10" s="255" t="s">
        <v>55</v>
      </c>
      <c r="K10" s="256"/>
      <c r="L10" s="256"/>
      <c r="M10" s="256"/>
      <c r="N10" s="256"/>
      <c r="O10" s="60"/>
      <c r="P10" s="260" t="s">
        <v>453</v>
      </c>
      <c r="Q10" s="255" t="s">
        <v>110</v>
      </c>
      <c r="R10" s="256"/>
      <c r="S10" s="256"/>
      <c r="T10" s="256"/>
      <c r="U10" s="256"/>
      <c r="V10" s="60"/>
      <c r="W10" s="260" t="s">
        <v>453</v>
      </c>
      <c r="X10" s="255" t="s">
        <v>38</v>
      </c>
      <c r="Y10" s="256"/>
      <c r="Z10" s="256"/>
      <c r="AA10" s="256"/>
      <c r="AB10" s="256"/>
      <c r="AC10" s="60"/>
      <c r="AD10" s="260" t="s">
        <v>453</v>
      </c>
      <c r="AE10" s="255"/>
      <c r="AF10" s="256"/>
      <c r="AG10" s="256"/>
      <c r="AH10" s="256"/>
      <c r="AI10" s="256"/>
      <c r="AJ10" s="254"/>
    </row>
    <row r="11" ht="15.75" customHeight="1">
      <c r="A11" s="61"/>
      <c r="B11" s="260" t="s">
        <v>455</v>
      </c>
      <c r="C11" s="258"/>
      <c r="D11" s="256"/>
      <c r="E11" s="256"/>
      <c r="F11" s="256"/>
      <c r="G11" s="256"/>
      <c r="H11" s="60"/>
      <c r="I11" s="260" t="s">
        <v>455</v>
      </c>
      <c r="J11" s="255" t="s">
        <v>480</v>
      </c>
      <c r="K11" s="256"/>
      <c r="L11" s="256"/>
      <c r="M11" s="256"/>
      <c r="N11" s="256"/>
      <c r="O11" s="60"/>
      <c r="P11" s="260" t="s">
        <v>455</v>
      </c>
      <c r="Q11" s="255" t="s">
        <v>481</v>
      </c>
      <c r="R11" s="256"/>
      <c r="S11" s="256"/>
      <c r="T11" s="256"/>
      <c r="U11" s="256"/>
      <c r="V11" s="60"/>
      <c r="W11" s="260" t="s">
        <v>455</v>
      </c>
      <c r="X11" s="258"/>
      <c r="Y11" s="256"/>
      <c r="Z11" s="256"/>
      <c r="AA11" s="256"/>
      <c r="AB11" s="256"/>
      <c r="AC11" s="60"/>
      <c r="AD11" s="260" t="s">
        <v>455</v>
      </c>
      <c r="AE11" s="258"/>
      <c r="AF11" s="256"/>
      <c r="AG11" s="256"/>
      <c r="AH11" s="256"/>
      <c r="AI11" s="256"/>
      <c r="AJ11" s="254"/>
    </row>
    <row r="12" ht="15.75" customHeight="1">
      <c r="A12" s="61"/>
      <c r="B12" s="260" t="s">
        <v>462</v>
      </c>
      <c r="C12" s="258"/>
      <c r="D12" s="184"/>
      <c r="E12" s="184"/>
      <c r="F12" s="184"/>
      <c r="G12" s="184"/>
      <c r="H12" s="60"/>
      <c r="I12" s="260" t="s">
        <v>462</v>
      </c>
      <c r="J12" s="255" t="s">
        <v>482</v>
      </c>
      <c r="K12" s="184"/>
      <c r="L12" s="184"/>
      <c r="M12" s="184"/>
      <c r="N12" s="184"/>
      <c r="O12" s="60"/>
      <c r="P12" s="260" t="s">
        <v>462</v>
      </c>
      <c r="Q12" s="255" t="s">
        <v>483</v>
      </c>
      <c r="R12" s="184"/>
      <c r="S12" s="184"/>
      <c r="T12" s="184"/>
      <c r="U12" s="184"/>
      <c r="V12" s="60"/>
      <c r="W12" s="260" t="s">
        <v>462</v>
      </c>
      <c r="X12" s="258"/>
      <c r="Y12" s="184"/>
      <c r="Z12" s="184"/>
      <c r="AA12" s="184"/>
      <c r="AB12" s="184"/>
      <c r="AC12" s="60"/>
      <c r="AD12" s="260" t="s">
        <v>462</v>
      </c>
      <c r="AE12" s="258"/>
      <c r="AF12" s="184"/>
      <c r="AG12" s="184"/>
      <c r="AH12" s="184"/>
      <c r="AI12" s="184"/>
      <c r="AJ12" s="254"/>
    </row>
    <row r="13" ht="15.75" customHeight="1">
      <c r="A13" s="61"/>
      <c r="B13" s="247" t="s">
        <v>437</v>
      </c>
      <c r="C13" s="248" t="s">
        <v>484</v>
      </c>
      <c r="D13" s="249" t="s">
        <v>485</v>
      </c>
      <c r="E13" s="250" t="s">
        <v>486</v>
      </c>
      <c r="F13" s="250" t="s">
        <v>487</v>
      </c>
      <c r="G13" s="251"/>
      <c r="H13" s="60"/>
      <c r="I13" s="247" t="s">
        <v>437</v>
      </c>
      <c r="J13" s="248" t="s">
        <v>488</v>
      </c>
      <c r="K13" s="251" t="s">
        <v>489</v>
      </c>
      <c r="L13" s="252" t="s">
        <v>490</v>
      </c>
      <c r="M13" s="253"/>
      <c r="N13" s="251" t="s">
        <v>189</v>
      </c>
      <c r="O13" s="60"/>
      <c r="P13" s="247" t="s">
        <v>437</v>
      </c>
      <c r="Q13" s="248" t="s">
        <v>491</v>
      </c>
      <c r="R13" s="251" t="s">
        <v>492</v>
      </c>
      <c r="S13" s="252" t="s">
        <v>493</v>
      </c>
      <c r="T13" s="253"/>
      <c r="U13" s="251" t="s">
        <v>189</v>
      </c>
      <c r="V13" s="60"/>
      <c r="W13" s="247" t="s">
        <v>437</v>
      </c>
      <c r="X13" s="263">
        <v>0.5625</v>
      </c>
      <c r="Y13" s="262" t="s">
        <v>494</v>
      </c>
      <c r="Z13" s="252"/>
      <c r="AA13" s="253"/>
      <c r="AB13" s="249" t="s">
        <v>495</v>
      </c>
      <c r="AC13" s="60"/>
      <c r="AD13" s="247" t="s">
        <v>437</v>
      </c>
      <c r="AE13" s="248" t="s">
        <v>496</v>
      </c>
      <c r="AF13" s="251" t="s">
        <v>497</v>
      </c>
      <c r="AG13" s="252" t="s">
        <v>498</v>
      </c>
      <c r="AH13" s="252" t="s">
        <v>499</v>
      </c>
      <c r="AI13" s="249" t="s">
        <v>189</v>
      </c>
      <c r="AJ13" s="264"/>
    </row>
    <row r="14" ht="15.75" customHeight="1">
      <c r="A14" s="61"/>
      <c r="B14" s="247" t="s">
        <v>453</v>
      </c>
      <c r="C14" s="255" t="s">
        <v>500</v>
      </c>
      <c r="D14" s="256"/>
      <c r="E14" s="256"/>
      <c r="F14" s="256"/>
      <c r="G14" s="256"/>
      <c r="H14" s="60"/>
      <c r="I14" s="247" t="s">
        <v>453</v>
      </c>
      <c r="J14" s="255" t="s">
        <v>55</v>
      </c>
      <c r="K14" s="256"/>
      <c r="L14" s="256"/>
      <c r="M14" s="256"/>
      <c r="N14" s="256"/>
      <c r="O14" s="60"/>
      <c r="P14" s="247" t="s">
        <v>453</v>
      </c>
      <c r="Q14" s="255" t="s">
        <v>110</v>
      </c>
      <c r="R14" s="256"/>
      <c r="S14" s="256"/>
      <c r="T14" s="256"/>
      <c r="U14" s="256"/>
      <c r="V14" s="60"/>
      <c r="W14" s="247" t="s">
        <v>453</v>
      </c>
      <c r="X14" s="255" t="s">
        <v>501</v>
      </c>
      <c r="Y14" s="256"/>
      <c r="Z14" s="256"/>
      <c r="AA14" s="256"/>
      <c r="AB14" s="256"/>
      <c r="AC14" s="60"/>
      <c r="AD14" s="247" t="s">
        <v>453</v>
      </c>
      <c r="AE14" s="255" t="s">
        <v>21</v>
      </c>
      <c r="AF14" s="256"/>
      <c r="AG14" s="256"/>
      <c r="AH14" s="256"/>
      <c r="AI14" s="256"/>
      <c r="AJ14" s="264"/>
    </row>
    <row r="15" ht="15.75" customHeight="1">
      <c r="A15" s="61"/>
      <c r="B15" s="247" t="s">
        <v>455</v>
      </c>
      <c r="C15" s="255" t="s">
        <v>502</v>
      </c>
      <c r="D15" s="256"/>
      <c r="E15" s="256"/>
      <c r="F15" s="256"/>
      <c r="G15" s="256"/>
      <c r="H15" s="60"/>
      <c r="I15" s="247" t="s">
        <v>455</v>
      </c>
      <c r="J15" s="255" t="s">
        <v>503</v>
      </c>
      <c r="K15" s="256"/>
      <c r="L15" s="256"/>
      <c r="M15" s="256"/>
      <c r="N15" s="256"/>
      <c r="O15" s="60"/>
      <c r="P15" s="247" t="s">
        <v>455</v>
      </c>
      <c r="Q15" s="255" t="s">
        <v>504</v>
      </c>
      <c r="R15" s="256"/>
      <c r="S15" s="256"/>
      <c r="T15" s="256"/>
      <c r="U15" s="256"/>
      <c r="V15" s="60"/>
      <c r="W15" s="247" t="s">
        <v>455</v>
      </c>
      <c r="X15" s="255" t="s">
        <v>505</v>
      </c>
      <c r="Y15" s="256"/>
      <c r="Z15" s="256"/>
      <c r="AA15" s="256"/>
      <c r="AB15" s="256"/>
      <c r="AC15" s="60"/>
      <c r="AD15" s="247" t="s">
        <v>455</v>
      </c>
      <c r="AE15" s="255"/>
      <c r="AF15" s="256"/>
      <c r="AG15" s="256"/>
      <c r="AH15" s="256"/>
      <c r="AI15" s="256"/>
      <c r="AJ15" s="264"/>
    </row>
    <row r="16" ht="15.75" customHeight="1">
      <c r="A16" s="61"/>
      <c r="B16" s="247" t="s">
        <v>462</v>
      </c>
      <c r="C16" s="255" t="s">
        <v>506</v>
      </c>
      <c r="D16" s="184"/>
      <c r="E16" s="184"/>
      <c r="F16" s="184"/>
      <c r="G16" s="184"/>
      <c r="H16" s="60"/>
      <c r="I16" s="247" t="s">
        <v>462</v>
      </c>
      <c r="J16" s="255" t="s">
        <v>507</v>
      </c>
      <c r="K16" s="184"/>
      <c r="L16" s="184"/>
      <c r="M16" s="184"/>
      <c r="N16" s="184"/>
      <c r="O16" s="60"/>
      <c r="P16" s="247" t="s">
        <v>462</v>
      </c>
      <c r="Q16" s="255" t="s">
        <v>508</v>
      </c>
      <c r="R16" s="184"/>
      <c r="S16" s="184"/>
      <c r="T16" s="184"/>
      <c r="U16" s="184"/>
      <c r="V16" s="60"/>
      <c r="W16" s="247" t="s">
        <v>462</v>
      </c>
      <c r="X16" s="255" t="s">
        <v>509</v>
      </c>
      <c r="Y16" s="184"/>
      <c r="Z16" s="184"/>
      <c r="AA16" s="184"/>
      <c r="AB16" s="184"/>
      <c r="AC16" s="60"/>
      <c r="AD16" s="247" t="s">
        <v>462</v>
      </c>
      <c r="AE16" s="255"/>
      <c r="AF16" s="184"/>
      <c r="AG16" s="184"/>
      <c r="AH16" s="184"/>
      <c r="AI16" s="184"/>
      <c r="AJ16" s="264"/>
    </row>
    <row r="17" ht="15.75" customHeight="1">
      <c r="A17" s="61"/>
      <c r="B17" s="260" t="s">
        <v>437</v>
      </c>
      <c r="C17" s="248" t="s">
        <v>510</v>
      </c>
      <c r="D17" s="249" t="s">
        <v>511</v>
      </c>
      <c r="E17" s="250" t="s">
        <v>512</v>
      </c>
      <c r="F17" s="250" t="s">
        <v>513</v>
      </c>
      <c r="G17" s="265"/>
      <c r="H17" s="60"/>
      <c r="I17" s="260" t="s">
        <v>437</v>
      </c>
      <c r="J17" s="248" t="s">
        <v>514</v>
      </c>
      <c r="K17" s="251" t="s">
        <v>515</v>
      </c>
      <c r="L17" s="250" t="s">
        <v>516</v>
      </c>
      <c r="M17" s="252" t="s">
        <v>517</v>
      </c>
      <c r="N17" s="251" t="s">
        <v>189</v>
      </c>
      <c r="O17" s="60"/>
      <c r="P17" s="260" t="s">
        <v>437</v>
      </c>
      <c r="Q17" s="248" t="s">
        <v>518</v>
      </c>
      <c r="R17" s="251" t="s">
        <v>519</v>
      </c>
      <c r="S17" s="250" t="s">
        <v>520</v>
      </c>
      <c r="T17" s="253"/>
      <c r="U17" s="251" t="s">
        <v>189</v>
      </c>
      <c r="V17" s="60"/>
      <c r="W17" s="260" t="s">
        <v>437</v>
      </c>
      <c r="X17" s="263">
        <v>0.625</v>
      </c>
      <c r="Y17" s="266" t="s">
        <v>521</v>
      </c>
      <c r="Z17" s="250" t="s">
        <v>522</v>
      </c>
      <c r="AA17" s="253"/>
      <c r="AB17" s="251" t="s">
        <v>189</v>
      </c>
      <c r="AC17" s="60"/>
      <c r="AD17" s="260" t="s">
        <v>437</v>
      </c>
      <c r="AE17" s="263"/>
      <c r="AF17" s="266"/>
      <c r="AG17" s="250"/>
      <c r="AH17" s="253"/>
      <c r="AI17" s="251"/>
      <c r="AJ17" s="254"/>
    </row>
    <row r="18" ht="15.75" customHeight="1">
      <c r="A18" s="61"/>
      <c r="B18" s="260" t="s">
        <v>453</v>
      </c>
      <c r="C18" s="255" t="s">
        <v>500</v>
      </c>
      <c r="D18" s="256"/>
      <c r="E18" s="256"/>
      <c r="F18" s="256"/>
      <c r="G18" s="256"/>
      <c r="H18" s="60"/>
      <c r="I18" s="260" t="s">
        <v>453</v>
      </c>
      <c r="J18" s="255" t="s">
        <v>108</v>
      </c>
      <c r="K18" s="256"/>
      <c r="L18" s="256"/>
      <c r="M18" s="256"/>
      <c r="N18" s="256"/>
      <c r="O18" s="60"/>
      <c r="P18" s="260" t="s">
        <v>453</v>
      </c>
      <c r="Q18" s="255" t="s">
        <v>109</v>
      </c>
      <c r="R18" s="256"/>
      <c r="S18" s="256"/>
      <c r="T18" s="256"/>
      <c r="U18" s="256"/>
      <c r="V18" s="60"/>
      <c r="W18" s="260" t="s">
        <v>453</v>
      </c>
      <c r="X18" s="255" t="s">
        <v>38</v>
      </c>
      <c r="Y18" s="256"/>
      <c r="Z18" s="256"/>
      <c r="AA18" s="256"/>
      <c r="AB18" s="256"/>
      <c r="AC18" s="60"/>
      <c r="AD18" s="260" t="s">
        <v>453</v>
      </c>
      <c r="AE18" s="255"/>
      <c r="AF18" s="256"/>
      <c r="AG18" s="256"/>
      <c r="AH18" s="256"/>
      <c r="AI18" s="256"/>
      <c r="AJ18" s="254"/>
    </row>
    <row r="19" ht="15.75" customHeight="1">
      <c r="A19" s="61"/>
      <c r="B19" s="260" t="s">
        <v>455</v>
      </c>
      <c r="C19" s="255" t="s">
        <v>523</v>
      </c>
      <c r="D19" s="256"/>
      <c r="E19" s="256"/>
      <c r="F19" s="256"/>
      <c r="G19" s="256"/>
      <c r="H19" s="60"/>
      <c r="I19" s="260" t="s">
        <v>455</v>
      </c>
      <c r="J19" s="255" t="s">
        <v>524</v>
      </c>
      <c r="K19" s="256"/>
      <c r="L19" s="256"/>
      <c r="M19" s="256"/>
      <c r="N19" s="256"/>
      <c r="O19" s="60"/>
      <c r="P19" s="260" t="s">
        <v>455</v>
      </c>
      <c r="Q19" s="255" t="s">
        <v>525</v>
      </c>
      <c r="R19" s="256"/>
      <c r="S19" s="256"/>
      <c r="T19" s="256"/>
      <c r="U19" s="256"/>
      <c r="V19" s="60"/>
      <c r="W19" s="260" t="s">
        <v>455</v>
      </c>
      <c r="X19" s="258"/>
      <c r="Y19" s="256"/>
      <c r="Z19" s="256"/>
      <c r="AA19" s="256"/>
      <c r="AB19" s="256"/>
      <c r="AC19" s="60"/>
      <c r="AD19" s="260" t="s">
        <v>455</v>
      </c>
      <c r="AE19" s="258"/>
      <c r="AF19" s="256"/>
      <c r="AG19" s="256"/>
      <c r="AH19" s="256"/>
      <c r="AI19" s="256"/>
      <c r="AJ19" s="254"/>
    </row>
    <row r="20" ht="15.75" customHeight="1">
      <c r="A20" s="61"/>
      <c r="B20" s="260" t="s">
        <v>462</v>
      </c>
      <c r="C20" s="267" t="s">
        <v>526</v>
      </c>
      <c r="D20" s="184"/>
      <c r="E20" s="184"/>
      <c r="F20" s="184"/>
      <c r="G20" s="184"/>
      <c r="H20" s="60"/>
      <c r="I20" s="260" t="s">
        <v>462</v>
      </c>
      <c r="J20" s="255" t="s">
        <v>527</v>
      </c>
      <c r="K20" s="184"/>
      <c r="L20" s="184"/>
      <c r="M20" s="184"/>
      <c r="N20" s="184"/>
      <c r="O20" s="60"/>
      <c r="P20" s="260" t="s">
        <v>462</v>
      </c>
      <c r="Q20" s="255" t="s">
        <v>528</v>
      </c>
      <c r="R20" s="184"/>
      <c r="S20" s="184"/>
      <c r="T20" s="184"/>
      <c r="U20" s="184"/>
      <c r="V20" s="60"/>
      <c r="W20" s="260" t="s">
        <v>462</v>
      </c>
      <c r="X20" s="258"/>
      <c r="Y20" s="184"/>
      <c r="Z20" s="184"/>
      <c r="AA20" s="184"/>
      <c r="AB20" s="184"/>
      <c r="AC20" s="60"/>
      <c r="AD20" s="260" t="s">
        <v>462</v>
      </c>
      <c r="AE20" s="258"/>
      <c r="AF20" s="184"/>
      <c r="AG20" s="184"/>
      <c r="AH20" s="184"/>
      <c r="AI20" s="184"/>
      <c r="AJ20" s="254"/>
    </row>
    <row r="21" ht="15.75" customHeight="1">
      <c r="A21" s="61"/>
      <c r="B21" s="247" t="s">
        <v>437</v>
      </c>
      <c r="C21" s="248" t="s">
        <v>529</v>
      </c>
      <c r="D21" s="249" t="s">
        <v>530</v>
      </c>
      <c r="E21" s="250" t="s">
        <v>531</v>
      </c>
      <c r="F21" s="268" t="s">
        <v>532</v>
      </c>
      <c r="G21" s="251" t="s">
        <v>189</v>
      </c>
      <c r="H21" s="60"/>
      <c r="I21" s="247" t="s">
        <v>437</v>
      </c>
      <c r="J21" s="248" t="s">
        <v>533</v>
      </c>
      <c r="K21" s="251" t="s">
        <v>534</v>
      </c>
      <c r="L21" s="252" t="s">
        <v>535</v>
      </c>
      <c r="M21" s="250" t="s">
        <v>536</v>
      </c>
      <c r="N21" s="251" t="s">
        <v>416</v>
      </c>
      <c r="O21" s="60"/>
      <c r="P21" s="247" t="s">
        <v>437</v>
      </c>
      <c r="Q21" s="248" t="s">
        <v>537</v>
      </c>
      <c r="R21" s="251" t="s">
        <v>538</v>
      </c>
      <c r="S21" s="252" t="s">
        <v>520</v>
      </c>
      <c r="T21" s="253"/>
      <c r="U21" s="251" t="s">
        <v>189</v>
      </c>
      <c r="V21" s="60"/>
      <c r="W21" s="247" t="s">
        <v>437</v>
      </c>
      <c r="X21" s="263">
        <v>0.6666666666666666</v>
      </c>
      <c r="Y21" s="251" t="s">
        <v>539</v>
      </c>
      <c r="Z21" s="252"/>
      <c r="AA21" s="253"/>
      <c r="AB21" s="249" t="s">
        <v>189</v>
      </c>
      <c r="AC21" s="60"/>
      <c r="AD21" s="247" t="s">
        <v>437</v>
      </c>
      <c r="AE21" s="263"/>
      <c r="AF21" s="251"/>
      <c r="AG21" s="252"/>
      <c r="AH21" s="253"/>
      <c r="AI21" s="249"/>
      <c r="AJ21" s="264"/>
    </row>
    <row r="22" ht="15.75" customHeight="1">
      <c r="A22" s="61"/>
      <c r="B22" s="247" t="s">
        <v>453</v>
      </c>
      <c r="C22" s="255" t="s">
        <v>23</v>
      </c>
      <c r="D22" s="256"/>
      <c r="E22" s="256"/>
      <c r="F22" s="256"/>
      <c r="G22" s="256"/>
      <c r="H22" s="60"/>
      <c r="I22" s="247" t="s">
        <v>453</v>
      </c>
      <c r="J22" s="255" t="s">
        <v>108</v>
      </c>
      <c r="K22" s="256"/>
      <c r="L22" s="256"/>
      <c r="M22" s="256"/>
      <c r="N22" s="256"/>
      <c r="O22" s="60"/>
      <c r="P22" s="247" t="s">
        <v>453</v>
      </c>
      <c r="Q22" s="255" t="s">
        <v>109</v>
      </c>
      <c r="R22" s="256"/>
      <c r="S22" s="256"/>
      <c r="T22" s="256"/>
      <c r="U22" s="256"/>
      <c r="V22" s="60"/>
      <c r="W22" s="247" t="s">
        <v>453</v>
      </c>
      <c r="X22" s="255" t="s">
        <v>37</v>
      </c>
      <c r="Y22" s="256"/>
      <c r="Z22" s="256"/>
      <c r="AA22" s="256"/>
      <c r="AB22" s="256"/>
      <c r="AC22" s="60"/>
      <c r="AD22" s="247" t="s">
        <v>453</v>
      </c>
      <c r="AE22" s="255"/>
      <c r="AF22" s="256"/>
      <c r="AG22" s="256"/>
      <c r="AH22" s="256"/>
      <c r="AI22" s="256"/>
      <c r="AJ22" s="264"/>
    </row>
    <row r="23" ht="31.5" customHeight="1">
      <c r="A23" s="61"/>
      <c r="B23" s="247" t="s">
        <v>455</v>
      </c>
      <c r="C23" s="255" t="s">
        <v>540</v>
      </c>
      <c r="D23" s="256"/>
      <c r="E23" s="256"/>
      <c r="F23" s="256"/>
      <c r="G23" s="256"/>
      <c r="H23" s="60"/>
      <c r="I23" s="247" t="s">
        <v>455</v>
      </c>
      <c r="J23" s="255" t="s">
        <v>541</v>
      </c>
      <c r="K23" s="256"/>
      <c r="L23" s="256"/>
      <c r="M23" s="256"/>
      <c r="N23" s="256"/>
      <c r="O23" s="60"/>
      <c r="P23" s="247" t="s">
        <v>455</v>
      </c>
      <c r="Q23" s="255" t="s">
        <v>542</v>
      </c>
      <c r="R23" s="256"/>
      <c r="S23" s="256"/>
      <c r="T23" s="256"/>
      <c r="U23" s="256"/>
      <c r="V23" s="60"/>
      <c r="W23" s="247" t="s">
        <v>455</v>
      </c>
      <c r="X23" s="255" t="s">
        <v>543</v>
      </c>
      <c r="Y23" s="256"/>
      <c r="Z23" s="256"/>
      <c r="AA23" s="256"/>
      <c r="AB23" s="256"/>
      <c r="AC23" s="60"/>
      <c r="AD23" s="247" t="s">
        <v>455</v>
      </c>
      <c r="AE23" s="255"/>
      <c r="AF23" s="256"/>
      <c r="AG23" s="256"/>
      <c r="AH23" s="256"/>
      <c r="AI23" s="256"/>
      <c r="AJ23" s="264"/>
    </row>
    <row r="24" ht="15.75" customHeight="1">
      <c r="A24" s="61"/>
      <c r="B24" s="247" t="s">
        <v>462</v>
      </c>
      <c r="C24" s="257" t="s">
        <v>544</v>
      </c>
      <c r="D24" s="184"/>
      <c r="E24" s="184"/>
      <c r="F24" s="184"/>
      <c r="G24" s="184"/>
      <c r="H24" s="60"/>
      <c r="I24" s="247" t="s">
        <v>462</v>
      </c>
      <c r="J24" s="255" t="s">
        <v>545</v>
      </c>
      <c r="K24" s="184"/>
      <c r="L24" s="184"/>
      <c r="M24" s="184"/>
      <c r="N24" s="184"/>
      <c r="O24" s="60"/>
      <c r="P24" s="247" t="s">
        <v>462</v>
      </c>
      <c r="Q24" s="255" t="s">
        <v>546</v>
      </c>
      <c r="R24" s="184"/>
      <c r="S24" s="184"/>
      <c r="T24" s="184"/>
      <c r="U24" s="184"/>
      <c r="V24" s="60"/>
      <c r="W24" s="247" t="s">
        <v>462</v>
      </c>
      <c r="X24" s="255" t="s">
        <v>547</v>
      </c>
      <c r="Y24" s="184"/>
      <c r="Z24" s="184"/>
      <c r="AA24" s="184"/>
      <c r="AB24" s="184"/>
      <c r="AC24" s="60"/>
      <c r="AD24" s="247" t="s">
        <v>462</v>
      </c>
      <c r="AE24" s="255"/>
      <c r="AF24" s="184"/>
      <c r="AG24" s="184"/>
      <c r="AH24" s="184"/>
      <c r="AI24" s="184"/>
      <c r="AJ24" s="264"/>
    </row>
    <row r="25" ht="15.75" customHeight="1">
      <c r="A25" s="61"/>
      <c r="B25" s="260" t="s">
        <v>437</v>
      </c>
      <c r="C25" s="248" t="s">
        <v>518</v>
      </c>
      <c r="D25" s="249" t="s">
        <v>548</v>
      </c>
      <c r="E25" s="250" t="s">
        <v>549</v>
      </c>
      <c r="F25" s="250" t="s">
        <v>550</v>
      </c>
      <c r="G25" s="251" t="s">
        <v>189</v>
      </c>
      <c r="H25" s="60"/>
      <c r="I25" s="260" t="s">
        <v>437</v>
      </c>
      <c r="J25" s="248" t="s">
        <v>551</v>
      </c>
      <c r="K25" s="251" t="s">
        <v>552</v>
      </c>
      <c r="L25" s="250" t="s">
        <v>553</v>
      </c>
      <c r="M25" s="250" t="s">
        <v>554</v>
      </c>
      <c r="N25" s="251" t="s">
        <v>416</v>
      </c>
      <c r="O25" s="60"/>
      <c r="P25" s="260" t="s">
        <v>437</v>
      </c>
      <c r="Q25" s="248" t="s">
        <v>555</v>
      </c>
      <c r="R25" s="251" t="s">
        <v>556</v>
      </c>
      <c r="S25" s="250" t="s">
        <v>557</v>
      </c>
      <c r="T25" s="253"/>
      <c r="U25" s="251" t="s">
        <v>189</v>
      </c>
      <c r="V25" s="60"/>
      <c r="W25" s="260" t="s">
        <v>437</v>
      </c>
      <c r="X25" s="263">
        <v>0.7083333333333334</v>
      </c>
      <c r="Y25" s="249" t="s">
        <v>558</v>
      </c>
      <c r="Z25" s="250" t="s">
        <v>559</v>
      </c>
      <c r="AA25" s="253"/>
      <c r="AB25" s="251" t="s">
        <v>189</v>
      </c>
      <c r="AC25" s="60"/>
      <c r="AD25" s="260" t="s">
        <v>437</v>
      </c>
      <c r="AE25" s="263"/>
      <c r="AF25" s="249"/>
      <c r="AG25" s="250"/>
      <c r="AH25" s="253"/>
      <c r="AI25" s="251"/>
      <c r="AJ25" s="254"/>
    </row>
    <row r="26" ht="15.75" customHeight="1">
      <c r="A26" s="61"/>
      <c r="B26" s="260" t="s">
        <v>453</v>
      </c>
      <c r="C26" s="255" t="s">
        <v>23</v>
      </c>
      <c r="D26" s="256"/>
      <c r="E26" s="256"/>
      <c r="F26" s="256"/>
      <c r="G26" s="256"/>
      <c r="H26" s="60"/>
      <c r="I26" s="260" t="s">
        <v>453</v>
      </c>
      <c r="J26" s="255" t="s">
        <v>108</v>
      </c>
      <c r="K26" s="256"/>
      <c r="L26" s="256"/>
      <c r="M26" s="256"/>
      <c r="N26" s="256"/>
      <c r="O26" s="60"/>
      <c r="P26" s="260" t="s">
        <v>453</v>
      </c>
      <c r="Q26" s="255" t="s">
        <v>109</v>
      </c>
      <c r="R26" s="256"/>
      <c r="S26" s="256"/>
      <c r="T26" s="256"/>
      <c r="U26" s="256"/>
      <c r="V26" s="60"/>
      <c r="W26" s="260" t="s">
        <v>453</v>
      </c>
      <c r="X26" s="255" t="s">
        <v>37</v>
      </c>
      <c r="Y26" s="256"/>
      <c r="Z26" s="256"/>
      <c r="AA26" s="256"/>
      <c r="AB26" s="256"/>
      <c r="AC26" s="60"/>
      <c r="AD26" s="260" t="s">
        <v>453</v>
      </c>
      <c r="AE26" s="255"/>
      <c r="AF26" s="256"/>
      <c r="AG26" s="256"/>
      <c r="AH26" s="256"/>
      <c r="AI26" s="256"/>
      <c r="AJ26" s="254"/>
    </row>
    <row r="27" ht="15.75" customHeight="1">
      <c r="A27" s="61"/>
      <c r="B27" s="260" t="s">
        <v>455</v>
      </c>
      <c r="C27" s="255" t="s">
        <v>560</v>
      </c>
      <c r="D27" s="256"/>
      <c r="E27" s="256"/>
      <c r="F27" s="256"/>
      <c r="G27" s="256"/>
      <c r="H27" s="60"/>
      <c r="I27" s="260" t="s">
        <v>455</v>
      </c>
      <c r="J27" s="255" t="s">
        <v>561</v>
      </c>
      <c r="K27" s="256"/>
      <c r="L27" s="256"/>
      <c r="M27" s="256"/>
      <c r="N27" s="256"/>
      <c r="O27" s="60"/>
      <c r="P27" s="260" t="s">
        <v>455</v>
      </c>
      <c r="Q27" s="255" t="s">
        <v>562</v>
      </c>
      <c r="R27" s="256"/>
      <c r="S27" s="256"/>
      <c r="T27" s="256"/>
      <c r="U27" s="256"/>
      <c r="V27" s="60"/>
      <c r="W27" s="260" t="s">
        <v>455</v>
      </c>
      <c r="X27" s="269" t="s">
        <v>563</v>
      </c>
      <c r="Y27" s="256"/>
      <c r="Z27" s="256"/>
      <c r="AA27" s="256"/>
      <c r="AB27" s="256"/>
      <c r="AC27" s="60"/>
      <c r="AD27" s="260" t="s">
        <v>455</v>
      </c>
      <c r="AE27" s="269"/>
      <c r="AF27" s="256"/>
      <c r="AG27" s="256"/>
      <c r="AH27" s="256"/>
      <c r="AI27" s="256"/>
      <c r="AJ27" s="254"/>
    </row>
    <row r="28" ht="39.75" customHeight="1">
      <c r="A28" s="61"/>
      <c r="B28" s="260" t="s">
        <v>462</v>
      </c>
      <c r="C28" s="257" t="s">
        <v>564</v>
      </c>
      <c r="D28" s="184"/>
      <c r="E28" s="184"/>
      <c r="F28" s="184"/>
      <c r="G28" s="184"/>
      <c r="H28" s="60"/>
      <c r="I28" s="260" t="s">
        <v>462</v>
      </c>
      <c r="J28" s="255" t="s">
        <v>460</v>
      </c>
      <c r="K28" s="184"/>
      <c r="L28" s="184"/>
      <c r="M28" s="184"/>
      <c r="N28" s="184"/>
      <c r="O28" s="60"/>
      <c r="P28" s="260" t="s">
        <v>462</v>
      </c>
      <c r="Q28" s="255" t="s">
        <v>460</v>
      </c>
      <c r="R28" s="184"/>
      <c r="S28" s="184"/>
      <c r="T28" s="184"/>
      <c r="U28" s="184"/>
      <c r="V28" s="60"/>
      <c r="W28" s="260" t="s">
        <v>462</v>
      </c>
      <c r="X28" s="269" t="s">
        <v>463</v>
      </c>
      <c r="Y28" s="184"/>
      <c r="Z28" s="184"/>
      <c r="AA28" s="184"/>
      <c r="AB28" s="184"/>
      <c r="AC28" s="60"/>
      <c r="AD28" s="260" t="s">
        <v>462</v>
      </c>
      <c r="AE28" s="269"/>
      <c r="AF28" s="184"/>
      <c r="AG28" s="184"/>
      <c r="AH28" s="184"/>
      <c r="AI28" s="184"/>
      <c r="AJ28" s="254"/>
    </row>
    <row r="29" ht="15.75" customHeight="1">
      <c r="A29" s="61"/>
      <c r="B29" s="247" t="s">
        <v>437</v>
      </c>
      <c r="C29" s="270" t="s">
        <v>565</v>
      </c>
      <c r="D29" s="249" t="s">
        <v>566</v>
      </c>
      <c r="E29" s="250" t="s">
        <v>567</v>
      </c>
      <c r="F29" s="250" t="s">
        <v>568</v>
      </c>
      <c r="G29" s="251" t="s">
        <v>189</v>
      </c>
      <c r="H29" s="60"/>
      <c r="I29" s="247" t="s">
        <v>437</v>
      </c>
      <c r="J29" s="270"/>
      <c r="K29" s="265"/>
      <c r="L29" s="253"/>
      <c r="M29" s="271"/>
      <c r="N29" s="265"/>
      <c r="O29" s="60"/>
      <c r="P29" s="247" t="s">
        <v>437</v>
      </c>
      <c r="Q29" s="272"/>
      <c r="R29" s="265"/>
      <c r="S29" s="253"/>
      <c r="T29" s="271"/>
      <c r="U29" s="265"/>
      <c r="V29" s="60"/>
      <c r="W29" s="247" t="s">
        <v>437</v>
      </c>
      <c r="X29" s="263">
        <v>0.75</v>
      </c>
      <c r="Y29" s="249" t="s">
        <v>569</v>
      </c>
      <c r="Z29" s="252" t="s">
        <v>570</v>
      </c>
      <c r="AA29" s="271"/>
      <c r="AB29" s="265"/>
      <c r="AC29" s="60"/>
      <c r="AD29" s="247" t="s">
        <v>437</v>
      </c>
      <c r="AE29" s="263"/>
      <c r="AF29" s="249"/>
      <c r="AG29" s="252"/>
      <c r="AH29" s="271"/>
      <c r="AI29" s="265"/>
      <c r="AJ29" s="236"/>
    </row>
    <row r="30" ht="15.75" customHeight="1">
      <c r="A30" s="61"/>
      <c r="B30" s="247" t="s">
        <v>453</v>
      </c>
      <c r="C30" s="255" t="s">
        <v>23</v>
      </c>
      <c r="D30" s="256"/>
      <c r="E30" s="256"/>
      <c r="F30" s="256"/>
      <c r="G30" s="256"/>
      <c r="H30" s="60"/>
      <c r="I30" s="247" t="s">
        <v>453</v>
      </c>
      <c r="J30" s="258"/>
      <c r="K30" s="256"/>
      <c r="L30" s="256"/>
      <c r="M30" s="256"/>
      <c r="N30" s="256"/>
      <c r="O30" s="60"/>
      <c r="P30" s="247" t="s">
        <v>453</v>
      </c>
      <c r="Q30" s="258"/>
      <c r="R30" s="256"/>
      <c r="S30" s="256"/>
      <c r="T30" s="256"/>
      <c r="U30" s="256"/>
      <c r="V30" s="60"/>
      <c r="W30" s="247" t="s">
        <v>453</v>
      </c>
      <c r="X30" s="258"/>
      <c r="Y30" s="256"/>
      <c r="Z30" s="256"/>
      <c r="AA30" s="256"/>
      <c r="AB30" s="256"/>
      <c r="AC30" s="60"/>
      <c r="AD30" s="247" t="s">
        <v>453</v>
      </c>
      <c r="AE30" s="258"/>
      <c r="AF30" s="256"/>
      <c r="AG30" s="256"/>
      <c r="AH30" s="256"/>
      <c r="AI30" s="256"/>
      <c r="AJ30" s="236"/>
    </row>
    <row r="31" ht="15.75" customHeight="1">
      <c r="A31" s="61"/>
      <c r="B31" s="247" t="s">
        <v>455</v>
      </c>
      <c r="C31" s="255" t="s">
        <v>571</v>
      </c>
      <c r="D31" s="256"/>
      <c r="E31" s="256"/>
      <c r="F31" s="256"/>
      <c r="G31" s="256"/>
      <c r="H31" s="60"/>
      <c r="I31" s="247" t="s">
        <v>455</v>
      </c>
      <c r="J31" s="258"/>
      <c r="K31" s="256"/>
      <c r="L31" s="256"/>
      <c r="M31" s="256"/>
      <c r="N31" s="256"/>
      <c r="O31" s="60"/>
      <c r="P31" s="247" t="s">
        <v>455</v>
      </c>
      <c r="Q31" s="258"/>
      <c r="R31" s="256"/>
      <c r="S31" s="256"/>
      <c r="T31" s="256"/>
      <c r="U31" s="256"/>
      <c r="V31" s="60"/>
      <c r="W31" s="247" t="s">
        <v>455</v>
      </c>
      <c r="X31" s="258"/>
      <c r="Y31" s="256"/>
      <c r="Z31" s="256"/>
      <c r="AA31" s="256"/>
      <c r="AB31" s="256"/>
      <c r="AC31" s="60"/>
      <c r="AD31" s="247" t="s">
        <v>455</v>
      </c>
      <c r="AE31" s="258"/>
      <c r="AF31" s="256"/>
      <c r="AG31" s="256"/>
      <c r="AH31" s="256"/>
      <c r="AI31" s="256"/>
      <c r="AJ31" s="236"/>
    </row>
    <row r="32" ht="15.75" customHeight="1">
      <c r="A32" s="61"/>
      <c r="B32" s="247" t="s">
        <v>462</v>
      </c>
      <c r="C32" s="257" t="s">
        <v>572</v>
      </c>
      <c r="D32" s="184"/>
      <c r="E32" s="184"/>
      <c r="F32" s="184"/>
      <c r="G32" s="184"/>
      <c r="H32" s="60"/>
      <c r="I32" s="247" t="s">
        <v>462</v>
      </c>
      <c r="J32" s="258"/>
      <c r="K32" s="184"/>
      <c r="L32" s="184"/>
      <c r="M32" s="184"/>
      <c r="N32" s="184"/>
      <c r="O32" s="60"/>
      <c r="P32" s="247" t="s">
        <v>462</v>
      </c>
      <c r="Q32" s="258"/>
      <c r="R32" s="184"/>
      <c r="S32" s="184"/>
      <c r="T32" s="184"/>
      <c r="U32" s="184"/>
      <c r="V32" s="60"/>
      <c r="W32" s="247" t="s">
        <v>462</v>
      </c>
      <c r="X32" s="258"/>
      <c r="Y32" s="184"/>
      <c r="Z32" s="184"/>
      <c r="AA32" s="184"/>
      <c r="AB32" s="184"/>
      <c r="AC32" s="60"/>
      <c r="AD32" s="247" t="s">
        <v>462</v>
      </c>
      <c r="AE32" s="258"/>
      <c r="AF32" s="184"/>
      <c r="AG32" s="184"/>
      <c r="AH32" s="184"/>
      <c r="AI32" s="184"/>
      <c r="AJ32" s="236"/>
    </row>
    <row r="33" ht="15.75" customHeight="1">
      <c r="A33" s="61"/>
      <c r="B33" s="260" t="s">
        <v>437</v>
      </c>
      <c r="C33" s="248" t="s">
        <v>573</v>
      </c>
      <c r="D33" s="249" t="s">
        <v>574</v>
      </c>
      <c r="E33" s="250" t="s">
        <v>575</v>
      </c>
      <c r="F33" s="250" t="s">
        <v>576</v>
      </c>
      <c r="G33" s="251" t="s">
        <v>189</v>
      </c>
      <c r="H33" s="60"/>
      <c r="I33" s="260" t="s">
        <v>437</v>
      </c>
      <c r="J33" s="261"/>
      <c r="K33" s="265"/>
      <c r="L33" s="253"/>
      <c r="M33" s="253"/>
      <c r="N33" s="265"/>
      <c r="O33" s="60"/>
      <c r="P33" s="260" t="s">
        <v>437</v>
      </c>
      <c r="Q33" s="261"/>
      <c r="R33" s="265"/>
      <c r="S33" s="253"/>
      <c r="T33" s="253"/>
      <c r="U33" s="265"/>
      <c r="V33" s="60"/>
      <c r="W33" s="260" t="s">
        <v>437</v>
      </c>
      <c r="X33" s="261"/>
      <c r="Y33" s="265"/>
      <c r="Z33" s="253"/>
      <c r="AA33" s="253"/>
      <c r="AB33" s="265"/>
      <c r="AC33" s="60"/>
      <c r="AD33" s="260" t="s">
        <v>437</v>
      </c>
      <c r="AE33" s="261"/>
      <c r="AF33" s="265"/>
      <c r="AG33" s="253"/>
      <c r="AH33" s="253"/>
      <c r="AI33" s="265"/>
      <c r="AJ33" s="236"/>
    </row>
    <row r="34" ht="15.75" customHeight="1">
      <c r="A34" s="61"/>
      <c r="B34" s="260" t="s">
        <v>453</v>
      </c>
      <c r="C34" s="255" t="s">
        <v>500</v>
      </c>
      <c r="D34" s="256"/>
      <c r="E34" s="256"/>
      <c r="F34" s="256"/>
      <c r="G34" s="256"/>
      <c r="H34" s="60"/>
      <c r="I34" s="260" t="s">
        <v>453</v>
      </c>
      <c r="J34" s="258"/>
      <c r="K34" s="256"/>
      <c r="L34" s="256"/>
      <c r="M34" s="256"/>
      <c r="N34" s="256"/>
      <c r="O34" s="60"/>
      <c r="P34" s="260" t="s">
        <v>453</v>
      </c>
      <c r="Q34" s="258"/>
      <c r="R34" s="256"/>
      <c r="S34" s="256"/>
      <c r="T34" s="256"/>
      <c r="U34" s="256"/>
      <c r="V34" s="60"/>
      <c r="W34" s="260" t="s">
        <v>453</v>
      </c>
      <c r="X34" s="258"/>
      <c r="Y34" s="256"/>
      <c r="Z34" s="256"/>
      <c r="AA34" s="256"/>
      <c r="AB34" s="256"/>
      <c r="AC34" s="60"/>
      <c r="AD34" s="260" t="s">
        <v>453</v>
      </c>
      <c r="AE34" s="258"/>
      <c r="AF34" s="256"/>
      <c r="AG34" s="256"/>
      <c r="AH34" s="256"/>
      <c r="AI34" s="256"/>
      <c r="AJ34" s="236"/>
    </row>
    <row r="35" ht="15.75" customHeight="1">
      <c r="A35" s="61"/>
      <c r="B35" s="260" t="s">
        <v>455</v>
      </c>
      <c r="C35" s="255" t="s">
        <v>577</v>
      </c>
      <c r="D35" s="256"/>
      <c r="E35" s="256"/>
      <c r="F35" s="256"/>
      <c r="G35" s="256"/>
      <c r="H35" s="60"/>
      <c r="I35" s="260" t="s">
        <v>455</v>
      </c>
      <c r="J35" s="258"/>
      <c r="K35" s="256"/>
      <c r="L35" s="256"/>
      <c r="M35" s="256"/>
      <c r="N35" s="256"/>
      <c r="O35" s="60"/>
      <c r="P35" s="260" t="s">
        <v>455</v>
      </c>
      <c r="Q35" s="258"/>
      <c r="R35" s="256"/>
      <c r="S35" s="256"/>
      <c r="T35" s="256"/>
      <c r="U35" s="256"/>
      <c r="V35" s="60"/>
      <c r="W35" s="260" t="s">
        <v>455</v>
      </c>
      <c r="X35" s="258"/>
      <c r="Y35" s="256"/>
      <c r="Z35" s="256"/>
      <c r="AA35" s="256"/>
      <c r="AB35" s="256"/>
      <c r="AC35" s="60"/>
      <c r="AD35" s="260" t="s">
        <v>455</v>
      </c>
      <c r="AE35" s="258"/>
      <c r="AF35" s="256"/>
      <c r="AG35" s="256"/>
      <c r="AH35" s="256"/>
      <c r="AI35" s="256"/>
      <c r="AJ35" s="236"/>
    </row>
    <row r="36" ht="15.75" customHeight="1">
      <c r="A36" s="61"/>
      <c r="B36" s="260" t="s">
        <v>462</v>
      </c>
      <c r="C36" s="255" t="s">
        <v>578</v>
      </c>
      <c r="D36" s="184"/>
      <c r="E36" s="184"/>
      <c r="F36" s="184"/>
      <c r="G36" s="184"/>
      <c r="H36" s="60"/>
      <c r="I36" s="260" t="s">
        <v>462</v>
      </c>
      <c r="J36" s="258"/>
      <c r="K36" s="184"/>
      <c r="L36" s="184"/>
      <c r="M36" s="184"/>
      <c r="N36" s="184"/>
      <c r="O36" s="60"/>
      <c r="P36" s="260" t="s">
        <v>462</v>
      </c>
      <c r="Q36" s="258"/>
      <c r="R36" s="184"/>
      <c r="S36" s="184"/>
      <c r="T36" s="184"/>
      <c r="U36" s="184"/>
      <c r="V36" s="60"/>
      <c r="W36" s="260" t="s">
        <v>462</v>
      </c>
      <c r="X36" s="258"/>
      <c r="Y36" s="184"/>
      <c r="Z36" s="184"/>
      <c r="AA36" s="184"/>
      <c r="AB36" s="184"/>
      <c r="AC36" s="60"/>
      <c r="AD36" s="260" t="s">
        <v>462</v>
      </c>
      <c r="AE36" s="258"/>
      <c r="AF36" s="184"/>
      <c r="AG36" s="184"/>
      <c r="AH36" s="184"/>
      <c r="AI36" s="184"/>
      <c r="AJ36" s="236"/>
    </row>
    <row r="37" ht="15.75" customHeight="1">
      <c r="A37" s="61"/>
      <c r="B37" s="247" t="s">
        <v>437</v>
      </c>
      <c r="C37" s="261" t="s">
        <v>551</v>
      </c>
      <c r="D37" s="249" t="s">
        <v>579</v>
      </c>
      <c r="E37" s="273" t="s">
        <v>580</v>
      </c>
      <c r="F37" s="273"/>
      <c r="G37" s="251" t="s">
        <v>189</v>
      </c>
      <c r="H37" s="60"/>
      <c r="I37" s="247" t="s">
        <v>437</v>
      </c>
      <c r="J37" s="261"/>
      <c r="K37" s="265"/>
      <c r="L37" s="274"/>
      <c r="M37" s="274"/>
      <c r="N37" s="275"/>
      <c r="O37" s="60"/>
      <c r="P37" s="247" t="s">
        <v>437</v>
      </c>
      <c r="Q37" s="261"/>
      <c r="R37" s="265"/>
      <c r="S37" s="274"/>
      <c r="T37" s="274"/>
      <c r="U37" s="275"/>
      <c r="V37" s="60"/>
      <c r="W37" s="247" t="s">
        <v>437</v>
      </c>
      <c r="X37" s="261"/>
      <c r="Y37" s="265"/>
      <c r="Z37" s="274"/>
      <c r="AA37" s="274"/>
      <c r="AB37" s="275"/>
      <c r="AC37" s="60"/>
      <c r="AD37" s="247" t="s">
        <v>437</v>
      </c>
      <c r="AE37" s="261"/>
      <c r="AF37" s="265"/>
      <c r="AG37" s="274"/>
      <c r="AH37" s="274"/>
      <c r="AI37" s="275"/>
      <c r="AJ37" s="236"/>
    </row>
    <row r="38" ht="15.75" customHeight="1">
      <c r="A38" s="61"/>
      <c r="B38" s="247" t="s">
        <v>453</v>
      </c>
      <c r="C38" s="255" t="s">
        <v>23</v>
      </c>
      <c r="D38" s="256"/>
      <c r="E38" s="256"/>
      <c r="F38" s="256"/>
      <c r="G38" s="256"/>
      <c r="H38" s="60"/>
      <c r="I38" s="247" t="s">
        <v>453</v>
      </c>
      <c r="J38" s="258"/>
      <c r="K38" s="256"/>
      <c r="L38" s="256"/>
      <c r="M38" s="256"/>
      <c r="N38" s="256"/>
      <c r="O38" s="60"/>
      <c r="P38" s="247" t="s">
        <v>453</v>
      </c>
      <c r="Q38" s="258"/>
      <c r="R38" s="256"/>
      <c r="S38" s="256"/>
      <c r="T38" s="256"/>
      <c r="U38" s="256"/>
      <c r="V38" s="60"/>
      <c r="W38" s="247" t="s">
        <v>453</v>
      </c>
      <c r="X38" s="258"/>
      <c r="Y38" s="256"/>
      <c r="Z38" s="256"/>
      <c r="AA38" s="256"/>
      <c r="AB38" s="256"/>
      <c r="AC38" s="60"/>
      <c r="AD38" s="247" t="s">
        <v>453</v>
      </c>
      <c r="AE38" s="258"/>
      <c r="AF38" s="256"/>
      <c r="AG38" s="256"/>
      <c r="AH38" s="256"/>
      <c r="AI38" s="256"/>
      <c r="AJ38" s="236"/>
    </row>
    <row r="39" ht="15.75" customHeight="1">
      <c r="A39" s="61"/>
      <c r="B39" s="247" t="s">
        <v>455</v>
      </c>
      <c r="C39" s="255"/>
      <c r="D39" s="256"/>
      <c r="E39" s="256"/>
      <c r="F39" s="256"/>
      <c r="G39" s="256"/>
      <c r="H39" s="60"/>
      <c r="I39" s="247" t="s">
        <v>455</v>
      </c>
      <c r="J39" s="258"/>
      <c r="K39" s="256"/>
      <c r="L39" s="256"/>
      <c r="M39" s="256"/>
      <c r="N39" s="256"/>
      <c r="O39" s="60"/>
      <c r="P39" s="247" t="s">
        <v>455</v>
      </c>
      <c r="Q39" s="258"/>
      <c r="R39" s="256"/>
      <c r="S39" s="256"/>
      <c r="T39" s="256"/>
      <c r="U39" s="256"/>
      <c r="V39" s="60"/>
      <c r="W39" s="247" t="s">
        <v>455</v>
      </c>
      <c r="X39" s="258"/>
      <c r="Y39" s="256"/>
      <c r="Z39" s="256"/>
      <c r="AA39" s="256"/>
      <c r="AB39" s="256"/>
      <c r="AC39" s="60"/>
      <c r="AD39" s="247" t="s">
        <v>455</v>
      </c>
      <c r="AE39" s="258"/>
      <c r="AF39" s="256"/>
      <c r="AG39" s="256"/>
      <c r="AH39" s="256"/>
      <c r="AI39" s="256"/>
      <c r="AJ39" s="236"/>
    </row>
    <row r="40" ht="15.75" customHeight="1">
      <c r="A40" s="61"/>
      <c r="B40" s="247" t="s">
        <v>462</v>
      </c>
      <c r="C40" s="257" t="s">
        <v>581</v>
      </c>
      <c r="D40" s="184"/>
      <c r="E40" s="184"/>
      <c r="F40" s="184"/>
      <c r="G40" s="184"/>
      <c r="H40" s="60"/>
      <c r="I40" s="247" t="s">
        <v>462</v>
      </c>
      <c r="J40" s="258"/>
      <c r="K40" s="184"/>
      <c r="L40" s="184"/>
      <c r="M40" s="184"/>
      <c r="N40" s="184"/>
      <c r="O40" s="60"/>
      <c r="P40" s="247" t="s">
        <v>462</v>
      </c>
      <c r="Q40" s="258"/>
      <c r="R40" s="184"/>
      <c r="S40" s="184"/>
      <c r="T40" s="184"/>
      <c r="U40" s="184"/>
      <c r="V40" s="60"/>
      <c r="W40" s="247" t="s">
        <v>462</v>
      </c>
      <c r="X40" s="258"/>
      <c r="Y40" s="184"/>
      <c r="Z40" s="184"/>
      <c r="AA40" s="184"/>
      <c r="AB40" s="184"/>
      <c r="AC40" s="60"/>
      <c r="AD40" s="247" t="s">
        <v>462</v>
      </c>
      <c r="AE40" s="258"/>
      <c r="AF40" s="184"/>
      <c r="AG40" s="184"/>
      <c r="AH40" s="184"/>
      <c r="AI40" s="184"/>
      <c r="AJ40" s="236"/>
    </row>
    <row r="41" ht="15.75" customHeight="1">
      <c r="A41" s="61"/>
      <c r="B41" s="260" t="s">
        <v>437</v>
      </c>
      <c r="C41" s="276"/>
      <c r="D41" s="277"/>
      <c r="E41" s="278"/>
      <c r="F41" s="278"/>
      <c r="G41" s="275"/>
      <c r="H41" s="60"/>
      <c r="I41" s="260" t="s">
        <v>437</v>
      </c>
      <c r="J41" s="276"/>
      <c r="K41" s="265"/>
      <c r="L41" s="274"/>
      <c r="M41" s="274"/>
      <c r="N41" s="275"/>
      <c r="O41" s="60"/>
      <c r="P41" s="260" t="s">
        <v>437</v>
      </c>
      <c r="Q41" s="276"/>
      <c r="R41" s="265"/>
      <c r="S41" s="274"/>
      <c r="T41" s="274"/>
      <c r="U41" s="275"/>
      <c r="V41" s="60"/>
      <c r="W41" s="260" t="s">
        <v>437</v>
      </c>
      <c r="X41" s="276"/>
      <c r="Y41" s="265"/>
      <c r="Z41" s="274"/>
      <c r="AA41" s="274"/>
      <c r="AB41" s="275"/>
      <c r="AC41" s="60"/>
      <c r="AD41" s="260" t="s">
        <v>437</v>
      </c>
      <c r="AE41" s="276"/>
      <c r="AF41" s="265"/>
      <c r="AG41" s="274"/>
      <c r="AH41" s="274"/>
      <c r="AI41" s="275"/>
      <c r="AJ41" s="236"/>
    </row>
    <row r="42" ht="15.75" customHeight="1">
      <c r="A42" s="61"/>
      <c r="B42" s="260" t="s">
        <v>453</v>
      </c>
      <c r="C42" s="258"/>
      <c r="D42" s="256"/>
      <c r="E42" s="256"/>
      <c r="F42" s="256"/>
      <c r="G42" s="256"/>
      <c r="H42" s="60"/>
      <c r="I42" s="260" t="s">
        <v>453</v>
      </c>
      <c r="J42" s="258"/>
      <c r="K42" s="256"/>
      <c r="L42" s="256"/>
      <c r="M42" s="256"/>
      <c r="N42" s="256"/>
      <c r="O42" s="60"/>
      <c r="P42" s="260" t="s">
        <v>453</v>
      </c>
      <c r="Q42" s="258"/>
      <c r="R42" s="256"/>
      <c r="S42" s="256"/>
      <c r="T42" s="256"/>
      <c r="U42" s="256"/>
      <c r="V42" s="60"/>
      <c r="W42" s="260" t="s">
        <v>453</v>
      </c>
      <c r="X42" s="258"/>
      <c r="Y42" s="256"/>
      <c r="Z42" s="256"/>
      <c r="AA42" s="256"/>
      <c r="AB42" s="256"/>
      <c r="AC42" s="60"/>
      <c r="AD42" s="260" t="s">
        <v>453</v>
      </c>
      <c r="AE42" s="258"/>
      <c r="AF42" s="256"/>
      <c r="AG42" s="256"/>
      <c r="AH42" s="256"/>
      <c r="AI42" s="256"/>
      <c r="AJ42" s="236"/>
    </row>
    <row r="43" ht="15.75" customHeight="1">
      <c r="A43" s="61"/>
      <c r="B43" s="260" t="s">
        <v>455</v>
      </c>
      <c r="C43" s="258"/>
      <c r="D43" s="256"/>
      <c r="E43" s="256"/>
      <c r="F43" s="256"/>
      <c r="G43" s="256"/>
      <c r="H43" s="60"/>
      <c r="I43" s="260" t="s">
        <v>455</v>
      </c>
      <c r="J43" s="258"/>
      <c r="K43" s="256"/>
      <c r="L43" s="256"/>
      <c r="M43" s="256"/>
      <c r="N43" s="256"/>
      <c r="O43" s="60"/>
      <c r="P43" s="260" t="s">
        <v>455</v>
      </c>
      <c r="Q43" s="258"/>
      <c r="R43" s="256"/>
      <c r="S43" s="256"/>
      <c r="T43" s="256"/>
      <c r="U43" s="256"/>
      <c r="V43" s="60"/>
      <c r="W43" s="260" t="s">
        <v>455</v>
      </c>
      <c r="X43" s="258"/>
      <c r="Y43" s="256"/>
      <c r="Z43" s="256"/>
      <c r="AA43" s="256"/>
      <c r="AB43" s="256"/>
      <c r="AC43" s="60"/>
      <c r="AD43" s="260" t="s">
        <v>455</v>
      </c>
      <c r="AE43" s="258"/>
      <c r="AF43" s="256"/>
      <c r="AG43" s="256"/>
      <c r="AH43" s="256"/>
      <c r="AI43" s="256"/>
      <c r="AJ43" s="236"/>
    </row>
    <row r="44" ht="15.75" customHeight="1">
      <c r="A44" s="61"/>
      <c r="B44" s="260" t="s">
        <v>462</v>
      </c>
      <c r="C44" s="258"/>
      <c r="D44" s="184"/>
      <c r="E44" s="184"/>
      <c r="F44" s="184"/>
      <c r="G44" s="184"/>
      <c r="H44" s="60"/>
      <c r="I44" s="260" t="s">
        <v>462</v>
      </c>
      <c r="J44" s="258"/>
      <c r="K44" s="184"/>
      <c r="L44" s="184"/>
      <c r="M44" s="184"/>
      <c r="N44" s="184"/>
      <c r="O44" s="60"/>
      <c r="P44" s="260" t="s">
        <v>462</v>
      </c>
      <c r="Q44" s="258"/>
      <c r="R44" s="184"/>
      <c r="S44" s="184"/>
      <c r="T44" s="184"/>
      <c r="U44" s="184"/>
      <c r="V44" s="60"/>
      <c r="W44" s="260" t="s">
        <v>462</v>
      </c>
      <c r="X44" s="258"/>
      <c r="Y44" s="184"/>
      <c r="Z44" s="184"/>
      <c r="AA44" s="184"/>
      <c r="AB44" s="184"/>
      <c r="AC44" s="60"/>
      <c r="AD44" s="260" t="s">
        <v>462</v>
      </c>
      <c r="AE44" s="258"/>
      <c r="AF44" s="184"/>
      <c r="AG44" s="184"/>
      <c r="AH44" s="184"/>
      <c r="AI44" s="184"/>
      <c r="AJ44" s="236"/>
    </row>
    <row r="45" ht="15.75" customHeight="1">
      <c r="A45" s="61"/>
      <c r="B45" s="247" t="s">
        <v>437</v>
      </c>
      <c r="C45" s="276"/>
      <c r="D45" s="277"/>
      <c r="E45" s="278"/>
      <c r="F45" s="278"/>
      <c r="G45" s="275"/>
      <c r="H45" s="60"/>
      <c r="I45" s="247" t="s">
        <v>437</v>
      </c>
      <c r="J45" s="276"/>
      <c r="K45" s="265"/>
      <c r="L45" s="274"/>
      <c r="M45" s="274"/>
      <c r="N45" s="275"/>
      <c r="O45" s="60"/>
      <c r="P45" s="247" t="s">
        <v>437</v>
      </c>
      <c r="Q45" s="276"/>
      <c r="R45" s="265"/>
      <c r="S45" s="274"/>
      <c r="T45" s="274"/>
      <c r="U45" s="275"/>
      <c r="V45" s="60"/>
      <c r="W45" s="247" t="s">
        <v>437</v>
      </c>
      <c r="X45" s="276"/>
      <c r="Y45" s="265"/>
      <c r="Z45" s="279" t="s">
        <v>582</v>
      </c>
      <c r="AA45" s="274"/>
      <c r="AB45" s="275"/>
      <c r="AC45" s="60"/>
      <c r="AD45" s="247" t="s">
        <v>437</v>
      </c>
      <c r="AE45" s="276"/>
      <c r="AF45" s="265"/>
      <c r="AG45" s="279" t="s">
        <v>582</v>
      </c>
      <c r="AH45" s="274"/>
      <c r="AI45" s="275"/>
      <c r="AJ45" s="236"/>
    </row>
    <row r="46" ht="15.75" customHeight="1">
      <c r="A46" s="61"/>
      <c r="B46" s="247" t="s">
        <v>453</v>
      </c>
      <c r="C46" s="258"/>
      <c r="D46" s="256"/>
      <c r="E46" s="256"/>
      <c r="F46" s="256"/>
      <c r="G46" s="256"/>
      <c r="H46" s="60"/>
      <c r="I46" s="247" t="s">
        <v>453</v>
      </c>
      <c r="J46" s="258"/>
      <c r="K46" s="256"/>
      <c r="L46" s="256"/>
      <c r="M46" s="256"/>
      <c r="N46" s="256"/>
      <c r="O46" s="60"/>
      <c r="P46" s="247" t="s">
        <v>453</v>
      </c>
      <c r="Q46" s="258"/>
      <c r="R46" s="256"/>
      <c r="S46" s="256"/>
      <c r="T46" s="256"/>
      <c r="U46" s="256"/>
      <c r="V46" s="60"/>
      <c r="W46" s="247" t="s">
        <v>453</v>
      </c>
      <c r="X46" s="258"/>
      <c r="Y46" s="256"/>
      <c r="Z46" s="256"/>
      <c r="AA46" s="256"/>
      <c r="AB46" s="256"/>
      <c r="AC46" s="60"/>
      <c r="AD46" s="247" t="s">
        <v>453</v>
      </c>
      <c r="AE46" s="258"/>
      <c r="AF46" s="256"/>
      <c r="AG46" s="256"/>
      <c r="AH46" s="256"/>
      <c r="AI46" s="256"/>
      <c r="AJ46" s="236"/>
    </row>
    <row r="47" ht="15.75" customHeight="1">
      <c r="A47" s="61"/>
      <c r="B47" s="247" t="s">
        <v>455</v>
      </c>
      <c r="C47" s="258"/>
      <c r="D47" s="256"/>
      <c r="E47" s="256"/>
      <c r="F47" s="256"/>
      <c r="G47" s="256"/>
      <c r="H47" s="60"/>
      <c r="I47" s="247" t="s">
        <v>455</v>
      </c>
      <c r="J47" s="258"/>
      <c r="K47" s="256"/>
      <c r="L47" s="256"/>
      <c r="M47" s="256"/>
      <c r="N47" s="256"/>
      <c r="O47" s="60"/>
      <c r="P47" s="247" t="s">
        <v>455</v>
      </c>
      <c r="Q47" s="258"/>
      <c r="R47" s="256"/>
      <c r="S47" s="256"/>
      <c r="T47" s="256"/>
      <c r="U47" s="256"/>
      <c r="V47" s="60"/>
      <c r="W47" s="247" t="s">
        <v>455</v>
      </c>
      <c r="X47" s="255" t="s">
        <v>583</v>
      </c>
      <c r="Y47" s="256"/>
      <c r="Z47" s="256"/>
      <c r="AA47" s="256"/>
      <c r="AB47" s="256"/>
      <c r="AC47" s="60"/>
      <c r="AD47" s="247" t="s">
        <v>455</v>
      </c>
      <c r="AE47" s="255" t="s">
        <v>583</v>
      </c>
      <c r="AF47" s="256"/>
      <c r="AG47" s="256"/>
      <c r="AH47" s="256"/>
      <c r="AI47" s="256"/>
      <c r="AJ47" s="236"/>
    </row>
    <row r="48" ht="15.75" customHeight="1">
      <c r="A48" s="61"/>
      <c r="B48" s="247" t="s">
        <v>462</v>
      </c>
      <c r="C48" s="258"/>
      <c r="D48" s="184"/>
      <c r="E48" s="184"/>
      <c r="F48" s="184"/>
      <c r="G48" s="184"/>
      <c r="H48" s="60"/>
      <c r="I48" s="247" t="s">
        <v>462</v>
      </c>
      <c r="J48" s="258"/>
      <c r="K48" s="184"/>
      <c r="L48" s="184"/>
      <c r="M48" s="184"/>
      <c r="N48" s="184"/>
      <c r="O48" s="60"/>
      <c r="P48" s="247" t="s">
        <v>462</v>
      </c>
      <c r="Q48" s="258"/>
      <c r="R48" s="184"/>
      <c r="S48" s="184"/>
      <c r="T48" s="184"/>
      <c r="U48" s="184"/>
      <c r="V48" s="60"/>
      <c r="W48" s="247" t="s">
        <v>462</v>
      </c>
      <c r="X48" s="255" t="s">
        <v>584</v>
      </c>
      <c r="Y48" s="184"/>
      <c r="Z48" s="184"/>
      <c r="AA48" s="184"/>
      <c r="AB48" s="184"/>
      <c r="AC48" s="60"/>
      <c r="AD48" s="247" t="s">
        <v>462</v>
      </c>
      <c r="AE48" s="255" t="s">
        <v>584</v>
      </c>
      <c r="AF48" s="184"/>
      <c r="AG48" s="184"/>
      <c r="AH48" s="184"/>
      <c r="AI48" s="184"/>
      <c r="AJ48" s="236"/>
    </row>
    <row r="49" ht="15.75" hidden="1" customHeight="1">
      <c r="A49" s="61"/>
      <c r="B49" s="260" t="s">
        <v>437</v>
      </c>
      <c r="C49" s="276"/>
      <c r="D49" s="277"/>
      <c r="E49" s="278"/>
      <c r="F49" s="278"/>
      <c r="G49" s="275"/>
      <c r="H49" s="60"/>
      <c r="I49" s="260" t="s">
        <v>437</v>
      </c>
      <c r="J49" s="276"/>
      <c r="K49" s="265"/>
      <c r="L49" s="274"/>
      <c r="M49" s="274"/>
      <c r="N49" s="275"/>
      <c r="O49" s="60"/>
      <c r="P49" s="260" t="s">
        <v>437</v>
      </c>
      <c r="Q49" s="276"/>
      <c r="R49" s="265"/>
      <c r="S49" s="274"/>
      <c r="T49" s="274"/>
      <c r="U49" s="275"/>
      <c r="V49" s="60"/>
      <c r="W49" s="260" t="s">
        <v>437</v>
      </c>
      <c r="X49" s="276"/>
      <c r="Y49" s="265"/>
      <c r="Z49" s="274"/>
      <c r="AA49" s="274"/>
      <c r="AB49" s="275"/>
      <c r="AC49" s="60"/>
      <c r="AD49" s="260" t="s">
        <v>437</v>
      </c>
      <c r="AE49" s="276"/>
      <c r="AF49" s="265"/>
      <c r="AG49" s="274"/>
      <c r="AH49" s="274"/>
      <c r="AI49" s="275"/>
      <c r="AJ49" s="236"/>
    </row>
    <row r="50" ht="15.75" hidden="1" customHeight="1">
      <c r="A50" s="61"/>
      <c r="B50" s="260" t="s">
        <v>453</v>
      </c>
      <c r="C50" s="258"/>
      <c r="D50" s="256"/>
      <c r="E50" s="256"/>
      <c r="F50" s="256"/>
      <c r="G50" s="256"/>
      <c r="H50" s="60"/>
      <c r="I50" s="260" t="s">
        <v>453</v>
      </c>
      <c r="J50" s="258"/>
      <c r="K50" s="256"/>
      <c r="L50" s="256"/>
      <c r="M50" s="256"/>
      <c r="N50" s="256"/>
      <c r="O50" s="60"/>
      <c r="P50" s="260" t="s">
        <v>453</v>
      </c>
      <c r="Q50" s="258"/>
      <c r="R50" s="256"/>
      <c r="S50" s="256"/>
      <c r="T50" s="256"/>
      <c r="U50" s="256"/>
      <c r="V50" s="60"/>
      <c r="W50" s="260" t="s">
        <v>453</v>
      </c>
      <c r="X50" s="258"/>
      <c r="Y50" s="256"/>
      <c r="Z50" s="256"/>
      <c r="AA50" s="256"/>
      <c r="AB50" s="256"/>
      <c r="AC50" s="60"/>
      <c r="AD50" s="260" t="s">
        <v>453</v>
      </c>
      <c r="AE50" s="258"/>
      <c r="AF50" s="256"/>
      <c r="AG50" s="256"/>
      <c r="AH50" s="256"/>
      <c r="AI50" s="256"/>
      <c r="AJ50" s="236"/>
    </row>
    <row r="51" ht="15.75" hidden="1" customHeight="1">
      <c r="A51" s="61"/>
      <c r="B51" s="260" t="s">
        <v>455</v>
      </c>
      <c r="C51" s="258"/>
      <c r="D51" s="256"/>
      <c r="E51" s="256"/>
      <c r="F51" s="256"/>
      <c r="G51" s="256"/>
      <c r="H51" s="60"/>
      <c r="I51" s="260" t="s">
        <v>455</v>
      </c>
      <c r="J51" s="258"/>
      <c r="K51" s="256"/>
      <c r="L51" s="256"/>
      <c r="M51" s="256"/>
      <c r="N51" s="256"/>
      <c r="O51" s="60"/>
      <c r="P51" s="260" t="s">
        <v>455</v>
      </c>
      <c r="Q51" s="258"/>
      <c r="R51" s="256"/>
      <c r="S51" s="256"/>
      <c r="T51" s="256"/>
      <c r="U51" s="256"/>
      <c r="V51" s="60"/>
      <c r="W51" s="260" t="s">
        <v>455</v>
      </c>
      <c r="X51" s="258"/>
      <c r="Y51" s="256"/>
      <c r="Z51" s="256"/>
      <c r="AA51" s="256"/>
      <c r="AB51" s="256"/>
      <c r="AC51" s="60"/>
      <c r="AD51" s="260" t="s">
        <v>455</v>
      </c>
      <c r="AE51" s="258"/>
      <c r="AF51" s="256"/>
      <c r="AG51" s="256"/>
      <c r="AH51" s="256"/>
      <c r="AI51" s="256"/>
      <c r="AJ51" s="236"/>
    </row>
    <row r="52" ht="15.75" hidden="1" customHeight="1">
      <c r="A52" s="61"/>
      <c r="B52" s="260" t="s">
        <v>462</v>
      </c>
      <c r="C52" s="258"/>
      <c r="D52" s="184"/>
      <c r="E52" s="184"/>
      <c r="F52" s="184"/>
      <c r="G52" s="184"/>
      <c r="H52" s="60"/>
      <c r="I52" s="260" t="s">
        <v>462</v>
      </c>
      <c r="J52" s="258"/>
      <c r="K52" s="184"/>
      <c r="L52" s="184"/>
      <c r="M52" s="184"/>
      <c r="N52" s="184"/>
      <c r="O52" s="60"/>
      <c r="P52" s="260" t="s">
        <v>462</v>
      </c>
      <c r="Q52" s="258"/>
      <c r="R52" s="184"/>
      <c r="S52" s="184"/>
      <c r="T52" s="184"/>
      <c r="U52" s="184"/>
      <c r="V52" s="60"/>
      <c r="W52" s="260" t="s">
        <v>462</v>
      </c>
      <c r="X52" s="258"/>
      <c r="Y52" s="184"/>
      <c r="Z52" s="184"/>
      <c r="AA52" s="184"/>
      <c r="AB52" s="184"/>
      <c r="AC52" s="60"/>
      <c r="AD52" s="260" t="s">
        <v>462</v>
      </c>
      <c r="AE52" s="258"/>
      <c r="AF52" s="184"/>
      <c r="AG52" s="184"/>
      <c r="AH52" s="184"/>
      <c r="AI52" s="184"/>
      <c r="AJ52" s="236"/>
    </row>
    <row r="53" ht="15.75" hidden="1" customHeight="1">
      <c r="A53" s="61"/>
      <c r="B53" s="247" t="s">
        <v>437</v>
      </c>
      <c r="C53" s="276"/>
      <c r="D53" s="277"/>
      <c r="E53" s="271"/>
      <c r="F53" s="271"/>
      <c r="G53" s="265"/>
      <c r="H53" s="60"/>
      <c r="I53" s="247" t="s">
        <v>437</v>
      </c>
      <c r="J53" s="276"/>
      <c r="K53" s="265"/>
      <c r="L53" s="253"/>
      <c r="M53" s="253"/>
      <c r="N53" s="265"/>
      <c r="O53" s="60"/>
      <c r="P53" s="247" t="s">
        <v>437</v>
      </c>
      <c r="Q53" s="276"/>
      <c r="R53" s="265"/>
      <c r="S53" s="253"/>
      <c r="T53" s="253"/>
      <c r="U53" s="265"/>
      <c r="V53" s="60"/>
      <c r="W53" s="247" t="s">
        <v>437</v>
      </c>
      <c r="X53" s="276"/>
      <c r="Y53" s="265"/>
      <c r="Z53" s="253"/>
      <c r="AA53" s="253"/>
      <c r="AB53" s="265"/>
      <c r="AC53" s="60"/>
      <c r="AD53" s="247" t="s">
        <v>437</v>
      </c>
      <c r="AE53" s="276"/>
      <c r="AF53" s="265"/>
      <c r="AG53" s="253"/>
      <c r="AH53" s="253"/>
      <c r="AI53" s="265"/>
      <c r="AJ53" s="236"/>
    </row>
    <row r="54" ht="15.75" hidden="1" customHeight="1">
      <c r="A54" s="61"/>
      <c r="B54" s="247" t="s">
        <v>453</v>
      </c>
      <c r="C54" s="258"/>
      <c r="D54" s="256"/>
      <c r="E54" s="256"/>
      <c r="F54" s="256"/>
      <c r="G54" s="256"/>
      <c r="H54" s="60"/>
      <c r="I54" s="247" t="s">
        <v>453</v>
      </c>
      <c r="J54" s="258"/>
      <c r="K54" s="256"/>
      <c r="L54" s="256"/>
      <c r="M54" s="256"/>
      <c r="N54" s="256"/>
      <c r="O54" s="60"/>
      <c r="P54" s="247" t="s">
        <v>453</v>
      </c>
      <c r="Q54" s="258"/>
      <c r="R54" s="256"/>
      <c r="S54" s="256"/>
      <c r="T54" s="256"/>
      <c r="U54" s="256"/>
      <c r="V54" s="60"/>
      <c r="W54" s="247" t="s">
        <v>453</v>
      </c>
      <c r="X54" s="258"/>
      <c r="Y54" s="256"/>
      <c r="Z54" s="256"/>
      <c r="AA54" s="256"/>
      <c r="AB54" s="256"/>
      <c r="AC54" s="60"/>
      <c r="AD54" s="247" t="s">
        <v>453</v>
      </c>
      <c r="AE54" s="258"/>
      <c r="AF54" s="256"/>
      <c r="AG54" s="256"/>
      <c r="AH54" s="256"/>
      <c r="AI54" s="256"/>
      <c r="AJ54" s="236"/>
    </row>
    <row r="55" ht="15.75" hidden="1" customHeight="1">
      <c r="A55" s="61"/>
      <c r="B55" s="247" t="s">
        <v>455</v>
      </c>
      <c r="C55" s="258"/>
      <c r="D55" s="256"/>
      <c r="E55" s="256"/>
      <c r="F55" s="256"/>
      <c r="G55" s="256"/>
      <c r="H55" s="60"/>
      <c r="I55" s="247" t="s">
        <v>455</v>
      </c>
      <c r="J55" s="258"/>
      <c r="K55" s="256"/>
      <c r="L55" s="256"/>
      <c r="M55" s="256"/>
      <c r="N55" s="256"/>
      <c r="O55" s="60"/>
      <c r="P55" s="247" t="s">
        <v>455</v>
      </c>
      <c r="Q55" s="258"/>
      <c r="R55" s="256"/>
      <c r="S55" s="256"/>
      <c r="T55" s="256"/>
      <c r="U55" s="256"/>
      <c r="V55" s="60"/>
      <c r="W55" s="247" t="s">
        <v>455</v>
      </c>
      <c r="X55" s="258"/>
      <c r="Y55" s="256"/>
      <c r="Z55" s="256"/>
      <c r="AA55" s="256"/>
      <c r="AB55" s="256"/>
      <c r="AC55" s="60"/>
      <c r="AD55" s="247" t="s">
        <v>455</v>
      </c>
      <c r="AE55" s="258"/>
      <c r="AF55" s="256"/>
      <c r="AG55" s="256"/>
      <c r="AH55" s="256"/>
      <c r="AI55" s="256"/>
      <c r="AJ55" s="236"/>
    </row>
    <row r="56" ht="15.75" hidden="1" customHeight="1">
      <c r="A56" s="61"/>
      <c r="B56" s="247" t="s">
        <v>462</v>
      </c>
      <c r="C56" s="258"/>
      <c r="D56" s="184"/>
      <c r="E56" s="184"/>
      <c r="F56" s="184"/>
      <c r="G56" s="184"/>
      <c r="H56" s="60"/>
      <c r="I56" s="247" t="s">
        <v>462</v>
      </c>
      <c r="J56" s="258"/>
      <c r="K56" s="184"/>
      <c r="L56" s="184"/>
      <c r="M56" s="184"/>
      <c r="N56" s="184"/>
      <c r="O56" s="60"/>
      <c r="P56" s="247" t="s">
        <v>462</v>
      </c>
      <c r="Q56" s="258"/>
      <c r="R56" s="184"/>
      <c r="S56" s="184"/>
      <c r="T56" s="184"/>
      <c r="U56" s="184"/>
      <c r="V56" s="60"/>
      <c r="W56" s="247" t="s">
        <v>462</v>
      </c>
      <c r="X56" s="258"/>
      <c r="Y56" s="184"/>
      <c r="Z56" s="184"/>
      <c r="AA56" s="184"/>
      <c r="AB56" s="184"/>
      <c r="AC56" s="60"/>
      <c r="AD56" s="247" t="s">
        <v>462</v>
      </c>
      <c r="AE56" s="258"/>
      <c r="AF56" s="184"/>
      <c r="AG56" s="184"/>
      <c r="AH56" s="184"/>
      <c r="AI56" s="184"/>
      <c r="AJ56" s="236"/>
    </row>
    <row r="57" ht="15.75" hidden="1" customHeight="1">
      <c r="A57" s="61"/>
      <c r="B57" s="260" t="s">
        <v>437</v>
      </c>
      <c r="C57" s="276"/>
      <c r="D57" s="277"/>
      <c r="E57" s="271"/>
      <c r="F57" s="271"/>
      <c r="G57" s="265"/>
      <c r="H57" s="60"/>
      <c r="I57" s="260" t="s">
        <v>437</v>
      </c>
      <c r="J57" s="276"/>
      <c r="K57" s="265"/>
      <c r="L57" s="253"/>
      <c r="M57" s="253"/>
      <c r="N57" s="265"/>
      <c r="O57" s="60"/>
      <c r="P57" s="260" t="s">
        <v>437</v>
      </c>
      <c r="Q57" s="276"/>
      <c r="R57" s="265"/>
      <c r="S57" s="253"/>
      <c r="T57" s="253"/>
      <c r="U57" s="265"/>
      <c r="V57" s="60"/>
      <c r="W57" s="260" t="s">
        <v>437</v>
      </c>
      <c r="X57" s="276"/>
      <c r="Y57" s="265"/>
      <c r="Z57" s="253"/>
      <c r="AA57" s="253"/>
      <c r="AB57" s="265"/>
      <c r="AC57" s="60"/>
      <c r="AD57" s="260" t="s">
        <v>437</v>
      </c>
      <c r="AE57" s="276"/>
      <c r="AF57" s="265"/>
      <c r="AG57" s="253"/>
      <c r="AH57" s="253"/>
      <c r="AI57" s="265"/>
      <c r="AJ57" s="236"/>
    </row>
    <row r="58" ht="15.75" hidden="1" customHeight="1">
      <c r="A58" s="61"/>
      <c r="B58" s="260" t="s">
        <v>453</v>
      </c>
      <c r="C58" s="258"/>
      <c r="D58" s="256"/>
      <c r="E58" s="256"/>
      <c r="F58" s="256"/>
      <c r="G58" s="256"/>
      <c r="H58" s="60"/>
      <c r="I58" s="260" t="s">
        <v>453</v>
      </c>
      <c r="J58" s="258"/>
      <c r="K58" s="256"/>
      <c r="L58" s="256"/>
      <c r="M58" s="256"/>
      <c r="N58" s="256"/>
      <c r="O58" s="60"/>
      <c r="P58" s="260" t="s">
        <v>453</v>
      </c>
      <c r="Q58" s="258"/>
      <c r="R58" s="256"/>
      <c r="S58" s="256"/>
      <c r="T58" s="256"/>
      <c r="U58" s="256"/>
      <c r="V58" s="60"/>
      <c r="W58" s="260" t="s">
        <v>453</v>
      </c>
      <c r="X58" s="258"/>
      <c r="Y58" s="256"/>
      <c r="Z58" s="256"/>
      <c r="AA58" s="256"/>
      <c r="AB58" s="256"/>
      <c r="AC58" s="60"/>
      <c r="AD58" s="260" t="s">
        <v>453</v>
      </c>
      <c r="AE58" s="258"/>
      <c r="AF58" s="256"/>
      <c r="AG58" s="256"/>
      <c r="AH58" s="256"/>
      <c r="AI58" s="256"/>
      <c r="AJ58" s="236"/>
    </row>
    <row r="59" ht="15.75" hidden="1" customHeight="1">
      <c r="A59" s="61"/>
      <c r="B59" s="260" t="s">
        <v>455</v>
      </c>
      <c r="C59" s="258"/>
      <c r="D59" s="256"/>
      <c r="E59" s="256"/>
      <c r="F59" s="256"/>
      <c r="G59" s="256"/>
      <c r="H59" s="60"/>
      <c r="I59" s="260" t="s">
        <v>455</v>
      </c>
      <c r="J59" s="258"/>
      <c r="K59" s="256"/>
      <c r="L59" s="256"/>
      <c r="M59" s="256"/>
      <c r="N59" s="256"/>
      <c r="O59" s="60"/>
      <c r="P59" s="260" t="s">
        <v>455</v>
      </c>
      <c r="Q59" s="258"/>
      <c r="R59" s="256"/>
      <c r="S59" s="256"/>
      <c r="T59" s="256"/>
      <c r="U59" s="256"/>
      <c r="V59" s="60"/>
      <c r="W59" s="260" t="s">
        <v>455</v>
      </c>
      <c r="X59" s="258"/>
      <c r="Y59" s="256"/>
      <c r="Z59" s="256"/>
      <c r="AA59" s="256"/>
      <c r="AB59" s="256"/>
      <c r="AC59" s="60"/>
      <c r="AD59" s="260" t="s">
        <v>455</v>
      </c>
      <c r="AE59" s="258"/>
      <c r="AF59" s="256"/>
      <c r="AG59" s="256"/>
      <c r="AH59" s="256"/>
      <c r="AI59" s="256"/>
      <c r="AJ59" s="236"/>
    </row>
    <row r="60" ht="15.75" hidden="1" customHeight="1">
      <c r="A60" s="61"/>
      <c r="B60" s="260" t="s">
        <v>462</v>
      </c>
      <c r="C60" s="258"/>
      <c r="D60" s="184"/>
      <c r="E60" s="184"/>
      <c r="F60" s="184"/>
      <c r="G60" s="184"/>
      <c r="H60" s="60"/>
      <c r="I60" s="260" t="s">
        <v>462</v>
      </c>
      <c r="J60" s="258"/>
      <c r="K60" s="184"/>
      <c r="L60" s="184"/>
      <c r="M60" s="184"/>
      <c r="N60" s="184"/>
      <c r="O60" s="60"/>
      <c r="P60" s="260" t="s">
        <v>462</v>
      </c>
      <c r="Q60" s="258"/>
      <c r="R60" s="184"/>
      <c r="S60" s="184"/>
      <c r="T60" s="184"/>
      <c r="U60" s="184"/>
      <c r="V60" s="60"/>
      <c r="W60" s="260" t="s">
        <v>462</v>
      </c>
      <c r="X60" s="258"/>
      <c r="Y60" s="184"/>
      <c r="Z60" s="184"/>
      <c r="AA60" s="184"/>
      <c r="AB60" s="184"/>
      <c r="AC60" s="60"/>
      <c r="AD60" s="260" t="s">
        <v>462</v>
      </c>
      <c r="AE60" s="258"/>
      <c r="AF60" s="184"/>
      <c r="AG60" s="184"/>
      <c r="AH60" s="184"/>
      <c r="AI60" s="184"/>
      <c r="AJ60" s="236"/>
    </row>
    <row r="61">
      <c r="A61" s="61"/>
      <c r="B61" s="60"/>
      <c r="C61" s="236"/>
      <c r="D61" s="236"/>
      <c r="E61" s="60"/>
      <c r="F61" s="60"/>
      <c r="G61" s="236"/>
      <c r="H61" s="60"/>
      <c r="I61" s="60"/>
      <c r="J61" s="236"/>
      <c r="K61" s="236"/>
      <c r="L61" s="60"/>
      <c r="M61" s="60"/>
      <c r="N61" s="236"/>
      <c r="O61" s="60"/>
      <c r="P61" s="60"/>
      <c r="Q61" s="236"/>
      <c r="R61" s="236"/>
      <c r="S61" s="60"/>
      <c r="T61" s="60"/>
      <c r="U61" s="236"/>
      <c r="V61" s="60"/>
      <c r="W61" s="60"/>
      <c r="X61" s="236"/>
      <c r="Y61" s="236"/>
      <c r="Z61" s="60"/>
      <c r="AA61" s="60"/>
      <c r="AB61" s="236"/>
      <c r="AC61" s="60"/>
      <c r="AD61" s="60"/>
      <c r="AE61" s="236"/>
      <c r="AF61" s="236"/>
      <c r="AG61" s="60"/>
      <c r="AH61" s="60"/>
      <c r="AI61" s="236"/>
      <c r="AJ61" s="236"/>
    </row>
    <row r="62">
      <c r="A62" s="61"/>
      <c r="B62" s="60"/>
      <c r="C62" s="236"/>
      <c r="D62" s="236"/>
      <c r="E62" s="60"/>
      <c r="F62" s="60"/>
      <c r="G62" s="236"/>
      <c r="H62" s="60"/>
      <c r="I62" s="60"/>
      <c r="J62" s="236"/>
      <c r="K62" s="236"/>
      <c r="L62" s="60"/>
      <c r="M62" s="60"/>
      <c r="N62" s="236"/>
      <c r="O62" s="60"/>
      <c r="P62" s="60"/>
      <c r="Q62" s="236"/>
      <c r="R62" s="236"/>
      <c r="S62" s="60"/>
      <c r="T62" s="60"/>
      <c r="U62" s="236"/>
      <c r="V62" s="60"/>
      <c r="W62" s="60"/>
      <c r="X62" s="236"/>
      <c r="Y62" s="236"/>
      <c r="Z62" s="60"/>
      <c r="AA62" s="60"/>
      <c r="AB62" s="236"/>
      <c r="AC62" s="60"/>
      <c r="AD62" s="60"/>
      <c r="AE62" s="236"/>
      <c r="AF62" s="236"/>
      <c r="AG62" s="60"/>
      <c r="AH62" s="60"/>
      <c r="AI62" s="236"/>
      <c r="AJ62" s="236"/>
    </row>
    <row r="63">
      <c r="A63" s="61"/>
      <c r="B63" s="280" t="s">
        <v>12</v>
      </c>
      <c r="C63" s="281" t="s">
        <v>585</v>
      </c>
      <c r="D63" s="44"/>
      <c r="E63" s="60"/>
      <c r="F63" s="60"/>
      <c r="G63" s="236"/>
      <c r="H63" s="60"/>
      <c r="I63" s="280" t="s">
        <v>12</v>
      </c>
      <c r="J63" s="281" t="s">
        <v>585</v>
      </c>
      <c r="K63" s="44"/>
      <c r="L63" s="60"/>
      <c r="M63" s="60"/>
      <c r="N63" s="236"/>
      <c r="O63" s="60"/>
      <c r="P63" s="280" t="s">
        <v>12</v>
      </c>
      <c r="Q63" s="281" t="s">
        <v>585</v>
      </c>
      <c r="R63" s="44"/>
      <c r="S63" s="60"/>
      <c r="T63" s="60"/>
      <c r="U63" s="236"/>
      <c r="V63" s="60"/>
      <c r="W63" s="280" t="s">
        <v>12</v>
      </c>
      <c r="X63" s="281" t="s">
        <v>585</v>
      </c>
      <c r="Y63" s="44"/>
      <c r="Z63" s="60"/>
      <c r="AA63" s="60"/>
      <c r="AB63" s="236"/>
      <c r="AC63" s="60"/>
      <c r="AD63" s="280" t="s">
        <v>12</v>
      </c>
      <c r="AE63" s="281" t="s">
        <v>585</v>
      </c>
      <c r="AF63" s="44"/>
      <c r="AG63" s="60"/>
      <c r="AH63" s="60"/>
      <c r="AI63" s="236"/>
      <c r="AJ63" s="236"/>
    </row>
    <row r="64">
      <c r="A64" s="61"/>
      <c r="B64" s="282" t="s">
        <v>427</v>
      </c>
      <c r="C64" s="281" t="s">
        <v>586</v>
      </c>
      <c r="D64" s="44"/>
      <c r="E64" s="60"/>
      <c r="F64" s="60"/>
      <c r="G64" s="236"/>
      <c r="H64" s="60"/>
      <c r="I64" s="282" t="s">
        <v>427</v>
      </c>
      <c r="J64" s="281" t="s">
        <v>429</v>
      </c>
      <c r="K64" s="44"/>
      <c r="L64" s="60"/>
      <c r="M64" s="60"/>
      <c r="N64" s="236"/>
      <c r="O64" s="60"/>
      <c r="P64" s="282" t="s">
        <v>427</v>
      </c>
      <c r="Q64" s="281" t="s">
        <v>430</v>
      </c>
      <c r="R64" s="44"/>
      <c r="S64" s="60"/>
      <c r="T64" s="60"/>
      <c r="U64" s="236"/>
      <c r="V64" s="60"/>
      <c r="W64" s="282" t="s">
        <v>427</v>
      </c>
      <c r="X64" s="281" t="s">
        <v>431</v>
      </c>
      <c r="Y64" s="44"/>
      <c r="Z64" s="60"/>
      <c r="AA64" s="60"/>
      <c r="AB64" s="236"/>
      <c r="AC64" s="60"/>
      <c r="AD64" s="282" t="s">
        <v>427</v>
      </c>
      <c r="AE64" s="281" t="s">
        <v>587</v>
      </c>
      <c r="AF64" s="44"/>
      <c r="AG64" s="60"/>
      <c r="AH64" s="60"/>
      <c r="AI64" s="236"/>
      <c r="AJ64" s="236"/>
    </row>
    <row r="65">
      <c r="A65" s="61"/>
      <c r="B65" s="243" t="s">
        <v>390</v>
      </c>
      <c r="C65" s="184"/>
      <c r="D65" s="244" t="s">
        <v>432</v>
      </c>
      <c r="E65" s="244" t="s">
        <v>433</v>
      </c>
      <c r="F65" s="245" t="s">
        <v>588</v>
      </c>
      <c r="G65" s="245" t="s">
        <v>435</v>
      </c>
      <c r="H65" s="60"/>
      <c r="I65" s="243" t="s">
        <v>390</v>
      </c>
      <c r="J65" s="184"/>
      <c r="K65" s="244" t="s">
        <v>432</v>
      </c>
      <c r="L65" s="244" t="s">
        <v>433</v>
      </c>
      <c r="M65" s="244" t="s">
        <v>436</v>
      </c>
      <c r="N65" s="245" t="s">
        <v>435</v>
      </c>
      <c r="O65" s="60"/>
      <c r="P65" s="243" t="s">
        <v>390</v>
      </c>
      <c r="Q65" s="184"/>
      <c r="R65" s="244" t="s">
        <v>432</v>
      </c>
      <c r="S65" s="244" t="s">
        <v>433</v>
      </c>
      <c r="T65" s="244" t="s">
        <v>436</v>
      </c>
      <c r="U65" s="245" t="s">
        <v>435</v>
      </c>
      <c r="V65" s="60"/>
      <c r="W65" s="243" t="s">
        <v>390</v>
      </c>
      <c r="X65" s="184"/>
      <c r="Y65" s="244" t="s">
        <v>432</v>
      </c>
      <c r="Z65" s="244" t="s">
        <v>433</v>
      </c>
      <c r="AA65" s="244" t="s">
        <v>436</v>
      </c>
      <c r="AB65" s="245" t="s">
        <v>435</v>
      </c>
      <c r="AC65" s="60"/>
      <c r="AD65" s="243" t="s">
        <v>390</v>
      </c>
      <c r="AE65" s="184"/>
      <c r="AF65" s="244" t="s">
        <v>432</v>
      </c>
      <c r="AG65" s="244" t="s">
        <v>433</v>
      </c>
      <c r="AH65" s="244" t="s">
        <v>436</v>
      </c>
      <c r="AI65" s="245" t="s">
        <v>435</v>
      </c>
      <c r="AJ65" s="236"/>
    </row>
    <row r="66">
      <c r="A66" s="61"/>
      <c r="B66" s="247" t="s">
        <v>437</v>
      </c>
      <c r="C66" s="248" t="s">
        <v>589</v>
      </c>
      <c r="D66" s="249"/>
      <c r="E66" s="250"/>
      <c r="F66" s="268" t="s">
        <v>590</v>
      </c>
      <c r="G66" s="251"/>
      <c r="H66" s="60"/>
      <c r="I66" s="247" t="s">
        <v>437</v>
      </c>
      <c r="J66" s="248" t="s">
        <v>438</v>
      </c>
      <c r="K66" s="251"/>
      <c r="L66" s="252"/>
      <c r="M66" s="253"/>
      <c r="N66" s="251"/>
      <c r="O66" s="60"/>
      <c r="P66" s="247" t="s">
        <v>437</v>
      </c>
      <c r="Q66" s="248" t="s">
        <v>591</v>
      </c>
      <c r="R66" s="251" t="s">
        <v>592</v>
      </c>
      <c r="S66" s="252"/>
      <c r="T66" s="253"/>
      <c r="U66" s="251" t="s">
        <v>189</v>
      </c>
      <c r="V66" s="60"/>
      <c r="W66" s="247" t="s">
        <v>437</v>
      </c>
      <c r="X66" s="263">
        <v>0.4166666666666667</v>
      </c>
      <c r="Y66" s="251" t="s">
        <v>443</v>
      </c>
      <c r="Z66" s="253"/>
      <c r="AA66" s="253"/>
      <c r="AB66" s="251"/>
      <c r="AC66" s="60"/>
      <c r="AD66" s="247" t="s">
        <v>437</v>
      </c>
      <c r="AE66" s="248" t="s">
        <v>438</v>
      </c>
      <c r="AF66" s="251" t="s">
        <v>593</v>
      </c>
      <c r="AG66" s="252" t="s">
        <v>594</v>
      </c>
      <c r="AH66" s="252"/>
      <c r="AI66" s="251"/>
      <c r="AJ66" s="236"/>
    </row>
    <row r="67">
      <c r="A67" s="61"/>
      <c r="B67" s="247" t="s">
        <v>453</v>
      </c>
      <c r="C67" s="255" t="s">
        <v>21</v>
      </c>
      <c r="D67" s="256"/>
      <c r="E67" s="256"/>
      <c r="F67" s="256"/>
      <c r="G67" s="256"/>
      <c r="H67" s="60"/>
      <c r="I67" s="247" t="s">
        <v>453</v>
      </c>
      <c r="J67" s="255"/>
      <c r="K67" s="256"/>
      <c r="L67" s="256"/>
      <c r="M67" s="256"/>
      <c r="N67" s="256"/>
      <c r="O67" s="60"/>
      <c r="P67" s="247" t="s">
        <v>453</v>
      </c>
      <c r="Q67" s="255" t="s">
        <v>109</v>
      </c>
      <c r="R67" s="256"/>
      <c r="S67" s="252"/>
      <c r="T67" s="256"/>
      <c r="U67" s="256"/>
      <c r="V67" s="60"/>
      <c r="W67" s="247" t="s">
        <v>453</v>
      </c>
      <c r="X67" s="255" t="s">
        <v>37</v>
      </c>
      <c r="Y67" s="256"/>
      <c r="Z67" s="256"/>
      <c r="AA67" s="256"/>
      <c r="AB67" s="256"/>
      <c r="AC67" s="60"/>
      <c r="AD67" s="247" t="s">
        <v>453</v>
      </c>
      <c r="AE67" s="255"/>
      <c r="AF67" s="256"/>
      <c r="AG67" s="256"/>
      <c r="AH67" s="256"/>
      <c r="AI67" s="256"/>
      <c r="AJ67" s="236"/>
    </row>
    <row r="68">
      <c r="A68" s="61"/>
      <c r="B68" s="247" t="s">
        <v>455</v>
      </c>
      <c r="C68" s="255"/>
      <c r="D68" s="256"/>
      <c r="E68" s="256"/>
      <c r="F68" s="256"/>
      <c r="G68" s="256"/>
      <c r="H68" s="60"/>
      <c r="I68" s="247" t="s">
        <v>455</v>
      </c>
      <c r="J68" s="255"/>
      <c r="K68" s="256"/>
      <c r="L68" s="256"/>
      <c r="M68" s="256"/>
      <c r="N68" s="256"/>
      <c r="O68" s="60"/>
      <c r="P68" s="247" t="s">
        <v>455</v>
      </c>
      <c r="Q68" s="255" t="s">
        <v>595</v>
      </c>
      <c r="R68" s="256"/>
      <c r="S68" s="252"/>
      <c r="T68" s="256"/>
      <c r="U68" s="256"/>
      <c r="V68" s="60"/>
      <c r="W68" s="247" t="s">
        <v>455</v>
      </c>
      <c r="X68" s="255"/>
      <c r="Y68" s="256"/>
      <c r="Z68" s="256"/>
      <c r="AA68" s="256"/>
      <c r="AB68" s="256"/>
      <c r="AC68" s="60"/>
      <c r="AD68" s="247" t="s">
        <v>455</v>
      </c>
      <c r="AE68" s="255"/>
      <c r="AF68" s="256"/>
      <c r="AG68" s="256"/>
      <c r="AH68" s="256"/>
      <c r="AI68" s="256"/>
      <c r="AJ68" s="236"/>
    </row>
    <row r="69">
      <c r="A69" s="61"/>
      <c r="B69" s="247" t="s">
        <v>462</v>
      </c>
      <c r="C69" s="257"/>
      <c r="D69" s="184"/>
      <c r="E69" s="184"/>
      <c r="F69" s="184"/>
      <c r="G69" s="184"/>
      <c r="H69" s="60"/>
      <c r="I69" s="247" t="s">
        <v>462</v>
      </c>
      <c r="J69" s="255"/>
      <c r="K69" s="184"/>
      <c r="L69" s="184"/>
      <c r="M69" s="184"/>
      <c r="N69" s="184"/>
      <c r="O69" s="60"/>
      <c r="P69" s="247" t="s">
        <v>462</v>
      </c>
      <c r="Q69" s="255" t="s">
        <v>596</v>
      </c>
      <c r="R69" s="184"/>
      <c r="S69" s="259"/>
      <c r="T69" s="184"/>
      <c r="U69" s="184"/>
      <c r="V69" s="60"/>
      <c r="W69" s="247" t="s">
        <v>462</v>
      </c>
      <c r="X69" s="255"/>
      <c r="Y69" s="184"/>
      <c r="Z69" s="184"/>
      <c r="AA69" s="184"/>
      <c r="AB69" s="184"/>
      <c r="AC69" s="60"/>
      <c r="AD69" s="247" t="s">
        <v>462</v>
      </c>
      <c r="AE69" s="255"/>
      <c r="AF69" s="184"/>
      <c r="AG69" s="184"/>
      <c r="AH69" s="184"/>
      <c r="AI69" s="184"/>
      <c r="AJ69" s="236"/>
    </row>
    <row r="70">
      <c r="A70" s="61"/>
      <c r="B70" s="260" t="s">
        <v>437</v>
      </c>
      <c r="C70" s="248" t="s">
        <v>468</v>
      </c>
      <c r="D70" s="249"/>
      <c r="E70" s="250"/>
      <c r="F70" s="268" t="s">
        <v>590</v>
      </c>
      <c r="G70" s="251"/>
      <c r="H70" s="60"/>
      <c r="I70" s="260" t="s">
        <v>437</v>
      </c>
      <c r="J70" s="248" t="s">
        <v>597</v>
      </c>
      <c r="K70" s="251"/>
      <c r="L70" s="252"/>
      <c r="M70" s="253"/>
      <c r="N70" s="251"/>
      <c r="O70" s="60"/>
      <c r="P70" s="260" t="s">
        <v>437</v>
      </c>
      <c r="Q70" s="248" t="s">
        <v>598</v>
      </c>
      <c r="R70" s="251" t="s">
        <v>599</v>
      </c>
      <c r="S70" s="252"/>
      <c r="T70" s="253"/>
      <c r="U70" s="251" t="s">
        <v>189</v>
      </c>
      <c r="V70" s="60"/>
      <c r="W70" s="260" t="s">
        <v>437</v>
      </c>
      <c r="X70" s="263">
        <v>0.4791666666666667</v>
      </c>
      <c r="Y70" s="283" t="s">
        <v>600</v>
      </c>
      <c r="Z70" s="252"/>
      <c r="AA70" s="253"/>
      <c r="AB70" s="251"/>
      <c r="AC70" s="60"/>
      <c r="AD70" s="260" t="s">
        <v>437</v>
      </c>
      <c r="AE70" s="248"/>
      <c r="AF70" s="251"/>
      <c r="AG70" s="252"/>
      <c r="AH70" s="252"/>
      <c r="AI70" s="251"/>
      <c r="AJ70" s="236"/>
    </row>
    <row r="71">
      <c r="A71" s="61"/>
      <c r="B71" s="260" t="s">
        <v>453</v>
      </c>
      <c r="C71" s="255" t="s">
        <v>21</v>
      </c>
      <c r="D71" s="256"/>
      <c r="E71" s="256"/>
      <c r="F71" s="256"/>
      <c r="G71" s="256"/>
      <c r="H71" s="60"/>
      <c r="I71" s="260" t="s">
        <v>453</v>
      </c>
      <c r="J71" s="255"/>
      <c r="K71" s="256"/>
      <c r="L71" s="256"/>
      <c r="M71" s="256"/>
      <c r="N71" s="256"/>
      <c r="O71" s="60"/>
      <c r="P71" s="260" t="s">
        <v>453</v>
      </c>
      <c r="Q71" s="255" t="s">
        <v>109</v>
      </c>
      <c r="R71" s="256"/>
      <c r="S71" s="256"/>
      <c r="T71" s="256"/>
      <c r="U71" s="256"/>
      <c r="V71" s="60"/>
      <c r="W71" s="260" t="s">
        <v>453</v>
      </c>
      <c r="X71" s="255" t="s">
        <v>38</v>
      </c>
      <c r="Y71" s="256"/>
      <c r="Z71" s="256"/>
      <c r="AA71" s="256"/>
      <c r="AB71" s="256"/>
      <c r="AC71" s="60"/>
      <c r="AD71" s="260" t="s">
        <v>453</v>
      </c>
      <c r="AE71" s="255"/>
      <c r="AF71" s="256"/>
      <c r="AG71" s="256"/>
      <c r="AH71" s="256"/>
      <c r="AI71" s="256"/>
      <c r="AJ71" s="236"/>
    </row>
    <row r="72">
      <c r="A72" s="61"/>
      <c r="B72" s="260" t="s">
        <v>455</v>
      </c>
      <c r="C72" s="258"/>
      <c r="D72" s="256"/>
      <c r="E72" s="256"/>
      <c r="F72" s="256"/>
      <c r="G72" s="256"/>
      <c r="H72" s="60"/>
      <c r="I72" s="260" t="s">
        <v>455</v>
      </c>
      <c r="J72" s="255"/>
      <c r="K72" s="256"/>
      <c r="L72" s="256"/>
      <c r="M72" s="256"/>
      <c r="N72" s="256"/>
      <c r="O72" s="60"/>
      <c r="P72" s="260" t="s">
        <v>455</v>
      </c>
      <c r="Q72" s="255" t="s">
        <v>601</v>
      </c>
      <c r="R72" s="256"/>
      <c r="S72" s="256"/>
      <c r="T72" s="256"/>
      <c r="U72" s="256"/>
      <c r="V72" s="60"/>
      <c r="W72" s="260" t="s">
        <v>455</v>
      </c>
      <c r="X72" s="258"/>
      <c r="Y72" s="256"/>
      <c r="Z72" s="256"/>
      <c r="AA72" s="256"/>
      <c r="AB72" s="256"/>
      <c r="AC72" s="60"/>
      <c r="AD72" s="260" t="s">
        <v>455</v>
      </c>
      <c r="AE72" s="258"/>
      <c r="AF72" s="256"/>
      <c r="AG72" s="256"/>
      <c r="AH72" s="256"/>
      <c r="AI72" s="256"/>
      <c r="AJ72" s="236"/>
    </row>
    <row r="73">
      <c r="A73" s="61"/>
      <c r="B73" s="260" t="s">
        <v>462</v>
      </c>
      <c r="C73" s="284"/>
      <c r="D73" s="184"/>
      <c r="E73" s="184"/>
      <c r="F73" s="184"/>
      <c r="G73" s="184"/>
      <c r="H73" s="60"/>
      <c r="I73" s="260" t="s">
        <v>462</v>
      </c>
      <c r="J73" s="255"/>
      <c r="K73" s="184"/>
      <c r="L73" s="184"/>
      <c r="M73" s="184"/>
      <c r="N73" s="184"/>
      <c r="O73" s="60"/>
      <c r="P73" s="260" t="s">
        <v>462</v>
      </c>
      <c r="Q73" s="255"/>
      <c r="R73" s="184"/>
      <c r="S73" s="184"/>
      <c r="T73" s="184"/>
      <c r="U73" s="184"/>
      <c r="V73" s="60"/>
      <c r="W73" s="260" t="s">
        <v>462</v>
      </c>
      <c r="X73" s="258"/>
      <c r="Y73" s="184"/>
      <c r="Z73" s="184"/>
      <c r="AA73" s="184"/>
      <c r="AB73" s="184"/>
      <c r="AC73" s="60"/>
      <c r="AD73" s="260" t="s">
        <v>462</v>
      </c>
      <c r="AE73" s="258"/>
      <c r="AF73" s="184"/>
      <c r="AG73" s="184"/>
      <c r="AH73" s="184"/>
      <c r="AI73" s="184"/>
      <c r="AJ73" s="236"/>
    </row>
    <row r="74">
      <c r="A74" s="61"/>
      <c r="B74" s="247" t="s">
        <v>437</v>
      </c>
      <c r="C74" s="272" t="s">
        <v>602</v>
      </c>
      <c r="D74" s="249" t="s">
        <v>603</v>
      </c>
      <c r="E74" s="250" t="s">
        <v>604</v>
      </c>
      <c r="F74" s="268" t="s">
        <v>605</v>
      </c>
      <c r="G74" s="251" t="s">
        <v>189</v>
      </c>
      <c r="H74" s="60"/>
      <c r="I74" s="247" t="s">
        <v>437</v>
      </c>
      <c r="J74" s="248" t="s">
        <v>510</v>
      </c>
      <c r="K74" s="251"/>
      <c r="L74" s="252"/>
      <c r="M74" s="253"/>
      <c r="N74" s="251"/>
      <c r="O74" s="60"/>
      <c r="P74" s="247" t="s">
        <v>437</v>
      </c>
      <c r="Q74" s="248" t="s">
        <v>606</v>
      </c>
      <c r="R74" s="251" t="s">
        <v>607</v>
      </c>
      <c r="S74" s="252"/>
      <c r="T74" s="253"/>
      <c r="U74" s="251" t="s">
        <v>189</v>
      </c>
      <c r="V74" s="60"/>
      <c r="W74" s="247" t="s">
        <v>437</v>
      </c>
      <c r="X74" s="263">
        <v>0.5416666666666666</v>
      </c>
      <c r="Y74" s="283" t="s">
        <v>608</v>
      </c>
      <c r="Z74" s="252"/>
      <c r="AA74" s="253"/>
      <c r="AB74" s="249"/>
      <c r="AC74" s="60"/>
      <c r="AD74" s="247" t="s">
        <v>437</v>
      </c>
      <c r="AE74" s="248"/>
      <c r="AF74" s="251"/>
      <c r="AG74" s="252"/>
      <c r="AH74" s="252"/>
      <c r="AI74" s="249"/>
      <c r="AJ74" s="236"/>
    </row>
    <row r="75">
      <c r="A75" s="61"/>
      <c r="B75" s="247" t="s">
        <v>453</v>
      </c>
      <c r="C75" s="255" t="s">
        <v>23</v>
      </c>
      <c r="D75" s="256"/>
      <c r="E75" s="256"/>
      <c r="F75" s="256"/>
      <c r="G75" s="256"/>
      <c r="H75" s="60"/>
      <c r="I75" s="247" t="s">
        <v>453</v>
      </c>
      <c r="J75" s="255"/>
      <c r="K75" s="256"/>
      <c r="L75" s="256"/>
      <c r="M75" s="256"/>
      <c r="N75" s="256"/>
      <c r="O75" s="60"/>
      <c r="P75" s="247" t="s">
        <v>453</v>
      </c>
      <c r="Q75" s="255" t="s">
        <v>109</v>
      </c>
      <c r="R75" s="256"/>
      <c r="S75" s="256"/>
      <c r="T75" s="256"/>
      <c r="U75" s="256"/>
      <c r="V75" s="60"/>
      <c r="W75" s="247" t="s">
        <v>453</v>
      </c>
      <c r="X75" s="255"/>
      <c r="Y75" s="256"/>
      <c r="Z75" s="256"/>
      <c r="AA75" s="256"/>
      <c r="AB75" s="256"/>
      <c r="AC75" s="60"/>
      <c r="AD75" s="247" t="s">
        <v>453</v>
      </c>
      <c r="AE75" s="255"/>
      <c r="AF75" s="256"/>
      <c r="AG75" s="256"/>
      <c r="AH75" s="256"/>
      <c r="AI75" s="256"/>
      <c r="AJ75" s="236"/>
    </row>
    <row r="76">
      <c r="A76" s="61"/>
      <c r="B76" s="247" t="s">
        <v>455</v>
      </c>
      <c r="C76" s="255" t="s">
        <v>609</v>
      </c>
      <c r="D76" s="256"/>
      <c r="E76" s="256"/>
      <c r="F76" s="256"/>
      <c r="G76" s="256"/>
      <c r="H76" s="60"/>
      <c r="I76" s="247" t="s">
        <v>455</v>
      </c>
      <c r="J76" s="255"/>
      <c r="K76" s="256"/>
      <c r="L76" s="256"/>
      <c r="M76" s="256"/>
      <c r="N76" s="256"/>
      <c r="O76" s="60"/>
      <c r="P76" s="247" t="s">
        <v>455</v>
      </c>
      <c r="Q76" s="255" t="s">
        <v>610</v>
      </c>
      <c r="R76" s="256"/>
      <c r="S76" s="256"/>
      <c r="T76" s="256"/>
      <c r="U76" s="256"/>
      <c r="V76" s="60"/>
      <c r="W76" s="247" t="s">
        <v>455</v>
      </c>
      <c r="X76" s="255"/>
      <c r="Y76" s="256"/>
      <c r="Z76" s="256"/>
      <c r="AA76" s="256"/>
      <c r="AB76" s="256"/>
      <c r="AC76" s="60"/>
      <c r="AD76" s="247" t="s">
        <v>455</v>
      </c>
      <c r="AE76" s="255"/>
      <c r="AF76" s="256"/>
      <c r="AG76" s="256"/>
      <c r="AH76" s="256"/>
      <c r="AI76" s="256"/>
      <c r="AJ76" s="236"/>
    </row>
    <row r="77">
      <c r="A77" s="61"/>
      <c r="B77" s="247" t="s">
        <v>462</v>
      </c>
      <c r="C77" s="257" t="s">
        <v>611</v>
      </c>
      <c r="D77" s="184"/>
      <c r="E77" s="184"/>
      <c r="F77" s="184"/>
      <c r="G77" s="184"/>
      <c r="H77" s="60"/>
      <c r="I77" s="247" t="s">
        <v>462</v>
      </c>
      <c r="J77" s="255"/>
      <c r="K77" s="184"/>
      <c r="L77" s="184"/>
      <c r="M77" s="184"/>
      <c r="N77" s="184"/>
      <c r="O77" s="60"/>
      <c r="P77" s="247" t="s">
        <v>462</v>
      </c>
      <c r="Q77" s="255"/>
      <c r="R77" s="184"/>
      <c r="S77" s="184"/>
      <c r="T77" s="184"/>
      <c r="U77" s="184"/>
      <c r="V77" s="60"/>
      <c r="W77" s="247" t="s">
        <v>462</v>
      </c>
      <c r="X77" s="255"/>
      <c r="Y77" s="184"/>
      <c r="Z77" s="184"/>
      <c r="AA77" s="184"/>
      <c r="AB77" s="184"/>
      <c r="AC77" s="60"/>
      <c r="AD77" s="247" t="s">
        <v>462</v>
      </c>
      <c r="AE77" s="255"/>
      <c r="AF77" s="184"/>
      <c r="AG77" s="184"/>
      <c r="AH77" s="184"/>
      <c r="AI77" s="184"/>
      <c r="AJ77" s="236"/>
    </row>
    <row r="78">
      <c r="A78" s="61"/>
      <c r="B78" s="260" t="s">
        <v>437</v>
      </c>
      <c r="C78" s="248" t="s">
        <v>612</v>
      </c>
      <c r="D78" s="249" t="s">
        <v>613</v>
      </c>
      <c r="E78" s="250" t="s">
        <v>614</v>
      </c>
      <c r="F78" s="268" t="s">
        <v>590</v>
      </c>
      <c r="G78" s="251" t="s">
        <v>189</v>
      </c>
      <c r="H78" s="60"/>
      <c r="I78" s="260" t="s">
        <v>437</v>
      </c>
      <c r="J78" s="248" t="s">
        <v>615</v>
      </c>
      <c r="K78" s="251"/>
      <c r="L78" s="250"/>
      <c r="M78" s="252"/>
      <c r="N78" s="251"/>
      <c r="O78" s="60"/>
      <c r="P78" s="260" t="s">
        <v>437</v>
      </c>
      <c r="Q78" s="248" t="s">
        <v>616</v>
      </c>
      <c r="R78" s="251" t="s">
        <v>617</v>
      </c>
      <c r="S78" s="250"/>
      <c r="T78" s="253"/>
      <c r="U78" s="251" t="s">
        <v>189</v>
      </c>
      <c r="V78" s="60"/>
      <c r="W78" s="260" t="s">
        <v>437</v>
      </c>
      <c r="X78" s="263">
        <v>0.5833333333333334</v>
      </c>
      <c r="Y78" s="251" t="s">
        <v>618</v>
      </c>
      <c r="Z78" s="250"/>
      <c r="AA78" s="253"/>
      <c r="AB78" s="251"/>
      <c r="AC78" s="60"/>
      <c r="AD78" s="260" t="s">
        <v>437</v>
      </c>
      <c r="AE78" s="263"/>
      <c r="AF78" s="266"/>
      <c r="AG78" s="250"/>
      <c r="AH78" s="253"/>
      <c r="AI78" s="251"/>
      <c r="AJ78" s="236"/>
    </row>
    <row r="79">
      <c r="A79" s="61"/>
      <c r="B79" s="260" t="s">
        <v>453</v>
      </c>
      <c r="C79" s="255" t="s">
        <v>23</v>
      </c>
      <c r="D79" s="256"/>
      <c r="E79" s="256"/>
      <c r="F79" s="256"/>
      <c r="G79" s="256"/>
      <c r="H79" s="60"/>
      <c r="I79" s="260" t="s">
        <v>453</v>
      </c>
      <c r="J79" s="255"/>
      <c r="K79" s="256"/>
      <c r="L79" s="256"/>
      <c r="M79" s="256"/>
      <c r="N79" s="256"/>
      <c r="O79" s="60"/>
      <c r="P79" s="260" t="s">
        <v>453</v>
      </c>
      <c r="Q79" s="255" t="s">
        <v>109</v>
      </c>
      <c r="R79" s="256"/>
      <c r="S79" s="256"/>
      <c r="T79" s="256"/>
      <c r="U79" s="256"/>
      <c r="V79" s="60"/>
      <c r="W79" s="260" t="s">
        <v>453</v>
      </c>
      <c r="X79" s="255"/>
      <c r="Y79" s="256"/>
      <c r="Z79" s="256"/>
      <c r="AA79" s="256"/>
      <c r="AB79" s="256"/>
      <c r="AC79" s="60"/>
      <c r="AD79" s="260" t="s">
        <v>453</v>
      </c>
      <c r="AE79" s="255"/>
      <c r="AF79" s="256"/>
      <c r="AG79" s="256"/>
      <c r="AH79" s="256"/>
      <c r="AI79" s="256"/>
      <c r="AJ79" s="236"/>
    </row>
    <row r="80">
      <c r="A80" s="61"/>
      <c r="B80" s="260" t="s">
        <v>455</v>
      </c>
      <c r="C80" s="255" t="s">
        <v>619</v>
      </c>
      <c r="D80" s="256"/>
      <c r="E80" s="256"/>
      <c r="F80" s="256"/>
      <c r="G80" s="256"/>
      <c r="H80" s="60"/>
      <c r="I80" s="260" t="s">
        <v>455</v>
      </c>
      <c r="J80" s="255"/>
      <c r="K80" s="256"/>
      <c r="L80" s="256"/>
      <c r="M80" s="256"/>
      <c r="N80" s="256"/>
      <c r="O80" s="60"/>
      <c r="P80" s="260" t="s">
        <v>455</v>
      </c>
      <c r="Q80" s="255" t="s">
        <v>503</v>
      </c>
      <c r="R80" s="256"/>
      <c r="S80" s="256"/>
      <c r="T80" s="256"/>
      <c r="U80" s="256"/>
      <c r="V80" s="60"/>
      <c r="W80" s="260" t="s">
        <v>455</v>
      </c>
      <c r="X80" s="258"/>
      <c r="Y80" s="256"/>
      <c r="Z80" s="256"/>
      <c r="AA80" s="256"/>
      <c r="AB80" s="256"/>
      <c r="AC80" s="60"/>
      <c r="AD80" s="260" t="s">
        <v>455</v>
      </c>
      <c r="AE80" s="258"/>
      <c r="AF80" s="256"/>
      <c r="AG80" s="256"/>
      <c r="AH80" s="256"/>
      <c r="AI80" s="256"/>
      <c r="AJ80" s="236"/>
    </row>
    <row r="81">
      <c r="A81" s="61"/>
      <c r="B81" s="260" t="s">
        <v>462</v>
      </c>
      <c r="C81" s="257" t="s">
        <v>620</v>
      </c>
      <c r="D81" s="184"/>
      <c r="E81" s="184"/>
      <c r="F81" s="184"/>
      <c r="G81" s="184"/>
      <c r="H81" s="60"/>
      <c r="I81" s="260" t="s">
        <v>462</v>
      </c>
      <c r="J81" s="255"/>
      <c r="K81" s="184"/>
      <c r="L81" s="184"/>
      <c r="M81" s="184"/>
      <c r="N81" s="184"/>
      <c r="O81" s="60"/>
      <c r="P81" s="260" t="s">
        <v>462</v>
      </c>
      <c r="Q81" s="255"/>
      <c r="R81" s="184"/>
      <c r="S81" s="184"/>
      <c r="T81" s="184"/>
      <c r="U81" s="184"/>
      <c r="V81" s="60"/>
      <c r="W81" s="260" t="s">
        <v>462</v>
      </c>
      <c r="X81" s="258"/>
      <c r="Y81" s="184"/>
      <c r="Z81" s="184"/>
      <c r="AA81" s="184"/>
      <c r="AB81" s="184"/>
      <c r="AC81" s="60"/>
      <c r="AD81" s="260" t="s">
        <v>462</v>
      </c>
      <c r="AE81" s="258"/>
      <c r="AF81" s="184"/>
      <c r="AG81" s="184"/>
      <c r="AH81" s="184"/>
      <c r="AI81" s="184"/>
      <c r="AJ81" s="236"/>
    </row>
    <row r="82">
      <c r="A82" s="61"/>
      <c r="B82" s="247" t="s">
        <v>437</v>
      </c>
      <c r="C82" s="272" t="s">
        <v>621</v>
      </c>
      <c r="D82" s="249"/>
      <c r="E82" s="250"/>
      <c r="F82" s="250"/>
      <c r="G82" s="251"/>
      <c r="H82" s="60"/>
      <c r="I82" s="247" t="s">
        <v>437</v>
      </c>
      <c r="J82" s="248" t="s">
        <v>514</v>
      </c>
      <c r="K82" s="251"/>
      <c r="L82" s="252"/>
      <c r="M82" s="250"/>
      <c r="N82" s="251"/>
      <c r="O82" s="60"/>
      <c r="P82" s="247" t="s">
        <v>437</v>
      </c>
      <c r="Q82" s="248"/>
      <c r="R82" s="251" t="s">
        <v>443</v>
      </c>
      <c r="S82" s="252"/>
      <c r="T82" s="253"/>
      <c r="U82" s="251"/>
      <c r="V82" s="60"/>
      <c r="W82" s="247" t="s">
        <v>437</v>
      </c>
      <c r="X82" s="263">
        <v>0.625</v>
      </c>
      <c r="Y82" s="249" t="s">
        <v>622</v>
      </c>
      <c r="Z82" s="252"/>
      <c r="AA82" s="253"/>
      <c r="AB82" s="249"/>
      <c r="AC82" s="60"/>
      <c r="AD82" s="247" t="s">
        <v>437</v>
      </c>
      <c r="AE82" s="263"/>
      <c r="AF82" s="251"/>
      <c r="AG82" s="252"/>
      <c r="AH82" s="253"/>
      <c r="AI82" s="249"/>
      <c r="AJ82" s="236"/>
    </row>
    <row r="83">
      <c r="A83" s="61"/>
      <c r="B83" s="247" t="s">
        <v>453</v>
      </c>
      <c r="C83" s="255"/>
      <c r="D83" s="256"/>
      <c r="E83" s="256"/>
      <c r="F83" s="256"/>
      <c r="G83" s="256"/>
      <c r="H83" s="60"/>
      <c r="I83" s="247" t="s">
        <v>453</v>
      </c>
      <c r="J83" s="255"/>
      <c r="K83" s="256"/>
      <c r="L83" s="256"/>
      <c r="M83" s="256"/>
      <c r="N83" s="256"/>
      <c r="O83" s="60"/>
      <c r="P83" s="247" t="s">
        <v>453</v>
      </c>
      <c r="Q83" s="255" t="s">
        <v>110</v>
      </c>
      <c r="R83" s="256"/>
      <c r="S83" s="256"/>
      <c r="T83" s="256"/>
      <c r="U83" s="256"/>
      <c r="V83" s="60"/>
      <c r="W83" s="247" t="s">
        <v>453</v>
      </c>
      <c r="X83" s="255"/>
      <c r="Y83" s="256"/>
      <c r="Z83" s="256"/>
      <c r="AA83" s="256"/>
      <c r="AB83" s="256"/>
      <c r="AC83" s="60"/>
      <c r="AD83" s="247" t="s">
        <v>453</v>
      </c>
      <c r="AE83" s="255"/>
      <c r="AF83" s="256"/>
      <c r="AG83" s="256"/>
      <c r="AH83" s="256"/>
      <c r="AI83" s="256"/>
      <c r="AJ83" s="236"/>
    </row>
    <row r="84">
      <c r="A84" s="61"/>
      <c r="B84" s="247" t="s">
        <v>455</v>
      </c>
      <c r="C84" s="255"/>
      <c r="D84" s="256"/>
      <c r="E84" s="256"/>
      <c r="F84" s="256"/>
      <c r="G84" s="256"/>
      <c r="H84" s="60"/>
      <c r="I84" s="247" t="s">
        <v>455</v>
      </c>
      <c r="J84" s="255"/>
      <c r="K84" s="256"/>
      <c r="L84" s="256"/>
      <c r="M84" s="256"/>
      <c r="N84" s="256"/>
      <c r="O84" s="60"/>
      <c r="P84" s="247" t="s">
        <v>455</v>
      </c>
      <c r="Q84" s="255"/>
      <c r="R84" s="256"/>
      <c r="S84" s="256"/>
      <c r="T84" s="256"/>
      <c r="U84" s="256"/>
      <c r="V84" s="60"/>
      <c r="W84" s="247" t="s">
        <v>455</v>
      </c>
      <c r="X84" s="255"/>
      <c r="Y84" s="256"/>
      <c r="Z84" s="256"/>
      <c r="AA84" s="256"/>
      <c r="AB84" s="256"/>
      <c r="AC84" s="60"/>
      <c r="AD84" s="247" t="s">
        <v>455</v>
      </c>
      <c r="AE84" s="255"/>
      <c r="AF84" s="256"/>
      <c r="AG84" s="256"/>
      <c r="AH84" s="256"/>
      <c r="AI84" s="256"/>
      <c r="AJ84" s="236"/>
    </row>
    <row r="85">
      <c r="A85" s="61"/>
      <c r="B85" s="247" t="s">
        <v>462</v>
      </c>
      <c r="C85" s="257"/>
      <c r="D85" s="184"/>
      <c r="E85" s="184"/>
      <c r="F85" s="184"/>
      <c r="G85" s="184"/>
      <c r="H85" s="60"/>
      <c r="I85" s="247" t="s">
        <v>462</v>
      </c>
      <c r="J85" s="255"/>
      <c r="K85" s="184"/>
      <c r="L85" s="184"/>
      <c r="M85" s="184"/>
      <c r="N85" s="184"/>
      <c r="O85" s="60"/>
      <c r="P85" s="247" t="s">
        <v>462</v>
      </c>
      <c r="Q85" s="255"/>
      <c r="R85" s="184"/>
      <c r="S85" s="184"/>
      <c r="T85" s="184"/>
      <c r="U85" s="184"/>
      <c r="V85" s="60"/>
      <c r="W85" s="247" t="s">
        <v>462</v>
      </c>
      <c r="X85" s="255"/>
      <c r="Y85" s="184"/>
      <c r="Z85" s="184"/>
      <c r="AA85" s="184"/>
      <c r="AB85" s="184"/>
      <c r="AC85" s="60"/>
      <c r="AD85" s="247" t="s">
        <v>462</v>
      </c>
      <c r="AE85" s="255"/>
      <c r="AF85" s="184"/>
      <c r="AG85" s="184"/>
      <c r="AH85" s="184"/>
      <c r="AI85" s="184"/>
      <c r="AJ85" s="236"/>
    </row>
    <row r="86">
      <c r="A86" s="61"/>
      <c r="B86" s="260" t="s">
        <v>437</v>
      </c>
      <c r="C86" s="248" t="s">
        <v>623</v>
      </c>
      <c r="D86" s="249"/>
      <c r="E86" s="250"/>
      <c r="F86" s="250"/>
      <c r="G86" s="251"/>
      <c r="H86" s="60"/>
      <c r="I86" s="260" t="s">
        <v>437</v>
      </c>
      <c r="J86" s="248" t="s">
        <v>533</v>
      </c>
      <c r="K86" s="251"/>
      <c r="L86" s="250"/>
      <c r="M86" s="250"/>
      <c r="N86" s="251"/>
      <c r="O86" s="60"/>
      <c r="P86" s="260" t="s">
        <v>437</v>
      </c>
      <c r="Q86" s="248"/>
      <c r="R86" s="251" t="s">
        <v>624</v>
      </c>
      <c r="S86" s="250"/>
      <c r="T86" s="253"/>
      <c r="U86" s="251"/>
      <c r="V86" s="60"/>
      <c r="W86" s="260" t="s">
        <v>437</v>
      </c>
      <c r="X86" s="263"/>
      <c r="Y86" s="249"/>
      <c r="Z86" s="250"/>
      <c r="AA86" s="253"/>
      <c r="AB86" s="251"/>
      <c r="AC86" s="60"/>
      <c r="AD86" s="260" t="s">
        <v>437</v>
      </c>
      <c r="AE86" s="263"/>
      <c r="AF86" s="249"/>
      <c r="AG86" s="250"/>
      <c r="AH86" s="253"/>
      <c r="AI86" s="251"/>
      <c r="AJ86" s="236"/>
    </row>
    <row r="87">
      <c r="A87" s="61"/>
      <c r="B87" s="260" t="s">
        <v>453</v>
      </c>
      <c r="C87" s="255"/>
      <c r="D87" s="256"/>
      <c r="E87" s="256"/>
      <c r="F87" s="256"/>
      <c r="G87" s="256"/>
      <c r="H87" s="60"/>
      <c r="I87" s="260" t="s">
        <v>453</v>
      </c>
      <c r="J87" s="255"/>
      <c r="K87" s="256"/>
      <c r="L87" s="256"/>
      <c r="M87" s="256"/>
      <c r="N87" s="256"/>
      <c r="O87" s="60"/>
      <c r="P87" s="260" t="s">
        <v>453</v>
      </c>
      <c r="Q87" s="255" t="s">
        <v>110</v>
      </c>
      <c r="R87" s="256"/>
      <c r="S87" s="256"/>
      <c r="T87" s="256"/>
      <c r="U87" s="256"/>
      <c r="V87" s="60"/>
      <c r="W87" s="260" t="s">
        <v>453</v>
      </c>
      <c r="X87" s="255"/>
      <c r="Y87" s="256"/>
      <c r="Z87" s="256"/>
      <c r="AA87" s="256"/>
      <c r="AB87" s="256"/>
      <c r="AC87" s="60"/>
      <c r="AD87" s="260" t="s">
        <v>453</v>
      </c>
      <c r="AE87" s="255"/>
      <c r="AF87" s="256"/>
      <c r="AG87" s="256"/>
      <c r="AH87" s="256"/>
      <c r="AI87" s="256"/>
      <c r="AJ87" s="236"/>
    </row>
    <row r="88">
      <c r="A88" s="61"/>
      <c r="B88" s="260" t="s">
        <v>455</v>
      </c>
      <c r="C88" s="255"/>
      <c r="D88" s="256"/>
      <c r="E88" s="256"/>
      <c r="F88" s="256"/>
      <c r="G88" s="256"/>
      <c r="H88" s="60"/>
      <c r="I88" s="260" t="s">
        <v>455</v>
      </c>
      <c r="J88" s="255"/>
      <c r="K88" s="256"/>
      <c r="L88" s="256"/>
      <c r="M88" s="256"/>
      <c r="N88" s="256"/>
      <c r="O88" s="60"/>
      <c r="P88" s="260" t="s">
        <v>455</v>
      </c>
      <c r="Q88" s="255"/>
      <c r="R88" s="256"/>
      <c r="S88" s="256"/>
      <c r="T88" s="256"/>
      <c r="U88" s="256"/>
      <c r="V88" s="60"/>
      <c r="W88" s="260" t="s">
        <v>455</v>
      </c>
      <c r="X88" s="269"/>
      <c r="Y88" s="256"/>
      <c r="Z88" s="256"/>
      <c r="AA88" s="256"/>
      <c r="AB88" s="256"/>
      <c r="AC88" s="60"/>
      <c r="AD88" s="260" t="s">
        <v>455</v>
      </c>
      <c r="AE88" s="269"/>
      <c r="AF88" s="256"/>
      <c r="AG88" s="256"/>
      <c r="AH88" s="256"/>
      <c r="AI88" s="256"/>
      <c r="AJ88" s="236"/>
    </row>
    <row r="89">
      <c r="A89" s="61"/>
      <c r="B89" s="260" t="s">
        <v>462</v>
      </c>
      <c r="C89" s="257"/>
      <c r="D89" s="184"/>
      <c r="E89" s="184"/>
      <c r="F89" s="184"/>
      <c r="G89" s="184"/>
      <c r="H89" s="60"/>
      <c r="I89" s="260" t="s">
        <v>462</v>
      </c>
      <c r="J89" s="255"/>
      <c r="K89" s="184"/>
      <c r="L89" s="184"/>
      <c r="M89" s="184"/>
      <c r="N89" s="184"/>
      <c r="O89" s="60"/>
      <c r="P89" s="260" t="s">
        <v>462</v>
      </c>
      <c r="Q89" s="255"/>
      <c r="R89" s="184"/>
      <c r="S89" s="184"/>
      <c r="T89" s="184"/>
      <c r="U89" s="184"/>
      <c r="V89" s="60"/>
      <c r="W89" s="260" t="s">
        <v>462</v>
      </c>
      <c r="X89" s="269"/>
      <c r="Y89" s="184"/>
      <c r="Z89" s="184"/>
      <c r="AA89" s="184"/>
      <c r="AB89" s="184"/>
      <c r="AC89" s="60"/>
      <c r="AD89" s="260" t="s">
        <v>462</v>
      </c>
      <c r="AE89" s="269"/>
      <c r="AF89" s="184"/>
      <c r="AG89" s="184"/>
      <c r="AH89" s="184"/>
      <c r="AI89" s="184"/>
      <c r="AJ89" s="236"/>
    </row>
    <row r="90">
      <c r="A90" s="61"/>
      <c r="B90" s="247" t="s">
        <v>437</v>
      </c>
      <c r="C90" s="248"/>
      <c r="D90" s="249"/>
      <c r="E90" s="250"/>
      <c r="F90" s="250"/>
      <c r="G90" s="251"/>
      <c r="H90" s="60"/>
      <c r="I90" s="247" t="s">
        <v>437</v>
      </c>
      <c r="J90" s="270"/>
      <c r="K90" s="265"/>
      <c r="L90" s="253"/>
      <c r="M90" s="271"/>
      <c r="N90" s="265"/>
      <c r="O90" s="60"/>
      <c r="P90" s="247" t="s">
        <v>437</v>
      </c>
      <c r="Q90" s="272"/>
      <c r="R90" s="251" t="s">
        <v>613</v>
      </c>
      <c r="S90" s="253"/>
      <c r="T90" s="271"/>
      <c r="U90" s="265"/>
      <c r="V90" s="60"/>
      <c r="W90" s="247" t="s">
        <v>437</v>
      </c>
      <c r="X90" s="263"/>
      <c r="Y90" s="249"/>
      <c r="Z90" s="252"/>
      <c r="AA90" s="271"/>
      <c r="AB90" s="265"/>
      <c r="AC90" s="60"/>
      <c r="AD90" s="247" t="s">
        <v>437</v>
      </c>
      <c r="AE90" s="263"/>
      <c r="AF90" s="249"/>
      <c r="AG90" s="252"/>
      <c r="AH90" s="271"/>
      <c r="AI90" s="265"/>
      <c r="AJ90" s="236"/>
    </row>
    <row r="91">
      <c r="A91" s="61"/>
      <c r="B91" s="247" t="s">
        <v>453</v>
      </c>
      <c r="C91" s="255"/>
      <c r="D91" s="256"/>
      <c r="E91" s="256"/>
      <c r="F91" s="256"/>
      <c r="G91" s="256"/>
      <c r="H91" s="60"/>
      <c r="I91" s="247" t="s">
        <v>453</v>
      </c>
      <c r="J91" s="258"/>
      <c r="K91" s="256"/>
      <c r="L91" s="256"/>
      <c r="M91" s="256"/>
      <c r="N91" s="256"/>
      <c r="O91" s="60"/>
      <c r="P91" s="247" t="s">
        <v>453</v>
      </c>
      <c r="Q91" s="255" t="s">
        <v>110</v>
      </c>
      <c r="R91" s="256"/>
      <c r="S91" s="256"/>
      <c r="T91" s="256"/>
      <c r="U91" s="256"/>
      <c r="V91" s="60"/>
      <c r="W91" s="247" t="s">
        <v>453</v>
      </c>
      <c r="X91" s="258"/>
      <c r="Y91" s="256"/>
      <c r="Z91" s="256"/>
      <c r="AA91" s="256"/>
      <c r="AB91" s="256"/>
      <c r="AC91" s="60"/>
      <c r="AD91" s="247" t="s">
        <v>453</v>
      </c>
      <c r="AE91" s="258"/>
      <c r="AF91" s="256"/>
      <c r="AG91" s="256"/>
      <c r="AH91" s="256"/>
      <c r="AI91" s="256"/>
      <c r="AJ91" s="236"/>
    </row>
    <row r="92">
      <c r="A92" s="61"/>
      <c r="B92" s="247" t="s">
        <v>455</v>
      </c>
      <c r="C92" s="255"/>
      <c r="D92" s="256"/>
      <c r="E92" s="256"/>
      <c r="F92" s="256"/>
      <c r="G92" s="256"/>
      <c r="H92" s="60"/>
      <c r="I92" s="247" t="s">
        <v>455</v>
      </c>
      <c r="J92" s="258"/>
      <c r="K92" s="256"/>
      <c r="L92" s="256"/>
      <c r="M92" s="256"/>
      <c r="N92" s="256"/>
      <c r="O92" s="60"/>
      <c r="P92" s="247" t="s">
        <v>455</v>
      </c>
      <c r="Q92" s="258"/>
      <c r="R92" s="256"/>
      <c r="S92" s="256"/>
      <c r="T92" s="256"/>
      <c r="U92" s="256"/>
      <c r="V92" s="60"/>
      <c r="W92" s="247" t="s">
        <v>455</v>
      </c>
      <c r="X92" s="258"/>
      <c r="Y92" s="256"/>
      <c r="Z92" s="256"/>
      <c r="AA92" s="256"/>
      <c r="AB92" s="256"/>
      <c r="AC92" s="60"/>
      <c r="AD92" s="247" t="s">
        <v>455</v>
      </c>
      <c r="AE92" s="258"/>
      <c r="AF92" s="256"/>
      <c r="AG92" s="256"/>
      <c r="AH92" s="256"/>
      <c r="AI92" s="256"/>
      <c r="AJ92" s="236"/>
    </row>
    <row r="93">
      <c r="A93" s="61"/>
      <c r="B93" s="247" t="s">
        <v>462</v>
      </c>
      <c r="C93" s="257"/>
      <c r="D93" s="184"/>
      <c r="E93" s="184"/>
      <c r="F93" s="184"/>
      <c r="G93" s="184"/>
      <c r="H93" s="60"/>
      <c r="I93" s="247" t="s">
        <v>462</v>
      </c>
      <c r="J93" s="258"/>
      <c r="K93" s="184"/>
      <c r="L93" s="184"/>
      <c r="M93" s="184"/>
      <c r="N93" s="184"/>
      <c r="O93" s="60"/>
      <c r="P93" s="247" t="s">
        <v>462</v>
      </c>
      <c r="Q93" s="258"/>
      <c r="R93" s="184"/>
      <c r="S93" s="184"/>
      <c r="T93" s="184"/>
      <c r="U93" s="184"/>
      <c r="V93" s="60"/>
      <c r="W93" s="247" t="s">
        <v>462</v>
      </c>
      <c r="X93" s="258"/>
      <c r="Y93" s="184"/>
      <c r="Z93" s="184"/>
      <c r="AA93" s="184"/>
      <c r="AB93" s="184"/>
      <c r="AC93" s="60"/>
      <c r="AD93" s="247" t="s">
        <v>462</v>
      </c>
      <c r="AE93" s="258"/>
      <c r="AF93" s="184"/>
      <c r="AG93" s="184"/>
      <c r="AH93" s="184"/>
      <c r="AI93" s="184"/>
      <c r="AJ93" s="236"/>
    </row>
    <row r="94">
      <c r="A94" s="61"/>
      <c r="B94" s="260" t="s">
        <v>437</v>
      </c>
      <c r="C94" s="248"/>
      <c r="D94" s="249"/>
      <c r="E94" s="250"/>
      <c r="F94" s="250"/>
      <c r="G94" s="251"/>
      <c r="H94" s="60"/>
      <c r="I94" s="260" t="s">
        <v>437</v>
      </c>
      <c r="J94" s="261"/>
      <c r="K94" s="265"/>
      <c r="L94" s="253"/>
      <c r="M94" s="253"/>
      <c r="N94" s="265"/>
      <c r="O94" s="60"/>
      <c r="P94" s="260" t="s">
        <v>437</v>
      </c>
      <c r="Q94" s="261"/>
      <c r="R94" s="265"/>
      <c r="S94" s="253"/>
      <c r="T94" s="253"/>
      <c r="U94" s="265"/>
      <c r="V94" s="60"/>
      <c r="W94" s="260" t="s">
        <v>437</v>
      </c>
      <c r="X94" s="261"/>
      <c r="Y94" s="265"/>
      <c r="Z94" s="253"/>
      <c r="AA94" s="253"/>
      <c r="AB94" s="265"/>
      <c r="AC94" s="60"/>
      <c r="AD94" s="260" t="s">
        <v>437</v>
      </c>
      <c r="AE94" s="261"/>
      <c r="AF94" s="265"/>
      <c r="AG94" s="253"/>
      <c r="AH94" s="253"/>
      <c r="AI94" s="265"/>
      <c r="AJ94" s="236"/>
    </row>
    <row r="95">
      <c r="A95" s="61"/>
      <c r="B95" s="260" t="s">
        <v>453</v>
      </c>
      <c r="C95" s="255"/>
      <c r="D95" s="256"/>
      <c r="E95" s="256"/>
      <c r="F95" s="256"/>
      <c r="G95" s="256"/>
      <c r="H95" s="60"/>
      <c r="I95" s="260" t="s">
        <v>453</v>
      </c>
      <c r="J95" s="258"/>
      <c r="K95" s="256"/>
      <c r="L95" s="256"/>
      <c r="M95" s="256"/>
      <c r="N95" s="256"/>
      <c r="O95" s="60"/>
      <c r="P95" s="260" t="s">
        <v>453</v>
      </c>
      <c r="Q95" s="258"/>
      <c r="R95" s="256"/>
      <c r="S95" s="256"/>
      <c r="T95" s="256"/>
      <c r="U95" s="256"/>
      <c r="V95" s="60"/>
      <c r="W95" s="260" t="s">
        <v>453</v>
      </c>
      <c r="X95" s="258"/>
      <c r="Y95" s="256"/>
      <c r="Z95" s="256"/>
      <c r="AA95" s="256"/>
      <c r="AB95" s="256"/>
      <c r="AC95" s="60"/>
      <c r="AD95" s="260" t="s">
        <v>453</v>
      </c>
      <c r="AE95" s="258"/>
      <c r="AF95" s="256"/>
      <c r="AG95" s="256"/>
      <c r="AH95" s="256"/>
      <c r="AI95" s="256"/>
      <c r="AJ95" s="236"/>
    </row>
    <row r="96">
      <c r="A96" s="61"/>
      <c r="B96" s="260" t="s">
        <v>455</v>
      </c>
      <c r="C96" s="255"/>
      <c r="D96" s="256"/>
      <c r="E96" s="256"/>
      <c r="F96" s="256"/>
      <c r="G96" s="256"/>
      <c r="H96" s="60"/>
      <c r="I96" s="260" t="s">
        <v>455</v>
      </c>
      <c r="J96" s="258"/>
      <c r="K96" s="256"/>
      <c r="L96" s="256"/>
      <c r="M96" s="256"/>
      <c r="N96" s="256"/>
      <c r="O96" s="60"/>
      <c r="P96" s="260" t="s">
        <v>455</v>
      </c>
      <c r="Q96" s="258"/>
      <c r="R96" s="256"/>
      <c r="S96" s="256"/>
      <c r="T96" s="256"/>
      <c r="U96" s="256"/>
      <c r="V96" s="60"/>
      <c r="W96" s="260" t="s">
        <v>455</v>
      </c>
      <c r="X96" s="258"/>
      <c r="Y96" s="256"/>
      <c r="Z96" s="256"/>
      <c r="AA96" s="256"/>
      <c r="AB96" s="256"/>
      <c r="AC96" s="60"/>
      <c r="AD96" s="260" t="s">
        <v>455</v>
      </c>
      <c r="AE96" s="258"/>
      <c r="AF96" s="256"/>
      <c r="AG96" s="256"/>
      <c r="AH96" s="256"/>
      <c r="AI96" s="256"/>
      <c r="AJ96" s="236"/>
    </row>
    <row r="97">
      <c r="A97" s="61"/>
      <c r="B97" s="260" t="s">
        <v>462</v>
      </c>
      <c r="C97" s="257"/>
      <c r="D97" s="184"/>
      <c r="E97" s="184"/>
      <c r="F97" s="184"/>
      <c r="G97" s="184"/>
      <c r="H97" s="60"/>
      <c r="I97" s="260" t="s">
        <v>462</v>
      </c>
      <c r="J97" s="258"/>
      <c r="K97" s="184"/>
      <c r="L97" s="184"/>
      <c r="M97" s="184"/>
      <c r="N97" s="184"/>
      <c r="O97" s="60"/>
      <c r="P97" s="260" t="s">
        <v>462</v>
      </c>
      <c r="Q97" s="258"/>
      <c r="R97" s="184"/>
      <c r="S97" s="184"/>
      <c r="T97" s="184"/>
      <c r="U97" s="184"/>
      <c r="V97" s="60"/>
      <c r="W97" s="260" t="s">
        <v>462</v>
      </c>
      <c r="X97" s="258"/>
      <c r="Y97" s="184"/>
      <c r="Z97" s="184"/>
      <c r="AA97" s="184"/>
      <c r="AB97" s="184"/>
      <c r="AC97" s="60"/>
      <c r="AD97" s="260" t="s">
        <v>462</v>
      </c>
      <c r="AE97" s="258"/>
      <c r="AF97" s="184"/>
      <c r="AG97" s="184"/>
      <c r="AH97" s="184"/>
      <c r="AI97" s="184"/>
      <c r="AJ97" s="236"/>
    </row>
    <row r="98">
      <c r="A98" s="61"/>
      <c r="B98" s="247" t="s">
        <v>437</v>
      </c>
      <c r="C98" s="261"/>
      <c r="D98" s="249"/>
      <c r="E98" s="273"/>
      <c r="F98" s="273"/>
      <c r="G98" s="251"/>
      <c r="H98" s="60"/>
      <c r="I98" s="247" t="s">
        <v>437</v>
      </c>
      <c r="J98" s="261"/>
      <c r="K98" s="265"/>
      <c r="L98" s="274"/>
      <c r="M98" s="274"/>
      <c r="N98" s="275"/>
      <c r="O98" s="60"/>
      <c r="P98" s="247" t="s">
        <v>437</v>
      </c>
      <c r="Q98" s="261"/>
      <c r="R98" s="265"/>
      <c r="S98" s="274"/>
      <c r="T98" s="274"/>
      <c r="U98" s="275"/>
      <c r="V98" s="60"/>
      <c r="W98" s="247" t="s">
        <v>437</v>
      </c>
      <c r="X98" s="261"/>
      <c r="Y98" s="265"/>
      <c r="Z98" s="274"/>
      <c r="AA98" s="274"/>
      <c r="AB98" s="275"/>
      <c r="AC98" s="60"/>
      <c r="AD98" s="247" t="s">
        <v>437</v>
      </c>
      <c r="AE98" s="261"/>
      <c r="AF98" s="265"/>
      <c r="AG98" s="274"/>
      <c r="AH98" s="274"/>
      <c r="AI98" s="275"/>
      <c r="AJ98" s="236"/>
    </row>
    <row r="99">
      <c r="A99" s="61"/>
      <c r="B99" s="247" t="s">
        <v>453</v>
      </c>
      <c r="C99" s="255"/>
      <c r="D99" s="256"/>
      <c r="E99" s="256"/>
      <c r="F99" s="256"/>
      <c r="G99" s="256"/>
      <c r="H99" s="60"/>
      <c r="I99" s="247" t="s">
        <v>453</v>
      </c>
      <c r="J99" s="258"/>
      <c r="K99" s="256"/>
      <c r="L99" s="256"/>
      <c r="M99" s="256"/>
      <c r="N99" s="256"/>
      <c r="O99" s="60"/>
      <c r="P99" s="247" t="s">
        <v>453</v>
      </c>
      <c r="Q99" s="258"/>
      <c r="R99" s="256"/>
      <c r="S99" s="256"/>
      <c r="T99" s="256"/>
      <c r="U99" s="256"/>
      <c r="V99" s="60"/>
      <c r="W99" s="247" t="s">
        <v>453</v>
      </c>
      <c r="X99" s="258"/>
      <c r="Y99" s="256"/>
      <c r="Z99" s="256"/>
      <c r="AA99" s="256"/>
      <c r="AB99" s="256"/>
      <c r="AC99" s="60"/>
      <c r="AD99" s="247" t="s">
        <v>453</v>
      </c>
      <c r="AE99" s="258"/>
      <c r="AF99" s="256"/>
      <c r="AG99" s="256"/>
      <c r="AH99" s="256"/>
      <c r="AI99" s="256"/>
      <c r="AJ99" s="236"/>
    </row>
    <row r="100">
      <c r="A100" s="61"/>
      <c r="B100" s="247" t="s">
        <v>455</v>
      </c>
      <c r="C100" s="255"/>
      <c r="D100" s="256"/>
      <c r="E100" s="256"/>
      <c r="F100" s="256"/>
      <c r="G100" s="256"/>
      <c r="H100" s="60"/>
      <c r="I100" s="247" t="s">
        <v>455</v>
      </c>
      <c r="J100" s="258"/>
      <c r="K100" s="256"/>
      <c r="L100" s="256"/>
      <c r="M100" s="256"/>
      <c r="N100" s="256"/>
      <c r="O100" s="60"/>
      <c r="P100" s="247" t="s">
        <v>455</v>
      </c>
      <c r="Q100" s="258"/>
      <c r="R100" s="256"/>
      <c r="S100" s="256"/>
      <c r="T100" s="256"/>
      <c r="U100" s="256"/>
      <c r="V100" s="60"/>
      <c r="W100" s="247" t="s">
        <v>455</v>
      </c>
      <c r="X100" s="258"/>
      <c r="Y100" s="256"/>
      <c r="Z100" s="256"/>
      <c r="AA100" s="256"/>
      <c r="AB100" s="256"/>
      <c r="AC100" s="60"/>
      <c r="AD100" s="247" t="s">
        <v>455</v>
      </c>
      <c r="AE100" s="258"/>
      <c r="AF100" s="256"/>
      <c r="AG100" s="256"/>
      <c r="AH100" s="256"/>
      <c r="AI100" s="256"/>
      <c r="AJ100" s="236"/>
    </row>
    <row r="101">
      <c r="A101" s="61"/>
      <c r="B101" s="247" t="s">
        <v>462</v>
      </c>
      <c r="C101" s="257"/>
      <c r="D101" s="184"/>
      <c r="E101" s="184"/>
      <c r="F101" s="184"/>
      <c r="G101" s="184"/>
      <c r="H101" s="60"/>
      <c r="I101" s="247" t="s">
        <v>462</v>
      </c>
      <c r="J101" s="258"/>
      <c r="K101" s="184"/>
      <c r="L101" s="184"/>
      <c r="M101" s="184"/>
      <c r="N101" s="184"/>
      <c r="O101" s="60"/>
      <c r="P101" s="247" t="s">
        <v>462</v>
      </c>
      <c r="Q101" s="258"/>
      <c r="R101" s="184"/>
      <c r="S101" s="184"/>
      <c r="T101" s="184"/>
      <c r="U101" s="184"/>
      <c r="V101" s="60"/>
      <c r="W101" s="247" t="s">
        <v>462</v>
      </c>
      <c r="X101" s="258"/>
      <c r="Y101" s="184"/>
      <c r="Z101" s="184"/>
      <c r="AA101" s="184"/>
      <c r="AB101" s="184"/>
      <c r="AC101" s="60"/>
      <c r="AD101" s="247" t="s">
        <v>462</v>
      </c>
      <c r="AE101" s="258"/>
      <c r="AF101" s="184"/>
      <c r="AG101" s="184"/>
      <c r="AH101" s="184"/>
      <c r="AI101" s="184"/>
      <c r="AJ101" s="236"/>
    </row>
    <row r="102">
      <c r="A102" s="61"/>
      <c r="B102" s="60"/>
      <c r="C102" s="236"/>
      <c r="D102" s="236"/>
      <c r="E102" s="60"/>
      <c r="F102" s="60"/>
      <c r="G102" s="236"/>
      <c r="H102" s="60"/>
      <c r="I102" s="60"/>
      <c r="J102" s="236"/>
      <c r="K102" s="236"/>
      <c r="L102" s="60"/>
      <c r="M102" s="60"/>
      <c r="N102" s="236"/>
      <c r="O102" s="60"/>
      <c r="P102" s="60"/>
      <c r="Q102" s="236"/>
      <c r="R102" s="236"/>
      <c r="S102" s="60"/>
      <c r="T102" s="60"/>
      <c r="U102" s="236"/>
      <c r="V102" s="60"/>
      <c r="W102" s="60"/>
      <c r="X102" s="236"/>
      <c r="Y102" s="236"/>
      <c r="Z102" s="60"/>
      <c r="AA102" s="60"/>
      <c r="AB102" s="236"/>
      <c r="AC102" s="60"/>
      <c r="AD102" s="60"/>
      <c r="AE102" s="236"/>
      <c r="AF102" s="236"/>
      <c r="AG102" s="60"/>
      <c r="AH102" s="60"/>
      <c r="AI102" s="236"/>
      <c r="AJ102" s="236"/>
    </row>
    <row r="103">
      <c r="A103" s="61"/>
      <c r="B103" s="60"/>
      <c r="C103" s="236"/>
      <c r="D103" s="236"/>
      <c r="E103" s="60"/>
      <c r="F103" s="60"/>
      <c r="G103" s="236"/>
      <c r="H103" s="60"/>
      <c r="I103" s="60"/>
      <c r="J103" s="236"/>
      <c r="K103" s="236"/>
      <c r="L103" s="60"/>
      <c r="M103" s="60"/>
      <c r="N103" s="236"/>
      <c r="O103" s="60"/>
      <c r="P103" s="60"/>
      <c r="Q103" s="236"/>
      <c r="R103" s="236"/>
      <c r="S103" s="60"/>
      <c r="T103" s="60"/>
      <c r="U103" s="236"/>
      <c r="V103" s="60"/>
      <c r="W103" s="60"/>
      <c r="X103" s="236"/>
      <c r="Y103" s="236"/>
      <c r="Z103" s="60"/>
      <c r="AA103" s="60"/>
      <c r="AB103" s="236"/>
      <c r="AC103" s="60"/>
      <c r="AD103" s="60"/>
      <c r="AE103" s="236"/>
      <c r="AF103" s="236"/>
      <c r="AG103" s="60"/>
      <c r="AH103" s="60"/>
      <c r="AI103" s="236"/>
      <c r="AJ103" s="236"/>
    </row>
    <row r="104">
      <c r="A104" s="61"/>
      <c r="B104" s="60"/>
      <c r="C104" s="236"/>
      <c r="D104" s="236"/>
      <c r="E104" s="60"/>
      <c r="F104" s="60"/>
      <c r="G104" s="236"/>
      <c r="H104" s="60"/>
      <c r="I104" s="60"/>
      <c r="J104" s="236"/>
      <c r="K104" s="236"/>
      <c r="L104" s="60"/>
      <c r="M104" s="60"/>
      <c r="N104" s="236"/>
      <c r="O104" s="60"/>
      <c r="P104" s="60"/>
      <c r="Q104" s="236"/>
      <c r="R104" s="236"/>
      <c r="S104" s="60"/>
      <c r="T104" s="60"/>
      <c r="U104" s="236"/>
      <c r="V104" s="60"/>
      <c r="W104" s="60"/>
      <c r="X104" s="236"/>
      <c r="Y104" s="236"/>
      <c r="Z104" s="60"/>
      <c r="AA104" s="60"/>
      <c r="AB104" s="236"/>
      <c r="AC104" s="60"/>
      <c r="AD104" s="60"/>
      <c r="AE104" s="236"/>
      <c r="AF104" s="236"/>
      <c r="AG104" s="60"/>
      <c r="AH104" s="60"/>
      <c r="AI104" s="236"/>
      <c r="AJ104" s="236"/>
    </row>
    <row r="105">
      <c r="A105" s="61"/>
      <c r="B105" s="60"/>
      <c r="C105" s="236"/>
      <c r="D105" s="236"/>
      <c r="E105" s="60"/>
      <c r="F105" s="60"/>
      <c r="G105" s="236"/>
      <c r="H105" s="60"/>
      <c r="I105" s="60"/>
      <c r="J105" s="236"/>
      <c r="K105" s="236"/>
      <c r="L105" s="60"/>
      <c r="M105" s="60"/>
      <c r="N105" s="236"/>
      <c r="O105" s="60"/>
      <c r="P105" s="60"/>
      <c r="Q105" s="236"/>
      <c r="R105" s="236"/>
      <c r="S105" s="60"/>
      <c r="T105" s="60"/>
      <c r="U105" s="236"/>
      <c r="V105" s="60"/>
      <c r="W105" s="60"/>
      <c r="X105" s="236"/>
      <c r="Y105" s="236"/>
      <c r="Z105" s="60"/>
      <c r="AA105" s="60"/>
      <c r="AB105" s="236"/>
      <c r="AC105" s="60"/>
      <c r="AD105" s="60"/>
      <c r="AE105" s="236"/>
      <c r="AF105" s="236"/>
      <c r="AG105" s="60"/>
      <c r="AH105" s="60"/>
      <c r="AI105" s="236"/>
      <c r="AJ105" s="236"/>
    </row>
    <row r="106">
      <c r="A106" s="61"/>
      <c r="B106" s="60"/>
      <c r="C106" s="236"/>
      <c r="D106" s="236"/>
      <c r="E106" s="60"/>
      <c r="F106" s="60"/>
      <c r="G106" s="236"/>
      <c r="H106" s="60"/>
      <c r="I106" s="60"/>
      <c r="J106" s="236"/>
      <c r="K106" s="236"/>
      <c r="L106" s="60"/>
      <c r="M106" s="60"/>
      <c r="N106" s="236"/>
      <c r="O106" s="60"/>
      <c r="P106" s="60"/>
      <c r="Q106" s="236"/>
      <c r="R106" s="236"/>
      <c r="S106" s="60"/>
      <c r="T106" s="60"/>
      <c r="U106" s="236"/>
      <c r="V106" s="60"/>
      <c r="W106" s="60"/>
      <c r="X106" s="236"/>
      <c r="Y106" s="236"/>
      <c r="Z106" s="60"/>
      <c r="AA106" s="60"/>
      <c r="AB106" s="236"/>
      <c r="AC106" s="60"/>
      <c r="AD106" s="60"/>
      <c r="AE106" s="236"/>
      <c r="AF106" s="236"/>
      <c r="AG106" s="60"/>
      <c r="AH106" s="60"/>
      <c r="AI106" s="236"/>
      <c r="AJ106" s="236"/>
    </row>
    <row r="107">
      <c r="A107" s="61"/>
      <c r="B107" s="60"/>
      <c r="C107" s="236"/>
      <c r="D107" s="236"/>
      <c r="E107" s="60"/>
      <c r="F107" s="60"/>
      <c r="G107" s="236"/>
      <c r="H107" s="60"/>
      <c r="I107" s="60"/>
      <c r="J107" s="236"/>
      <c r="K107" s="236"/>
      <c r="L107" s="60"/>
      <c r="M107" s="60"/>
      <c r="N107" s="236"/>
      <c r="O107" s="60"/>
      <c r="P107" s="60"/>
      <c r="Q107" s="236"/>
      <c r="R107" s="236"/>
      <c r="S107" s="60"/>
      <c r="T107" s="60"/>
      <c r="U107" s="236"/>
      <c r="V107" s="60"/>
      <c r="W107" s="60"/>
      <c r="X107" s="236"/>
      <c r="Y107" s="236"/>
      <c r="Z107" s="60"/>
      <c r="AA107" s="60"/>
      <c r="AB107" s="236"/>
      <c r="AC107" s="60"/>
      <c r="AD107" s="60"/>
      <c r="AE107" s="236"/>
      <c r="AF107" s="236"/>
      <c r="AG107" s="60"/>
      <c r="AH107" s="60"/>
      <c r="AI107" s="236"/>
      <c r="AJ107" s="236"/>
    </row>
    <row r="108">
      <c r="A108" s="61"/>
      <c r="B108" s="60"/>
      <c r="C108" s="236"/>
      <c r="D108" s="236"/>
      <c r="E108" s="60"/>
      <c r="F108" s="60"/>
      <c r="G108" s="236"/>
      <c r="H108" s="60"/>
      <c r="I108" s="60"/>
      <c r="J108" s="236"/>
      <c r="K108" s="236"/>
      <c r="L108" s="60"/>
      <c r="M108" s="60"/>
      <c r="N108" s="236"/>
      <c r="O108" s="60"/>
      <c r="P108" s="60"/>
      <c r="Q108" s="236"/>
      <c r="R108" s="236"/>
      <c r="S108" s="60"/>
      <c r="T108" s="60"/>
      <c r="U108" s="236"/>
      <c r="V108" s="60"/>
      <c r="W108" s="60"/>
      <c r="X108" s="236"/>
      <c r="Y108" s="236"/>
      <c r="Z108" s="60"/>
      <c r="AA108" s="60"/>
      <c r="AB108" s="236"/>
      <c r="AC108" s="60"/>
      <c r="AD108" s="60"/>
      <c r="AE108" s="236"/>
      <c r="AF108" s="236"/>
      <c r="AG108" s="60"/>
      <c r="AH108" s="60"/>
      <c r="AI108" s="236"/>
      <c r="AJ108" s="236"/>
    </row>
    <row r="109">
      <c r="A109" s="61"/>
      <c r="B109" s="60"/>
      <c r="C109" s="236"/>
      <c r="D109" s="236"/>
      <c r="E109" s="60"/>
      <c r="F109" s="60"/>
      <c r="G109" s="236"/>
      <c r="H109" s="60"/>
      <c r="I109" s="60"/>
      <c r="J109" s="236"/>
      <c r="K109" s="236"/>
      <c r="L109" s="60"/>
      <c r="M109" s="60"/>
      <c r="N109" s="236"/>
      <c r="O109" s="60"/>
      <c r="P109" s="60"/>
      <c r="Q109" s="236"/>
      <c r="R109" s="236"/>
      <c r="S109" s="60"/>
      <c r="T109" s="60"/>
      <c r="U109" s="236"/>
      <c r="V109" s="60"/>
      <c r="W109" s="60"/>
      <c r="X109" s="236"/>
      <c r="Y109" s="236"/>
      <c r="Z109" s="60"/>
      <c r="AA109" s="60"/>
      <c r="AB109" s="236"/>
      <c r="AC109" s="60"/>
      <c r="AD109" s="60"/>
      <c r="AE109" s="236"/>
      <c r="AF109" s="236"/>
      <c r="AG109" s="60"/>
      <c r="AH109" s="60"/>
      <c r="AI109" s="236"/>
      <c r="AJ109" s="236"/>
    </row>
    <row r="110">
      <c r="A110" s="61"/>
      <c r="B110" s="60"/>
      <c r="C110" s="236"/>
      <c r="D110" s="236"/>
      <c r="E110" s="60"/>
      <c r="F110" s="60"/>
      <c r="G110" s="236"/>
      <c r="H110" s="60"/>
      <c r="I110" s="60"/>
      <c r="J110" s="236"/>
      <c r="K110" s="236"/>
      <c r="L110" s="60"/>
      <c r="M110" s="60"/>
      <c r="N110" s="236"/>
      <c r="O110" s="60"/>
      <c r="P110" s="60"/>
      <c r="Q110" s="236"/>
      <c r="R110" s="236"/>
      <c r="S110" s="60"/>
      <c r="T110" s="60"/>
      <c r="U110" s="236"/>
      <c r="V110" s="60"/>
      <c r="W110" s="60"/>
      <c r="X110" s="236"/>
      <c r="Y110" s="236"/>
      <c r="Z110" s="60"/>
      <c r="AA110" s="60"/>
      <c r="AB110" s="236"/>
      <c r="AC110" s="60"/>
      <c r="AD110" s="60"/>
      <c r="AE110" s="236"/>
      <c r="AF110" s="236"/>
      <c r="AG110" s="60"/>
      <c r="AH110" s="60"/>
      <c r="AI110" s="236"/>
      <c r="AJ110" s="236"/>
    </row>
    <row r="111">
      <c r="A111" s="61"/>
      <c r="B111" s="60"/>
      <c r="C111" s="236"/>
      <c r="D111" s="236"/>
      <c r="E111" s="60"/>
      <c r="F111" s="60"/>
      <c r="G111" s="236"/>
      <c r="H111" s="60"/>
      <c r="I111" s="60"/>
      <c r="J111" s="236"/>
      <c r="K111" s="236"/>
      <c r="L111" s="60"/>
      <c r="M111" s="60"/>
      <c r="N111" s="236"/>
      <c r="O111" s="60"/>
      <c r="P111" s="60"/>
      <c r="Q111" s="236"/>
      <c r="R111" s="236"/>
      <c r="S111" s="60"/>
      <c r="T111" s="60"/>
      <c r="U111" s="236"/>
      <c r="V111" s="60"/>
      <c r="W111" s="60"/>
      <c r="X111" s="236"/>
      <c r="Y111" s="236"/>
      <c r="Z111" s="60"/>
      <c r="AA111" s="60"/>
      <c r="AB111" s="236"/>
      <c r="AC111" s="60"/>
      <c r="AD111" s="60"/>
      <c r="AE111" s="236"/>
      <c r="AF111" s="236"/>
      <c r="AG111" s="60"/>
      <c r="AH111" s="60"/>
      <c r="AI111" s="236"/>
      <c r="AJ111" s="236"/>
    </row>
    <row r="112">
      <c r="A112" s="61"/>
      <c r="B112" s="60"/>
      <c r="C112" s="236"/>
      <c r="D112" s="236"/>
      <c r="E112" s="60"/>
      <c r="F112" s="60"/>
      <c r="G112" s="236"/>
      <c r="H112" s="60"/>
      <c r="I112" s="60"/>
      <c r="J112" s="236"/>
      <c r="K112" s="236"/>
      <c r="L112" s="60"/>
      <c r="M112" s="60"/>
      <c r="N112" s="236"/>
      <c r="O112" s="60"/>
      <c r="P112" s="60"/>
      <c r="Q112" s="236"/>
      <c r="R112" s="236"/>
      <c r="S112" s="60"/>
      <c r="T112" s="60"/>
      <c r="U112" s="236"/>
      <c r="V112" s="60"/>
      <c r="W112" s="60"/>
      <c r="X112" s="236"/>
      <c r="Y112" s="236"/>
      <c r="Z112" s="60"/>
      <c r="AA112" s="60"/>
      <c r="AB112" s="236"/>
      <c r="AC112" s="60"/>
      <c r="AD112" s="60"/>
      <c r="AE112" s="236"/>
      <c r="AF112" s="236"/>
      <c r="AG112" s="60"/>
      <c r="AH112" s="60"/>
      <c r="AI112" s="236"/>
      <c r="AJ112" s="236"/>
    </row>
    <row r="113">
      <c r="A113" s="61"/>
      <c r="B113" s="60"/>
      <c r="C113" s="236"/>
      <c r="D113" s="236"/>
      <c r="E113" s="60"/>
      <c r="F113" s="60"/>
      <c r="G113" s="236"/>
      <c r="H113" s="60"/>
      <c r="I113" s="60"/>
      <c r="J113" s="236"/>
      <c r="K113" s="236"/>
      <c r="L113" s="60"/>
      <c r="M113" s="60"/>
      <c r="N113" s="236"/>
      <c r="O113" s="60"/>
      <c r="P113" s="60"/>
      <c r="Q113" s="236"/>
      <c r="R113" s="236"/>
      <c r="S113" s="60"/>
      <c r="T113" s="60"/>
      <c r="U113" s="236"/>
      <c r="V113" s="60"/>
      <c r="W113" s="60"/>
      <c r="X113" s="236"/>
      <c r="Y113" s="236"/>
      <c r="Z113" s="60"/>
      <c r="AA113" s="60"/>
      <c r="AB113" s="236"/>
      <c r="AC113" s="60"/>
      <c r="AD113" s="60"/>
      <c r="AE113" s="236"/>
      <c r="AF113" s="236"/>
      <c r="AG113" s="60"/>
      <c r="AH113" s="60"/>
      <c r="AI113" s="236"/>
      <c r="AJ113" s="236"/>
    </row>
    <row r="114">
      <c r="A114" s="61"/>
      <c r="B114" s="60"/>
      <c r="C114" s="236"/>
      <c r="D114" s="236"/>
      <c r="E114" s="60"/>
      <c r="F114" s="60"/>
      <c r="G114" s="236"/>
      <c r="H114" s="60"/>
      <c r="I114" s="60"/>
      <c r="J114" s="236"/>
      <c r="K114" s="236"/>
      <c r="L114" s="60"/>
      <c r="M114" s="60"/>
      <c r="N114" s="236"/>
      <c r="O114" s="60"/>
      <c r="P114" s="60"/>
      <c r="Q114" s="236"/>
      <c r="R114" s="236"/>
      <c r="S114" s="60"/>
      <c r="T114" s="60"/>
      <c r="U114" s="236"/>
      <c r="V114" s="60"/>
      <c r="W114" s="60"/>
      <c r="X114" s="236"/>
      <c r="Y114" s="236"/>
      <c r="Z114" s="60"/>
      <c r="AA114" s="60"/>
      <c r="AB114" s="236"/>
      <c r="AC114" s="60"/>
      <c r="AD114" s="60"/>
      <c r="AE114" s="236"/>
      <c r="AF114" s="236"/>
      <c r="AG114" s="60"/>
      <c r="AH114" s="60"/>
      <c r="AI114" s="236"/>
      <c r="AJ114" s="236"/>
    </row>
    <row r="115">
      <c r="A115" s="61"/>
      <c r="B115" s="60"/>
      <c r="C115" s="236"/>
      <c r="D115" s="236"/>
      <c r="E115" s="60"/>
      <c r="F115" s="60"/>
      <c r="G115" s="236"/>
      <c r="H115" s="60"/>
      <c r="I115" s="60"/>
      <c r="J115" s="236"/>
      <c r="K115" s="236"/>
      <c r="L115" s="60"/>
      <c r="M115" s="60"/>
      <c r="N115" s="236"/>
      <c r="O115" s="60"/>
      <c r="P115" s="60"/>
      <c r="Q115" s="236"/>
      <c r="R115" s="236"/>
      <c r="S115" s="60"/>
      <c r="T115" s="60"/>
      <c r="U115" s="236"/>
      <c r="V115" s="60"/>
      <c r="W115" s="60"/>
      <c r="X115" s="236"/>
      <c r="Y115" s="236"/>
      <c r="Z115" s="60"/>
      <c r="AA115" s="60"/>
      <c r="AB115" s="236"/>
      <c r="AC115" s="60"/>
      <c r="AD115" s="60"/>
      <c r="AE115" s="236"/>
      <c r="AF115" s="236"/>
      <c r="AG115" s="60"/>
      <c r="AH115" s="60"/>
      <c r="AI115" s="236"/>
      <c r="AJ115" s="236"/>
    </row>
    <row r="116">
      <c r="A116" s="61"/>
      <c r="B116" s="60"/>
      <c r="C116" s="236"/>
      <c r="D116" s="236"/>
      <c r="E116" s="60"/>
      <c r="F116" s="60"/>
      <c r="G116" s="236"/>
      <c r="H116" s="60"/>
      <c r="I116" s="60"/>
      <c r="J116" s="236"/>
      <c r="K116" s="236"/>
      <c r="L116" s="60"/>
      <c r="M116" s="60"/>
      <c r="N116" s="236"/>
      <c r="O116" s="60"/>
      <c r="P116" s="60"/>
      <c r="Q116" s="236"/>
      <c r="R116" s="236"/>
      <c r="S116" s="60"/>
      <c r="T116" s="60"/>
      <c r="U116" s="236"/>
      <c r="V116" s="60"/>
      <c r="W116" s="60"/>
      <c r="X116" s="236"/>
      <c r="Y116" s="236"/>
      <c r="Z116" s="60"/>
      <c r="AA116" s="60"/>
      <c r="AB116" s="236"/>
      <c r="AC116" s="60"/>
      <c r="AD116" s="60"/>
      <c r="AE116" s="236"/>
      <c r="AF116" s="236"/>
      <c r="AG116" s="60"/>
      <c r="AH116" s="60"/>
      <c r="AI116" s="236"/>
      <c r="AJ116" s="236"/>
    </row>
    <row r="117">
      <c r="A117" s="61"/>
      <c r="B117" s="60"/>
      <c r="C117" s="236"/>
      <c r="D117" s="236"/>
      <c r="E117" s="60"/>
      <c r="F117" s="60"/>
      <c r="G117" s="236"/>
      <c r="H117" s="60"/>
      <c r="I117" s="60"/>
      <c r="J117" s="236"/>
      <c r="K117" s="236"/>
      <c r="L117" s="60"/>
      <c r="M117" s="60"/>
      <c r="N117" s="236"/>
      <c r="O117" s="60"/>
      <c r="P117" s="60"/>
      <c r="Q117" s="236"/>
      <c r="R117" s="236"/>
      <c r="S117" s="60"/>
      <c r="T117" s="60"/>
      <c r="U117" s="236"/>
      <c r="V117" s="60"/>
      <c r="W117" s="60"/>
      <c r="X117" s="236"/>
      <c r="Y117" s="236"/>
      <c r="Z117" s="60"/>
      <c r="AA117" s="60"/>
      <c r="AB117" s="236"/>
      <c r="AC117" s="60"/>
      <c r="AD117" s="60"/>
      <c r="AE117" s="236"/>
      <c r="AF117" s="236"/>
      <c r="AG117" s="60"/>
      <c r="AH117" s="60"/>
      <c r="AI117" s="236"/>
      <c r="AJ117" s="236"/>
    </row>
    <row r="118">
      <c r="A118" s="61"/>
      <c r="B118" s="60"/>
      <c r="C118" s="236"/>
      <c r="D118" s="236"/>
      <c r="E118" s="60"/>
      <c r="F118" s="60"/>
      <c r="G118" s="236"/>
      <c r="H118" s="60"/>
      <c r="I118" s="60"/>
      <c r="J118" s="236"/>
      <c r="K118" s="236"/>
      <c r="L118" s="60"/>
      <c r="M118" s="60"/>
      <c r="N118" s="236"/>
      <c r="O118" s="60"/>
      <c r="P118" s="60"/>
      <c r="Q118" s="236"/>
      <c r="R118" s="236"/>
      <c r="S118" s="60"/>
      <c r="T118" s="60"/>
      <c r="U118" s="236"/>
      <c r="V118" s="60"/>
      <c r="W118" s="60"/>
      <c r="X118" s="236"/>
      <c r="Y118" s="236"/>
      <c r="Z118" s="60"/>
      <c r="AA118" s="60"/>
      <c r="AB118" s="236"/>
      <c r="AC118" s="60"/>
      <c r="AD118" s="60"/>
      <c r="AE118" s="236"/>
      <c r="AF118" s="236"/>
      <c r="AG118" s="60"/>
      <c r="AH118" s="60"/>
      <c r="AI118" s="236"/>
      <c r="AJ118" s="236"/>
    </row>
    <row r="119">
      <c r="A119" s="61"/>
      <c r="B119" s="60"/>
      <c r="C119" s="236"/>
      <c r="D119" s="236"/>
      <c r="E119" s="60"/>
      <c r="F119" s="60"/>
      <c r="G119" s="236"/>
      <c r="H119" s="60"/>
      <c r="I119" s="60"/>
      <c r="J119" s="236"/>
      <c r="K119" s="236"/>
      <c r="L119" s="60"/>
      <c r="M119" s="60"/>
      <c r="N119" s="236"/>
      <c r="O119" s="60"/>
      <c r="P119" s="60"/>
      <c r="Q119" s="236"/>
      <c r="R119" s="236"/>
      <c r="S119" s="60"/>
      <c r="T119" s="60"/>
      <c r="U119" s="236"/>
      <c r="V119" s="60"/>
      <c r="W119" s="60"/>
      <c r="X119" s="236"/>
      <c r="Y119" s="236"/>
      <c r="Z119" s="60"/>
      <c r="AA119" s="60"/>
      <c r="AB119" s="236"/>
      <c r="AC119" s="60"/>
      <c r="AD119" s="60"/>
      <c r="AE119" s="236"/>
      <c r="AF119" s="236"/>
      <c r="AG119" s="60"/>
      <c r="AH119" s="60"/>
      <c r="AI119" s="236"/>
      <c r="AJ119" s="236"/>
    </row>
    <row r="120">
      <c r="A120" s="61"/>
      <c r="B120" s="60"/>
      <c r="C120" s="236"/>
      <c r="D120" s="236"/>
      <c r="E120" s="60"/>
      <c r="F120" s="60"/>
      <c r="G120" s="236"/>
      <c r="H120" s="60"/>
      <c r="I120" s="60"/>
      <c r="J120" s="236"/>
      <c r="K120" s="236"/>
      <c r="L120" s="60"/>
      <c r="M120" s="60"/>
      <c r="N120" s="236"/>
      <c r="O120" s="60"/>
      <c r="P120" s="60"/>
      <c r="Q120" s="236"/>
      <c r="R120" s="236"/>
      <c r="S120" s="60"/>
      <c r="T120" s="60"/>
      <c r="U120" s="236"/>
      <c r="V120" s="60"/>
      <c r="W120" s="60"/>
      <c r="X120" s="236"/>
      <c r="Y120" s="236"/>
      <c r="Z120" s="60"/>
      <c r="AA120" s="60"/>
      <c r="AB120" s="236"/>
      <c r="AC120" s="60"/>
      <c r="AD120" s="60"/>
      <c r="AE120" s="236"/>
      <c r="AF120" s="236"/>
      <c r="AG120" s="60"/>
      <c r="AH120" s="60"/>
      <c r="AI120" s="236"/>
      <c r="AJ120" s="236"/>
    </row>
    <row r="121">
      <c r="A121" s="61"/>
      <c r="B121" s="60"/>
      <c r="C121" s="236"/>
      <c r="D121" s="236"/>
      <c r="E121" s="60"/>
      <c r="F121" s="60"/>
      <c r="G121" s="236"/>
      <c r="H121" s="60"/>
      <c r="I121" s="60"/>
      <c r="J121" s="236"/>
      <c r="K121" s="236"/>
      <c r="L121" s="60"/>
      <c r="M121" s="60"/>
      <c r="N121" s="236"/>
      <c r="O121" s="60"/>
      <c r="P121" s="60"/>
      <c r="Q121" s="236"/>
      <c r="R121" s="236"/>
      <c r="S121" s="60"/>
      <c r="T121" s="60"/>
      <c r="U121" s="236"/>
      <c r="V121" s="60"/>
      <c r="W121" s="60"/>
      <c r="X121" s="236"/>
      <c r="Y121" s="236"/>
      <c r="Z121" s="60"/>
      <c r="AA121" s="60"/>
      <c r="AB121" s="236"/>
      <c r="AC121" s="60"/>
      <c r="AD121" s="60"/>
      <c r="AE121" s="236"/>
      <c r="AF121" s="236"/>
      <c r="AG121" s="60"/>
      <c r="AH121" s="60"/>
      <c r="AI121" s="236"/>
      <c r="AJ121" s="236"/>
    </row>
    <row r="122">
      <c r="A122" s="61"/>
      <c r="B122" s="60"/>
      <c r="C122" s="236"/>
      <c r="D122" s="236"/>
      <c r="E122" s="60"/>
      <c r="F122" s="60"/>
      <c r="G122" s="236"/>
      <c r="H122" s="60"/>
      <c r="I122" s="60"/>
      <c r="J122" s="236"/>
      <c r="K122" s="236"/>
      <c r="L122" s="60"/>
      <c r="M122" s="60"/>
      <c r="N122" s="236"/>
      <c r="O122" s="60"/>
      <c r="P122" s="60"/>
      <c r="Q122" s="236"/>
      <c r="R122" s="236"/>
      <c r="S122" s="60"/>
      <c r="T122" s="60"/>
      <c r="U122" s="236"/>
      <c r="V122" s="60"/>
      <c r="W122" s="60"/>
      <c r="X122" s="236"/>
      <c r="Y122" s="236"/>
      <c r="Z122" s="60"/>
      <c r="AA122" s="60"/>
      <c r="AB122" s="236"/>
      <c r="AC122" s="60"/>
      <c r="AD122" s="60"/>
      <c r="AE122" s="236"/>
      <c r="AF122" s="236"/>
      <c r="AG122" s="60"/>
      <c r="AH122" s="60"/>
      <c r="AI122" s="236"/>
      <c r="AJ122" s="236"/>
    </row>
    <row r="123">
      <c r="A123" s="61"/>
      <c r="B123" s="60"/>
      <c r="C123" s="236"/>
      <c r="D123" s="236"/>
      <c r="E123" s="60"/>
      <c r="F123" s="60"/>
      <c r="G123" s="236"/>
      <c r="H123" s="60"/>
      <c r="I123" s="60"/>
      <c r="J123" s="236"/>
      <c r="K123" s="236"/>
      <c r="L123" s="60"/>
      <c r="M123" s="60"/>
      <c r="N123" s="236"/>
      <c r="O123" s="60"/>
      <c r="P123" s="60"/>
      <c r="Q123" s="236"/>
      <c r="R123" s="236"/>
      <c r="S123" s="60"/>
      <c r="T123" s="60"/>
      <c r="U123" s="236"/>
      <c r="V123" s="60"/>
      <c r="W123" s="60"/>
      <c r="X123" s="236"/>
      <c r="Y123" s="236"/>
      <c r="Z123" s="60"/>
      <c r="AA123" s="60"/>
      <c r="AB123" s="236"/>
      <c r="AC123" s="60"/>
      <c r="AD123" s="60"/>
      <c r="AE123" s="236"/>
      <c r="AF123" s="236"/>
      <c r="AG123" s="60"/>
      <c r="AH123" s="60"/>
      <c r="AI123" s="236"/>
      <c r="AJ123" s="236"/>
    </row>
    <row r="124">
      <c r="A124" s="61"/>
      <c r="B124" s="60"/>
      <c r="C124" s="236"/>
      <c r="D124" s="236"/>
      <c r="E124" s="60"/>
      <c r="F124" s="60"/>
      <c r="G124" s="236"/>
      <c r="H124" s="60"/>
      <c r="I124" s="60"/>
      <c r="J124" s="236"/>
      <c r="K124" s="236"/>
      <c r="L124" s="60"/>
      <c r="M124" s="60"/>
      <c r="N124" s="236"/>
      <c r="O124" s="60"/>
      <c r="P124" s="60"/>
      <c r="Q124" s="236"/>
      <c r="R124" s="236"/>
      <c r="S124" s="60"/>
      <c r="T124" s="60"/>
      <c r="U124" s="236"/>
      <c r="V124" s="60"/>
      <c r="W124" s="60"/>
      <c r="X124" s="236"/>
      <c r="Y124" s="236"/>
      <c r="Z124" s="60"/>
      <c r="AA124" s="60"/>
      <c r="AB124" s="236"/>
      <c r="AC124" s="60"/>
      <c r="AD124" s="60"/>
      <c r="AE124" s="236"/>
      <c r="AF124" s="236"/>
      <c r="AG124" s="60"/>
      <c r="AH124" s="60"/>
      <c r="AI124" s="236"/>
      <c r="AJ124" s="236"/>
    </row>
    <row r="125">
      <c r="A125" s="61"/>
      <c r="B125" s="60"/>
      <c r="C125" s="236"/>
      <c r="D125" s="236"/>
      <c r="E125" s="60"/>
      <c r="F125" s="60"/>
      <c r="G125" s="236"/>
      <c r="H125" s="60"/>
      <c r="I125" s="60"/>
      <c r="J125" s="236"/>
      <c r="K125" s="236"/>
      <c r="L125" s="60"/>
      <c r="M125" s="60"/>
      <c r="N125" s="236"/>
      <c r="O125" s="60"/>
      <c r="P125" s="60"/>
      <c r="Q125" s="236"/>
      <c r="R125" s="236"/>
      <c r="S125" s="60"/>
      <c r="T125" s="60"/>
      <c r="U125" s="236"/>
      <c r="V125" s="60"/>
      <c r="W125" s="60"/>
      <c r="X125" s="236"/>
      <c r="Y125" s="236"/>
      <c r="Z125" s="60"/>
      <c r="AA125" s="60"/>
      <c r="AB125" s="236"/>
      <c r="AC125" s="60"/>
      <c r="AD125" s="60"/>
      <c r="AE125" s="236"/>
      <c r="AF125" s="236"/>
      <c r="AG125" s="60"/>
      <c r="AH125" s="60"/>
      <c r="AI125" s="236"/>
      <c r="AJ125" s="236"/>
    </row>
    <row r="126">
      <c r="A126" s="61"/>
      <c r="B126" s="60"/>
      <c r="C126" s="236"/>
      <c r="D126" s="236"/>
      <c r="E126" s="60"/>
      <c r="F126" s="60"/>
      <c r="G126" s="236"/>
      <c r="H126" s="60"/>
      <c r="I126" s="60"/>
      <c r="J126" s="236"/>
      <c r="K126" s="236"/>
      <c r="L126" s="60"/>
      <c r="M126" s="60"/>
      <c r="N126" s="236"/>
      <c r="O126" s="60"/>
      <c r="P126" s="60"/>
      <c r="Q126" s="236"/>
      <c r="R126" s="236"/>
      <c r="S126" s="60"/>
      <c r="T126" s="60"/>
      <c r="U126" s="236"/>
      <c r="V126" s="60"/>
      <c r="W126" s="60"/>
      <c r="X126" s="236"/>
      <c r="Y126" s="236"/>
      <c r="Z126" s="60"/>
      <c r="AA126" s="60"/>
      <c r="AB126" s="236"/>
      <c r="AC126" s="60"/>
      <c r="AD126" s="60"/>
      <c r="AE126" s="236"/>
      <c r="AF126" s="236"/>
      <c r="AG126" s="60"/>
      <c r="AH126" s="60"/>
      <c r="AI126" s="236"/>
      <c r="AJ126" s="236"/>
    </row>
    <row r="127">
      <c r="A127" s="61"/>
      <c r="B127" s="60"/>
      <c r="C127" s="236"/>
      <c r="D127" s="236"/>
      <c r="E127" s="60"/>
      <c r="F127" s="60"/>
      <c r="G127" s="236"/>
      <c r="H127" s="60"/>
      <c r="I127" s="60"/>
      <c r="J127" s="236"/>
      <c r="K127" s="236"/>
      <c r="L127" s="60"/>
      <c r="M127" s="60"/>
      <c r="N127" s="236"/>
      <c r="O127" s="60"/>
      <c r="P127" s="60"/>
      <c r="Q127" s="236"/>
      <c r="R127" s="236"/>
      <c r="S127" s="60"/>
      <c r="T127" s="60"/>
      <c r="U127" s="236"/>
      <c r="V127" s="60"/>
      <c r="W127" s="60"/>
      <c r="X127" s="236"/>
      <c r="Y127" s="236"/>
      <c r="Z127" s="60"/>
      <c r="AA127" s="60"/>
      <c r="AB127" s="236"/>
      <c r="AC127" s="60"/>
      <c r="AD127" s="60"/>
      <c r="AE127" s="236"/>
      <c r="AF127" s="236"/>
      <c r="AG127" s="60"/>
      <c r="AH127" s="60"/>
      <c r="AI127" s="236"/>
      <c r="AJ127" s="236"/>
    </row>
    <row r="128">
      <c r="A128" s="61"/>
      <c r="B128" s="60"/>
      <c r="C128" s="236"/>
      <c r="D128" s="236"/>
      <c r="E128" s="60"/>
      <c r="F128" s="60"/>
      <c r="G128" s="236"/>
      <c r="H128" s="60"/>
      <c r="I128" s="60"/>
      <c r="J128" s="236"/>
      <c r="K128" s="236"/>
      <c r="L128" s="60"/>
      <c r="M128" s="60"/>
      <c r="N128" s="236"/>
      <c r="O128" s="60"/>
      <c r="P128" s="60"/>
      <c r="Q128" s="236"/>
      <c r="R128" s="236"/>
      <c r="S128" s="60"/>
      <c r="T128" s="60"/>
      <c r="U128" s="236"/>
      <c r="V128" s="60"/>
      <c r="W128" s="60"/>
      <c r="X128" s="236"/>
      <c r="Y128" s="236"/>
      <c r="Z128" s="60"/>
      <c r="AA128" s="60"/>
      <c r="AB128" s="236"/>
      <c r="AC128" s="60"/>
      <c r="AD128" s="60"/>
      <c r="AE128" s="236"/>
      <c r="AF128" s="236"/>
      <c r="AG128" s="60"/>
      <c r="AH128" s="60"/>
      <c r="AI128" s="236"/>
      <c r="AJ128" s="236"/>
    </row>
    <row r="129">
      <c r="A129" s="61"/>
      <c r="B129" s="60"/>
      <c r="C129" s="236"/>
      <c r="D129" s="236"/>
      <c r="E129" s="60"/>
      <c r="F129" s="60"/>
      <c r="G129" s="236"/>
      <c r="H129" s="60"/>
      <c r="I129" s="60"/>
      <c r="J129" s="236"/>
      <c r="K129" s="236"/>
      <c r="L129" s="60"/>
      <c r="M129" s="60"/>
      <c r="N129" s="236"/>
      <c r="O129" s="60"/>
      <c r="P129" s="60"/>
      <c r="Q129" s="236"/>
      <c r="R129" s="236"/>
      <c r="S129" s="60"/>
      <c r="T129" s="60"/>
      <c r="U129" s="236"/>
      <c r="V129" s="60"/>
      <c r="W129" s="60"/>
      <c r="X129" s="236"/>
      <c r="Y129" s="236"/>
      <c r="Z129" s="60"/>
      <c r="AA129" s="60"/>
      <c r="AB129" s="236"/>
      <c r="AC129" s="60"/>
      <c r="AD129" s="60"/>
      <c r="AE129" s="236"/>
      <c r="AF129" s="236"/>
      <c r="AG129" s="60"/>
      <c r="AH129" s="60"/>
      <c r="AI129" s="236"/>
      <c r="AJ129" s="236"/>
    </row>
    <row r="130">
      <c r="A130" s="61"/>
      <c r="B130" s="60"/>
      <c r="C130" s="236"/>
      <c r="D130" s="236"/>
      <c r="E130" s="60"/>
      <c r="F130" s="60"/>
      <c r="G130" s="236"/>
      <c r="H130" s="60"/>
      <c r="I130" s="60"/>
      <c r="J130" s="236"/>
      <c r="K130" s="236"/>
      <c r="L130" s="60"/>
      <c r="M130" s="60"/>
      <c r="N130" s="236"/>
      <c r="O130" s="60"/>
      <c r="P130" s="60"/>
      <c r="Q130" s="236"/>
      <c r="R130" s="236"/>
      <c r="S130" s="60"/>
      <c r="T130" s="60"/>
      <c r="U130" s="236"/>
      <c r="V130" s="60"/>
      <c r="W130" s="60"/>
      <c r="X130" s="236"/>
      <c r="Y130" s="236"/>
      <c r="Z130" s="60"/>
      <c r="AA130" s="60"/>
      <c r="AB130" s="236"/>
      <c r="AC130" s="60"/>
      <c r="AD130" s="60"/>
      <c r="AE130" s="236"/>
      <c r="AF130" s="236"/>
      <c r="AG130" s="60"/>
      <c r="AH130" s="60"/>
      <c r="AI130" s="236"/>
      <c r="AJ130" s="236"/>
    </row>
    <row r="131">
      <c r="A131" s="61"/>
      <c r="B131" s="60"/>
      <c r="C131" s="236"/>
      <c r="D131" s="236"/>
      <c r="E131" s="60"/>
      <c r="F131" s="60"/>
      <c r="G131" s="236"/>
      <c r="H131" s="60"/>
      <c r="I131" s="60"/>
      <c r="J131" s="236"/>
      <c r="K131" s="236"/>
      <c r="L131" s="60"/>
      <c r="M131" s="60"/>
      <c r="N131" s="236"/>
      <c r="O131" s="60"/>
      <c r="P131" s="60"/>
      <c r="Q131" s="236"/>
      <c r="R131" s="236"/>
      <c r="S131" s="60"/>
      <c r="T131" s="60"/>
      <c r="U131" s="236"/>
      <c r="V131" s="60"/>
      <c r="W131" s="60"/>
      <c r="X131" s="236"/>
      <c r="Y131" s="236"/>
      <c r="Z131" s="60"/>
      <c r="AA131" s="60"/>
      <c r="AB131" s="236"/>
      <c r="AC131" s="60"/>
      <c r="AD131" s="60"/>
      <c r="AE131" s="236"/>
      <c r="AF131" s="236"/>
      <c r="AG131" s="60"/>
      <c r="AH131" s="60"/>
      <c r="AI131" s="236"/>
      <c r="AJ131" s="236"/>
    </row>
    <row r="132">
      <c r="A132" s="61"/>
      <c r="B132" s="60"/>
      <c r="C132" s="236"/>
      <c r="D132" s="236"/>
      <c r="E132" s="60"/>
      <c r="F132" s="60"/>
      <c r="G132" s="236"/>
      <c r="H132" s="60"/>
      <c r="I132" s="60"/>
      <c r="J132" s="236"/>
      <c r="K132" s="236"/>
      <c r="L132" s="60"/>
      <c r="M132" s="60"/>
      <c r="N132" s="236"/>
      <c r="O132" s="60"/>
      <c r="P132" s="60"/>
      <c r="Q132" s="236"/>
      <c r="R132" s="236"/>
      <c r="S132" s="60"/>
      <c r="T132" s="60"/>
      <c r="U132" s="236"/>
      <c r="V132" s="60"/>
      <c r="W132" s="60"/>
      <c r="X132" s="236"/>
      <c r="Y132" s="236"/>
      <c r="Z132" s="60"/>
      <c r="AA132" s="60"/>
      <c r="AB132" s="236"/>
      <c r="AC132" s="60"/>
      <c r="AD132" s="60"/>
      <c r="AE132" s="236"/>
      <c r="AF132" s="236"/>
      <c r="AG132" s="60"/>
      <c r="AH132" s="60"/>
      <c r="AI132" s="236"/>
      <c r="AJ132" s="236"/>
    </row>
    <row r="133">
      <c r="A133" s="61"/>
      <c r="B133" s="60"/>
      <c r="C133" s="236"/>
      <c r="D133" s="236"/>
      <c r="E133" s="60"/>
      <c r="F133" s="60"/>
      <c r="G133" s="236"/>
      <c r="H133" s="60"/>
      <c r="I133" s="60"/>
      <c r="J133" s="236"/>
      <c r="K133" s="236"/>
      <c r="L133" s="60"/>
      <c r="M133" s="60"/>
      <c r="N133" s="236"/>
      <c r="O133" s="60"/>
      <c r="P133" s="60"/>
      <c r="Q133" s="236"/>
      <c r="R133" s="236"/>
      <c r="S133" s="60"/>
      <c r="T133" s="60"/>
      <c r="U133" s="236"/>
      <c r="V133" s="60"/>
      <c r="W133" s="60"/>
      <c r="X133" s="236"/>
      <c r="Y133" s="236"/>
      <c r="Z133" s="60"/>
      <c r="AA133" s="60"/>
      <c r="AB133" s="236"/>
      <c r="AC133" s="60"/>
      <c r="AD133" s="60"/>
      <c r="AE133" s="236"/>
      <c r="AF133" s="236"/>
      <c r="AG133" s="60"/>
      <c r="AH133" s="60"/>
      <c r="AI133" s="236"/>
      <c r="AJ133" s="236"/>
    </row>
    <row r="134">
      <c r="A134" s="61"/>
      <c r="B134" s="60"/>
      <c r="C134" s="236"/>
      <c r="D134" s="236"/>
      <c r="E134" s="60"/>
      <c r="F134" s="60"/>
      <c r="G134" s="236"/>
      <c r="H134" s="60"/>
      <c r="I134" s="60"/>
      <c r="J134" s="236"/>
      <c r="K134" s="236"/>
      <c r="L134" s="60"/>
      <c r="M134" s="60"/>
      <c r="N134" s="236"/>
      <c r="O134" s="60"/>
      <c r="P134" s="60"/>
      <c r="Q134" s="236"/>
      <c r="R134" s="236"/>
      <c r="S134" s="60"/>
      <c r="T134" s="60"/>
      <c r="U134" s="236"/>
      <c r="V134" s="60"/>
      <c r="W134" s="60"/>
      <c r="X134" s="236"/>
      <c r="Y134" s="236"/>
      <c r="Z134" s="60"/>
      <c r="AA134" s="60"/>
      <c r="AB134" s="236"/>
      <c r="AC134" s="60"/>
      <c r="AD134" s="60"/>
      <c r="AE134" s="236"/>
      <c r="AF134" s="236"/>
      <c r="AG134" s="60"/>
      <c r="AH134" s="60"/>
      <c r="AI134" s="236"/>
      <c r="AJ134" s="236"/>
    </row>
    <row r="135">
      <c r="A135" s="61"/>
      <c r="B135" s="60"/>
      <c r="C135" s="236"/>
      <c r="D135" s="236"/>
      <c r="E135" s="60"/>
      <c r="F135" s="60"/>
      <c r="G135" s="236"/>
      <c r="H135" s="60"/>
      <c r="I135" s="60"/>
      <c r="J135" s="236"/>
      <c r="K135" s="236"/>
      <c r="L135" s="60"/>
      <c r="M135" s="60"/>
      <c r="N135" s="236"/>
      <c r="O135" s="60"/>
      <c r="P135" s="60"/>
      <c r="Q135" s="236"/>
      <c r="R135" s="236"/>
      <c r="S135" s="60"/>
      <c r="T135" s="60"/>
      <c r="U135" s="236"/>
      <c r="V135" s="60"/>
      <c r="W135" s="60"/>
      <c r="X135" s="236"/>
      <c r="Y135" s="236"/>
      <c r="Z135" s="60"/>
      <c r="AA135" s="60"/>
      <c r="AB135" s="236"/>
      <c r="AC135" s="60"/>
      <c r="AD135" s="60"/>
      <c r="AE135" s="236"/>
      <c r="AF135" s="236"/>
      <c r="AG135" s="60"/>
      <c r="AH135" s="60"/>
      <c r="AI135" s="236"/>
      <c r="AJ135" s="236"/>
    </row>
    <row r="136">
      <c r="A136" s="61"/>
      <c r="B136" s="60"/>
      <c r="C136" s="236"/>
      <c r="D136" s="236"/>
      <c r="E136" s="60"/>
      <c r="F136" s="60"/>
      <c r="G136" s="236"/>
      <c r="H136" s="60"/>
      <c r="I136" s="60"/>
      <c r="J136" s="236"/>
      <c r="K136" s="236"/>
      <c r="L136" s="60"/>
      <c r="M136" s="60"/>
      <c r="N136" s="236"/>
      <c r="O136" s="60"/>
      <c r="P136" s="60"/>
      <c r="Q136" s="236"/>
      <c r="R136" s="236"/>
      <c r="S136" s="60"/>
      <c r="T136" s="60"/>
      <c r="U136" s="236"/>
      <c r="V136" s="60"/>
      <c r="W136" s="60"/>
      <c r="X136" s="236"/>
      <c r="Y136" s="236"/>
      <c r="Z136" s="60"/>
      <c r="AA136" s="60"/>
      <c r="AB136" s="236"/>
      <c r="AC136" s="60"/>
      <c r="AD136" s="60"/>
      <c r="AE136" s="236"/>
      <c r="AF136" s="236"/>
      <c r="AG136" s="60"/>
      <c r="AH136" s="60"/>
      <c r="AI136" s="236"/>
      <c r="AJ136" s="236"/>
    </row>
    <row r="137">
      <c r="A137" s="61"/>
      <c r="B137" s="60"/>
      <c r="C137" s="236"/>
      <c r="D137" s="236"/>
      <c r="E137" s="60"/>
      <c r="F137" s="60"/>
      <c r="G137" s="236"/>
      <c r="H137" s="60"/>
      <c r="I137" s="60"/>
      <c r="J137" s="236"/>
      <c r="K137" s="236"/>
      <c r="L137" s="60"/>
      <c r="M137" s="60"/>
      <c r="N137" s="236"/>
      <c r="O137" s="60"/>
      <c r="P137" s="60"/>
      <c r="Q137" s="236"/>
      <c r="R137" s="236"/>
      <c r="S137" s="60"/>
      <c r="T137" s="60"/>
      <c r="U137" s="236"/>
      <c r="V137" s="60"/>
      <c r="W137" s="60"/>
      <c r="X137" s="236"/>
      <c r="Y137" s="236"/>
      <c r="Z137" s="60"/>
      <c r="AA137" s="60"/>
      <c r="AB137" s="236"/>
      <c r="AC137" s="60"/>
      <c r="AD137" s="60"/>
      <c r="AE137" s="236"/>
      <c r="AF137" s="236"/>
      <c r="AG137" s="60"/>
      <c r="AH137" s="60"/>
      <c r="AI137" s="236"/>
      <c r="AJ137" s="236"/>
    </row>
    <row r="138">
      <c r="A138" s="61"/>
      <c r="B138" s="60"/>
      <c r="C138" s="236"/>
      <c r="D138" s="236"/>
      <c r="E138" s="60"/>
      <c r="F138" s="60"/>
      <c r="G138" s="236"/>
      <c r="H138" s="60"/>
      <c r="I138" s="60"/>
      <c r="J138" s="236"/>
      <c r="K138" s="236"/>
      <c r="L138" s="60"/>
      <c r="M138" s="60"/>
      <c r="N138" s="236"/>
      <c r="O138" s="60"/>
      <c r="P138" s="60"/>
      <c r="Q138" s="236"/>
      <c r="R138" s="236"/>
      <c r="S138" s="60"/>
      <c r="T138" s="60"/>
      <c r="U138" s="236"/>
      <c r="V138" s="60"/>
      <c r="W138" s="60"/>
      <c r="X138" s="236"/>
      <c r="Y138" s="236"/>
      <c r="Z138" s="60"/>
      <c r="AA138" s="60"/>
      <c r="AB138" s="236"/>
      <c r="AC138" s="60"/>
      <c r="AD138" s="60"/>
      <c r="AE138" s="236"/>
      <c r="AF138" s="236"/>
      <c r="AG138" s="60"/>
      <c r="AH138" s="60"/>
      <c r="AI138" s="236"/>
      <c r="AJ138" s="236"/>
    </row>
    <row r="139">
      <c r="A139" s="61"/>
      <c r="B139" s="60"/>
      <c r="C139" s="236"/>
      <c r="D139" s="236"/>
      <c r="E139" s="60"/>
      <c r="F139" s="60"/>
      <c r="G139" s="236"/>
      <c r="H139" s="60"/>
      <c r="I139" s="60"/>
      <c r="J139" s="236"/>
      <c r="K139" s="236"/>
      <c r="L139" s="60"/>
      <c r="M139" s="60"/>
      <c r="N139" s="236"/>
      <c r="O139" s="60"/>
      <c r="P139" s="60"/>
      <c r="Q139" s="236"/>
      <c r="R139" s="236"/>
      <c r="S139" s="60"/>
      <c r="T139" s="60"/>
      <c r="U139" s="236"/>
      <c r="V139" s="60"/>
      <c r="W139" s="60"/>
      <c r="X139" s="236"/>
      <c r="Y139" s="236"/>
      <c r="Z139" s="60"/>
      <c r="AA139" s="60"/>
      <c r="AB139" s="236"/>
      <c r="AC139" s="60"/>
      <c r="AD139" s="60"/>
      <c r="AE139" s="236"/>
      <c r="AF139" s="236"/>
      <c r="AG139" s="60"/>
      <c r="AH139" s="60"/>
      <c r="AI139" s="236"/>
      <c r="AJ139" s="236"/>
    </row>
    <row r="140">
      <c r="A140" s="61"/>
      <c r="B140" s="60"/>
      <c r="C140" s="236"/>
      <c r="D140" s="236"/>
      <c r="E140" s="60"/>
      <c r="F140" s="60"/>
      <c r="G140" s="236"/>
      <c r="H140" s="60"/>
      <c r="I140" s="60"/>
      <c r="J140" s="236"/>
      <c r="K140" s="236"/>
      <c r="L140" s="60"/>
      <c r="M140" s="60"/>
      <c r="N140" s="236"/>
      <c r="O140" s="60"/>
      <c r="P140" s="60"/>
      <c r="Q140" s="236"/>
      <c r="R140" s="236"/>
      <c r="S140" s="60"/>
      <c r="T140" s="60"/>
      <c r="U140" s="236"/>
      <c r="V140" s="60"/>
      <c r="W140" s="60"/>
      <c r="X140" s="236"/>
      <c r="Y140" s="236"/>
      <c r="Z140" s="60"/>
      <c r="AA140" s="60"/>
      <c r="AB140" s="236"/>
      <c r="AC140" s="60"/>
      <c r="AD140" s="60"/>
      <c r="AE140" s="236"/>
      <c r="AF140" s="236"/>
      <c r="AG140" s="60"/>
      <c r="AH140" s="60"/>
      <c r="AI140" s="236"/>
      <c r="AJ140" s="236"/>
    </row>
    <row r="141">
      <c r="A141" s="61"/>
      <c r="B141" s="60"/>
      <c r="C141" s="236"/>
      <c r="D141" s="236"/>
      <c r="E141" s="60"/>
      <c r="F141" s="60"/>
      <c r="G141" s="236"/>
      <c r="H141" s="60"/>
      <c r="I141" s="60"/>
      <c r="J141" s="236"/>
      <c r="K141" s="236"/>
      <c r="L141" s="60"/>
      <c r="M141" s="60"/>
      <c r="N141" s="236"/>
      <c r="O141" s="60"/>
      <c r="P141" s="60"/>
      <c r="Q141" s="236"/>
      <c r="R141" s="236"/>
      <c r="S141" s="60"/>
      <c r="T141" s="60"/>
      <c r="U141" s="236"/>
      <c r="V141" s="60"/>
      <c r="W141" s="60"/>
      <c r="X141" s="236"/>
      <c r="Y141" s="236"/>
      <c r="Z141" s="60"/>
      <c r="AA141" s="60"/>
      <c r="AB141" s="236"/>
      <c r="AC141" s="60"/>
      <c r="AD141" s="60"/>
      <c r="AE141" s="236"/>
      <c r="AF141" s="236"/>
      <c r="AG141" s="60"/>
      <c r="AH141" s="60"/>
      <c r="AI141" s="236"/>
      <c r="AJ141" s="236"/>
    </row>
    <row r="142">
      <c r="A142" s="61"/>
      <c r="B142" s="60"/>
      <c r="C142" s="236"/>
      <c r="D142" s="236"/>
      <c r="E142" s="60"/>
      <c r="F142" s="60"/>
      <c r="G142" s="236"/>
      <c r="H142" s="60"/>
      <c r="I142" s="60"/>
      <c r="J142" s="236"/>
      <c r="K142" s="236"/>
      <c r="L142" s="60"/>
      <c r="M142" s="60"/>
      <c r="N142" s="236"/>
      <c r="O142" s="60"/>
      <c r="P142" s="60"/>
      <c r="Q142" s="236"/>
      <c r="R142" s="236"/>
      <c r="S142" s="60"/>
      <c r="T142" s="60"/>
      <c r="U142" s="236"/>
      <c r="V142" s="60"/>
      <c r="W142" s="60"/>
      <c r="X142" s="236"/>
      <c r="Y142" s="236"/>
      <c r="Z142" s="60"/>
      <c r="AA142" s="60"/>
      <c r="AB142" s="236"/>
      <c r="AC142" s="60"/>
      <c r="AD142" s="60"/>
      <c r="AE142" s="236"/>
      <c r="AF142" s="236"/>
      <c r="AG142" s="60"/>
      <c r="AH142" s="60"/>
      <c r="AI142" s="236"/>
      <c r="AJ142" s="236"/>
    </row>
    <row r="143">
      <c r="A143" s="61"/>
      <c r="B143" s="60"/>
      <c r="C143" s="236"/>
      <c r="D143" s="236"/>
      <c r="E143" s="60"/>
      <c r="F143" s="60"/>
      <c r="G143" s="236"/>
      <c r="H143" s="60"/>
      <c r="I143" s="60"/>
      <c r="J143" s="236"/>
      <c r="K143" s="236"/>
      <c r="L143" s="60"/>
      <c r="M143" s="60"/>
      <c r="N143" s="236"/>
      <c r="O143" s="60"/>
      <c r="P143" s="60"/>
      <c r="Q143" s="236"/>
      <c r="R143" s="236"/>
      <c r="S143" s="60"/>
      <c r="T143" s="60"/>
      <c r="U143" s="236"/>
      <c r="V143" s="60"/>
      <c r="W143" s="60"/>
      <c r="X143" s="236"/>
      <c r="Y143" s="236"/>
      <c r="Z143" s="60"/>
      <c r="AA143" s="60"/>
      <c r="AB143" s="236"/>
      <c r="AC143" s="60"/>
      <c r="AD143" s="60"/>
      <c r="AE143" s="236"/>
      <c r="AF143" s="236"/>
      <c r="AG143" s="60"/>
      <c r="AH143" s="60"/>
      <c r="AI143" s="236"/>
      <c r="AJ143" s="236"/>
    </row>
    <row r="144">
      <c r="A144" s="61"/>
      <c r="B144" s="60"/>
      <c r="C144" s="236"/>
      <c r="D144" s="236"/>
      <c r="E144" s="60"/>
      <c r="F144" s="60"/>
      <c r="G144" s="236"/>
      <c r="H144" s="60"/>
      <c r="I144" s="60"/>
      <c r="J144" s="236"/>
      <c r="K144" s="236"/>
      <c r="L144" s="60"/>
      <c r="M144" s="60"/>
      <c r="N144" s="236"/>
      <c r="O144" s="60"/>
      <c r="P144" s="60"/>
      <c r="Q144" s="236"/>
      <c r="R144" s="236"/>
      <c r="S144" s="60"/>
      <c r="T144" s="60"/>
      <c r="U144" s="236"/>
      <c r="V144" s="60"/>
      <c r="W144" s="60"/>
      <c r="X144" s="236"/>
      <c r="Y144" s="236"/>
      <c r="Z144" s="60"/>
      <c r="AA144" s="60"/>
      <c r="AB144" s="236"/>
      <c r="AC144" s="60"/>
      <c r="AD144" s="60"/>
      <c r="AE144" s="236"/>
      <c r="AF144" s="236"/>
      <c r="AG144" s="60"/>
      <c r="AH144" s="60"/>
      <c r="AI144" s="236"/>
      <c r="AJ144" s="236"/>
    </row>
    <row r="145">
      <c r="A145" s="61"/>
      <c r="B145" s="60"/>
      <c r="C145" s="236"/>
      <c r="D145" s="236"/>
      <c r="E145" s="60"/>
      <c r="F145" s="60"/>
      <c r="G145" s="236"/>
      <c r="H145" s="60"/>
      <c r="I145" s="60"/>
      <c r="J145" s="236"/>
      <c r="K145" s="236"/>
      <c r="L145" s="60"/>
      <c r="M145" s="60"/>
      <c r="N145" s="236"/>
      <c r="O145" s="60"/>
      <c r="P145" s="60"/>
      <c r="Q145" s="236"/>
      <c r="R145" s="236"/>
      <c r="S145" s="60"/>
      <c r="T145" s="60"/>
      <c r="U145" s="236"/>
      <c r="V145" s="60"/>
      <c r="W145" s="60"/>
      <c r="X145" s="236"/>
      <c r="Y145" s="236"/>
      <c r="Z145" s="60"/>
      <c r="AA145" s="60"/>
      <c r="AB145" s="236"/>
      <c r="AC145" s="60"/>
      <c r="AD145" s="60"/>
      <c r="AE145" s="236"/>
      <c r="AF145" s="236"/>
      <c r="AG145" s="60"/>
      <c r="AH145" s="60"/>
      <c r="AI145" s="236"/>
      <c r="AJ145" s="236"/>
    </row>
    <row r="146">
      <c r="A146" s="61"/>
      <c r="B146" s="60"/>
      <c r="C146" s="236"/>
      <c r="D146" s="236"/>
      <c r="E146" s="60"/>
      <c r="F146" s="60"/>
      <c r="G146" s="236"/>
      <c r="H146" s="60"/>
      <c r="I146" s="60"/>
      <c r="J146" s="236"/>
      <c r="K146" s="236"/>
      <c r="L146" s="60"/>
      <c r="M146" s="60"/>
      <c r="N146" s="236"/>
      <c r="O146" s="60"/>
      <c r="P146" s="60"/>
      <c r="Q146" s="236"/>
      <c r="R146" s="236"/>
      <c r="S146" s="60"/>
      <c r="T146" s="60"/>
      <c r="U146" s="236"/>
      <c r="V146" s="60"/>
      <c r="W146" s="60"/>
      <c r="X146" s="236"/>
      <c r="Y146" s="236"/>
      <c r="Z146" s="60"/>
      <c r="AA146" s="60"/>
      <c r="AB146" s="236"/>
      <c r="AC146" s="60"/>
      <c r="AD146" s="60"/>
      <c r="AE146" s="236"/>
      <c r="AF146" s="236"/>
      <c r="AG146" s="60"/>
      <c r="AH146" s="60"/>
      <c r="AI146" s="236"/>
      <c r="AJ146" s="236"/>
    </row>
    <row r="147">
      <c r="A147" s="61"/>
      <c r="B147" s="60"/>
      <c r="C147" s="236"/>
      <c r="D147" s="236"/>
      <c r="E147" s="60"/>
      <c r="F147" s="60"/>
      <c r="G147" s="236"/>
      <c r="H147" s="60"/>
      <c r="I147" s="60"/>
      <c r="J147" s="236"/>
      <c r="K147" s="236"/>
      <c r="L147" s="60"/>
      <c r="M147" s="60"/>
      <c r="N147" s="236"/>
      <c r="O147" s="60"/>
      <c r="P147" s="60"/>
      <c r="Q147" s="236"/>
      <c r="R147" s="236"/>
      <c r="S147" s="60"/>
      <c r="T147" s="60"/>
      <c r="U147" s="236"/>
      <c r="V147" s="60"/>
      <c r="W147" s="60"/>
      <c r="X147" s="236"/>
      <c r="Y147" s="236"/>
      <c r="Z147" s="60"/>
      <c r="AA147" s="60"/>
      <c r="AB147" s="236"/>
      <c r="AC147" s="60"/>
      <c r="AD147" s="60"/>
      <c r="AE147" s="236"/>
      <c r="AF147" s="236"/>
      <c r="AG147" s="60"/>
      <c r="AH147" s="60"/>
      <c r="AI147" s="236"/>
      <c r="AJ147" s="236"/>
    </row>
    <row r="148">
      <c r="A148" s="61"/>
      <c r="B148" s="60"/>
      <c r="C148" s="236"/>
      <c r="D148" s="236"/>
      <c r="E148" s="60"/>
      <c r="F148" s="60"/>
      <c r="G148" s="236"/>
      <c r="H148" s="60"/>
      <c r="I148" s="60"/>
      <c r="J148" s="236"/>
      <c r="K148" s="236"/>
      <c r="L148" s="60"/>
      <c r="M148" s="60"/>
      <c r="N148" s="236"/>
      <c r="O148" s="60"/>
      <c r="P148" s="60"/>
      <c r="Q148" s="236"/>
      <c r="R148" s="236"/>
      <c r="S148" s="60"/>
      <c r="T148" s="60"/>
      <c r="U148" s="236"/>
      <c r="V148" s="60"/>
      <c r="W148" s="60"/>
      <c r="X148" s="236"/>
      <c r="Y148" s="236"/>
      <c r="Z148" s="60"/>
      <c r="AA148" s="60"/>
      <c r="AB148" s="236"/>
      <c r="AC148" s="60"/>
      <c r="AD148" s="60"/>
      <c r="AE148" s="236"/>
      <c r="AF148" s="236"/>
      <c r="AG148" s="60"/>
      <c r="AH148" s="60"/>
      <c r="AI148" s="236"/>
      <c r="AJ148" s="236"/>
    </row>
    <row r="149">
      <c r="A149" s="61"/>
      <c r="B149" s="60"/>
      <c r="C149" s="236"/>
      <c r="D149" s="236"/>
      <c r="E149" s="60"/>
      <c r="F149" s="60"/>
      <c r="G149" s="236"/>
      <c r="H149" s="60"/>
      <c r="I149" s="60"/>
      <c r="J149" s="236"/>
      <c r="K149" s="236"/>
      <c r="L149" s="60"/>
      <c r="M149" s="60"/>
      <c r="N149" s="236"/>
      <c r="O149" s="60"/>
      <c r="P149" s="60"/>
      <c r="Q149" s="236"/>
      <c r="R149" s="236"/>
      <c r="S149" s="60"/>
      <c r="T149" s="60"/>
      <c r="U149" s="236"/>
      <c r="V149" s="60"/>
      <c r="W149" s="60"/>
      <c r="X149" s="236"/>
      <c r="Y149" s="236"/>
      <c r="Z149" s="60"/>
      <c r="AA149" s="60"/>
      <c r="AB149" s="236"/>
      <c r="AC149" s="60"/>
      <c r="AD149" s="60"/>
      <c r="AE149" s="236"/>
      <c r="AF149" s="236"/>
      <c r="AG149" s="60"/>
      <c r="AH149" s="60"/>
      <c r="AI149" s="236"/>
      <c r="AJ149" s="236"/>
    </row>
    <row r="150">
      <c r="A150" s="61"/>
      <c r="B150" s="60"/>
      <c r="C150" s="236"/>
      <c r="D150" s="236"/>
      <c r="E150" s="60"/>
      <c r="F150" s="60"/>
      <c r="G150" s="236"/>
      <c r="H150" s="60"/>
      <c r="I150" s="60"/>
      <c r="J150" s="236"/>
      <c r="K150" s="236"/>
      <c r="L150" s="60"/>
      <c r="M150" s="60"/>
      <c r="N150" s="236"/>
      <c r="O150" s="60"/>
      <c r="P150" s="60"/>
      <c r="Q150" s="236"/>
      <c r="R150" s="236"/>
      <c r="S150" s="60"/>
      <c r="T150" s="60"/>
      <c r="U150" s="236"/>
      <c r="V150" s="60"/>
      <c r="W150" s="60"/>
      <c r="X150" s="236"/>
      <c r="Y150" s="236"/>
      <c r="Z150" s="60"/>
      <c r="AA150" s="60"/>
      <c r="AB150" s="236"/>
      <c r="AC150" s="60"/>
      <c r="AD150" s="60"/>
      <c r="AE150" s="236"/>
      <c r="AF150" s="236"/>
      <c r="AG150" s="60"/>
      <c r="AH150" s="60"/>
      <c r="AI150" s="236"/>
      <c r="AJ150" s="236"/>
    </row>
    <row r="151">
      <c r="A151" s="61"/>
      <c r="B151" s="60"/>
      <c r="C151" s="236"/>
      <c r="D151" s="236"/>
      <c r="E151" s="60"/>
      <c r="F151" s="60"/>
      <c r="G151" s="236"/>
      <c r="H151" s="60"/>
      <c r="I151" s="60"/>
      <c r="J151" s="236"/>
      <c r="K151" s="236"/>
      <c r="L151" s="60"/>
      <c r="M151" s="60"/>
      <c r="N151" s="236"/>
      <c r="O151" s="60"/>
      <c r="P151" s="60"/>
      <c r="Q151" s="236"/>
      <c r="R151" s="236"/>
      <c r="S151" s="60"/>
      <c r="T151" s="60"/>
      <c r="U151" s="236"/>
      <c r="V151" s="60"/>
      <c r="W151" s="60"/>
      <c r="X151" s="236"/>
      <c r="Y151" s="236"/>
      <c r="Z151" s="60"/>
      <c r="AA151" s="60"/>
      <c r="AB151" s="236"/>
      <c r="AC151" s="60"/>
      <c r="AD151" s="60"/>
      <c r="AE151" s="236"/>
      <c r="AF151" s="236"/>
      <c r="AG151" s="60"/>
      <c r="AH151" s="60"/>
      <c r="AI151" s="236"/>
      <c r="AJ151" s="236"/>
    </row>
    <row r="152">
      <c r="A152" s="61"/>
      <c r="B152" s="60"/>
      <c r="C152" s="236"/>
      <c r="D152" s="236"/>
      <c r="E152" s="60"/>
      <c r="F152" s="60"/>
      <c r="G152" s="236"/>
      <c r="H152" s="60"/>
      <c r="I152" s="60"/>
      <c r="J152" s="236"/>
      <c r="K152" s="236"/>
      <c r="L152" s="60"/>
      <c r="M152" s="60"/>
      <c r="N152" s="236"/>
      <c r="O152" s="60"/>
      <c r="P152" s="60"/>
      <c r="Q152" s="236"/>
      <c r="R152" s="236"/>
      <c r="S152" s="60"/>
      <c r="T152" s="60"/>
      <c r="U152" s="236"/>
      <c r="V152" s="60"/>
      <c r="W152" s="60"/>
      <c r="X152" s="236"/>
      <c r="Y152" s="236"/>
      <c r="Z152" s="60"/>
      <c r="AA152" s="60"/>
      <c r="AB152" s="236"/>
      <c r="AC152" s="60"/>
      <c r="AD152" s="60"/>
      <c r="AE152" s="236"/>
      <c r="AF152" s="236"/>
      <c r="AG152" s="60"/>
      <c r="AH152" s="60"/>
      <c r="AI152" s="236"/>
      <c r="AJ152" s="236"/>
    </row>
    <row r="153">
      <c r="A153" s="61"/>
      <c r="B153" s="60"/>
      <c r="C153" s="236"/>
      <c r="D153" s="236"/>
      <c r="E153" s="60"/>
      <c r="F153" s="60"/>
      <c r="G153" s="236"/>
      <c r="H153" s="60"/>
      <c r="I153" s="60"/>
      <c r="J153" s="236"/>
      <c r="K153" s="236"/>
      <c r="L153" s="60"/>
      <c r="M153" s="60"/>
      <c r="N153" s="236"/>
      <c r="O153" s="60"/>
      <c r="P153" s="60"/>
      <c r="Q153" s="236"/>
      <c r="R153" s="236"/>
      <c r="S153" s="60"/>
      <c r="T153" s="60"/>
      <c r="U153" s="236"/>
      <c r="V153" s="60"/>
      <c r="W153" s="60"/>
      <c r="X153" s="236"/>
      <c r="Y153" s="236"/>
      <c r="Z153" s="60"/>
      <c r="AA153" s="60"/>
      <c r="AB153" s="236"/>
      <c r="AC153" s="60"/>
      <c r="AD153" s="60"/>
      <c r="AE153" s="236"/>
      <c r="AF153" s="236"/>
      <c r="AG153" s="60"/>
      <c r="AH153" s="60"/>
      <c r="AI153" s="236"/>
      <c r="AJ153" s="236"/>
    </row>
    <row r="154">
      <c r="A154" s="61"/>
      <c r="B154" s="60"/>
      <c r="C154" s="236"/>
      <c r="D154" s="236"/>
      <c r="E154" s="60"/>
      <c r="F154" s="60"/>
      <c r="G154" s="236"/>
      <c r="H154" s="60"/>
      <c r="I154" s="60"/>
      <c r="J154" s="236"/>
      <c r="K154" s="236"/>
      <c r="L154" s="60"/>
      <c r="M154" s="60"/>
      <c r="N154" s="236"/>
      <c r="O154" s="60"/>
      <c r="P154" s="60"/>
      <c r="Q154" s="236"/>
      <c r="R154" s="236"/>
      <c r="S154" s="60"/>
      <c r="T154" s="60"/>
      <c r="U154" s="236"/>
      <c r="V154" s="60"/>
      <c r="W154" s="60"/>
      <c r="X154" s="236"/>
      <c r="Y154" s="236"/>
      <c r="Z154" s="60"/>
      <c r="AA154" s="60"/>
      <c r="AB154" s="236"/>
      <c r="AC154" s="60"/>
      <c r="AD154" s="60"/>
      <c r="AE154" s="236"/>
      <c r="AF154" s="236"/>
      <c r="AG154" s="60"/>
      <c r="AH154" s="60"/>
      <c r="AI154" s="236"/>
      <c r="AJ154" s="236"/>
    </row>
    <row r="155">
      <c r="A155" s="61"/>
      <c r="B155" s="60"/>
      <c r="C155" s="236"/>
      <c r="D155" s="236"/>
      <c r="E155" s="60"/>
      <c r="F155" s="60"/>
      <c r="G155" s="236"/>
      <c r="H155" s="60"/>
      <c r="I155" s="60"/>
      <c r="J155" s="236"/>
      <c r="K155" s="236"/>
      <c r="L155" s="60"/>
      <c r="M155" s="60"/>
      <c r="N155" s="236"/>
      <c r="O155" s="60"/>
      <c r="P155" s="60"/>
      <c r="Q155" s="236"/>
      <c r="R155" s="236"/>
      <c r="S155" s="60"/>
      <c r="T155" s="60"/>
      <c r="U155" s="236"/>
      <c r="V155" s="60"/>
      <c r="W155" s="60"/>
      <c r="X155" s="236"/>
      <c r="Y155" s="236"/>
      <c r="Z155" s="60"/>
      <c r="AA155" s="60"/>
      <c r="AB155" s="236"/>
      <c r="AC155" s="60"/>
      <c r="AD155" s="60"/>
      <c r="AE155" s="236"/>
      <c r="AF155" s="236"/>
      <c r="AG155" s="60"/>
      <c r="AH155" s="60"/>
      <c r="AI155" s="236"/>
      <c r="AJ155" s="236"/>
    </row>
    <row r="156">
      <c r="A156" s="61"/>
      <c r="B156" s="60"/>
      <c r="C156" s="236"/>
      <c r="D156" s="236"/>
      <c r="E156" s="60"/>
      <c r="F156" s="60"/>
      <c r="G156" s="236"/>
      <c r="H156" s="60"/>
      <c r="I156" s="60"/>
      <c r="J156" s="236"/>
      <c r="K156" s="236"/>
      <c r="L156" s="60"/>
      <c r="M156" s="60"/>
      <c r="N156" s="236"/>
      <c r="O156" s="60"/>
      <c r="P156" s="60"/>
      <c r="Q156" s="236"/>
      <c r="R156" s="236"/>
      <c r="S156" s="60"/>
      <c r="T156" s="60"/>
      <c r="U156" s="236"/>
      <c r="V156" s="60"/>
      <c r="W156" s="60"/>
      <c r="X156" s="236"/>
      <c r="Y156" s="236"/>
      <c r="Z156" s="60"/>
      <c r="AA156" s="60"/>
      <c r="AB156" s="236"/>
      <c r="AC156" s="60"/>
      <c r="AD156" s="60"/>
      <c r="AE156" s="236"/>
      <c r="AF156" s="236"/>
      <c r="AG156" s="60"/>
      <c r="AH156" s="60"/>
      <c r="AI156" s="236"/>
      <c r="AJ156" s="236"/>
    </row>
    <row r="157">
      <c r="A157" s="61"/>
      <c r="B157" s="60"/>
      <c r="C157" s="236"/>
      <c r="D157" s="236"/>
      <c r="E157" s="60"/>
      <c r="F157" s="60"/>
      <c r="G157" s="236"/>
      <c r="H157" s="60"/>
      <c r="I157" s="60"/>
      <c r="J157" s="236"/>
      <c r="K157" s="236"/>
      <c r="L157" s="60"/>
      <c r="M157" s="60"/>
      <c r="N157" s="236"/>
      <c r="O157" s="60"/>
      <c r="P157" s="60"/>
      <c r="Q157" s="236"/>
      <c r="R157" s="236"/>
      <c r="S157" s="60"/>
      <c r="T157" s="60"/>
      <c r="U157" s="236"/>
      <c r="V157" s="60"/>
      <c r="W157" s="60"/>
      <c r="X157" s="236"/>
      <c r="Y157" s="236"/>
      <c r="Z157" s="60"/>
      <c r="AA157" s="60"/>
      <c r="AB157" s="236"/>
      <c r="AC157" s="60"/>
      <c r="AD157" s="60"/>
      <c r="AE157" s="236"/>
      <c r="AF157" s="236"/>
      <c r="AG157" s="60"/>
      <c r="AH157" s="60"/>
      <c r="AI157" s="236"/>
      <c r="AJ157" s="236"/>
    </row>
    <row r="158">
      <c r="A158" s="61"/>
      <c r="B158" s="60"/>
      <c r="C158" s="236"/>
      <c r="D158" s="236"/>
      <c r="E158" s="60"/>
      <c r="F158" s="60"/>
      <c r="G158" s="236"/>
      <c r="H158" s="60"/>
      <c r="I158" s="60"/>
      <c r="J158" s="236"/>
      <c r="K158" s="236"/>
      <c r="L158" s="60"/>
      <c r="M158" s="60"/>
      <c r="N158" s="236"/>
      <c r="O158" s="60"/>
      <c r="P158" s="60"/>
      <c r="Q158" s="236"/>
      <c r="R158" s="236"/>
      <c r="S158" s="60"/>
      <c r="T158" s="60"/>
      <c r="U158" s="236"/>
      <c r="V158" s="60"/>
      <c r="W158" s="60"/>
      <c r="X158" s="236"/>
      <c r="Y158" s="236"/>
      <c r="Z158" s="60"/>
      <c r="AA158" s="60"/>
      <c r="AB158" s="236"/>
      <c r="AC158" s="60"/>
      <c r="AD158" s="60"/>
      <c r="AE158" s="236"/>
      <c r="AF158" s="236"/>
      <c r="AG158" s="60"/>
      <c r="AH158" s="60"/>
      <c r="AI158" s="236"/>
      <c r="AJ158" s="236"/>
    </row>
    <row r="159">
      <c r="A159" s="61"/>
      <c r="B159" s="60"/>
      <c r="C159" s="236"/>
      <c r="D159" s="236"/>
      <c r="E159" s="60"/>
      <c r="F159" s="60"/>
      <c r="G159" s="236"/>
      <c r="H159" s="60"/>
      <c r="I159" s="60"/>
      <c r="J159" s="236"/>
      <c r="K159" s="236"/>
      <c r="L159" s="60"/>
      <c r="M159" s="60"/>
      <c r="N159" s="236"/>
      <c r="O159" s="60"/>
      <c r="P159" s="60"/>
      <c r="Q159" s="236"/>
      <c r="R159" s="236"/>
      <c r="S159" s="60"/>
      <c r="T159" s="60"/>
      <c r="U159" s="236"/>
      <c r="V159" s="60"/>
      <c r="W159" s="60"/>
      <c r="X159" s="236"/>
      <c r="Y159" s="236"/>
      <c r="Z159" s="60"/>
      <c r="AA159" s="60"/>
      <c r="AB159" s="236"/>
      <c r="AC159" s="60"/>
      <c r="AD159" s="60"/>
      <c r="AE159" s="236"/>
      <c r="AF159" s="236"/>
      <c r="AG159" s="60"/>
      <c r="AH159" s="60"/>
      <c r="AI159" s="236"/>
      <c r="AJ159" s="236"/>
    </row>
    <row r="160">
      <c r="A160" s="61"/>
      <c r="B160" s="60"/>
      <c r="C160" s="236"/>
      <c r="D160" s="236"/>
      <c r="E160" s="60"/>
      <c r="F160" s="60"/>
      <c r="G160" s="236"/>
      <c r="H160" s="60"/>
      <c r="I160" s="60"/>
      <c r="J160" s="236"/>
      <c r="K160" s="236"/>
      <c r="L160" s="60"/>
      <c r="M160" s="60"/>
      <c r="N160" s="236"/>
      <c r="O160" s="60"/>
      <c r="P160" s="60"/>
      <c r="Q160" s="236"/>
      <c r="R160" s="236"/>
      <c r="S160" s="60"/>
      <c r="T160" s="60"/>
      <c r="U160" s="236"/>
      <c r="V160" s="60"/>
      <c r="W160" s="60"/>
      <c r="X160" s="236"/>
      <c r="Y160" s="236"/>
      <c r="Z160" s="60"/>
      <c r="AA160" s="60"/>
      <c r="AB160" s="236"/>
      <c r="AC160" s="60"/>
      <c r="AD160" s="60"/>
      <c r="AE160" s="236"/>
      <c r="AF160" s="236"/>
      <c r="AG160" s="60"/>
      <c r="AH160" s="60"/>
      <c r="AI160" s="236"/>
      <c r="AJ160" s="236"/>
    </row>
    <row r="161">
      <c r="A161" s="61"/>
      <c r="B161" s="60"/>
      <c r="C161" s="236"/>
      <c r="D161" s="236"/>
      <c r="E161" s="60"/>
      <c r="F161" s="60"/>
      <c r="G161" s="236"/>
      <c r="H161" s="60"/>
      <c r="I161" s="60"/>
      <c r="J161" s="236"/>
      <c r="K161" s="236"/>
      <c r="L161" s="60"/>
      <c r="M161" s="60"/>
      <c r="N161" s="236"/>
      <c r="O161" s="60"/>
      <c r="P161" s="60"/>
      <c r="Q161" s="236"/>
      <c r="R161" s="236"/>
      <c r="S161" s="60"/>
      <c r="T161" s="60"/>
      <c r="U161" s="236"/>
      <c r="V161" s="60"/>
      <c r="W161" s="60"/>
      <c r="X161" s="236"/>
      <c r="Y161" s="236"/>
      <c r="Z161" s="60"/>
      <c r="AA161" s="60"/>
      <c r="AB161" s="236"/>
      <c r="AC161" s="60"/>
      <c r="AD161" s="60"/>
      <c r="AE161" s="236"/>
      <c r="AF161" s="236"/>
      <c r="AG161" s="60"/>
      <c r="AH161" s="60"/>
      <c r="AI161" s="236"/>
      <c r="AJ161" s="236"/>
    </row>
    <row r="162">
      <c r="A162" s="61"/>
      <c r="B162" s="60"/>
      <c r="C162" s="236"/>
      <c r="D162" s="236"/>
      <c r="E162" s="60"/>
      <c r="F162" s="60"/>
      <c r="G162" s="236"/>
      <c r="H162" s="60"/>
      <c r="I162" s="60"/>
      <c r="J162" s="236"/>
      <c r="K162" s="236"/>
      <c r="L162" s="60"/>
      <c r="M162" s="60"/>
      <c r="N162" s="236"/>
      <c r="O162" s="60"/>
      <c r="P162" s="60"/>
      <c r="Q162" s="236"/>
      <c r="R162" s="236"/>
      <c r="S162" s="60"/>
      <c r="T162" s="60"/>
      <c r="U162" s="236"/>
      <c r="V162" s="60"/>
      <c r="W162" s="60"/>
      <c r="X162" s="236"/>
      <c r="Y162" s="236"/>
      <c r="Z162" s="60"/>
      <c r="AA162" s="60"/>
      <c r="AB162" s="236"/>
      <c r="AC162" s="60"/>
      <c r="AD162" s="60"/>
      <c r="AE162" s="236"/>
      <c r="AF162" s="236"/>
      <c r="AG162" s="60"/>
      <c r="AH162" s="60"/>
      <c r="AI162" s="236"/>
      <c r="AJ162" s="236"/>
    </row>
    <row r="163">
      <c r="A163" s="61"/>
      <c r="B163" s="60"/>
      <c r="C163" s="236"/>
      <c r="D163" s="236"/>
      <c r="E163" s="60"/>
      <c r="F163" s="60"/>
      <c r="G163" s="236"/>
      <c r="H163" s="60"/>
      <c r="I163" s="60"/>
      <c r="J163" s="236"/>
      <c r="K163" s="236"/>
      <c r="L163" s="60"/>
      <c r="M163" s="60"/>
      <c r="N163" s="236"/>
      <c r="O163" s="60"/>
      <c r="P163" s="60"/>
      <c r="Q163" s="236"/>
      <c r="R163" s="236"/>
      <c r="S163" s="60"/>
      <c r="T163" s="60"/>
      <c r="U163" s="236"/>
      <c r="V163" s="60"/>
      <c r="W163" s="60"/>
      <c r="X163" s="236"/>
      <c r="Y163" s="236"/>
      <c r="Z163" s="60"/>
      <c r="AA163" s="60"/>
      <c r="AB163" s="236"/>
      <c r="AC163" s="60"/>
      <c r="AD163" s="60"/>
      <c r="AE163" s="236"/>
      <c r="AF163" s="236"/>
      <c r="AG163" s="60"/>
      <c r="AH163" s="60"/>
      <c r="AI163" s="236"/>
      <c r="AJ163" s="236"/>
    </row>
    <row r="164">
      <c r="A164" s="61"/>
      <c r="B164" s="60"/>
      <c r="C164" s="236"/>
      <c r="D164" s="236"/>
      <c r="E164" s="60"/>
      <c r="F164" s="60"/>
      <c r="G164" s="236"/>
      <c r="H164" s="60"/>
      <c r="I164" s="60"/>
      <c r="J164" s="236"/>
      <c r="K164" s="236"/>
      <c r="L164" s="60"/>
      <c r="M164" s="60"/>
      <c r="N164" s="236"/>
      <c r="O164" s="60"/>
      <c r="P164" s="60"/>
      <c r="Q164" s="236"/>
      <c r="R164" s="236"/>
      <c r="S164" s="60"/>
      <c r="T164" s="60"/>
      <c r="U164" s="236"/>
      <c r="V164" s="60"/>
      <c r="W164" s="60"/>
      <c r="X164" s="236"/>
      <c r="Y164" s="236"/>
      <c r="Z164" s="60"/>
      <c r="AA164" s="60"/>
      <c r="AB164" s="236"/>
      <c r="AC164" s="60"/>
      <c r="AD164" s="60"/>
      <c r="AE164" s="236"/>
      <c r="AF164" s="236"/>
      <c r="AG164" s="60"/>
      <c r="AH164" s="60"/>
      <c r="AI164" s="236"/>
      <c r="AJ164" s="236"/>
    </row>
    <row r="165">
      <c r="A165" s="61"/>
      <c r="B165" s="60"/>
      <c r="C165" s="236"/>
      <c r="D165" s="236"/>
      <c r="E165" s="60"/>
      <c r="F165" s="60"/>
      <c r="G165" s="236"/>
      <c r="H165" s="60"/>
      <c r="I165" s="60"/>
      <c r="J165" s="236"/>
      <c r="K165" s="236"/>
      <c r="L165" s="60"/>
      <c r="M165" s="60"/>
      <c r="N165" s="236"/>
      <c r="O165" s="60"/>
      <c r="P165" s="60"/>
      <c r="Q165" s="236"/>
      <c r="R165" s="236"/>
      <c r="S165" s="60"/>
      <c r="T165" s="60"/>
      <c r="U165" s="236"/>
      <c r="V165" s="60"/>
      <c r="W165" s="60"/>
      <c r="X165" s="236"/>
      <c r="Y165" s="236"/>
      <c r="Z165" s="60"/>
      <c r="AA165" s="60"/>
      <c r="AB165" s="236"/>
      <c r="AC165" s="60"/>
      <c r="AD165" s="60"/>
      <c r="AE165" s="236"/>
      <c r="AF165" s="236"/>
      <c r="AG165" s="60"/>
      <c r="AH165" s="60"/>
      <c r="AI165" s="236"/>
      <c r="AJ165" s="236"/>
    </row>
    <row r="166">
      <c r="A166" s="61"/>
      <c r="B166" s="60"/>
      <c r="C166" s="236"/>
      <c r="D166" s="236"/>
      <c r="E166" s="60"/>
      <c r="F166" s="60"/>
      <c r="G166" s="236"/>
      <c r="H166" s="60"/>
      <c r="I166" s="60"/>
      <c r="J166" s="236"/>
      <c r="K166" s="236"/>
      <c r="L166" s="60"/>
      <c r="M166" s="60"/>
      <c r="N166" s="236"/>
      <c r="O166" s="60"/>
      <c r="P166" s="60"/>
      <c r="Q166" s="236"/>
      <c r="R166" s="236"/>
      <c r="S166" s="60"/>
      <c r="T166" s="60"/>
      <c r="U166" s="236"/>
      <c r="V166" s="60"/>
      <c r="W166" s="60"/>
      <c r="X166" s="236"/>
      <c r="Y166" s="236"/>
      <c r="Z166" s="60"/>
      <c r="AA166" s="60"/>
      <c r="AB166" s="236"/>
      <c r="AC166" s="60"/>
      <c r="AD166" s="60"/>
      <c r="AE166" s="236"/>
      <c r="AF166" s="236"/>
      <c r="AG166" s="60"/>
      <c r="AH166" s="60"/>
      <c r="AI166" s="236"/>
      <c r="AJ166" s="236"/>
    </row>
    <row r="167">
      <c r="A167" s="61"/>
      <c r="B167" s="60"/>
      <c r="C167" s="236"/>
      <c r="D167" s="236"/>
      <c r="E167" s="60"/>
      <c r="F167" s="60"/>
      <c r="G167" s="236"/>
      <c r="H167" s="60"/>
      <c r="I167" s="60"/>
      <c r="J167" s="236"/>
      <c r="K167" s="236"/>
      <c r="L167" s="60"/>
      <c r="M167" s="60"/>
      <c r="N167" s="236"/>
      <c r="O167" s="60"/>
      <c r="P167" s="60"/>
      <c r="Q167" s="236"/>
      <c r="R167" s="236"/>
      <c r="S167" s="60"/>
      <c r="T167" s="60"/>
      <c r="U167" s="236"/>
      <c r="V167" s="60"/>
      <c r="W167" s="60"/>
      <c r="X167" s="236"/>
      <c r="Y167" s="236"/>
      <c r="Z167" s="60"/>
      <c r="AA167" s="60"/>
      <c r="AB167" s="236"/>
      <c r="AC167" s="60"/>
      <c r="AD167" s="60"/>
      <c r="AE167" s="236"/>
      <c r="AF167" s="236"/>
      <c r="AG167" s="60"/>
      <c r="AH167" s="60"/>
      <c r="AI167" s="236"/>
      <c r="AJ167" s="236"/>
    </row>
    <row r="168">
      <c r="A168" s="61"/>
      <c r="B168" s="60"/>
      <c r="C168" s="236"/>
      <c r="D168" s="236"/>
      <c r="E168" s="60"/>
      <c r="F168" s="60"/>
      <c r="G168" s="236"/>
      <c r="H168" s="60"/>
      <c r="I168" s="60"/>
      <c r="J168" s="236"/>
      <c r="K168" s="236"/>
      <c r="L168" s="60"/>
      <c r="M168" s="60"/>
      <c r="N168" s="236"/>
      <c r="O168" s="60"/>
      <c r="P168" s="60"/>
      <c r="Q168" s="236"/>
      <c r="R168" s="236"/>
      <c r="S168" s="60"/>
      <c r="T168" s="60"/>
      <c r="U168" s="236"/>
      <c r="V168" s="60"/>
      <c r="W168" s="60"/>
      <c r="X168" s="236"/>
      <c r="Y168" s="236"/>
      <c r="Z168" s="60"/>
      <c r="AA168" s="60"/>
      <c r="AB168" s="236"/>
      <c r="AC168" s="60"/>
      <c r="AD168" s="60"/>
      <c r="AE168" s="236"/>
      <c r="AF168" s="236"/>
      <c r="AG168" s="60"/>
      <c r="AH168" s="60"/>
      <c r="AI168" s="236"/>
      <c r="AJ168" s="236"/>
    </row>
    <row r="169">
      <c r="A169" s="61"/>
      <c r="B169" s="60"/>
      <c r="C169" s="236"/>
      <c r="D169" s="236"/>
      <c r="E169" s="60"/>
      <c r="F169" s="60"/>
      <c r="G169" s="236"/>
      <c r="H169" s="60"/>
      <c r="I169" s="60"/>
      <c r="J169" s="236"/>
      <c r="K169" s="236"/>
      <c r="L169" s="60"/>
      <c r="M169" s="60"/>
      <c r="N169" s="236"/>
      <c r="O169" s="60"/>
      <c r="P169" s="60"/>
      <c r="Q169" s="236"/>
      <c r="R169" s="236"/>
      <c r="S169" s="60"/>
      <c r="T169" s="60"/>
      <c r="U169" s="236"/>
      <c r="V169" s="60"/>
      <c r="W169" s="60"/>
      <c r="X169" s="236"/>
      <c r="Y169" s="236"/>
      <c r="Z169" s="60"/>
      <c r="AA169" s="60"/>
      <c r="AB169" s="236"/>
      <c r="AC169" s="60"/>
      <c r="AD169" s="60"/>
      <c r="AE169" s="236"/>
      <c r="AF169" s="236"/>
      <c r="AG169" s="60"/>
      <c r="AH169" s="60"/>
      <c r="AI169" s="236"/>
      <c r="AJ169" s="236"/>
    </row>
    <row r="170">
      <c r="A170" s="61"/>
      <c r="B170" s="60"/>
      <c r="C170" s="236"/>
      <c r="D170" s="236"/>
      <c r="E170" s="60"/>
      <c r="F170" s="60"/>
      <c r="G170" s="236"/>
      <c r="H170" s="60"/>
      <c r="I170" s="60"/>
      <c r="J170" s="236"/>
      <c r="K170" s="236"/>
      <c r="L170" s="60"/>
      <c r="M170" s="60"/>
      <c r="N170" s="236"/>
      <c r="O170" s="60"/>
      <c r="P170" s="60"/>
      <c r="Q170" s="236"/>
      <c r="R170" s="236"/>
      <c r="S170" s="60"/>
      <c r="T170" s="60"/>
      <c r="U170" s="236"/>
      <c r="V170" s="60"/>
      <c r="W170" s="60"/>
      <c r="X170" s="236"/>
      <c r="Y170" s="236"/>
      <c r="Z170" s="60"/>
      <c r="AA170" s="60"/>
      <c r="AB170" s="236"/>
      <c r="AC170" s="60"/>
      <c r="AD170" s="60"/>
      <c r="AE170" s="236"/>
      <c r="AF170" s="236"/>
      <c r="AG170" s="60"/>
      <c r="AH170" s="60"/>
      <c r="AI170" s="236"/>
      <c r="AJ170" s="236"/>
    </row>
    <row r="171">
      <c r="A171" s="61"/>
      <c r="B171" s="60"/>
      <c r="C171" s="236"/>
      <c r="D171" s="236"/>
      <c r="E171" s="60"/>
      <c r="F171" s="60"/>
      <c r="G171" s="236"/>
      <c r="H171" s="60"/>
      <c r="I171" s="60"/>
      <c r="J171" s="236"/>
      <c r="K171" s="236"/>
      <c r="L171" s="60"/>
      <c r="M171" s="60"/>
      <c r="N171" s="236"/>
      <c r="O171" s="60"/>
      <c r="P171" s="60"/>
      <c r="Q171" s="236"/>
      <c r="R171" s="236"/>
      <c r="S171" s="60"/>
      <c r="T171" s="60"/>
      <c r="U171" s="236"/>
      <c r="V171" s="60"/>
      <c r="W171" s="60"/>
      <c r="X171" s="236"/>
      <c r="Y171" s="236"/>
      <c r="Z171" s="60"/>
      <c r="AA171" s="60"/>
      <c r="AB171" s="236"/>
      <c r="AC171" s="60"/>
      <c r="AD171" s="60"/>
      <c r="AE171" s="236"/>
      <c r="AF171" s="236"/>
      <c r="AG171" s="60"/>
      <c r="AH171" s="60"/>
      <c r="AI171" s="236"/>
      <c r="AJ171" s="236"/>
    </row>
    <row r="172">
      <c r="A172" s="61"/>
      <c r="B172" s="60"/>
      <c r="C172" s="236"/>
      <c r="D172" s="236"/>
      <c r="E172" s="60"/>
      <c r="F172" s="60"/>
      <c r="G172" s="236"/>
      <c r="H172" s="60"/>
      <c r="I172" s="60"/>
      <c r="J172" s="236"/>
      <c r="K172" s="236"/>
      <c r="L172" s="60"/>
      <c r="M172" s="60"/>
      <c r="N172" s="236"/>
      <c r="O172" s="60"/>
      <c r="P172" s="60"/>
      <c r="Q172" s="236"/>
      <c r="R172" s="236"/>
      <c r="S172" s="60"/>
      <c r="T172" s="60"/>
      <c r="U172" s="236"/>
      <c r="V172" s="60"/>
      <c r="W172" s="60"/>
      <c r="X172" s="236"/>
      <c r="Y172" s="236"/>
      <c r="Z172" s="60"/>
      <c r="AA172" s="60"/>
      <c r="AB172" s="236"/>
      <c r="AC172" s="60"/>
      <c r="AD172" s="60"/>
      <c r="AE172" s="236"/>
      <c r="AF172" s="236"/>
      <c r="AG172" s="60"/>
      <c r="AH172" s="60"/>
      <c r="AI172" s="236"/>
      <c r="AJ172" s="236"/>
    </row>
    <row r="173">
      <c r="A173" s="61"/>
      <c r="B173" s="60"/>
      <c r="C173" s="236"/>
      <c r="D173" s="236"/>
      <c r="E173" s="60"/>
      <c r="F173" s="60"/>
      <c r="G173" s="236"/>
      <c r="H173" s="60"/>
      <c r="I173" s="60"/>
      <c r="J173" s="236"/>
      <c r="K173" s="236"/>
      <c r="L173" s="60"/>
      <c r="M173" s="60"/>
      <c r="N173" s="236"/>
      <c r="O173" s="60"/>
      <c r="P173" s="60"/>
      <c r="Q173" s="236"/>
      <c r="R173" s="236"/>
      <c r="S173" s="60"/>
      <c r="T173" s="60"/>
      <c r="U173" s="236"/>
      <c r="V173" s="60"/>
      <c r="W173" s="60"/>
      <c r="X173" s="236"/>
      <c r="Y173" s="236"/>
      <c r="Z173" s="60"/>
      <c r="AA173" s="60"/>
      <c r="AB173" s="236"/>
      <c r="AC173" s="60"/>
      <c r="AD173" s="60"/>
      <c r="AE173" s="236"/>
      <c r="AF173" s="236"/>
      <c r="AG173" s="60"/>
      <c r="AH173" s="60"/>
      <c r="AI173" s="236"/>
      <c r="AJ173" s="236"/>
    </row>
    <row r="174">
      <c r="A174" s="61"/>
      <c r="B174" s="60"/>
      <c r="C174" s="236"/>
      <c r="D174" s="236"/>
      <c r="E174" s="60"/>
      <c r="F174" s="60"/>
      <c r="G174" s="236"/>
      <c r="H174" s="60"/>
      <c r="I174" s="60"/>
      <c r="J174" s="236"/>
      <c r="K174" s="236"/>
      <c r="L174" s="60"/>
      <c r="M174" s="60"/>
      <c r="N174" s="236"/>
      <c r="O174" s="60"/>
      <c r="P174" s="60"/>
      <c r="Q174" s="236"/>
      <c r="R174" s="236"/>
      <c r="S174" s="60"/>
      <c r="T174" s="60"/>
      <c r="U174" s="236"/>
      <c r="V174" s="60"/>
      <c r="W174" s="60"/>
      <c r="X174" s="236"/>
      <c r="Y174" s="236"/>
      <c r="Z174" s="60"/>
      <c r="AA174" s="60"/>
      <c r="AB174" s="236"/>
      <c r="AC174" s="60"/>
      <c r="AD174" s="60"/>
      <c r="AE174" s="236"/>
      <c r="AF174" s="236"/>
      <c r="AG174" s="60"/>
      <c r="AH174" s="60"/>
      <c r="AI174" s="236"/>
      <c r="AJ174" s="236"/>
    </row>
    <row r="175">
      <c r="A175" s="61"/>
      <c r="B175" s="60"/>
      <c r="C175" s="236"/>
      <c r="D175" s="236"/>
      <c r="E175" s="60"/>
      <c r="F175" s="60"/>
      <c r="G175" s="236"/>
      <c r="H175" s="60"/>
      <c r="I175" s="60"/>
      <c r="J175" s="236"/>
      <c r="K175" s="236"/>
      <c r="L175" s="60"/>
      <c r="M175" s="60"/>
      <c r="N175" s="236"/>
      <c r="O175" s="60"/>
      <c r="P175" s="60"/>
      <c r="Q175" s="236"/>
      <c r="R175" s="236"/>
      <c r="S175" s="60"/>
      <c r="T175" s="60"/>
      <c r="U175" s="236"/>
      <c r="V175" s="60"/>
      <c r="W175" s="60"/>
      <c r="X175" s="236"/>
      <c r="Y175" s="236"/>
      <c r="Z175" s="60"/>
      <c r="AA175" s="60"/>
      <c r="AB175" s="236"/>
      <c r="AC175" s="60"/>
      <c r="AD175" s="60"/>
      <c r="AE175" s="236"/>
      <c r="AF175" s="236"/>
      <c r="AG175" s="60"/>
      <c r="AH175" s="60"/>
      <c r="AI175" s="236"/>
      <c r="AJ175" s="236"/>
    </row>
    <row r="176">
      <c r="A176" s="61"/>
      <c r="B176" s="60"/>
      <c r="C176" s="236"/>
      <c r="D176" s="236"/>
      <c r="E176" s="60"/>
      <c r="F176" s="60"/>
      <c r="G176" s="236"/>
      <c r="H176" s="60"/>
      <c r="I176" s="60"/>
      <c r="J176" s="236"/>
      <c r="K176" s="236"/>
      <c r="L176" s="60"/>
      <c r="M176" s="60"/>
      <c r="N176" s="236"/>
      <c r="O176" s="60"/>
      <c r="P176" s="60"/>
      <c r="Q176" s="236"/>
      <c r="R176" s="236"/>
      <c r="S176" s="60"/>
      <c r="T176" s="60"/>
      <c r="U176" s="236"/>
      <c r="V176" s="60"/>
      <c r="W176" s="60"/>
      <c r="X176" s="236"/>
      <c r="Y176" s="236"/>
      <c r="Z176" s="60"/>
      <c r="AA176" s="60"/>
      <c r="AB176" s="236"/>
      <c r="AC176" s="60"/>
      <c r="AD176" s="60"/>
      <c r="AE176" s="236"/>
      <c r="AF176" s="236"/>
      <c r="AG176" s="60"/>
      <c r="AH176" s="60"/>
      <c r="AI176" s="236"/>
      <c r="AJ176" s="236"/>
    </row>
    <row r="177">
      <c r="A177" s="61"/>
      <c r="B177" s="60"/>
      <c r="C177" s="236"/>
      <c r="D177" s="236"/>
      <c r="E177" s="60"/>
      <c r="F177" s="60"/>
      <c r="G177" s="236"/>
      <c r="H177" s="60"/>
      <c r="I177" s="60"/>
      <c r="J177" s="236"/>
      <c r="K177" s="236"/>
      <c r="L177" s="60"/>
      <c r="M177" s="60"/>
      <c r="N177" s="236"/>
      <c r="O177" s="60"/>
      <c r="P177" s="60"/>
      <c r="Q177" s="236"/>
      <c r="R177" s="236"/>
      <c r="S177" s="60"/>
      <c r="T177" s="60"/>
      <c r="U177" s="236"/>
      <c r="V177" s="60"/>
      <c r="W177" s="60"/>
      <c r="X177" s="236"/>
      <c r="Y177" s="236"/>
      <c r="Z177" s="60"/>
      <c r="AA177" s="60"/>
      <c r="AB177" s="236"/>
      <c r="AC177" s="60"/>
      <c r="AD177" s="60"/>
      <c r="AE177" s="236"/>
      <c r="AF177" s="236"/>
      <c r="AG177" s="60"/>
      <c r="AH177" s="60"/>
      <c r="AI177" s="236"/>
      <c r="AJ177" s="236"/>
    </row>
    <row r="178">
      <c r="A178" s="61"/>
      <c r="B178" s="60"/>
      <c r="C178" s="236"/>
      <c r="D178" s="236"/>
      <c r="E178" s="60"/>
      <c r="F178" s="60"/>
      <c r="G178" s="236"/>
      <c r="H178" s="60"/>
      <c r="I178" s="60"/>
      <c r="J178" s="236"/>
      <c r="K178" s="236"/>
      <c r="L178" s="60"/>
      <c r="M178" s="60"/>
      <c r="N178" s="236"/>
      <c r="O178" s="60"/>
      <c r="P178" s="60"/>
      <c r="Q178" s="236"/>
      <c r="R178" s="236"/>
      <c r="S178" s="60"/>
      <c r="T178" s="60"/>
      <c r="U178" s="236"/>
      <c r="V178" s="60"/>
      <c r="W178" s="60"/>
      <c r="X178" s="236"/>
      <c r="Y178" s="236"/>
      <c r="Z178" s="60"/>
      <c r="AA178" s="60"/>
      <c r="AB178" s="236"/>
      <c r="AC178" s="60"/>
      <c r="AD178" s="60"/>
      <c r="AE178" s="236"/>
      <c r="AF178" s="236"/>
      <c r="AG178" s="60"/>
      <c r="AH178" s="60"/>
      <c r="AI178" s="236"/>
      <c r="AJ178" s="236"/>
    </row>
    <row r="179">
      <c r="A179" s="61"/>
      <c r="B179" s="60"/>
      <c r="C179" s="236"/>
      <c r="D179" s="236"/>
      <c r="E179" s="60"/>
      <c r="F179" s="60"/>
      <c r="G179" s="236"/>
      <c r="H179" s="60"/>
      <c r="I179" s="60"/>
      <c r="J179" s="236"/>
      <c r="K179" s="236"/>
      <c r="L179" s="60"/>
      <c r="M179" s="60"/>
      <c r="N179" s="236"/>
      <c r="O179" s="60"/>
      <c r="P179" s="60"/>
      <c r="Q179" s="236"/>
      <c r="R179" s="236"/>
      <c r="S179" s="60"/>
      <c r="T179" s="60"/>
      <c r="U179" s="236"/>
      <c r="V179" s="60"/>
      <c r="W179" s="60"/>
      <c r="X179" s="236"/>
      <c r="Y179" s="236"/>
      <c r="Z179" s="60"/>
      <c r="AA179" s="60"/>
      <c r="AB179" s="236"/>
      <c r="AC179" s="60"/>
      <c r="AD179" s="60"/>
      <c r="AE179" s="236"/>
      <c r="AF179" s="236"/>
      <c r="AG179" s="60"/>
      <c r="AH179" s="60"/>
      <c r="AI179" s="236"/>
      <c r="AJ179" s="236"/>
    </row>
    <row r="180">
      <c r="A180" s="61"/>
      <c r="B180" s="60"/>
      <c r="C180" s="236"/>
      <c r="D180" s="236"/>
      <c r="E180" s="60"/>
      <c r="F180" s="60"/>
      <c r="G180" s="236"/>
      <c r="H180" s="60"/>
      <c r="I180" s="60"/>
      <c r="J180" s="236"/>
      <c r="K180" s="236"/>
      <c r="L180" s="60"/>
      <c r="M180" s="60"/>
      <c r="N180" s="236"/>
      <c r="O180" s="60"/>
      <c r="P180" s="60"/>
      <c r="Q180" s="236"/>
      <c r="R180" s="236"/>
      <c r="S180" s="60"/>
      <c r="T180" s="60"/>
      <c r="U180" s="236"/>
      <c r="V180" s="60"/>
      <c r="W180" s="60"/>
      <c r="X180" s="236"/>
      <c r="Y180" s="236"/>
      <c r="Z180" s="60"/>
      <c r="AA180" s="60"/>
      <c r="AB180" s="236"/>
      <c r="AC180" s="60"/>
      <c r="AD180" s="60"/>
      <c r="AE180" s="236"/>
      <c r="AF180" s="236"/>
      <c r="AG180" s="60"/>
      <c r="AH180" s="60"/>
      <c r="AI180" s="236"/>
      <c r="AJ180" s="236"/>
    </row>
    <row r="181">
      <c r="A181" s="61"/>
      <c r="B181" s="60"/>
      <c r="C181" s="236"/>
      <c r="D181" s="236"/>
      <c r="E181" s="60"/>
      <c r="F181" s="60"/>
      <c r="G181" s="236"/>
      <c r="H181" s="60"/>
      <c r="I181" s="60"/>
      <c r="J181" s="236"/>
      <c r="K181" s="236"/>
      <c r="L181" s="60"/>
      <c r="M181" s="60"/>
      <c r="N181" s="236"/>
      <c r="O181" s="60"/>
      <c r="P181" s="60"/>
      <c r="Q181" s="236"/>
      <c r="R181" s="236"/>
      <c r="S181" s="60"/>
      <c r="T181" s="60"/>
      <c r="U181" s="236"/>
      <c r="V181" s="60"/>
      <c r="W181" s="60"/>
      <c r="X181" s="236"/>
      <c r="Y181" s="236"/>
      <c r="Z181" s="60"/>
      <c r="AA181" s="60"/>
      <c r="AB181" s="236"/>
      <c r="AC181" s="60"/>
      <c r="AD181" s="60"/>
      <c r="AE181" s="236"/>
      <c r="AF181" s="236"/>
      <c r="AG181" s="60"/>
      <c r="AH181" s="60"/>
      <c r="AI181" s="236"/>
      <c r="AJ181" s="236"/>
    </row>
    <row r="182">
      <c r="A182" s="61"/>
      <c r="B182" s="60"/>
      <c r="C182" s="236"/>
      <c r="D182" s="236"/>
      <c r="E182" s="60"/>
      <c r="F182" s="60"/>
      <c r="G182" s="236"/>
      <c r="H182" s="60"/>
      <c r="I182" s="60"/>
      <c r="J182" s="236"/>
      <c r="K182" s="236"/>
      <c r="L182" s="60"/>
      <c r="M182" s="60"/>
      <c r="N182" s="236"/>
      <c r="O182" s="60"/>
      <c r="P182" s="60"/>
      <c r="Q182" s="236"/>
      <c r="R182" s="236"/>
      <c r="S182" s="60"/>
      <c r="T182" s="60"/>
      <c r="U182" s="236"/>
      <c r="V182" s="60"/>
      <c r="W182" s="60"/>
      <c r="X182" s="236"/>
      <c r="Y182" s="236"/>
      <c r="Z182" s="60"/>
      <c r="AA182" s="60"/>
      <c r="AB182" s="236"/>
      <c r="AC182" s="60"/>
      <c r="AD182" s="60"/>
      <c r="AE182" s="236"/>
      <c r="AF182" s="236"/>
      <c r="AG182" s="60"/>
      <c r="AH182" s="60"/>
      <c r="AI182" s="236"/>
      <c r="AJ182" s="236"/>
    </row>
    <row r="183">
      <c r="A183" s="61"/>
      <c r="B183" s="60"/>
      <c r="C183" s="236"/>
      <c r="D183" s="236"/>
      <c r="E183" s="60"/>
      <c r="F183" s="60"/>
      <c r="G183" s="236"/>
      <c r="H183" s="60"/>
      <c r="I183" s="60"/>
      <c r="J183" s="236"/>
      <c r="K183" s="236"/>
      <c r="L183" s="60"/>
      <c r="M183" s="60"/>
      <c r="N183" s="236"/>
      <c r="O183" s="60"/>
      <c r="P183" s="60"/>
      <c r="Q183" s="236"/>
      <c r="R183" s="236"/>
      <c r="S183" s="60"/>
      <c r="T183" s="60"/>
      <c r="U183" s="236"/>
      <c r="V183" s="60"/>
      <c r="W183" s="60"/>
      <c r="X183" s="236"/>
      <c r="Y183" s="236"/>
      <c r="Z183" s="60"/>
      <c r="AA183" s="60"/>
      <c r="AB183" s="236"/>
      <c r="AC183" s="60"/>
      <c r="AD183" s="60"/>
      <c r="AE183" s="236"/>
      <c r="AF183" s="236"/>
      <c r="AG183" s="60"/>
      <c r="AH183" s="60"/>
      <c r="AI183" s="236"/>
      <c r="AJ183" s="236"/>
    </row>
    <row r="184">
      <c r="A184" s="61"/>
      <c r="B184" s="60"/>
      <c r="C184" s="236"/>
      <c r="D184" s="236"/>
      <c r="E184" s="60"/>
      <c r="F184" s="60"/>
      <c r="G184" s="236"/>
      <c r="H184" s="60"/>
      <c r="I184" s="60"/>
      <c r="J184" s="236"/>
      <c r="K184" s="236"/>
      <c r="L184" s="60"/>
      <c r="M184" s="60"/>
      <c r="N184" s="236"/>
      <c r="O184" s="60"/>
      <c r="P184" s="60"/>
      <c r="Q184" s="236"/>
      <c r="R184" s="236"/>
      <c r="S184" s="60"/>
      <c r="T184" s="60"/>
      <c r="U184" s="236"/>
      <c r="V184" s="60"/>
      <c r="W184" s="60"/>
      <c r="X184" s="236"/>
      <c r="Y184" s="236"/>
      <c r="Z184" s="60"/>
      <c r="AA184" s="60"/>
      <c r="AB184" s="236"/>
      <c r="AC184" s="60"/>
      <c r="AD184" s="60"/>
      <c r="AE184" s="236"/>
      <c r="AF184" s="236"/>
      <c r="AG184" s="60"/>
      <c r="AH184" s="60"/>
      <c r="AI184" s="236"/>
      <c r="AJ184" s="236"/>
    </row>
    <row r="185">
      <c r="A185" s="61"/>
      <c r="B185" s="60"/>
      <c r="C185" s="236"/>
      <c r="D185" s="236"/>
      <c r="E185" s="60"/>
      <c r="F185" s="60"/>
      <c r="G185" s="236"/>
      <c r="H185" s="60"/>
      <c r="I185" s="60"/>
      <c r="J185" s="236"/>
      <c r="K185" s="236"/>
      <c r="L185" s="60"/>
      <c r="M185" s="60"/>
      <c r="N185" s="236"/>
      <c r="O185" s="60"/>
      <c r="P185" s="60"/>
      <c r="Q185" s="236"/>
      <c r="R185" s="236"/>
      <c r="S185" s="60"/>
      <c r="T185" s="60"/>
      <c r="U185" s="236"/>
      <c r="V185" s="60"/>
      <c r="W185" s="60"/>
      <c r="X185" s="236"/>
      <c r="Y185" s="236"/>
      <c r="Z185" s="60"/>
      <c r="AA185" s="60"/>
      <c r="AB185" s="236"/>
      <c r="AC185" s="60"/>
      <c r="AD185" s="60"/>
      <c r="AE185" s="236"/>
      <c r="AF185" s="236"/>
      <c r="AG185" s="60"/>
      <c r="AH185" s="60"/>
      <c r="AI185" s="236"/>
      <c r="AJ185" s="236"/>
    </row>
    <row r="186">
      <c r="A186" s="61"/>
      <c r="B186" s="60"/>
      <c r="C186" s="236"/>
      <c r="D186" s="236"/>
      <c r="E186" s="60"/>
      <c r="F186" s="60"/>
      <c r="G186" s="236"/>
      <c r="H186" s="60"/>
      <c r="I186" s="60"/>
      <c r="J186" s="236"/>
      <c r="K186" s="236"/>
      <c r="L186" s="60"/>
      <c r="M186" s="60"/>
      <c r="N186" s="236"/>
      <c r="O186" s="60"/>
      <c r="P186" s="60"/>
      <c r="Q186" s="236"/>
      <c r="R186" s="236"/>
      <c r="S186" s="60"/>
      <c r="T186" s="60"/>
      <c r="U186" s="236"/>
      <c r="V186" s="60"/>
      <c r="W186" s="60"/>
      <c r="X186" s="236"/>
      <c r="Y186" s="236"/>
      <c r="Z186" s="60"/>
      <c r="AA186" s="60"/>
      <c r="AB186" s="236"/>
      <c r="AC186" s="60"/>
      <c r="AD186" s="60"/>
      <c r="AE186" s="236"/>
      <c r="AF186" s="236"/>
      <c r="AG186" s="60"/>
      <c r="AH186" s="60"/>
      <c r="AI186" s="236"/>
      <c r="AJ186" s="236"/>
    </row>
    <row r="187">
      <c r="A187" s="61"/>
      <c r="B187" s="60"/>
      <c r="C187" s="236"/>
      <c r="D187" s="236"/>
      <c r="E187" s="60"/>
      <c r="F187" s="60"/>
      <c r="G187" s="236"/>
      <c r="H187" s="60"/>
      <c r="I187" s="60"/>
      <c r="J187" s="236"/>
      <c r="K187" s="236"/>
      <c r="L187" s="60"/>
      <c r="M187" s="60"/>
      <c r="N187" s="236"/>
      <c r="O187" s="60"/>
      <c r="P187" s="60"/>
      <c r="Q187" s="236"/>
      <c r="R187" s="236"/>
      <c r="S187" s="60"/>
      <c r="T187" s="60"/>
      <c r="U187" s="236"/>
      <c r="V187" s="60"/>
      <c r="W187" s="60"/>
      <c r="X187" s="236"/>
      <c r="Y187" s="236"/>
      <c r="Z187" s="60"/>
      <c r="AA187" s="60"/>
      <c r="AB187" s="236"/>
      <c r="AC187" s="60"/>
      <c r="AD187" s="60"/>
      <c r="AE187" s="236"/>
      <c r="AF187" s="236"/>
      <c r="AG187" s="60"/>
      <c r="AH187" s="60"/>
      <c r="AI187" s="236"/>
      <c r="AJ187" s="236"/>
    </row>
    <row r="188">
      <c r="A188" s="61"/>
      <c r="B188" s="60"/>
      <c r="C188" s="236"/>
      <c r="D188" s="236"/>
      <c r="E188" s="60"/>
      <c r="F188" s="60"/>
      <c r="G188" s="236"/>
      <c r="H188" s="60"/>
      <c r="I188" s="60"/>
      <c r="J188" s="236"/>
      <c r="K188" s="236"/>
      <c r="L188" s="60"/>
      <c r="M188" s="60"/>
      <c r="N188" s="236"/>
      <c r="O188" s="60"/>
      <c r="P188" s="60"/>
      <c r="Q188" s="236"/>
      <c r="R188" s="236"/>
      <c r="S188" s="60"/>
      <c r="T188" s="60"/>
      <c r="U188" s="236"/>
      <c r="V188" s="60"/>
      <c r="W188" s="60"/>
      <c r="X188" s="236"/>
      <c r="Y188" s="236"/>
      <c r="Z188" s="60"/>
      <c r="AA188" s="60"/>
      <c r="AB188" s="236"/>
      <c r="AC188" s="60"/>
      <c r="AD188" s="60"/>
      <c r="AE188" s="236"/>
      <c r="AF188" s="236"/>
      <c r="AG188" s="60"/>
      <c r="AH188" s="60"/>
      <c r="AI188" s="236"/>
      <c r="AJ188" s="236"/>
    </row>
    <row r="189">
      <c r="A189" s="61"/>
      <c r="B189" s="60"/>
      <c r="C189" s="236"/>
      <c r="D189" s="236"/>
      <c r="E189" s="60"/>
      <c r="F189" s="60"/>
      <c r="G189" s="236"/>
      <c r="H189" s="60"/>
      <c r="I189" s="60"/>
      <c r="J189" s="236"/>
      <c r="K189" s="236"/>
      <c r="L189" s="60"/>
      <c r="M189" s="60"/>
      <c r="N189" s="236"/>
      <c r="O189" s="60"/>
      <c r="P189" s="60"/>
      <c r="Q189" s="236"/>
      <c r="R189" s="236"/>
      <c r="S189" s="60"/>
      <c r="T189" s="60"/>
      <c r="U189" s="236"/>
      <c r="V189" s="60"/>
      <c r="W189" s="60"/>
      <c r="X189" s="236"/>
      <c r="Y189" s="236"/>
      <c r="Z189" s="60"/>
      <c r="AA189" s="60"/>
      <c r="AB189" s="236"/>
      <c r="AC189" s="60"/>
      <c r="AD189" s="60"/>
      <c r="AE189" s="236"/>
      <c r="AF189" s="236"/>
      <c r="AG189" s="60"/>
      <c r="AH189" s="60"/>
      <c r="AI189" s="236"/>
      <c r="AJ189" s="236"/>
    </row>
    <row r="190">
      <c r="A190" s="61"/>
      <c r="B190" s="60"/>
      <c r="C190" s="236"/>
      <c r="D190" s="236"/>
      <c r="E190" s="60"/>
      <c r="F190" s="60"/>
      <c r="G190" s="236"/>
      <c r="H190" s="60"/>
      <c r="I190" s="60"/>
      <c r="J190" s="236"/>
      <c r="K190" s="236"/>
      <c r="L190" s="60"/>
      <c r="M190" s="60"/>
      <c r="N190" s="236"/>
      <c r="O190" s="60"/>
      <c r="P190" s="60"/>
      <c r="Q190" s="236"/>
      <c r="R190" s="236"/>
      <c r="S190" s="60"/>
      <c r="T190" s="60"/>
      <c r="U190" s="236"/>
      <c r="V190" s="60"/>
      <c r="W190" s="60"/>
      <c r="X190" s="236"/>
      <c r="Y190" s="236"/>
      <c r="Z190" s="60"/>
      <c r="AA190" s="60"/>
      <c r="AB190" s="236"/>
      <c r="AC190" s="60"/>
      <c r="AD190" s="60"/>
      <c r="AE190" s="236"/>
      <c r="AF190" s="236"/>
      <c r="AG190" s="60"/>
      <c r="AH190" s="60"/>
      <c r="AI190" s="236"/>
      <c r="AJ190" s="236"/>
    </row>
    <row r="191">
      <c r="A191" s="61"/>
      <c r="B191" s="60"/>
      <c r="C191" s="236"/>
      <c r="D191" s="236"/>
      <c r="E191" s="60"/>
      <c r="F191" s="60"/>
      <c r="G191" s="236"/>
      <c r="H191" s="60"/>
      <c r="I191" s="60"/>
      <c r="J191" s="236"/>
      <c r="K191" s="236"/>
      <c r="L191" s="60"/>
      <c r="M191" s="60"/>
      <c r="N191" s="236"/>
      <c r="O191" s="60"/>
      <c r="P191" s="60"/>
      <c r="Q191" s="236"/>
      <c r="R191" s="236"/>
      <c r="S191" s="60"/>
      <c r="T191" s="60"/>
      <c r="U191" s="236"/>
      <c r="V191" s="60"/>
      <c r="W191" s="60"/>
      <c r="X191" s="236"/>
      <c r="Y191" s="236"/>
      <c r="Z191" s="60"/>
      <c r="AA191" s="60"/>
      <c r="AB191" s="236"/>
      <c r="AC191" s="60"/>
      <c r="AD191" s="60"/>
      <c r="AE191" s="236"/>
      <c r="AF191" s="236"/>
      <c r="AG191" s="60"/>
      <c r="AH191" s="60"/>
      <c r="AI191" s="236"/>
      <c r="AJ191" s="236"/>
    </row>
    <row r="192">
      <c r="A192" s="61"/>
      <c r="B192" s="60"/>
      <c r="C192" s="236"/>
      <c r="D192" s="236"/>
      <c r="E192" s="60"/>
      <c r="F192" s="60"/>
      <c r="G192" s="236"/>
      <c r="H192" s="60"/>
      <c r="I192" s="60"/>
      <c r="J192" s="236"/>
      <c r="K192" s="236"/>
      <c r="L192" s="60"/>
      <c r="M192" s="60"/>
      <c r="N192" s="236"/>
      <c r="O192" s="60"/>
      <c r="P192" s="60"/>
      <c r="Q192" s="236"/>
      <c r="R192" s="236"/>
      <c r="S192" s="60"/>
      <c r="T192" s="60"/>
      <c r="U192" s="236"/>
      <c r="V192" s="60"/>
      <c r="W192" s="60"/>
      <c r="X192" s="236"/>
      <c r="Y192" s="236"/>
      <c r="Z192" s="60"/>
      <c r="AA192" s="60"/>
      <c r="AB192" s="236"/>
      <c r="AC192" s="60"/>
      <c r="AD192" s="60"/>
      <c r="AE192" s="236"/>
      <c r="AF192" s="236"/>
      <c r="AG192" s="60"/>
      <c r="AH192" s="60"/>
      <c r="AI192" s="236"/>
      <c r="AJ192" s="236"/>
    </row>
    <row r="193">
      <c r="A193" s="61"/>
      <c r="B193" s="60"/>
      <c r="C193" s="236"/>
      <c r="D193" s="236"/>
      <c r="E193" s="60"/>
      <c r="F193" s="60"/>
      <c r="G193" s="236"/>
      <c r="H193" s="60"/>
      <c r="I193" s="60"/>
      <c r="J193" s="236"/>
      <c r="K193" s="236"/>
      <c r="L193" s="60"/>
      <c r="M193" s="60"/>
      <c r="N193" s="236"/>
      <c r="O193" s="60"/>
      <c r="P193" s="60"/>
      <c r="Q193" s="236"/>
      <c r="R193" s="236"/>
      <c r="S193" s="60"/>
      <c r="T193" s="60"/>
      <c r="U193" s="236"/>
      <c r="V193" s="60"/>
      <c r="W193" s="60"/>
      <c r="X193" s="236"/>
      <c r="Y193" s="236"/>
      <c r="Z193" s="60"/>
      <c r="AA193" s="60"/>
      <c r="AB193" s="236"/>
      <c r="AC193" s="60"/>
      <c r="AD193" s="60"/>
      <c r="AE193" s="236"/>
      <c r="AF193" s="236"/>
      <c r="AG193" s="60"/>
      <c r="AH193" s="60"/>
      <c r="AI193" s="236"/>
      <c r="AJ193" s="236"/>
    </row>
    <row r="194">
      <c r="A194" s="61"/>
      <c r="B194" s="60"/>
      <c r="C194" s="236"/>
      <c r="D194" s="236"/>
      <c r="E194" s="60"/>
      <c r="F194" s="60"/>
      <c r="G194" s="236"/>
      <c r="H194" s="60"/>
      <c r="I194" s="60"/>
      <c r="J194" s="236"/>
      <c r="K194" s="236"/>
      <c r="L194" s="60"/>
      <c r="M194" s="60"/>
      <c r="N194" s="236"/>
      <c r="O194" s="60"/>
      <c r="P194" s="60"/>
      <c r="Q194" s="236"/>
      <c r="R194" s="236"/>
      <c r="S194" s="60"/>
      <c r="T194" s="60"/>
      <c r="U194" s="236"/>
      <c r="V194" s="60"/>
      <c r="W194" s="60"/>
      <c r="X194" s="236"/>
      <c r="Y194" s="236"/>
      <c r="Z194" s="60"/>
      <c r="AA194" s="60"/>
      <c r="AB194" s="236"/>
      <c r="AC194" s="60"/>
      <c r="AD194" s="60"/>
      <c r="AE194" s="236"/>
      <c r="AF194" s="236"/>
      <c r="AG194" s="60"/>
      <c r="AH194" s="60"/>
      <c r="AI194" s="236"/>
      <c r="AJ194" s="236"/>
    </row>
    <row r="195">
      <c r="A195" s="61"/>
      <c r="B195" s="60"/>
      <c r="C195" s="236"/>
      <c r="D195" s="236"/>
      <c r="E195" s="60"/>
      <c r="F195" s="60"/>
      <c r="G195" s="236"/>
      <c r="H195" s="60"/>
      <c r="I195" s="60"/>
      <c r="J195" s="236"/>
      <c r="K195" s="236"/>
      <c r="L195" s="60"/>
      <c r="M195" s="60"/>
      <c r="N195" s="236"/>
      <c r="O195" s="60"/>
      <c r="P195" s="60"/>
      <c r="Q195" s="236"/>
      <c r="R195" s="236"/>
      <c r="S195" s="60"/>
      <c r="T195" s="60"/>
      <c r="U195" s="236"/>
      <c r="V195" s="60"/>
      <c r="W195" s="60"/>
      <c r="X195" s="236"/>
      <c r="Y195" s="236"/>
      <c r="Z195" s="60"/>
      <c r="AA195" s="60"/>
      <c r="AB195" s="236"/>
      <c r="AC195" s="60"/>
      <c r="AD195" s="60"/>
      <c r="AE195" s="236"/>
      <c r="AF195" s="236"/>
      <c r="AG195" s="60"/>
      <c r="AH195" s="60"/>
      <c r="AI195" s="236"/>
      <c r="AJ195" s="236"/>
    </row>
    <row r="196">
      <c r="A196" s="61"/>
      <c r="B196" s="60"/>
      <c r="C196" s="236"/>
      <c r="D196" s="236"/>
      <c r="E196" s="60"/>
      <c r="F196" s="60"/>
      <c r="G196" s="236"/>
      <c r="H196" s="60"/>
      <c r="I196" s="60"/>
      <c r="J196" s="236"/>
      <c r="K196" s="236"/>
      <c r="L196" s="60"/>
      <c r="M196" s="60"/>
      <c r="N196" s="236"/>
      <c r="O196" s="60"/>
      <c r="P196" s="60"/>
      <c r="Q196" s="236"/>
      <c r="R196" s="236"/>
      <c r="S196" s="60"/>
      <c r="T196" s="60"/>
      <c r="U196" s="236"/>
      <c r="V196" s="60"/>
      <c r="W196" s="60"/>
      <c r="X196" s="236"/>
      <c r="Y196" s="236"/>
      <c r="Z196" s="60"/>
      <c r="AA196" s="60"/>
      <c r="AB196" s="236"/>
      <c r="AC196" s="60"/>
      <c r="AD196" s="60"/>
      <c r="AE196" s="236"/>
      <c r="AF196" s="236"/>
      <c r="AG196" s="60"/>
      <c r="AH196" s="60"/>
      <c r="AI196" s="236"/>
      <c r="AJ196" s="236"/>
    </row>
    <row r="197">
      <c r="A197" s="61"/>
      <c r="B197" s="60"/>
      <c r="C197" s="236"/>
      <c r="D197" s="236"/>
      <c r="E197" s="60"/>
      <c r="F197" s="60"/>
      <c r="G197" s="236"/>
      <c r="H197" s="60"/>
      <c r="I197" s="60"/>
      <c r="J197" s="236"/>
      <c r="K197" s="236"/>
      <c r="L197" s="60"/>
      <c r="M197" s="60"/>
      <c r="N197" s="236"/>
      <c r="O197" s="60"/>
      <c r="P197" s="60"/>
      <c r="Q197" s="236"/>
      <c r="R197" s="236"/>
      <c r="S197" s="60"/>
      <c r="T197" s="60"/>
      <c r="U197" s="236"/>
      <c r="V197" s="60"/>
      <c r="W197" s="60"/>
      <c r="X197" s="236"/>
      <c r="Y197" s="236"/>
      <c r="Z197" s="60"/>
      <c r="AA197" s="60"/>
      <c r="AB197" s="236"/>
      <c r="AC197" s="60"/>
      <c r="AD197" s="60"/>
      <c r="AE197" s="236"/>
      <c r="AF197" s="236"/>
      <c r="AG197" s="60"/>
      <c r="AH197" s="60"/>
      <c r="AI197" s="236"/>
      <c r="AJ197" s="236"/>
    </row>
    <row r="198">
      <c r="A198" s="61"/>
      <c r="B198" s="60"/>
      <c r="C198" s="236"/>
      <c r="D198" s="236"/>
      <c r="E198" s="60"/>
      <c r="F198" s="60"/>
      <c r="G198" s="236"/>
      <c r="H198" s="60"/>
      <c r="I198" s="60"/>
      <c r="J198" s="236"/>
      <c r="K198" s="236"/>
      <c r="L198" s="60"/>
      <c r="M198" s="60"/>
      <c r="N198" s="236"/>
      <c r="O198" s="60"/>
      <c r="P198" s="60"/>
      <c r="Q198" s="236"/>
      <c r="R198" s="236"/>
      <c r="S198" s="60"/>
      <c r="T198" s="60"/>
      <c r="U198" s="236"/>
      <c r="V198" s="60"/>
      <c r="W198" s="60"/>
      <c r="X198" s="236"/>
      <c r="Y198" s="236"/>
      <c r="Z198" s="60"/>
      <c r="AA198" s="60"/>
      <c r="AB198" s="236"/>
      <c r="AC198" s="60"/>
      <c r="AD198" s="60"/>
      <c r="AE198" s="236"/>
      <c r="AF198" s="236"/>
      <c r="AG198" s="60"/>
      <c r="AH198" s="60"/>
      <c r="AI198" s="236"/>
      <c r="AJ198" s="236"/>
    </row>
    <row r="199">
      <c r="A199" s="61"/>
      <c r="B199" s="60"/>
      <c r="C199" s="236"/>
      <c r="D199" s="236"/>
      <c r="E199" s="60"/>
      <c r="F199" s="60"/>
      <c r="G199" s="236"/>
      <c r="H199" s="60"/>
      <c r="I199" s="60"/>
      <c r="J199" s="236"/>
      <c r="K199" s="236"/>
      <c r="L199" s="60"/>
      <c r="M199" s="60"/>
      <c r="N199" s="236"/>
      <c r="O199" s="60"/>
      <c r="P199" s="60"/>
      <c r="Q199" s="236"/>
      <c r="R199" s="236"/>
      <c r="S199" s="60"/>
      <c r="T199" s="60"/>
      <c r="U199" s="236"/>
      <c r="V199" s="60"/>
      <c r="W199" s="60"/>
      <c r="X199" s="236"/>
      <c r="Y199" s="236"/>
      <c r="Z199" s="60"/>
      <c r="AA199" s="60"/>
      <c r="AB199" s="236"/>
      <c r="AC199" s="60"/>
      <c r="AD199" s="60"/>
      <c r="AE199" s="236"/>
      <c r="AF199" s="236"/>
      <c r="AG199" s="60"/>
      <c r="AH199" s="60"/>
      <c r="AI199" s="236"/>
      <c r="AJ199" s="236"/>
    </row>
    <row r="200">
      <c r="A200" s="61"/>
      <c r="B200" s="60"/>
      <c r="C200" s="236"/>
      <c r="D200" s="236"/>
      <c r="E200" s="60"/>
      <c r="F200" s="60"/>
      <c r="G200" s="236"/>
      <c r="H200" s="60"/>
      <c r="I200" s="60"/>
      <c r="J200" s="236"/>
      <c r="K200" s="236"/>
      <c r="L200" s="60"/>
      <c r="M200" s="60"/>
      <c r="N200" s="236"/>
      <c r="O200" s="60"/>
      <c r="P200" s="60"/>
      <c r="Q200" s="236"/>
      <c r="R200" s="236"/>
      <c r="S200" s="60"/>
      <c r="T200" s="60"/>
      <c r="U200" s="236"/>
      <c r="V200" s="60"/>
      <c r="W200" s="60"/>
      <c r="X200" s="236"/>
      <c r="Y200" s="236"/>
      <c r="Z200" s="60"/>
      <c r="AA200" s="60"/>
      <c r="AB200" s="236"/>
      <c r="AC200" s="60"/>
      <c r="AD200" s="60"/>
      <c r="AE200" s="236"/>
      <c r="AF200" s="236"/>
      <c r="AG200" s="60"/>
      <c r="AH200" s="60"/>
      <c r="AI200" s="236"/>
      <c r="AJ200" s="236"/>
    </row>
    <row r="201">
      <c r="A201" s="61"/>
      <c r="B201" s="60"/>
      <c r="C201" s="236"/>
      <c r="D201" s="236"/>
      <c r="E201" s="60"/>
      <c r="F201" s="60"/>
      <c r="G201" s="236"/>
      <c r="H201" s="60"/>
      <c r="I201" s="60"/>
      <c r="J201" s="236"/>
      <c r="K201" s="236"/>
      <c r="L201" s="60"/>
      <c r="M201" s="60"/>
      <c r="N201" s="236"/>
      <c r="O201" s="60"/>
      <c r="P201" s="60"/>
      <c r="Q201" s="236"/>
      <c r="R201" s="236"/>
      <c r="S201" s="60"/>
      <c r="T201" s="60"/>
      <c r="U201" s="236"/>
      <c r="V201" s="60"/>
      <c r="W201" s="60"/>
      <c r="X201" s="236"/>
      <c r="Y201" s="236"/>
      <c r="Z201" s="60"/>
      <c r="AA201" s="60"/>
      <c r="AB201" s="236"/>
      <c r="AC201" s="60"/>
      <c r="AD201" s="60"/>
      <c r="AE201" s="236"/>
      <c r="AF201" s="236"/>
      <c r="AG201" s="60"/>
      <c r="AH201" s="60"/>
      <c r="AI201" s="236"/>
      <c r="AJ201" s="236"/>
    </row>
    <row r="202">
      <c r="A202" s="61"/>
      <c r="B202" s="60"/>
      <c r="C202" s="236"/>
      <c r="D202" s="236"/>
      <c r="E202" s="60"/>
      <c r="F202" s="60"/>
      <c r="G202" s="236"/>
      <c r="H202" s="60"/>
      <c r="I202" s="60"/>
      <c r="J202" s="236"/>
      <c r="K202" s="236"/>
      <c r="L202" s="60"/>
      <c r="M202" s="60"/>
      <c r="N202" s="236"/>
      <c r="O202" s="60"/>
      <c r="P202" s="60"/>
      <c r="Q202" s="236"/>
      <c r="R202" s="236"/>
      <c r="S202" s="60"/>
      <c r="T202" s="60"/>
      <c r="U202" s="236"/>
      <c r="V202" s="60"/>
      <c r="W202" s="60"/>
      <c r="X202" s="236"/>
      <c r="Y202" s="236"/>
      <c r="Z202" s="60"/>
      <c r="AA202" s="60"/>
      <c r="AB202" s="236"/>
      <c r="AC202" s="60"/>
      <c r="AD202" s="60"/>
      <c r="AE202" s="236"/>
      <c r="AF202" s="236"/>
      <c r="AG202" s="60"/>
      <c r="AH202" s="60"/>
      <c r="AI202" s="236"/>
      <c r="AJ202" s="236"/>
    </row>
    <row r="203">
      <c r="A203" s="61"/>
      <c r="B203" s="60"/>
      <c r="C203" s="236"/>
      <c r="D203" s="236"/>
      <c r="E203" s="60"/>
      <c r="F203" s="60"/>
      <c r="G203" s="236"/>
      <c r="H203" s="60"/>
      <c r="I203" s="60"/>
      <c r="J203" s="236"/>
      <c r="K203" s="236"/>
      <c r="L203" s="60"/>
      <c r="M203" s="60"/>
      <c r="N203" s="236"/>
      <c r="O203" s="60"/>
      <c r="P203" s="60"/>
      <c r="Q203" s="236"/>
      <c r="R203" s="236"/>
      <c r="S203" s="60"/>
      <c r="T203" s="60"/>
      <c r="U203" s="236"/>
      <c r="V203" s="60"/>
      <c r="W203" s="60"/>
      <c r="X203" s="236"/>
      <c r="Y203" s="236"/>
      <c r="Z203" s="60"/>
      <c r="AA203" s="60"/>
      <c r="AB203" s="236"/>
      <c r="AC203" s="60"/>
      <c r="AD203" s="60"/>
      <c r="AE203" s="236"/>
      <c r="AF203" s="236"/>
      <c r="AG203" s="60"/>
      <c r="AH203" s="60"/>
      <c r="AI203" s="236"/>
      <c r="AJ203" s="236"/>
    </row>
    <row r="204">
      <c r="A204" s="61"/>
      <c r="B204" s="60"/>
      <c r="C204" s="236"/>
      <c r="D204" s="236"/>
      <c r="E204" s="60"/>
      <c r="F204" s="60"/>
      <c r="G204" s="236"/>
      <c r="H204" s="60"/>
      <c r="I204" s="60"/>
      <c r="J204" s="236"/>
      <c r="K204" s="236"/>
      <c r="L204" s="60"/>
      <c r="M204" s="60"/>
      <c r="N204" s="236"/>
      <c r="O204" s="60"/>
      <c r="P204" s="60"/>
      <c r="Q204" s="236"/>
      <c r="R204" s="236"/>
      <c r="S204" s="60"/>
      <c r="T204" s="60"/>
      <c r="U204" s="236"/>
      <c r="V204" s="60"/>
      <c r="W204" s="60"/>
      <c r="X204" s="236"/>
      <c r="Y204" s="236"/>
      <c r="Z204" s="60"/>
      <c r="AA204" s="60"/>
      <c r="AB204" s="236"/>
      <c r="AC204" s="60"/>
      <c r="AD204" s="60"/>
      <c r="AE204" s="236"/>
      <c r="AF204" s="236"/>
      <c r="AG204" s="60"/>
      <c r="AH204" s="60"/>
      <c r="AI204" s="236"/>
      <c r="AJ204" s="236"/>
    </row>
    <row r="205">
      <c r="A205" s="61"/>
      <c r="B205" s="60"/>
      <c r="C205" s="236"/>
      <c r="D205" s="236"/>
      <c r="E205" s="60"/>
      <c r="F205" s="60"/>
      <c r="G205" s="236"/>
      <c r="H205" s="60"/>
      <c r="I205" s="60"/>
      <c r="J205" s="236"/>
      <c r="K205" s="236"/>
      <c r="L205" s="60"/>
      <c r="M205" s="60"/>
      <c r="N205" s="236"/>
      <c r="O205" s="60"/>
      <c r="P205" s="60"/>
      <c r="Q205" s="236"/>
      <c r="R205" s="236"/>
      <c r="S205" s="60"/>
      <c r="T205" s="60"/>
      <c r="U205" s="236"/>
      <c r="V205" s="60"/>
      <c r="W205" s="60"/>
      <c r="X205" s="236"/>
      <c r="Y205" s="236"/>
      <c r="Z205" s="60"/>
      <c r="AA205" s="60"/>
      <c r="AB205" s="236"/>
      <c r="AC205" s="60"/>
      <c r="AD205" s="60"/>
      <c r="AE205" s="236"/>
      <c r="AF205" s="236"/>
      <c r="AG205" s="60"/>
      <c r="AH205" s="60"/>
      <c r="AI205" s="236"/>
      <c r="AJ205" s="236"/>
    </row>
    <row r="206">
      <c r="A206" s="61"/>
      <c r="B206" s="60"/>
      <c r="C206" s="236"/>
      <c r="D206" s="236"/>
      <c r="E206" s="60"/>
      <c r="F206" s="60"/>
      <c r="G206" s="236"/>
      <c r="H206" s="60"/>
      <c r="I206" s="60"/>
      <c r="J206" s="236"/>
      <c r="K206" s="236"/>
      <c r="L206" s="60"/>
      <c r="M206" s="60"/>
      <c r="N206" s="236"/>
      <c r="O206" s="60"/>
      <c r="P206" s="60"/>
      <c r="Q206" s="236"/>
      <c r="R206" s="236"/>
      <c r="S206" s="60"/>
      <c r="T206" s="60"/>
      <c r="U206" s="236"/>
      <c r="V206" s="60"/>
      <c r="W206" s="60"/>
      <c r="X206" s="236"/>
      <c r="Y206" s="236"/>
      <c r="Z206" s="60"/>
      <c r="AA206" s="60"/>
      <c r="AB206" s="236"/>
      <c r="AC206" s="60"/>
      <c r="AD206" s="60"/>
      <c r="AE206" s="236"/>
      <c r="AF206" s="236"/>
      <c r="AG206" s="60"/>
      <c r="AH206" s="60"/>
      <c r="AI206" s="236"/>
      <c r="AJ206" s="236"/>
    </row>
    <row r="207">
      <c r="A207" s="61"/>
      <c r="B207" s="60"/>
      <c r="C207" s="236"/>
      <c r="D207" s="236"/>
      <c r="E207" s="60"/>
      <c r="F207" s="60"/>
      <c r="G207" s="236"/>
      <c r="H207" s="60"/>
      <c r="I207" s="60"/>
      <c r="J207" s="236"/>
      <c r="K207" s="236"/>
      <c r="L207" s="60"/>
      <c r="M207" s="60"/>
      <c r="N207" s="236"/>
      <c r="O207" s="60"/>
      <c r="P207" s="60"/>
      <c r="Q207" s="236"/>
      <c r="R207" s="236"/>
      <c r="S207" s="60"/>
      <c r="T207" s="60"/>
      <c r="U207" s="236"/>
      <c r="V207" s="60"/>
      <c r="W207" s="60"/>
      <c r="X207" s="236"/>
      <c r="Y207" s="236"/>
      <c r="Z207" s="60"/>
      <c r="AA207" s="60"/>
      <c r="AB207" s="236"/>
      <c r="AC207" s="60"/>
      <c r="AD207" s="60"/>
      <c r="AE207" s="236"/>
      <c r="AF207" s="236"/>
      <c r="AG207" s="60"/>
      <c r="AH207" s="60"/>
      <c r="AI207" s="236"/>
      <c r="AJ207" s="236"/>
    </row>
    <row r="208">
      <c r="A208" s="61"/>
      <c r="B208" s="60"/>
      <c r="C208" s="236"/>
      <c r="D208" s="236"/>
      <c r="E208" s="60"/>
      <c r="F208" s="60"/>
      <c r="G208" s="236"/>
      <c r="H208" s="60"/>
      <c r="I208" s="60"/>
      <c r="J208" s="236"/>
      <c r="K208" s="236"/>
      <c r="L208" s="60"/>
      <c r="M208" s="60"/>
      <c r="N208" s="236"/>
      <c r="O208" s="60"/>
      <c r="P208" s="60"/>
      <c r="Q208" s="236"/>
      <c r="R208" s="236"/>
      <c r="S208" s="60"/>
      <c r="T208" s="60"/>
      <c r="U208" s="236"/>
      <c r="V208" s="60"/>
      <c r="W208" s="60"/>
      <c r="X208" s="236"/>
      <c r="Y208" s="236"/>
      <c r="Z208" s="60"/>
      <c r="AA208" s="60"/>
      <c r="AB208" s="236"/>
      <c r="AC208" s="60"/>
      <c r="AD208" s="60"/>
      <c r="AE208" s="236"/>
      <c r="AF208" s="236"/>
      <c r="AG208" s="60"/>
      <c r="AH208" s="60"/>
      <c r="AI208" s="236"/>
      <c r="AJ208" s="236"/>
    </row>
    <row r="209">
      <c r="A209" s="61"/>
      <c r="B209" s="60"/>
      <c r="C209" s="236"/>
      <c r="D209" s="236"/>
      <c r="E209" s="60"/>
      <c r="F209" s="60"/>
      <c r="G209" s="236"/>
      <c r="H209" s="60"/>
      <c r="I209" s="60"/>
      <c r="J209" s="236"/>
      <c r="K209" s="236"/>
      <c r="L209" s="60"/>
      <c r="M209" s="60"/>
      <c r="N209" s="236"/>
      <c r="O209" s="60"/>
      <c r="P209" s="60"/>
      <c r="Q209" s="236"/>
      <c r="R209" s="236"/>
      <c r="S209" s="60"/>
      <c r="T209" s="60"/>
      <c r="U209" s="236"/>
      <c r="V209" s="60"/>
      <c r="W209" s="60"/>
      <c r="X209" s="236"/>
      <c r="Y209" s="236"/>
      <c r="Z209" s="60"/>
      <c r="AA209" s="60"/>
      <c r="AB209" s="236"/>
      <c r="AC209" s="60"/>
      <c r="AD209" s="60"/>
      <c r="AE209" s="236"/>
      <c r="AF209" s="236"/>
      <c r="AG209" s="60"/>
      <c r="AH209" s="60"/>
      <c r="AI209" s="236"/>
      <c r="AJ209" s="236"/>
    </row>
    <row r="210">
      <c r="A210" s="61"/>
      <c r="B210" s="60"/>
      <c r="C210" s="236"/>
      <c r="D210" s="236"/>
      <c r="E210" s="60"/>
      <c r="F210" s="60"/>
      <c r="G210" s="236"/>
      <c r="H210" s="60"/>
      <c r="I210" s="60"/>
      <c r="J210" s="236"/>
      <c r="K210" s="236"/>
      <c r="L210" s="60"/>
      <c r="M210" s="60"/>
      <c r="N210" s="236"/>
      <c r="O210" s="60"/>
      <c r="P210" s="60"/>
      <c r="Q210" s="236"/>
      <c r="R210" s="236"/>
      <c r="S210" s="60"/>
      <c r="T210" s="60"/>
      <c r="U210" s="236"/>
      <c r="V210" s="60"/>
      <c r="W210" s="60"/>
      <c r="X210" s="236"/>
      <c r="Y210" s="236"/>
      <c r="Z210" s="60"/>
      <c r="AA210" s="60"/>
      <c r="AB210" s="236"/>
      <c r="AC210" s="60"/>
      <c r="AD210" s="60"/>
      <c r="AE210" s="236"/>
      <c r="AF210" s="236"/>
      <c r="AG210" s="60"/>
      <c r="AH210" s="60"/>
      <c r="AI210" s="236"/>
      <c r="AJ210" s="236"/>
    </row>
    <row r="211">
      <c r="A211" s="61"/>
      <c r="B211" s="60"/>
      <c r="C211" s="236"/>
      <c r="D211" s="236"/>
      <c r="E211" s="60"/>
      <c r="F211" s="60"/>
      <c r="G211" s="236"/>
      <c r="H211" s="60"/>
      <c r="I211" s="60"/>
      <c r="J211" s="236"/>
      <c r="K211" s="236"/>
      <c r="L211" s="60"/>
      <c r="M211" s="60"/>
      <c r="N211" s="236"/>
      <c r="O211" s="60"/>
      <c r="P211" s="60"/>
      <c r="Q211" s="236"/>
      <c r="R211" s="236"/>
      <c r="S211" s="60"/>
      <c r="T211" s="60"/>
      <c r="U211" s="236"/>
      <c r="V211" s="60"/>
      <c r="W211" s="60"/>
      <c r="X211" s="236"/>
      <c r="Y211" s="236"/>
      <c r="Z211" s="60"/>
      <c r="AA211" s="60"/>
      <c r="AB211" s="236"/>
      <c r="AC211" s="60"/>
      <c r="AD211" s="60"/>
      <c r="AE211" s="236"/>
      <c r="AF211" s="236"/>
      <c r="AG211" s="60"/>
      <c r="AH211" s="60"/>
      <c r="AI211" s="236"/>
      <c r="AJ211" s="236"/>
    </row>
    <row r="212">
      <c r="A212" s="61"/>
      <c r="B212" s="60"/>
      <c r="C212" s="236"/>
      <c r="D212" s="236"/>
      <c r="E212" s="60"/>
      <c r="F212" s="60"/>
      <c r="G212" s="236"/>
      <c r="H212" s="60"/>
      <c r="I212" s="60"/>
      <c r="J212" s="236"/>
      <c r="K212" s="236"/>
      <c r="L212" s="60"/>
      <c r="M212" s="60"/>
      <c r="N212" s="236"/>
      <c r="O212" s="60"/>
      <c r="P212" s="60"/>
      <c r="Q212" s="236"/>
      <c r="R212" s="236"/>
      <c r="S212" s="60"/>
      <c r="T212" s="60"/>
      <c r="U212" s="236"/>
      <c r="V212" s="60"/>
      <c r="W212" s="60"/>
      <c r="X212" s="236"/>
      <c r="Y212" s="236"/>
      <c r="Z212" s="60"/>
      <c r="AA212" s="60"/>
      <c r="AB212" s="236"/>
      <c r="AC212" s="60"/>
      <c r="AD212" s="60"/>
      <c r="AE212" s="236"/>
      <c r="AF212" s="236"/>
      <c r="AG212" s="60"/>
      <c r="AH212" s="60"/>
      <c r="AI212" s="236"/>
      <c r="AJ212" s="236"/>
    </row>
    <row r="213">
      <c r="A213" s="61"/>
      <c r="B213" s="60"/>
      <c r="C213" s="236"/>
      <c r="D213" s="236"/>
      <c r="E213" s="60"/>
      <c r="F213" s="60"/>
      <c r="G213" s="236"/>
      <c r="H213" s="60"/>
      <c r="I213" s="60"/>
      <c r="J213" s="236"/>
      <c r="K213" s="236"/>
      <c r="L213" s="60"/>
      <c r="M213" s="60"/>
      <c r="N213" s="236"/>
      <c r="O213" s="60"/>
      <c r="P213" s="60"/>
      <c r="Q213" s="236"/>
      <c r="R213" s="236"/>
      <c r="S213" s="60"/>
      <c r="T213" s="60"/>
      <c r="U213" s="236"/>
      <c r="V213" s="60"/>
      <c r="W213" s="60"/>
      <c r="X213" s="236"/>
      <c r="Y213" s="236"/>
      <c r="Z213" s="60"/>
      <c r="AA213" s="60"/>
      <c r="AB213" s="236"/>
      <c r="AC213" s="60"/>
      <c r="AD213" s="60"/>
      <c r="AE213" s="236"/>
      <c r="AF213" s="236"/>
      <c r="AG213" s="60"/>
      <c r="AH213" s="60"/>
      <c r="AI213" s="236"/>
      <c r="AJ213" s="236"/>
    </row>
    <row r="214">
      <c r="A214" s="61"/>
      <c r="B214" s="60"/>
      <c r="C214" s="236"/>
      <c r="D214" s="236"/>
      <c r="E214" s="60"/>
      <c r="F214" s="60"/>
      <c r="G214" s="236"/>
      <c r="H214" s="60"/>
      <c r="I214" s="60"/>
      <c r="J214" s="236"/>
      <c r="K214" s="236"/>
      <c r="L214" s="60"/>
      <c r="M214" s="60"/>
      <c r="N214" s="236"/>
      <c r="O214" s="60"/>
      <c r="P214" s="60"/>
      <c r="Q214" s="236"/>
      <c r="R214" s="236"/>
      <c r="S214" s="60"/>
      <c r="T214" s="60"/>
      <c r="U214" s="236"/>
      <c r="V214" s="60"/>
      <c r="W214" s="60"/>
      <c r="X214" s="236"/>
      <c r="Y214" s="236"/>
      <c r="Z214" s="60"/>
      <c r="AA214" s="60"/>
      <c r="AB214" s="236"/>
      <c r="AC214" s="60"/>
      <c r="AD214" s="60"/>
      <c r="AE214" s="236"/>
      <c r="AF214" s="236"/>
      <c r="AG214" s="60"/>
      <c r="AH214" s="60"/>
      <c r="AI214" s="236"/>
      <c r="AJ214" s="236"/>
    </row>
    <row r="215">
      <c r="A215" s="61"/>
      <c r="B215" s="60"/>
      <c r="C215" s="236"/>
      <c r="D215" s="236"/>
      <c r="E215" s="60"/>
      <c r="F215" s="60"/>
      <c r="G215" s="236"/>
      <c r="H215" s="60"/>
      <c r="I215" s="60"/>
      <c r="J215" s="236"/>
      <c r="K215" s="236"/>
      <c r="L215" s="60"/>
      <c r="M215" s="60"/>
      <c r="N215" s="236"/>
      <c r="O215" s="60"/>
      <c r="P215" s="60"/>
      <c r="Q215" s="236"/>
      <c r="R215" s="236"/>
      <c r="S215" s="60"/>
      <c r="T215" s="60"/>
      <c r="U215" s="236"/>
      <c r="V215" s="60"/>
      <c r="W215" s="60"/>
      <c r="X215" s="236"/>
      <c r="Y215" s="236"/>
      <c r="Z215" s="60"/>
      <c r="AA215" s="60"/>
      <c r="AB215" s="236"/>
      <c r="AC215" s="60"/>
      <c r="AD215" s="60"/>
      <c r="AE215" s="236"/>
      <c r="AF215" s="236"/>
      <c r="AG215" s="60"/>
      <c r="AH215" s="60"/>
      <c r="AI215" s="236"/>
      <c r="AJ215" s="236"/>
    </row>
    <row r="216">
      <c r="A216" s="61"/>
      <c r="B216" s="60"/>
      <c r="C216" s="236"/>
      <c r="D216" s="236"/>
      <c r="E216" s="60"/>
      <c r="F216" s="60"/>
      <c r="G216" s="236"/>
      <c r="H216" s="60"/>
      <c r="I216" s="60"/>
      <c r="J216" s="236"/>
      <c r="K216" s="236"/>
      <c r="L216" s="60"/>
      <c r="M216" s="60"/>
      <c r="N216" s="236"/>
      <c r="O216" s="60"/>
      <c r="P216" s="60"/>
      <c r="Q216" s="236"/>
      <c r="R216" s="236"/>
      <c r="S216" s="60"/>
      <c r="T216" s="60"/>
      <c r="U216" s="236"/>
      <c r="V216" s="60"/>
      <c r="W216" s="60"/>
      <c r="X216" s="236"/>
      <c r="Y216" s="236"/>
      <c r="Z216" s="60"/>
      <c r="AA216" s="60"/>
      <c r="AB216" s="236"/>
      <c r="AC216" s="60"/>
      <c r="AD216" s="60"/>
      <c r="AE216" s="236"/>
      <c r="AF216" s="236"/>
      <c r="AG216" s="60"/>
      <c r="AH216" s="60"/>
      <c r="AI216" s="236"/>
      <c r="AJ216" s="236"/>
    </row>
    <row r="217">
      <c r="A217" s="61"/>
      <c r="B217" s="60"/>
      <c r="C217" s="236"/>
      <c r="D217" s="236"/>
      <c r="E217" s="60"/>
      <c r="F217" s="60"/>
      <c r="G217" s="236"/>
      <c r="H217" s="60"/>
      <c r="I217" s="60"/>
      <c r="J217" s="236"/>
      <c r="K217" s="236"/>
      <c r="L217" s="60"/>
      <c r="M217" s="60"/>
      <c r="N217" s="236"/>
      <c r="O217" s="60"/>
      <c r="P217" s="60"/>
      <c r="Q217" s="236"/>
      <c r="R217" s="236"/>
      <c r="S217" s="60"/>
      <c r="T217" s="60"/>
      <c r="U217" s="236"/>
      <c r="V217" s="60"/>
      <c r="W217" s="60"/>
      <c r="X217" s="236"/>
      <c r="Y217" s="236"/>
      <c r="Z217" s="60"/>
      <c r="AA217" s="60"/>
      <c r="AB217" s="236"/>
      <c r="AC217" s="60"/>
      <c r="AD217" s="60"/>
      <c r="AE217" s="236"/>
      <c r="AF217" s="236"/>
      <c r="AG217" s="60"/>
      <c r="AH217" s="60"/>
      <c r="AI217" s="236"/>
      <c r="AJ217" s="236"/>
    </row>
    <row r="218">
      <c r="A218" s="61"/>
      <c r="B218" s="60"/>
      <c r="C218" s="236"/>
      <c r="D218" s="236"/>
      <c r="E218" s="60"/>
      <c r="F218" s="60"/>
      <c r="G218" s="236"/>
      <c r="H218" s="60"/>
      <c r="I218" s="60"/>
      <c r="J218" s="236"/>
      <c r="K218" s="236"/>
      <c r="L218" s="60"/>
      <c r="M218" s="60"/>
      <c r="N218" s="236"/>
      <c r="O218" s="60"/>
      <c r="P218" s="60"/>
      <c r="Q218" s="236"/>
      <c r="R218" s="236"/>
      <c r="S218" s="60"/>
      <c r="T218" s="60"/>
      <c r="U218" s="236"/>
      <c r="V218" s="60"/>
      <c r="W218" s="60"/>
      <c r="X218" s="236"/>
      <c r="Y218" s="236"/>
      <c r="Z218" s="60"/>
      <c r="AA218" s="60"/>
      <c r="AB218" s="236"/>
      <c r="AC218" s="60"/>
      <c r="AD218" s="60"/>
      <c r="AE218" s="236"/>
      <c r="AF218" s="236"/>
      <c r="AG218" s="60"/>
      <c r="AH218" s="60"/>
      <c r="AI218" s="236"/>
      <c r="AJ218" s="236"/>
    </row>
    <row r="219">
      <c r="A219" s="61"/>
      <c r="B219" s="60"/>
      <c r="C219" s="236"/>
      <c r="D219" s="236"/>
      <c r="E219" s="60"/>
      <c r="F219" s="60"/>
      <c r="G219" s="236"/>
      <c r="H219" s="60"/>
      <c r="I219" s="60"/>
      <c r="J219" s="236"/>
      <c r="K219" s="236"/>
      <c r="L219" s="60"/>
      <c r="M219" s="60"/>
      <c r="N219" s="236"/>
      <c r="O219" s="60"/>
      <c r="P219" s="60"/>
      <c r="Q219" s="236"/>
      <c r="R219" s="236"/>
      <c r="S219" s="60"/>
      <c r="T219" s="60"/>
      <c r="U219" s="236"/>
      <c r="V219" s="60"/>
      <c r="W219" s="60"/>
      <c r="X219" s="236"/>
      <c r="Y219" s="236"/>
      <c r="Z219" s="60"/>
      <c r="AA219" s="60"/>
      <c r="AB219" s="236"/>
      <c r="AC219" s="60"/>
      <c r="AD219" s="60"/>
      <c r="AE219" s="236"/>
      <c r="AF219" s="236"/>
      <c r="AG219" s="60"/>
      <c r="AH219" s="60"/>
      <c r="AI219" s="236"/>
      <c r="AJ219" s="236"/>
    </row>
    <row r="220">
      <c r="A220" s="61"/>
      <c r="B220" s="60"/>
      <c r="C220" s="236"/>
      <c r="D220" s="236"/>
      <c r="E220" s="60"/>
      <c r="F220" s="60"/>
      <c r="G220" s="236"/>
      <c r="H220" s="60"/>
      <c r="I220" s="60"/>
      <c r="J220" s="236"/>
      <c r="K220" s="236"/>
      <c r="L220" s="60"/>
      <c r="M220" s="60"/>
      <c r="N220" s="236"/>
      <c r="O220" s="60"/>
      <c r="P220" s="60"/>
      <c r="Q220" s="236"/>
      <c r="R220" s="236"/>
      <c r="S220" s="60"/>
      <c r="T220" s="60"/>
      <c r="U220" s="236"/>
      <c r="V220" s="60"/>
      <c r="W220" s="60"/>
      <c r="X220" s="236"/>
      <c r="Y220" s="236"/>
      <c r="Z220" s="60"/>
      <c r="AA220" s="60"/>
      <c r="AB220" s="236"/>
      <c r="AC220" s="60"/>
      <c r="AD220" s="60"/>
      <c r="AE220" s="236"/>
      <c r="AF220" s="236"/>
      <c r="AG220" s="60"/>
      <c r="AH220" s="60"/>
      <c r="AI220" s="236"/>
      <c r="AJ220" s="236"/>
    </row>
    <row r="221">
      <c r="A221" s="61"/>
      <c r="B221" s="60"/>
      <c r="C221" s="236"/>
      <c r="D221" s="236"/>
      <c r="E221" s="60"/>
      <c r="F221" s="60"/>
      <c r="G221" s="236"/>
      <c r="H221" s="60"/>
      <c r="I221" s="60"/>
      <c r="J221" s="236"/>
      <c r="K221" s="236"/>
      <c r="L221" s="60"/>
      <c r="M221" s="60"/>
      <c r="N221" s="236"/>
      <c r="O221" s="60"/>
      <c r="P221" s="60"/>
      <c r="Q221" s="236"/>
      <c r="R221" s="236"/>
      <c r="S221" s="60"/>
      <c r="T221" s="60"/>
      <c r="U221" s="236"/>
      <c r="V221" s="60"/>
      <c r="W221" s="60"/>
      <c r="X221" s="236"/>
      <c r="Y221" s="236"/>
      <c r="Z221" s="60"/>
      <c r="AA221" s="60"/>
      <c r="AB221" s="236"/>
      <c r="AC221" s="60"/>
      <c r="AD221" s="60"/>
      <c r="AE221" s="236"/>
      <c r="AF221" s="236"/>
      <c r="AG221" s="60"/>
      <c r="AH221" s="60"/>
      <c r="AI221" s="236"/>
      <c r="AJ221" s="236"/>
    </row>
    <row r="222">
      <c r="A222" s="61"/>
      <c r="B222" s="60"/>
      <c r="C222" s="236"/>
      <c r="D222" s="236"/>
      <c r="E222" s="60"/>
      <c r="F222" s="60"/>
      <c r="G222" s="236"/>
      <c r="H222" s="60"/>
      <c r="I222" s="60"/>
      <c r="J222" s="236"/>
      <c r="K222" s="236"/>
      <c r="L222" s="60"/>
      <c r="M222" s="60"/>
      <c r="N222" s="236"/>
      <c r="O222" s="60"/>
      <c r="P222" s="60"/>
      <c r="Q222" s="236"/>
      <c r="R222" s="236"/>
      <c r="S222" s="60"/>
      <c r="T222" s="60"/>
      <c r="U222" s="236"/>
      <c r="V222" s="60"/>
      <c r="W222" s="60"/>
      <c r="X222" s="236"/>
      <c r="Y222" s="236"/>
      <c r="Z222" s="60"/>
      <c r="AA222" s="60"/>
      <c r="AB222" s="236"/>
      <c r="AC222" s="60"/>
      <c r="AD222" s="60"/>
      <c r="AE222" s="236"/>
      <c r="AF222" s="236"/>
      <c r="AG222" s="60"/>
      <c r="AH222" s="60"/>
      <c r="AI222" s="236"/>
      <c r="AJ222" s="236"/>
    </row>
    <row r="223">
      <c r="A223" s="61"/>
      <c r="B223" s="60"/>
      <c r="C223" s="236"/>
      <c r="D223" s="236"/>
      <c r="E223" s="60"/>
      <c r="F223" s="60"/>
      <c r="G223" s="236"/>
      <c r="H223" s="60"/>
      <c r="I223" s="60"/>
      <c r="J223" s="236"/>
      <c r="K223" s="236"/>
      <c r="L223" s="60"/>
      <c r="M223" s="60"/>
      <c r="N223" s="236"/>
      <c r="O223" s="60"/>
      <c r="P223" s="60"/>
      <c r="Q223" s="236"/>
      <c r="R223" s="236"/>
      <c r="S223" s="60"/>
      <c r="T223" s="60"/>
      <c r="U223" s="236"/>
      <c r="V223" s="60"/>
      <c r="W223" s="60"/>
      <c r="X223" s="236"/>
      <c r="Y223" s="236"/>
      <c r="Z223" s="60"/>
      <c r="AA223" s="60"/>
      <c r="AB223" s="236"/>
      <c r="AC223" s="60"/>
      <c r="AD223" s="60"/>
      <c r="AE223" s="236"/>
      <c r="AF223" s="236"/>
      <c r="AG223" s="60"/>
      <c r="AH223" s="60"/>
      <c r="AI223" s="236"/>
      <c r="AJ223" s="236"/>
    </row>
    <row r="224">
      <c r="A224" s="61"/>
      <c r="B224" s="60"/>
      <c r="C224" s="236"/>
      <c r="D224" s="236"/>
      <c r="E224" s="60"/>
      <c r="F224" s="60"/>
      <c r="G224" s="236"/>
      <c r="H224" s="60"/>
      <c r="I224" s="60"/>
      <c r="J224" s="236"/>
      <c r="K224" s="236"/>
      <c r="L224" s="60"/>
      <c r="M224" s="60"/>
      <c r="N224" s="236"/>
      <c r="O224" s="60"/>
      <c r="P224" s="60"/>
      <c r="Q224" s="236"/>
      <c r="R224" s="236"/>
      <c r="S224" s="60"/>
      <c r="T224" s="60"/>
      <c r="U224" s="236"/>
      <c r="V224" s="60"/>
      <c r="W224" s="60"/>
      <c r="X224" s="236"/>
      <c r="Y224" s="236"/>
      <c r="Z224" s="60"/>
      <c r="AA224" s="60"/>
      <c r="AB224" s="236"/>
      <c r="AC224" s="60"/>
      <c r="AD224" s="60"/>
      <c r="AE224" s="236"/>
      <c r="AF224" s="236"/>
      <c r="AG224" s="60"/>
      <c r="AH224" s="60"/>
      <c r="AI224" s="236"/>
      <c r="AJ224" s="236"/>
    </row>
    <row r="225">
      <c r="A225" s="61"/>
      <c r="B225" s="60"/>
      <c r="C225" s="236"/>
      <c r="D225" s="236"/>
      <c r="E225" s="60"/>
      <c r="F225" s="60"/>
      <c r="G225" s="236"/>
      <c r="H225" s="60"/>
      <c r="I225" s="60"/>
      <c r="J225" s="236"/>
      <c r="K225" s="236"/>
      <c r="L225" s="60"/>
      <c r="M225" s="60"/>
      <c r="N225" s="236"/>
      <c r="O225" s="60"/>
      <c r="P225" s="60"/>
      <c r="Q225" s="236"/>
      <c r="R225" s="236"/>
      <c r="S225" s="60"/>
      <c r="T225" s="60"/>
      <c r="U225" s="236"/>
      <c r="V225" s="60"/>
      <c r="W225" s="60"/>
      <c r="X225" s="236"/>
      <c r="Y225" s="236"/>
      <c r="Z225" s="60"/>
      <c r="AA225" s="60"/>
      <c r="AB225" s="236"/>
      <c r="AC225" s="60"/>
      <c r="AD225" s="60"/>
      <c r="AE225" s="236"/>
      <c r="AF225" s="236"/>
      <c r="AG225" s="60"/>
      <c r="AH225" s="60"/>
      <c r="AI225" s="236"/>
      <c r="AJ225" s="236"/>
    </row>
    <row r="226">
      <c r="A226" s="61"/>
      <c r="B226" s="60"/>
      <c r="C226" s="236"/>
      <c r="D226" s="236"/>
      <c r="E226" s="60"/>
      <c r="F226" s="60"/>
      <c r="G226" s="236"/>
      <c r="H226" s="60"/>
      <c r="I226" s="60"/>
      <c r="J226" s="236"/>
      <c r="K226" s="236"/>
      <c r="L226" s="60"/>
      <c r="M226" s="60"/>
      <c r="N226" s="236"/>
      <c r="O226" s="60"/>
      <c r="P226" s="60"/>
      <c r="Q226" s="236"/>
      <c r="R226" s="236"/>
      <c r="S226" s="60"/>
      <c r="T226" s="60"/>
      <c r="U226" s="236"/>
      <c r="V226" s="60"/>
      <c r="W226" s="60"/>
      <c r="X226" s="236"/>
      <c r="Y226" s="236"/>
      <c r="Z226" s="60"/>
      <c r="AA226" s="60"/>
      <c r="AB226" s="236"/>
      <c r="AC226" s="60"/>
      <c r="AD226" s="60"/>
      <c r="AE226" s="236"/>
      <c r="AF226" s="236"/>
      <c r="AG226" s="60"/>
      <c r="AH226" s="60"/>
      <c r="AI226" s="236"/>
      <c r="AJ226" s="236"/>
    </row>
    <row r="227">
      <c r="A227" s="61"/>
      <c r="B227" s="60"/>
      <c r="C227" s="236"/>
      <c r="D227" s="236"/>
      <c r="E227" s="60"/>
      <c r="F227" s="60"/>
      <c r="G227" s="236"/>
      <c r="H227" s="60"/>
      <c r="I227" s="60"/>
      <c r="J227" s="236"/>
      <c r="K227" s="236"/>
      <c r="L227" s="60"/>
      <c r="M227" s="60"/>
      <c r="N227" s="236"/>
      <c r="O227" s="60"/>
      <c r="P227" s="60"/>
      <c r="Q227" s="236"/>
      <c r="R227" s="236"/>
      <c r="S227" s="60"/>
      <c r="T227" s="60"/>
      <c r="U227" s="236"/>
      <c r="V227" s="60"/>
      <c r="W227" s="60"/>
      <c r="X227" s="236"/>
      <c r="Y227" s="236"/>
      <c r="Z227" s="60"/>
      <c r="AA227" s="60"/>
      <c r="AB227" s="236"/>
      <c r="AC227" s="60"/>
      <c r="AD227" s="60"/>
      <c r="AE227" s="236"/>
      <c r="AF227" s="236"/>
      <c r="AG227" s="60"/>
      <c r="AH227" s="60"/>
      <c r="AI227" s="236"/>
      <c r="AJ227" s="236"/>
    </row>
    <row r="228">
      <c r="A228" s="61"/>
      <c r="B228" s="60"/>
      <c r="C228" s="236"/>
      <c r="D228" s="236"/>
      <c r="E228" s="60"/>
      <c r="F228" s="60"/>
      <c r="G228" s="236"/>
      <c r="H228" s="60"/>
      <c r="I228" s="60"/>
      <c r="J228" s="236"/>
      <c r="K228" s="236"/>
      <c r="L228" s="60"/>
      <c r="M228" s="60"/>
      <c r="N228" s="236"/>
      <c r="O228" s="60"/>
      <c r="P228" s="60"/>
      <c r="Q228" s="236"/>
      <c r="R228" s="236"/>
      <c r="S228" s="60"/>
      <c r="T228" s="60"/>
      <c r="U228" s="236"/>
      <c r="V228" s="60"/>
      <c r="W228" s="60"/>
      <c r="X228" s="236"/>
      <c r="Y228" s="236"/>
      <c r="Z228" s="60"/>
      <c r="AA228" s="60"/>
      <c r="AB228" s="236"/>
      <c r="AC228" s="60"/>
      <c r="AD228" s="60"/>
      <c r="AE228" s="236"/>
      <c r="AF228" s="236"/>
      <c r="AG228" s="60"/>
      <c r="AH228" s="60"/>
      <c r="AI228" s="236"/>
      <c r="AJ228" s="236"/>
    </row>
    <row r="229">
      <c r="A229" s="61"/>
      <c r="B229" s="60"/>
      <c r="C229" s="236"/>
      <c r="D229" s="236"/>
      <c r="E229" s="60"/>
      <c r="F229" s="60"/>
      <c r="G229" s="236"/>
      <c r="H229" s="60"/>
      <c r="I229" s="60"/>
      <c r="J229" s="236"/>
      <c r="K229" s="236"/>
      <c r="L229" s="60"/>
      <c r="M229" s="60"/>
      <c r="N229" s="236"/>
      <c r="O229" s="60"/>
      <c r="P229" s="60"/>
      <c r="Q229" s="236"/>
      <c r="R229" s="236"/>
      <c r="S229" s="60"/>
      <c r="T229" s="60"/>
      <c r="U229" s="236"/>
      <c r="V229" s="60"/>
      <c r="W229" s="60"/>
      <c r="X229" s="236"/>
      <c r="Y229" s="236"/>
      <c r="Z229" s="60"/>
      <c r="AA229" s="60"/>
      <c r="AB229" s="236"/>
      <c r="AC229" s="60"/>
      <c r="AD229" s="60"/>
      <c r="AE229" s="236"/>
      <c r="AF229" s="236"/>
      <c r="AG229" s="60"/>
      <c r="AH229" s="60"/>
      <c r="AI229" s="236"/>
      <c r="AJ229" s="236"/>
    </row>
    <row r="230">
      <c r="A230" s="61"/>
      <c r="B230" s="60"/>
      <c r="C230" s="236"/>
      <c r="D230" s="236"/>
      <c r="E230" s="60"/>
      <c r="F230" s="60"/>
      <c r="G230" s="236"/>
      <c r="H230" s="60"/>
      <c r="I230" s="60"/>
      <c r="J230" s="236"/>
      <c r="K230" s="236"/>
      <c r="L230" s="60"/>
      <c r="M230" s="60"/>
      <c r="N230" s="236"/>
      <c r="O230" s="60"/>
      <c r="P230" s="60"/>
      <c r="Q230" s="236"/>
      <c r="R230" s="236"/>
      <c r="S230" s="60"/>
      <c r="T230" s="60"/>
      <c r="U230" s="236"/>
      <c r="V230" s="60"/>
      <c r="W230" s="60"/>
      <c r="X230" s="236"/>
      <c r="Y230" s="236"/>
      <c r="Z230" s="60"/>
      <c r="AA230" s="60"/>
      <c r="AB230" s="236"/>
      <c r="AC230" s="60"/>
      <c r="AD230" s="60"/>
      <c r="AE230" s="236"/>
      <c r="AF230" s="236"/>
      <c r="AG230" s="60"/>
      <c r="AH230" s="60"/>
      <c r="AI230" s="236"/>
      <c r="AJ230" s="236"/>
    </row>
    <row r="231">
      <c r="A231" s="61"/>
      <c r="B231" s="60"/>
      <c r="C231" s="236"/>
      <c r="D231" s="236"/>
      <c r="E231" s="60"/>
      <c r="F231" s="60"/>
      <c r="G231" s="236"/>
      <c r="H231" s="60"/>
      <c r="I231" s="60"/>
      <c r="J231" s="236"/>
      <c r="K231" s="236"/>
      <c r="L231" s="60"/>
      <c r="M231" s="60"/>
      <c r="N231" s="236"/>
      <c r="O231" s="60"/>
      <c r="P231" s="60"/>
      <c r="Q231" s="236"/>
      <c r="R231" s="236"/>
      <c r="S231" s="60"/>
      <c r="T231" s="60"/>
      <c r="U231" s="236"/>
      <c r="V231" s="60"/>
      <c r="W231" s="60"/>
      <c r="X231" s="236"/>
      <c r="Y231" s="236"/>
      <c r="Z231" s="60"/>
      <c r="AA231" s="60"/>
      <c r="AB231" s="236"/>
      <c r="AC231" s="60"/>
      <c r="AD231" s="60"/>
      <c r="AE231" s="236"/>
      <c r="AF231" s="236"/>
      <c r="AG231" s="60"/>
      <c r="AH231" s="60"/>
      <c r="AI231" s="236"/>
      <c r="AJ231" s="236"/>
    </row>
    <row r="232">
      <c r="A232" s="61"/>
      <c r="B232" s="60"/>
      <c r="C232" s="236"/>
      <c r="D232" s="236"/>
      <c r="E232" s="60"/>
      <c r="F232" s="60"/>
      <c r="G232" s="236"/>
      <c r="H232" s="60"/>
      <c r="I232" s="60"/>
      <c r="J232" s="236"/>
      <c r="K232" s="236"/>
      <c r="L232" s="60"/>
      <c r="M232" s="60"/>
      <c r="N232" s="236"/>
      <c r="O232" s="60"/>
      <c r="P232" s="60"/>
      <c r="Q232" s="236"/>
      <c r="R232" s="236"/>
      <c r="S232" s="60"/>
      <c r="T232" s="60"/>
      <c r="U232" s="236"/>
      <c r="V232" s="60"/>
      <c r="W232" s="60"/>
      <c r="X232" s="236"/>
      <c r="Y232" s="236"/>
      <c r="Z232" s="60"/>
      <c r="AA232" s="60"/>
      <c r="AB232" s="236"/>
      <c r="AC232" s="60"/>
      <c r="AD232" s="60"/>
      <c r="AE232" s="236"/>
      <c r="AF232" s="236"/>
      <c r="AG232" s="60"/>
      <c r="AH232" s="60"/>
      <c r="AI232" s="236"/>
      <c r="AJ232" s="236"/>
    </row>
    <row r="233">
      <c r="A233" s="61"/>
      <c r="B233" s="60"/>
      <c r="C233" s="236"/>
      <c r="D233" s="236"/>
      <c r="E233" s="60"/>
      <c r="F233" s="60"/>
      <c r="G233" s="236"/>
      <c r="H233" s="60"/>
      <c r="I233" s="60"/>
      <c r="J233" s="236"/>
      <c r="K233" s="236"/>
      <c r="L233" s="60"/>
      <c r="M233" s="60"/>
      <c r="N233" s="236"/>
      <c r="O233" s="60"/>
      <c r="P233" s="60"/>
      <c r="Q233" s="236"/>
      <c r="R233" s="236"/>
      <c r="S233" s="60"/>
      <c r="T233" s="60"/>
      <c r="U233" s="236"/>
      <c r="V233" s="60"/>
      <c r="W233" s="60"/>
      <c r="X233" s="236"/>
      <c r="Y233" s="236"/>
      <c r="Z233" s="60"/>
      <c r="AA233" s="60"/>
      <c r="AB233" s="236"/>
      <c r="AC233" s="60"/>
      <c r="AD233" s="60"/>
      <c r="AE233" s="236"/>
      <c r="AF233" s="236"/>
      <c r="AG233" s="60"/>
      <c r="AH233" s="60"/>
      <c r="AI233" s="236"/>
      <c r="AJ233" s="236"/>
    </row>
    <row r="234">
      <c r="A234" s="61"/>
      <c r="B234" s="60"/>
      <c r="C234" s="236"/>
      <c r="D234" s="236"/>
      <c r="E234" s="60"/>
      <c r="F234" s="60"/>
      <c r="G234" s="236"/>
      <c r="H234" s="60"/>
      <c r="I234" s="60"/>
      <c r="J234" s="236"/>
      <c r="K234" s="236"/>
      <c r="L234" s="60"/>
      <c r="M234" s="60"/>
      <c r="N234" s="236"/>
      <c r="O234" s="60"/>
      <c r="P234" s="60"/>
      <c r="Q234" s="236"/>
      <c r="R234" s="236"/>
      <c r="S234" s="60"/>
      <c r="T234" s="60"/>
      <c r="U234" s="236"/>
      <c r="V234" s="60"/>
      <c r="W234" s="60"/>
      <c r="X234" s="236"/>
      <c r="Y234" s="236"/>
      <c r="Z234" s="60"/>
      <c r="AA234" s="60"/>
      <c r="AB234" s="236"/>
      <c r="AC234" s="60"/>
      <c r="AD234" s="60"/>
      <c r="AE234" s="236"/>
      <c r="AF234" s="236"/>
      <c r="AG234" s="60"/>
      <c r="AH234" s="60"/>
      <c r="AI234" s="236"/>
      <c r="AJ234" s="236"/>
    </row>
    <row r="235">
      <c r="A235" s="61"/>
      <c r="B235" s="60"/>
      <c r="C235" s="236"/>
      <c r="D235" s="236"/>
      <c r="E235" s="60"/>
      <c r="F235" s="60"/>
      <c r="G235" s="236"/>
      <c r="H235" s="60"/>
      <c r="I235" s="60"/>
      <c r="J235" s="236"/>
      <c r="K235" s="236"/>
      <c r="L235" s="60"/>
      <c r="M235" s="60"/>
      <c r="N235" s="236"/>
      <c r="O235" s="60"/>
      <c r="P235" s="60"/>
      <c r="Q235" s="236"/>
      <c r="R235" s="236"/>
      <c r="S235" s="60"/>
      <c r="T235" s="60"/>
      <c r="U235" s="236"/>
      <c r="V235" s="60"/>
      <c r="W235" s="60"/>
      <c r="X235" s="236"/>
      <c r="Y235" s="236"/>
      <c r="Z235" s="60"/>
      <c r="AA235" s="60"/>
      <c r="AB235" s="236"/>
      <c r="AC235" s="60"/>
      <c r="AD235" s="60"/>
      <c r="AE235" s="236"/>
      <c r="AF235" s="236"/>
      <c r="AG235" s="60"/>
      <c r="AH235" s="60"/>
      <c r="AI235" s="236"/>
      <c r="AJ235" s="236"/>
    </row>
    <row r="236">
      <c r="A236" s="61"/>
      <c r="B236" s="60"/>
      <c r="C236" s="236"/>
      <c r="D236" s="236"/>
      <c r="E236" s="60"/>
      <c r="F236" s="60"/>
      <c r="G236" s="236"/>
      <c r="H236" s="60"/>
      <c r="I236" s="60"/>
      <c r="J236" s="236"/>
      <c r="K236" s="236"/>
      <c r="L236" s="60"/>
      <c r="M236" s="60"/>
      <c r="N236" s="236"/>
      <c r="O236" s="60"/>
      <c r="P236" s="60"/>
      <c r="Q236" s="236"/>
      <c r="R236" s="236"/>
      <c r="S236" s="60"/>
      <c r="T236" s="60"/>
      <c r="U236" s="236"/>
      <c r="V236" s="60"/>
      <c r="W236" s="60"/>
      <c r="X236" s="236"/>
      <c r="Y236" s="236"/>
      <c r="Z236" s="60"/>
      <c r="AA236" s="60"/>
      <c r="AB236" s="236"/>
      <c r="AC236" s="60"/>
      <c r="AD236" s="60"/>
      <c r="AE236" s="236"/>
      <c r="AF236" s="236"/>
      <c r="AG236" s="60"/>
      <c r="AH236" s="60"/>
      <c r="AI236" s="236"/>
      <c r="AJ236" s="236"/>
    </row>
    <row r="237">
      <c r="A237" s="61"/>
      <c r="B237" s="60"/>
      <c r="C237" s="236"/>
      <c r="D237" s="236"/>
      <c r="E237" s="60"/>
      <c r="F237" s="60"/>
      <c r="G237" s="236"/>
      <c r="H237" s="60"/>
      <c r="I237" s="60"/>
      <c r="J237" s="236"/>
      <c r="K237" s="236"/>
      <c r="L237" s="60"/>
      <c r="M237" s="60"/>
      <c r="N237" s="236"/>
      <c r="O237" s="60"/>
      <c r="P237" s="60"/>
      <c r="Q237" s="236"/>
      <c r="R237" s="236"/>
      <c r="S237" s="60"/>
      <c r="T237" s="60"/>
      <c r="U237" s="236"/>
      <c r="V237" s="60"/>
      <c r="W237" s="60"/>
      <c r="X237" s="236"/>
      <c r="Y237" s="236"/>
      <c r="Z237" s="60"/>
      <c r="AA237" s="60"/>
      <c r="AB237" s="236"/>
      <c r="AC237" s="60"/>
      <c r="AD237" s="60"/>
      <c r="AE237" s="236"/>
      <c r="AF237" s="236"/>
      <c r="AG237" s="60"/>
      <c r="AH237" s="60"/>
      <c r="AI237" s="236"/>
      <c r="AJ237" s="236"/>
    </row>
    <row r="238">
      <c r="A238" s="61"/>
      <c r="B238" s="60"/>
      <c r="C238" s="236"/>
      <c r="D238" s="236"/>
      <c r="E238" s="60"/>
      <c r="F238" s="60"/>
      <c r="G238" s="236"/>
      <c r="H238" s="60"/>
      <c r="I238" s="60"/>
      <c r="J238" s="236"/>
      <c r="K238" s="236"/>
      <c r="L238" s="60"/>
      <c r="M238" s="60"/>
      <c r="N238" s="236"/>
      <c r="O238" s="60"/>
      <c r="P238" s="60"/>
      <c r="Q238" s="236"/>
      <c r="R238" s="236"/>
      <c r="S238" s="60"/>
      <c r="T238" s="60"/>
      <c r="U238" s="236"/>
      <c r="V238" s="60"/>
      <c r="W238" s="60"/>
      <c r="X238" s="236"/>
      <c r="Y238" s="236"/>
      <c r="Z238" s="60"/>
      <c r="AA238" s="60"/>
      <c r="AB238" s="236"/>
      <c r="AC238" s="60"/>
      <c r="AD238" s="60"/>
      <c r="AE238" s="236"/>
      <c r="AF238" s="236"/>
      <c r="AG238" s="60"/>
      <c r="AH238" s="60"/>
      <c r="AI238" s="236"/>
      <c r="AJ238" s="236"/>
    </row>
    <row r="239">
      <c r="A239" s="61"/>
      <c r="B239" s="60"/>
      <c r="C239" s="236"/>
      <c r="D239" s="236"/>
      <c r="E239" s="60"/>
      <c r="F239" s="60"/>
      <c r="G239" s="236"/>
      <c r="H239" s="60"/>
      <c r="I239" s="60"/>
      <c r="J239" s="236"/>
      <c r="K239" s="236"/>
      <c r="L239" s="60"/>
      <c r="M239" s="60"/>
      <c r="N239" s="236"/>
      <c r="O239" s="60"/>
      <c r="P239" s="60"/>
      <c r="Q239" s="236"/>
      <c r="R239" s="236"/>
      <c r="S239" s="60"/>
      <c r="T239" s="60"/>
      <c r="U239" s="236"/>
      <c r="V239" s="60"/>
      <c r="W239" s="60"/>
      <c r="X239" s="236"/>
      <c r="Y239" s="236"/>
      <c r="Z239" s="60"/>
      <c r="AA239" s="60"/>
      <c r="AB239" s="236"/>
      <c r="AC239" s="60"/>
      <c r="AD239" s="60"/>
      <c r="AE239" s="236"/>
      <c r="AF239" s="236"/>
      <c r="AG239" s="60"/>
      <c r="AH239" s="60"/>
      <c r="AI239" s="236"/>
      <c r="AJ239" s="236"/>
    </row>
    <row r="240">
      <c r="A240" s="61"/>
      <c r="B240" s="60"/>
      <c r="C240" s="236"/>
      <c r="D240" s="236"/>
      <c r="E240" s="60"/>
      <c r="F240" s="60"/>
      <c r="G240" s="236"/>
      <c r="H240" s="60"/>
      <c r="I240" s="60"/>
      <c r="J240" s="236"/>
      <c r="K240" s="236"/>
      <c r="L240" s="60"/>
      <c r="M240" s="60"/>
      <c r="N240" s="236"/>
      <c r="O240" s="60"/>
      <c r="P240" s="60"/>
      <c r="Q240" s="236"/>
      <c r="R240" s="236"/>
      <c r="S240" s="60"/>
      <c r="T240" s="60"/>
      <c r="U240" s="236"/>
      <c r="V240" s="60"/>
      <c r="W240" s="60"/>
      <c r="X240" s="236"/>
      <c r="Y240" s="236"/>
      <c r="Z240" s="60"/>
      <c r="AA240" s="60"/>
      <c r="AB240" s="236"/>
      <c r="AC240" s="60"/>
      <c r="AD240" s="60"/>
      <c r="AE240" s="236"/>
      <c r="AF240" s="236"/>
      <c r="AG240" s="60"/>
      <c r="AH240" s="60"/>
      <c r="AI240" s="236"/>
      <c r="AJ240" s="236"/>
    </row>
    <row r="241">
      <c r="A241" s="61"/>
      <c r="B241" s="60"/>
      <c r="C241" s="236"/>
      <c r="D241" s="236"/>
      <c r="E241" s="60"/>
      <c r="F241" s="60"/>
      <c r="G241" s="236"/>
      <c r="H241" s="60"/>
      <c r="I241" s="60"/>
      <c r="J241" s="236"/>
      <c r="K241" s="236"/>
      <c r="L241" s="60"/>
      <c r="M241" s="60"/>
      <c r="N241" s="236"/>
      <c r="O241" s="60"/>
      <c r="P241" s="60"/>
      <c r="Q241" s="236"/>
      <c r="R241" s="236"/>
      <c r="S241" s="60"/>
      <c r="T241" s="60"/>
      <c r="U241" s="236"/>
      <c r="V241" s="60"/>
      <c r="W241" s="60"/>
      <c r="X241" s="236"/>
      <c r="Y241" s="236"/>
      <c r="Z241" s="60"/>
      <c r="AA241" s="60"/>
      <c r="AB241" s="236"/>
      <c r="AC241" s="60"/>
      <c r="AD241" s="60"/>
      <c r="AE241" s="236"/>
      <c r="AF241" s="236"/>
      <c r="AG241" s="60"/>
      <c r="AH241" s="60"/>
      <c r="AI241" s="236"/>
      <c r="AJ241" s="236"/>
    </row>
    <row r="242">
      <c r="A242" s="61"/>
      <c r="B242" s="60"/>
      <c r="C242" s="236"/>
      <c r="D242" s="236"/>
      <c r="E242" s="60"/>
      <c r="F242" s="60"/>
      <c r="G242" s="236"/>
      <c r="H242" s="60"/>
      <c r="I242" s="60"/>
      <c r="J242" s="236"/>
      <c r="K242" s="236"/>
      <c r="L242" s="60"/>
      <c r="M242" s="60"/>
      <c r="N242" s="236"/>
      <c r="O242" s="60"/>
      <c r="P242" s="60"/>
      <c r="Q242" s="236"/>
      <c r="R242" s="236"/>
      <c r="S242" s="60"/>
      <c r="T242" s="60"/>
      <c r="U242" s="236"/>
      <c r="V242" s="60"/>
      <c r="W242" s="60"/>
      <c r="X242" s="236"/>
      <c r="Y242" s="236"/>
      <c r="Z242" s="60"/>
      <c r="AA242" s="60"/>
      <c r="AB242" s="236"/>
      <c r="AC242" s="60"/>
      <c r="AD242" s="60"/>
      <c r="AE242" s="236"/>
      <c r="AF242" s="236"/>
      <c r="AG242" s="60"/>
      <c r="AH242" s="60"/>
      <c r="AI242" s="236"/>
      <c r="AJ242" s="236"/>
    </row>
    <row r="243">
      <c r="A243" s="61"/>
      <c r="B243" s="60"/>
      <c r="C243" s="236"/>
      <c r="D243" s="236"/>
      <c r="E243" s="60"/>
      <c r="F243" s="60"/>
      <c r="G243" s="236"/>
      <c r="H243" s="60"/>
      <c r="I243" s="60"/>
      <c r="J243" s="236"/>
      <c r="K243" s="236"/>
      <c r="L243" s="60"/>
      <c r="M243" s="60"/>
      <c r="N243" s="236"/>
      <c r="O243" s="60"/>
      <c r="P243" s="60"/>
      <c r="Q243" s="236"/>
      <c r="R243" s="236"/>
      <c r="S243" s="60"/>
      <c r="T243" s="60"/>
      <c r="U243" s="236"/>
      <c r="V243" s="60"/>
      <c r="W243" s="60"/>
      <c r="X243" s="236"/>
      <c r="Y243" s="236"/>
      <c r="Z243" s="60"/>
      <c r="AA243" s="60"/>
      <c r="AB243" s="236"/>
      <c r="AC243" s="60"/>
      <c r="AD243" s="60"/>
      <c r="AE243" s="236"/>
      <c r="AF243" s="236"/>
      <c r="AG243" s="60"/>
      <c r="AH243" s="60"/>
      <c r="AI243" s="236"/>
      <c r="AJ243" s="236"/>
    </row>
    <row r="244">
      <c r="A244" s="61"/>
      <c r="B244" s="60"/>
      <c r="C244" s="236"/>
      <c r="D244" s="236"/>
      <c r="E244" s="60"/>
      <c r="F244" s="60"/>
      <c r="G244" s="236"/>
      <c r="H244" s="60"/>
      <c r="I244" s="60"/>
      <c r="J244" s="236"/>
      <c r="K244" s="236"/>
      <c r="L244" s="60"/>
      <c r="M244" s="60"/>
      <c r="N244" s="236"/>
      <c r="O244" s="60"/>
      <c r="P244" s="60"/>
      <c r="Q244" s="236"/>
      <c r="R244" s="236"/>
      <c r="S244" s="60"/>
      <c r="T244" s="60"/>
      <c r="U244" s="236"/>
      <c r="V244" s="60"/>
      <c r="W244" s="60"/>
      <c r="X244" s="236"/>
      <c r="Y244" s="236"/>
      <c r="Z244" s="60"/>
      <c r="AA244" s="60"/>
      <c r="AB244" s="236"/>
      <c r="AC244" s="60"/>
      <c r="AD244" s="60"/>
      <c r="AE244" s="236"/>
      <c r="AF244" s="236"/>
      <c r="AG244" s="60"/>
      <c r="AH244" s="60"/>
      <c r="AI244" s="236"/>
      <c r="AJ244" s="236"/>
    </row>
    <row r="245">
      <c r="A245" s="61"/>
      <c r="B245" s="60"/>
      <c r="C245" s="236"/>
      <c r="D245" s="236"/>
      <c r="E245" s="60"/>
      <c r="F245" s="60"/>
      <c r="G245" s="236"/>
      <c r="H245" s="60"/>
      <c r="I245" s="60"/>
      <c r="J245" s="236"/>
      <c r="K245" s="236"/>
      <c r="L245" s="60"/>
      <c r="M245" s="60"/>
      <c r="N245" s="236"/>
      <c r="O245" s="60"/>
      <c r="P245" s="60"/>
      <c r="Q245" s="236"/>
      <c r="R245" s="236"/>
      <c r="S245" s="60"/>
      <c r="T245" s="60"/>
      <c r="U245" s="236"/>
      <c r="V245" s="60"/>
      <c r="W245" s="60"/>
      <c r="X245" s="236"/>
      <c r="Y245" s="236"/>
      <c r="Z245" s="60"/>
      <c r="AA245" s="60"/>
      <c r="AB245" s="236"/>
      <c r="AC245" s="60"/>
      <c r="AD245" s="60"/>
      <c r="AE245" s="236"/>
      <c r="AF245" s="236"/>
      <c r="AG245" s="60"/>
      <c r="AH245" s="60"/>
      <c r="AI245" s="236"/>
      <c r="AJ245" s="236"/>
    </row>
    <row r="246">
      <c r="A246" s="61"/>
      <c r="B246" s="60"/>
      <c r="C246" s="236"/>
      <c r="D246" s="236"/>
      <c r="E246" s="60"/>
      <c r="F246" s="60"/>
      <c r="G246" s="236"/>
      <c r="H246" s="60"/>
      <c r="I246" s="60"/>
      <c r="J246" s="236"/>
      <c r="K246" s="236"/>
      <c r="L246" s="60"/>
      <c r="M246" s="60"/>
      <c r="N246" s="236"/>
      <c r="O246" s="60"/>
      <c r="P246" s="60"/>
      <c r="Q246" s="236"/>
      <c r="R246" s="236"/>
      <c r="S246" s="60"/>
      <c r="T246" s="60"/>
      <c r="U246" s="236"/>
      <c r="V246" s="60"/>
      <c r="W246" s="60"/>
      <c r="X246" s="236"/>
      <c r="Y246" s="236"/>
      <c r="Z246" s="60"/>
      <c r="AA246" s="60"/>
      <c r="AB246" s="236"/>
      <c r="AC246" s="60"/>
      <c r="AD246" s="60"/>
      <c r="AE246" s="236"/>
      <c r="AF246" s="236"/>
      <c r="AG246" s="60"/>
      <c r="AH246" s="60"/>
      <c r="AI246" s="236"/>
      <c r="AJ246" s="236"/>
    </row>
    <row r="247">
      <c r="A247" s="61"/>
      <c r="B247" s="60"/>
      <c r="C247" s="236"/>
      <c r="D247" s="236"/>
      <c r="E247" s="60"/>
      <c r="F247" s="60"/>
      <c r="G247" s="236"/>
      <c r="H247" s="60"/>
      <c r="I247" s="60"/>
      <c r="J247" s="236"/>
      <c r="K247" s="236"/>
      <c r="L247" s="60"/>
      <c r="M247" s="60"/>
      <c r="N247" s="236"/>
      <c r="O247" s="60"/>
      <c r="P247" s="60"/>
      <c r="Q247" s="236"/>
      <c r="R247" s="236"/>
      <c r="S247" s="60"/>
      <c r="T247" s="60"/>
      <c r="U247" s="236"/>
      <c r="V247" s="60"/>
      <c r="W247" s="60"/>
      <c r="X247" s="236"/>
      <c r="Y247" s="236"/>
      <c r="Z247" s="60"/>
      <c r="AA247" s="60"/>
      <c r="AB247" s="236"/>
      <c r="AC247" s="60"/>
      <c r="AD247" s="60"/>
      <c r="AE247" s="236"/>
      <c r="AF247" s="236"/>
      <c r="AG247" s="60"/>
      <c r="AH247" s="60"/>
      <c r="AI247" s="236"/>
      <c r="AJ247" s="236"/>
    </row>
    <row r="248">
      <c r="A248" s="61"/>
      <c r="B248" s="60"/>
      <c r="C248" s="236"/>
      <c r="D248" s="236"/>
      <c r="E248" s="60"/>
      <c r="F248" s="60"/>
      <c r="G248" s="236"/>
      <c r="H248" s="60"/>
      <c r="I248" s="60"/>
      <c r="J248" s="236"/>
      <c r="K248" s="236"/>
      <c r="L248" s="60"/>
      <c r="M248" s="60"/>
      <c r="N248" s="236"/>
      <c r="O248" s="60"/>
      <c r="P248" s="60"/>
      <c r="Q248" s="236"/>
      <c r="R248" s="236"/>
      <c r="S248" s="60"/>
      <c r="T248" s="60"/>
      <c r="U248" s="236"/>
      <c r="V248" s="60"/>
      <c r="W248" s="60"/>
      <c r="X248" s="236"/>
      <c r="Y248" s="236"/>
      <c r="Z248" s="60"/>
      <c r="AA248" s="60"/>
      <c r="AB248" s="236"/>
      <c r="AC248" s="60"/>
      <c r="AD248" s="60"/>
      <c r="AE248" s="236"/>
      <c r="AF248" s="236"/>
      <c r="AG248" s="60"/>
      <c r="AH248" s="60"/>
      <c r="AI248" s="236"/>
      <c r="AJ248" s="236"/>
    </row>
    <row r="249">
      <c r="A249" s="61"/>
      <c r="B249" s="60"/>
      <c r="C249" s="236"/>
      <c r="D249" s="236"/>
      <c r="E249" s="60"/>
      <c r="F249" s="60"/>
      <c r="G249" s="236"/>
      <c r="H249" s="60"/>
      <c r="I249" s="60"/>
      <c r="J249" s="236"/>
      <c r="K249" s="236"/>
      <c r="L249" s="60"/>
      <c r="M249" s="60"/>
      <c r="N249" s="236"/>
      <c r="O249" s="60"/>
      <c r="P249" s="60"/>
      <c r="Q249" s="236"/>
      <c r="R249" s="236"/>
      <c r="S249" s="60"/>
      <c r="T249" s="60"/>
      <c r="U249" s="236"/>
      <c r="V249" s="60"/>
      <c r="W249" s="60"/>
      <c r="X249" s="236"/>
      <c r="Y249" s="236"/>
      <c r="Z249" s="60"/>
      <c r="AA249" s="60"/>
      <c r="AB249" s="236"/>
      <c r="AC249" s="60"/>
      <c r="AD249" s="60"/>
      <c r="AE249" s="236"/>
      <c r="AF249" s="236"/>
      <c r="AG249" s="60"/>
      <c r="AH249" s="60"/>
      <c r="AI249" s="236"/>
      <c r="AJ249" s="236"/>
    </row>
    <row r="250">
      <c r="A250" s="61"/>
      <c r="B250" s="60"/>
      <c r="C250" s="236"/>
      <c r="D250" s="236"/>
      <c r="E250" s="60"/>
      <c r="F250" s="60"/>
      <c r="G250" s="236"/>
      <c r="H250" s="60"/>
      <c r="I250" s="60"/>
      <c r="J250" s="236"/>
      <c r="K250" s="236"/>
      <c r="L250" s="60"/>
      <c r="M250" s="60"/>
      <c r="N250" s="236"/>
      <c r="O250" s="60"/>
      <c r="P250" s="60"/>
      <c r="Q250" s="236"/>
      <c r="R250" s="236"/>
      <c r="S250" s="60"/>
      <c r="T250" s="60"/>
      <c r="U250" s="236"/>
      <c r="V250" s="60"/>
      <c r="W250" s="60"/>
      <c r="X250" s="236"/>
      <c r="Y250" s="236"/>
      <c r="Z250" s="60"/>
      <c r="AA250" s="60"/>
      <c r="AB250" s="236"/>
      <c r="AC250" s="60"/>
      <c r="AD250" s="60"/>
      <c r="AE250" s="236"/>
      <c r="AF250" s="236"/>
      <c r="AG250" s="60"/>
      <c r="AH250" s="60"/>
      <c r="AI250" s="236"/>
      <c r="AJ250" s="236"/>
    </row>
    <row r="251">
      <c r="A251" s="61"/>
      <c r="B251" s="60"/>
      <c r="C251" s="236"/>
      <c r="D251" s="236"/>
      <c r="E251" s="60"/>
      <c r="F251" s="60"/>
      <c r="G251" s="236"/>
      <c r="H251" s="60"/>
      <c r="I251" s="60"/>
      <c r="J251" s="236"/>
      <c r="K251" s="236"/>
      <c r="L251" s="60"/>
      <c r="M251" s="60"/>
      <c r="N251" s="236"/>
      <c r="O251" s="60"/>
      <c r="P251" s="60"/>
      <c r="Q251" s="236"/>
      <c r="R251" s="236"/>
      <c r="S251" s="60"/>
      <c r="T251" s="60"/>
      <c r="U251" s="236"/>
      <c r="V251" s="60"/>
      <c r="W251" s="60"/>
      <c r="X251" s="236"/>
      <c r="Y251" s="236"/>
      <c r="Z251" s="60"/>
      <c r="AA251" s="60"/>
      <c r="AB251" s="236"/>
      <c r="AC251" s="60"/>
      <c r="AD251" s="60"/>
      <c r="AE251" s="236"/>
      <c r="AF251" s="236"/>
      <c r="AG251" s="60"/>
      <c r="AH251" s="60"/>
      <c r="AI251" s="236"/>
      <c r="AJ251" s="236"/>
    </row>
    <row r="252">
      <c r="A252" s="61"/>
      <c r="B252" s="60"/>
      <c r="C252" s="236"/>
      <c r="D252" s="236"/>
      <c r="E252" s="60"/>
      <c r="F252" s="60"/>
      <c r="G252" s="236"/>
      <c r="H252" s="60"/>
      <c r="I252" s="60"/>
      <c r="J252" s="236"/>
      <c r="K252" s="236"/>
      <c r="L252" s="60"/>
      <c r="M252" s="60"/>
      <c r="N252" s="236"/>
      <c r="O252" s="60"/>
      <c r="P252" s="60"/>
      <c r="Q252" s="236"/>
      <c r="R252" s="236"/>
      <c r="S252" s="60"/>
      <c r="T252" s="60"/>
      <c r="U252" s="236"/>
      <c r="V252" s="60"/>
      <c r="W252" s="60"/>
      <c r="X252" s="236"/>
      <c r="Y252" s="236"/>
      <c r="Z252" s="60"/>
      <c r="AA252" s="60"/>
      <c r="AB252" s="236"/>
      <c r="AC252" s="60"/>
      <c r="AD252" s="60"/>
      <c r="AE252" s="236"/>
      <c r="AF252" s="236"/>
      <c r="AG252" s="60"/>
      <c r="AH252" s="60"/>
      <c r="AI252" s="236"/>
      <c r="AJ252" s="236"/>
    </row>
    <row r="253">
      <c r="A253" s="61"/>
      <c r="B253" s="60"/>
      <c r="C253" s="236"/>
      <c r="D253" s="236"/>
      <c r="E253" s="60"/>
      <c r="F253" s="60"/>
      <c r="G253" s="236"/>
      <c r="H253" s="60"/>
      <c r="I253" s="60"/>
      <c r="J253" s="236"/>
      <c r="K253" s="236"/>
      <c r="L253" s="60"/>
      <c r="M253" s="60"/>
      <c r="N253" s="236"/>
      <c r="O253" s="60"/>
      <c r="P253" s="60"/>
      <c r="Q253" s="236"/>
      <c r="R253" s="236"/>
      <c r="S253" s="60"/>
      <c r="T253" s="60"/>
      <c r="U253" s="236"/>
      <c r="V253" s="60"/>
      <c r="W253" s="60"/>
      <c r="X253" s="236"/>
      <c r="Y253" s="236"/>
      <c r="Z253" s="60"/>
      <c r="AA253" s="60"/>
      <c r="AB253" s="236"/>
      <c r="AC253" s="60"/>
      <c r="AD253" s="60"/>
      <c r="AE253" s="236"/>
      <c r="AF253" s="236"/>
      <c r="AG253" s="60"/>
      <c r="AH253" s="60"/>
      <c r="AI253" s="236"/>
      <c r="AJ253" s="236"/>
    </row>
    <row r="254">
      <c r="A254" s="61"/>
      <c r="B254" s="60"/>
      <c r="C254" s="236"/>
      <c r="D254" s="236"/>
      <c r="E254" s="60"/>
      <c r="F254" s="60"/>
      <c r="G254" s="236"/>
      <c r="H254" s="60"/>
      <c r="I254" s="60"/>
      <c r="J254" s="236"/>
      <c r="K254" s="236"/>
      <c r="L254" s="60"/>
      <c r="M254" s="60"/>
      <c r="N254" s="236"/>
      <c r="O254" s="60"/>
      <c r="P254" s="60"/>
      <c r="Q254" s="236"/>
      <c r="R254" s="236"/>
      <c r="S254" s="60"/>
      <c r="T254" s="60"/>
      <c r="U254" s="236"/>
      <c r="V254" s="60"/>
      <c r="W254" s="60"/>
      <c r="X254" s="236"/>
      <c r="Y254" s="236"/>
      <c r="Z254" s="60"/>
      <c r="AA254" s="60"/>
      <c r="AB254" s="236"/>
      <c r="AC254" s="60"/>
      <c r="AD254" s="60"/>
      <c r="AE254" s="236"/>
      <c r="AF254" s="236"/>
      <c r="AG254" s="60"/>
      <c r="AH254" s="60"/>
      <c r="AI254" s="236"/>
      <c r="AJ254" s="236"/>
    </row>
    <row r="255">
      <c r="A255" s="61"/>
      <c r="B255" s="60"/>
      <c r="C255" s="236"/>
      <c r="D255" s="236"/>
      <c r="E255" s="60"/>
      <c r="F255" s="60"/>
      <c r="G255" s="236"/>
      <c r="H255" s="60"/>
      <c r="I255" s="60"/>
      <c r="J255" s="236"/>
      <c r="K255" s="236"/>
      <c r="L255" s="60"/>
      <c r="M255" s="60"/>
      <c r="N255" s="236"/>
      <c r="O255" s="60"/>
      <c r="P255" s="60"/>
      <c r="Q255" s="236"/>
      <c r="R255" s="236"/>
      <c r="S255" s="60"/>
      <c r="T255" s="60"/>
      <c r="U255" s="236"/>
      <c r="V255" s="60"/>
      <c r="W255" s="60"/>
      <c r="X255" s="236"/>
      <c r="Y255" s="236"/>
      <c r="Z255" s="60"/>
      <c r="AA255" s="60"/>
      <c r="AB255" s="236"/>
      <c r="AC255" s="60"/>
      <c r="AD255" s="60"/>
      <c r="AE255" s="236"/>
      <c r="AF255" s="236"/>
      <c r="AG255" s="60"/>
      <c r="AH255" s="60"/>
      <c r="AI255" s="236"/>
      <c r="AJ255" s="236"/>
    </row>
    <row r="256">
      <c r="A256" s="61"/>
      <c r="B256" s="60"/>
      <c r="C256" s="236"/>
      <c r="D256" s="236"/>
      <c r="E256" s="60"/>
      <c r="F256" s="60"/>
      <c r="G256" s="236"/>
      <c r="H256" s="60"/>
      <c r="I256" s="60"/>
      <c r="J256" s="236"/>
      <c r="K256" s="236"/>
      <c r="L256" s="60"/>
      <c r="M256" s="60"/>
      <c r="N256" s="236"/>
      <c r="O256" s="60"/>
      <c r="P256" s="60"/>
      <c r="Q256" s="236"/>
      <c r="R256" s="236"/>
      <c r="S256" s="60"/>
      <c r="T256" s="60"/>
      <c r="U256" s="236"/>
      <c r="V256" s="60"/>
      <c r="W256" s="60"/>
      <c r="X256" s="236"/>
      <c r="Y256" s="236"/>
      <c r="Z256" s="60"/>
      <c r="AA256" s="60"/>
      <c r="AB256" s="236"/>
      <c r="AC256" s="60"/>
      <c r="AD256" s="60"/>
      <c r="AE256" s="236"/>
      <c r="AF256" s="236"/>
      <c r="AG256" s="60"/>
      <c r="AH256" s="60"/>
      <c r="AI256" s="236"/>
      <c r="AJ256" s="236"/>
    </row>
    <row r="257">
      <c r="A257" s="61"/>
      <c r="B257" s="60"/>
      <c r="C257" s="236"/>
      <c r="D257" s="236"/>
      <c r="E257" s="60"/>
      <c r="F257" s="60"/>
      <c r="G257" s="236"/>
      <c r="H257" s="60"/>
      <c r="I257" s="60"/>
      <c r="J257" s="236"/>
      <c r="K257" s="236"/>
      <c r="L257" s="60"/>
      <c r="M257" s="60"/>
      <c r="N257" s="236"/>
      <c r="O257" s="60"/>
      <c r="P257" s="60"/>
      <c r="Q257" s="236"/>
      <c r="R257" s="236"/>
      <c r="S257" s="60"/>
      <c r="T257" s="60"/>
      <c r="U257" s="236"/>
      <c r="V257" s="60"/>
      <c r="W257" s="60"/>
      <c r="X257" s="236"/>
      <c r="Y257" s="236"/>
      <c r="Z257" s="60"/>
      <c r="AA257" s="60"/>
      <c r="AB257" s="236"/>
      <c r="AC257" s="60"/>
      <c r="AD257" s="60"/>
      <c r="AE257" s="236"/>
      <c r="AF257" s="236"/>
      <c r="AG257" s="60"/>
      <c r="AH257" s="60"/>
      <c r="AI257" s="236"/>
      <c r="AJ257" s="236"/>
    </row>
    <row r="258">
      <c r="A258" s="61"/>
      <c r="B258" s="60"/>
      <c r="C258" s="236"/>
      <c r="D258" s="236"/>
      <c r="E258" s="60"/>
      <c r="F258" s="60"/>
      <c r="G258" s="236"/>
      <c r="H258" s="60"/>
      <c r="I258" s="60"/>
      <c r="J258" s="236"/>
      <c r="K258" s="236"/>
      <c r="L258" s="60"/>
      <c r="M258" s="60"/>
      <c r="N258" s="236"/>
      <c r="O258" s="60"/>
      <c r="P258" s="60"/>
      <c r="Q258" s="236"/>
      <c r="R258" s="236"/>
      <c r="S258" s="60"/>
      <c r="T258" s="60"/>
      <c r="U258" s="236"/>
      <c r="V258" s="60"/>
      <c r="W258" s="60"/>
      <c r="X258" s="236"/>
      <c r="Y258" s="236"/>
      <c r="Z258" s="60"/>
      <c r="AA258" s="60"/>
      <c r="AB258" s="236"/>
      <c r="AC258" s="60"/>
      <c r="AD258" s="60"/>
      <c r="AE258" s="236"/>
      <c r="AF258" s="236"/>
      <c r="AG258" s="60"/>
      <c r="AH258" s="60"/>
      <c r="AI258" s="236"/>
      <c r="AJ258" s="236"/>
    </row>
    <row r="259">
      <c r="A259" s="61"/>
      <c r="B259" s="60"/>
      <c r="C259" s="236"/>
      <c r="D259" s="236"/>
      <c r="E259" s="60"/>
      <c r="F259" s="60"/>
      <c r="G259" s="236"/>
      <c r="H259" s="60"/>
      <c r="I259" s="60"/>
      <c r="J259" s="236"/>
      <c r="K259" s="236"/>
      <c r="L259" s="60"/>
      <c r="M259" s="60"/>
      <c r="N259" s="236"/>
      <c r="O259" s="60"/>
      <c r="P259" s="60"/>
      <c r="Q259" s="236"/>
      <c r="R259" s="236"/>
      <c r="S259" s="60"/>
      <c r="T259" s="60"/>
      <c r="U259" s="236"/>
      <c r="V259" s="60"/>
      <c r="W259" s="60"/>
      <c r="X259" s="236"/>
      <c r="Y259" s="236"/>
      <c r="Z259" s="60"/>
      <c r="AA259" s="60"/>
      <c r="AB259" s="236"/>
      <c r="AC259" s="60"/>
      <c r="AD259" s="60"/>
      <c r="AE259" s="236"/>
      <c r="AF259" s="236"/>
      <c r="AG259" s="60"/>
      <c r="AH259" s="60"/>
      <c r="AI259" s="236"/>
      <c r="AJ259" s="236"/>
    </row>
    <row r="260">
      <c r="A260" s="61"/>
      <c r="B260" s="60"/>
      <c r="C260" s="236"/>
      <c r="D260" s="236"/>
      <c r="E260" s="60"/>
      <c r="F260" s="60"/>
      <c r="G260" s="236"/>
      <c r="H260" s="60"/>
      <c r="I260" s="60"/>
      <c r="J260" s="236"/>
      <c r="K260" s="236"/>
      <c r="L260" s="60"/>
      <c r="M260" s="60"/>
      <c r="N260" s="236"/>
      <c r="O260" s="60"/>
      <c r="P260" s="60"/>
      <c r="Q260" s="236"/>
      <c r="R260" s="236"/>
      <c r="S260" s="60"/>
      <c r="T260" s="60"/>
      <c r="U260" s="236"/>
      <c r="V260" s="60"/>
      <c r="W260" s="60"/>
      <c r="X260" s="236"/>
      <c r="Y260" s="236"/>
      <c r="Z260" s="60"/>
      <c r="AA260" s="60"/>
      <c r="AB260" s="236"/>
      <c r="AC260" s="60"/>
      <c r="AD260" s="60"/>
      <c r="AE260" s="236"/>
      <c r="AF260" s="236"/>
      <c r="AG260" s="60"/>
      <c r="AH260" s="60"/>
      <c r="AI260" s="236"/>
      <c r="AJ260" s="236"/>
    </row>
    <row r="261">
      <c r="A261" s="61"/>
      <c r="B261" s="60"/>
      <c r="C261" s="236"/>
      <c r="D261" s="236"/>
      <c r="E261" s="60"/>
      <c r="F261" s="60"/>
      <c r="G261" s="236"/>
      <c r="H261" s="60"/>
      <c r="I261" s="60"/>
      <c r="J261" s="236"/>
      <c r="K261" s="236"/>
      <c r="L261" s="60"/>
      <c r="M261" s="60"/>
      <c r="N261" s="236"/>
      <c r="O261" s="60"/>
      <c r="P261" s="60"/>
      <c r="Q261" s="236"/>
      <c r="R261" s="236"/>
      <c r="S261" s="60"/>
      <c r="T261" s="60"/>
      <c r="U261" s="236"/>
      <c r="V261" s="60"/>
      <c r="W261" s="60"/>
      <c r="X261" s="236"/>
      <c r="Y261" s="236"/>
      <c r="Z261" s="60"/>
      <c r="AA261" s="60"/>
      <c r="AB261" s="236"/>
      <c r="AC261" s="60"/>
      <c r="AD261" s="60"/>
      <c r="AE261" s="236"/>
      <c r="AF261" s="236"/>
      <c r="AG261" s="60"/>
      <c r="AH261" s="60"/>
      <c r="AI261" s="236"/>
      <c r="AJ261" s="236"/>
    </row>
    <row r="262">
      <c r="A262" s="61"/>
      <c r="B262" s="60"/>
      <c r="C262" s="236"/>
      <c r="D262" s="236"/>
      <c r="E262" s="60"/>
      <c r="F262" s="60"/>
      <c r="G262" s="236"/>
      <c r="H262" s="60"/>
      <c r="I262" s="60"/>
      <c r="J262" s="236"/>
      <c r="K262" s="236"/>
      <c r="L262" s="60"/>
      <c r="M262" s="60"/>
      <c r="N262" s="236"/>
      <c r="O262" s="60"/>
      <c r="P262" s="60"/>
      <c r="Q262" s="236"/>
      <c r="R262" s="236"/>
      <c r="S262" s="60"/>
      <c r="T262" s="60"/>
      <c r="U262" s="236"/>
      <c r="V262" s="60"/>
      <c r="W262" s="60"/>
      <c r="X262" s="236"/>
      <c r="Y262" s="236"/>
      <c r="Z262" s="60"/>
      <c r="AA262" s="60"/>
      <c r="AB262" s="236"/>
      <c r="AC262" s="60"/>
      <c r="AD262" s="60"/>
      <c r="AE262" s="236"/>
      <c r="AF262" s="236"/>
      <c r="AG262" s="60"/>
      <c r="AH262" s="60"/>
      <c r="AI262" s="236"/>
      <c r="AJ262" s="236"/>
    </row>
    <row r="263">
      <c r="A263" s="61"/>
      <c r="B263" s="60"/>
      <c r="C263" s="236"/>
      <c r="D263" s="236"/>
      <c r="E263" s="60"/>
      <c r="F263" s="60"/>
      <c r="G263" s="236"/>
      <c r="H263" s="60"/>
      <c r="I263" s="60"/>
      <c r="J263" s="236"/>
      <c r="K263" s="236"/>
      <c r="L263" s="60"/>
      <c r="M263" s="60"/>
      <c r="N263" s="236"/>
      <c r="O263" s="60"/>
      <c r="P263" s="60"/>
      <c r="Q263" s="236"/>
      <c r="R263" s="236"/>
      <c r="S263" s="60"/>
      <c r="T263" s="60"/>
      <c r="U263" s="236"/>
      <c r="V263" s="60"/>
      <c r="W263" s="60"/>
      <c r="X263" s="236"/>
      <c r="Y263" s="236"/>
      <c r="Z263" s="60"/>
      <c r="AA263" s="60"/>
      <c r="AB263" s="236"/>
      <c r="AC263" s="60"/>
      <c r="AD263" s="60"/>
      <c r="AE263" s="236"/>
      <c r="AF263" s="236"/>
      <c r="AG263" s="60"/>
      <c r="AH263" s="60"/>
      <c r="AI263" s="236"/>
      <c r="AJ263" s="236"/>
    </row>
    <row r="264">
      <c r="A264" s="61"/>
      <c r="B264" s="60"/>
      <c r="C264" s="236"/>
      <c r="D264" s="236"/>
      <c r="E264" s="60"/>
      <c r="F264" s="60"/>
      <c r="G264" s="236"/>
      <c r="H264" s="60"/>
      <c r="I264" s="60"/>
      <c r="J264" s="236"/>
      <c r="K264" s="236"/>
      <c r="L264" s="60"/>
      <c r="M264" s="60"/>
      <c r="N264" s="236"/>
      <c r="O264" s="60"/>
      <c r="P264" s="60"/>
      <c r="Q264" s="236"/>
      <c r="R264" s="236"/>
      <c r="S264" s="60"/>
      <c r="T264" s="60"/>
      <c r="U264" s="236"/>
      <c r="V264" s="60"/>
      <c r="W264" s="60"/>
      <c r="X264" s="236"/>
      <c r="Y264" s="236"/>
      <c r="Z264" s="60"/>
      <c r="AA264" s="60"/>
      <c r="AB264" s="236"/>
      <c r="AC264" s="60"/>
      <c r="AD264" s="60"/>
      <c r="AE264" s="236"/>
      <c r="AF264" s="236"/>
      <c r="AG264" s="60"/>
      <c r="AH264" s="60"/>
      <c r="AI264" s="236"/>
      <c r="AJ264" s="236"/>
    </row>
    <row r="265">
      <c r="A265" s="61"/>
      <c r="B265" s="60"/>
      <c r="C265" s="236"/>
      <c r="D265" s="236"/>
      <c r="E265" s="60"/>
      <c r="F265" s="60"/>
      <c r="G265" s="236"/>
      <c r="H265" s="60"/>
      <c r="I265" s="60"/>
      <c r="J265" s="236"/>
      <c r="K265" s="236"/>
      <c r="L265" s="60"/>
      <c r="M265" s="60"/>
      <c r="N265" s="236"/>
      <c r="O265" s="60"/>
      <c r="P265" s="60"/>
      <c r="Q265" s="236"/>
      <c r="R265" s="236"/>
      <c r="S265" s="60"/>
      <c r="T265" s="60"/>
      <c r="U265" s="236"/>
      <c r="V265" s="60"/>
      <c r="W265" s="60"/>
      <c r="X265" s="236"/>
      <c r="Y265" s="236"/>
      <c r="Z265" s="60"/>
      <c r="AA265" s="60"/>
      <c r="AB265" s="236"/>
      <c r="AC265" s="60"/>
      <c r="AD265" s="60"/>
      <c r="AE265" s="236"/>
      <c r="AF265" s="236"/>
      <c r="AG265" s="60"/>
      <c r="AH265" s="60"/>
      <c r="AI265" s="236"/>
      <c r="AJ265" s="236"/>
    </row>
    <row r="266">
      <c r="A266" s="61"/>
      <c r="B266" s="60"/>
      <c r="C266" s="236"/>
      <c r="D266" s="236"/>
      <c r="E266" s="60"/>
      <c r="F266" s="60"/>
      <c r="G266" s="236"/>
      <c r="H266" s="60"/>
      <c r="I266" s="60"/>
      <c r="J266" s="236"/>
      <c r="K266" s="236"/>
      <c r="L266" s="60"/>
      <c r="M266" s="60"/>
      <c r="N266" s="236"/>
      <c r="O266" s="60"/>
      <c r="P266" s="60"/>
      <c r="Q266" s="236"/>
      <c r="R266" s="236"/>
      <c r="S266" s="60"/>
      <c r="T266" s="60"/>
      <c r="U266" s="236"/>
      <c r="V266" s="60"/>
      <c r="W266" s="60"/>
      <c r="X266" s="236"/>
      <c r="Y266" s="236"/>
      <c r="Z266" s="60"/>
      <c r="AA266" s="60"/>
      <c r="AB266" s="236"/>
      <c r="AC266" s="60"/>
      <c r="AD266" s="60"/>
      <c r="AE266" s="236"/>
      <c r="AF266" s="236"/>
      <c r="AG266" s="60"/>
      <c r="AH266" s="60"/>
      <c r="AI266" s="236"/>
      <c r="AJ266" s="236"/>
    </row>
    <row r="267">
      <c r="A267" s="61"/>
      <c r="B267" s="60"/>
      <c r="C267" s="236"/>
      <c r="D267" s="236"/>
      <c r="E267" s="60"/>
      <c r="F267" s="60"/>
      <c r="G267" s="236"/>
      <c r="H267" s="60"/>
      <c r="I267" s="60"/>
      <c r="J267" s="236"/>
      <c r="K267" s="236"/>
      <c r="L267" s="60"/>
      <c r="M267" s="60"/>
      <c r="N267" s="236"/>
      <c r="O267" s="60"/>
      <c r="P267" s="60"/>
      <c r="Q267" s="236"/>
      <c r="R267" s="236"/>
      <c r="S267" s="60"/>
      <c r="T267" s="60"/>
      <c r="U267" s="236"/>
      <c r="V267" s="60"/>
      <c r="W267" s="60"/>
      <c r="X267" s="236"/>
      <c r="Y267" s="236"/>
      <c r="Z267" s="60"/>
      <c r="AA267" s="60"/>
      <c r="AB267" s="236"/>
      <c r="AC267" s="60"/>
      <c r="AD267" s="60"/>
      <c r="AE267" s="236"/>
      <c r="AF267" s="236"/>
      <c r="AG267" s="60"/>
      <c r="AH267" s="60"/>
      <c r="AI267" s="236"/>
      <c r="AJ267" s="236"/>
    </row>
    <row r="268">
      <c r="A268" s="61"/>
      <c r="B268" s="60"/>
      <c r="C268" s="236"/>
      <c r="D268" s="236"/>
      <c r="E268" s="60"/>
      <c r="F268" s="60"/>
      <c r="G268" s="236"/>
      <c r="H268" s="60"/>
      <c r="I268" s="60"/>
      <c r="J268" s="236"/>
      <c r="K268" s="236"/>
      <c r="L268" s="60"/>
      <c r="M268" s="60"/>
      <c r="N268" s="236"/>
      <c r="O268" s="60"/>
      <c r="P268" s="60"/>
      <c r="Q268" s="236"/>
      <c r="R268" s="236"/>
      <c r="S268" s="60"/>
      <c r="T268" s="60"/>
      <c r="U268" s="236"/>
      <c r="V268" s="60"/>
      <c r="W268" s="60"/>
      <c r="X268" s="236"/>
      <c r="Y268" s="236"/>
      <c r="Z268" s="60"/>
      <c r="AA268" s="60"/>
      <c r="AB268" s="236"/>
      <c r="AC268" s="60"/>
      <c r="AD268" s="60"/>
      <c r="AE268" s="236"/>
      <c r="AF268" s="236"/>
      <c r="AG268" s="60"/>
      <c r="AH268" s="60"/>
      <c r="AI268" s="236"/>
      <c r="AJ268" s="236"/>
    </row>
    <row r="269">
      <c r="A269" s="61"/>
      <c r="B269" s="60"/>
      <c r="C269" s="236"/>
      <c r="D269" s="236"/>
      <c r="E269" s="60"/>
      <c r="F269" s="60"/>
      <c r="G269" s="236"/>
      <c r="H269" s="60"/>
      <c r="I269" s="60"/>
      <c r="J269" s="236"/>
      <c r="K269" s="236"/>
      <c r="L269" s="60"/>
      <c r="M269" s="60"/>
      <c r="N269" s="236"/>
      <c r="O269" s="60"/>
      <c r="P269" s="60"/>
      <c r="Q269" s="236"/>
      <c r="R269" s="236"/>
      <c r="S269" s="60"/>
      <c r="T269" s="60"/>
      <c r="U269" s="236"/>
      <c r="V269" s="60"/>
      <c r="W269" s="60"/>
      <c r="X269" s="236"/>
      <c r="Y269" s="236"/>
      <c r="Z269" s="60"/>
      <c r="AA269" s="60"/>
      <c r="AB269" s="236"/>
      <c r="AC269" s="60"/>
      <c r="AD269" s="60"/>
      <c r="AE269" s="236"/>
      <c r="AF269" s="236"/>
      <c r="AG269" s="60"/>
      <c r="AH269" s="60"/>
      <c r="AI269" s="236"/>
      <c r="AJ269" s="236"/>
    </row>
    <row r="270">
      <c r="A270" s="61"/>
      <c r="B270" s="60"/>
      <c r="C270" s="236"/>
      <c r="D270" s="236"/>
      <c r="E270" s="60"/>
      <c r="F270" s="60"/>
      <c r="G270" s="236"/>
      <c r="H270" s="60"/>
      <c r="I270" s="60"/>
      <c r="J270" s="236"/>
      <c r="K270" s="236"/>
      <c r="L270" s="60"/>
      <c r="M270" s="60"/>
      <c r="N270" s="236"/>
      <c r="O270" s="60"/>
      <c r="P270" s="60"/>
      <c r="Q270" s="236"/>
      <c r="R270" s="236"/>
      <c r="S270" s="60"/>
      <c r="T270" s="60"/>
      <c r="U270" s="236"/>
      <c r="V270" s="60"/>
      <c r="W270" s="60"/>
      <c r="X270" s="236"/>
      <c r="Y270" s="236"/>
      <c r="Z270" s="60"/>
      <c r="AA270" s="60"/>
      <c r="AB270" s="236"/>
      <c r="AC270" s="60"/>
      <c r="AD270" s="60"/>
      <c r="AE270" s="236"/>
      <c r="AF270" s="236"/>
      <c r="AG270" s="60"/>
      <c r="AH270" s="60"/>
      <c r="AI270" s="236"/>
      <c r="AJ270" s="236"/>
    </row>
    <row r="271">
      <c r="A271" s="61"/>
      <c r="B271" s="60"/>
      <c r="C271" s="236"/>
      <c r="D271" s="236"/>
      <c r="E271" s="60"/>
      <c r="F271" s="60"/>
      <c r="G271" s="236"/>
      <c r="H271" s="60"/>
      <c r="I271" s="60"/>
      <c r="J271" s="236"/>
      <c r="K271" s="236"/>
      <c r="L271" s="60"/>
      <c r="M271" s="60"/>
      <c r="N271" s="236"/>
      <c r="O271" s="60"/>
      <c r="P271" s="60"/>
      <c r="Q271" s="236"/>
      <c r="R271" s="236"/>
      <c r="S271" s="60"/>
      <c r="T271" s="60"/>
      <c r="U271" s="236"/>
      <c r="V271" s="60"/>
      <c r="W271" s="60"/>
      <c r="X271" s="236"/>
      <c r="Y271" s="236"/>
      <c r="Z271" s="60"/>
      <c r="AA271" s="60"/>
      <c r="AB271" s="236"/>
      <c r="AC271" s="60"/>
      <c r="AD271" s="60"/>
      <c r="AE271" s="236"/>
      <c r="AF271" s="236"/>
      <c r="AG271" s="60"/>
      <c r="AH271" s="60"/>
      <c r="AI271" s="236"/>
      <c r="AJ271" s="236"/>
    </row>
    <row r="272">
      <c r="A272" s="61"/>
      <c r="B272" s="60"/>
      <c r="C272" s="236"/>
      <c r="D272" s="236"/>
      <c r="E272" s="60"/>
      <c r="F272" s="60"/>
      <c r="G272" s="236"/>
      <c r="H272" s="60"/>
      <c r="I272" s="60"/>
      <c r="J272" s="236"/>
      <c r="K272" s="236"/>
      <c r="L272" s="60"/>
      <c r="M272" s="60"/>
      <c r="N272" s="236"/>
      <c r="O272" s="60"/>
      <c r="P272" s="60"/>
      <c r="Q272" s="236"/>
      <c r="R272" s="236"/>
      <c r="S272" s="60"/>
      <c r="T272" s="60"/>
      <c r="U272" s="236"/>
      <c r="V272" s="60"/>
      <c r="W272" s="60"/>
      <c r="X272" s="236"/>
      <c r="Y272" s="236"/>
      <c r="Z272" s="60"/>
      <c r="AA272" s="60"/>
      <c r="AB272" s="236"/>
      <c r="AC272" s="60"/>
      <c r="AD272" s="60"/>
      <c r="AE272" s="236"/>
      <c r="AF272" s="236"/>
      <c r="AG272" s="60"/>
      <c r="AH272" s="60"/>
      <c r="AI272" s="236"/>
      <c r="AJ272" s="236"/>
    </row>
    <row r="273">
      <c r="A273" s="61"/>
      <c r="B273" s="60"/>
      <c r="C273" s="236"/>
      <c r="D273" s="236"/>
      <c r="E273" s="60"/>
      <c r="F273" s="60"/>
      <c r="G273" s="236"/>
      <c r="H273" s="60"/>
      <c r="I273" s="60"/>
      <c r="J273" s="236"/>
      <c r="K273" s="236"/>
      <c r="L273" s="60"/>
      <c r="M273" s="60"/>
      <c r="N273" s="236"/>
      <c r="O273" s="60"/>
      <c r="P273" s="60"/>
      <c r="Q273" s="236"/>
      <c r="R273" s="236"/>
      <c r="S273" s="60"/>
      <c r="T273" s="60"/>
      <c r="U273" s="236"/>
      <c r="V273" s="60"/>
      <c r="W273" s="60"/>
      <c r="X273" s="236"/>
      <c r="Y273" s="236"/>
      <c r="Z273" s="60"/>
      <c r="AA273" s="60"/>
      <c r="AB273" s="236"/>
      <c r="AC273" s="60"/>
      <c r="AD273" s="60"/>
      <c r="AE273" s="236"/>
      <c r="AF273" s="236"/>
      <c r="AG273" s="60"/>
      <c r="AH273" s="60"/>
      <c r="AI273" s="236"/>
      <c r="AJ273" s="236"/>
    </row>
    <row r="274">
      <c r="A274" s="61"/>
      <c r="B274" s="60"/>
      <c r="C274" s="236"/>
      <c r="D274" s="236"/>
      <c r="E274" s="60"/>
      <c r="F274" s="60"/>
      <c r="G274" s="236"/>
      <c r="H274" s="60"/>
      <c r="I274" s="60"/>
      <c r="J274" s="236"/>
      <c r="K274" s="236"/>
      <c r="L274" s="60"/>
      <c r="M274" s="60"/>
      <c r="N274" s="236"/>
      <c r="O274" s="60"/>
      <c r="P274" s="60"/>
      <c r="Q274" s="236"/>
      <c r="R274" s="236"/>
      <c r="S274" s="60"/>
      <c r="T274" s="60"/>
      <c r="U274" s="236"/>
      <c r="V274" s="60"/>
      <c r="W274" s="60"/>
      <c r="X274" s="236"/>
      <c r="Y274" s="236"/>
      <c r="Z274" s="60"/>
      <c r="AA274" s="60"/>
      <c r="AB274" s="236"/>
      <c r="AC274" s="60"/>
      <c r="AD274" s="60"/>
      <c r="AE274" s="236"/>
      <c r="AF274" s="236"/>
      <c r="AG274" s="60"/>
      <c r="AH274" s="60"/>
      <c r="AI274" s="236"/>
      <c r="AJ274" s="236"/>
    </row>
    <row r="275">
      <c r="A275" s="61"/>
      <c r="B275" s="60"/>
      <c r="C275" s="236"/>
      <c r="D275" s="236"/>
      <c r="E275" s="60"/>
      <c r="F275" s="60"/>
      <c r="G275" s="236"/>
      <c r="H275" s="60"/>
      <c r="I275" s="60"/>
      <c r="J275" s="236"/>
      <c r="K275" s="236"/>
      <c r="L275" s="60"/>
      <c r="M275" s="60"/>
      <c r="N275" s="236"/>
      <c r="O275" s="60"/>
      <c r="P275" s="60"/>
      <c r="Q275" s="236"/>
      <c r="R275" s="236"/>
      <c r="S275" s="60"/>
      <c r="T275" s="60"/>
      <c r="U275" s="236"/>
      <c r="V275" s="60"/>
      <c r="W275" s="60"/>
      <c r="X275" s="236"/>
      <c r="Y275" s="236"/>
      <c r="Z275" s="60"/>
      <c r="AA275" s="60"/>
      <c r="AB275" s="236"/>
      <c r="AC275" s="60"/>
      <c r="AD275" s="60"/>
      <c r="AE275" s="236"/>
      <c r="AF275" s="236"/>
      <c r="AG275" s="60"/>
      <c r="AH275" s="60"/>
      <c r="AI275" s="236"/>
      <c r="AJ275" s="236"/>
    </row>
    <row r="276">
      <c r="A276" s="61"/>
      <c r="B276" s="60"/>
      <c r="C276" s="236"/>
      <c r="D276" s="236"/>
      <c r="E276" s="60"/>
      <c r="F276" s="60"/>
      <c r="G276" s="236"/>
      <c r="H276" s="60"/>
      <c r="I276" s="60"/>
      <c r="J276" s="236"/>
      <c r="K276" s="236"/>
      <c r="L276" s="60"/>
      <c r="M276" s="60"/>
      <c r="N276" s="236"/>
      <c r="O276" s="60"/>
      <c r="P276" s="60"/>
      <c r="Q276" s="236"/>
      <c r="R276" s="236"/>
      <c r="S276" s="60"/>
      <c r="T276" s="60"/>
      <c r="U276" s="236"/>
      <c r="V276" s="60"/>
      <c r="W276" s="60"/>
      <c r="X276" s="236"/>
      <c r="Y276" s="236"/>
      <c r="Z276" s="60"/>
      <c r="AA276" s="60"/>
      <c r="AB276" s="236"/>
      <c r="AC276" s="60"/>
      <c r="AD276" s="60"/>
      <c r="AE276" s="236"/>
      <c r="AF276" s="236"/>
      <c r="AG276" s="60"/>
      <c r="AH276" s="60"/>
      <c r="AI276" s="236"/>
      <c r="AJ276" s="236"/>
    </row>
    <row r="277">
      <c r="A277" s="61"/>
      <c r="B277" s="60"/>
      <c r="C277" s="236"/>
      <c r="D277" s="236"/>
      <c r="E277" s="60"/>
      <c r="F277" s="60"/>
      <c r="G277" s="236"/>
      <c r="H277" s="60"/>
      <c r="I277" s="60"/>
      <c r="J277" s="236"/>
      <c r="K277" s="236"/>
      <c r="L277" s="60"/>
      <c r="M277" s="60"/>
      <c r="N277" s="236"/>
      <c r="O277" s="60"/>
      <c r="P277" s="60"/>
      <c r="Q277" s="236"/>
      <c r="R277" s="236"/>
      <c r="S277" s="60"/>
      <c r="T277" s="60"/>
      <c r="U277" s="236"/>
      <c r="V277" s="60"/>
      <c r="W277" s="60"/>
      <c r="X277" s="236"/>
      <c r="Y277" s="236"/>
      <c r="Z277" s="60"/>
      <c r="AA277" s="60"/>
      <c r="AB277" s="236"/>
      <c r="AC277" s="60"/>
      <c r="AD277" s="60"/>
      <c r="AE277" s="236"/>
      <c r="AF277" s="236"/>
      <c r="AG277" s="60"/>
      <c r="AH277" s="60"/>
      <c r="AI277" s="236"/>
      <c r="AJ277" s="236"/>
    </row>
    <row r="278">
      <c r="A278" s="61"/>
      <c r="B278" s="60"/>
      <c r="C278" s="236"/>
      <c r="D278" s="236"/>
      <c r="E278" s="60"/>
      <c r="F278" s="60"/>
      <c r="G278" s="236"/>
      <c r="H278" s="60"/>
      <c r="I278" s="60"/>
      <c r="J278" s="236"/>
      <c r="K278" s="236"/>
      <c r="L278" s="60"/>
      <c r="M278" s="60"/>
      <c r="N278" s="236"/>
      <c r="O278" s="60"/>
      <c r="P278" s="60"/>
      <c r="Q278" s="236"/>
      <c r="R278" s="236"/>
      <c r="S278" s="60"/>
      <c r="T278" s="60"/>
      <c r="U278" s="236"/>
      <c r="V278" s="60"/>
      <c r="W278" s="60"/>
      <c r="X278" s="236"/>
      <c r="Y278" s="236"/>
      <c r="Z278" s="60"/>
      <c r="AA278" s="60"/>
      <c r="AB278" s="236"/>
      <c r="AC278" s="60"/>
      <c r="AD278" s="60"/>
      <c r="AE278" s="236"/>
      <c r="AF278" s="236"/>
      <c r="AG278" s="60"/>
      <c r="AH278" s="60"/>
      <c r="AI278" s="236"/>
      <c r="AJ278" s="236"/>
    </row>
    <row r="279">
      <c r="A279" s="61"/>
      <c r="B279" s="60"/>
      <c r="C279" s="236"/>
      <c r="D279" s="236"/>
      <c r="E279" s="60"/>
      <c r="F279" s="60"/>
      <c r="G279" s="236"/>
      <c r="H279" s="60"/>
      <c r="I279" s="60"/>
      <c r="J279" s="236"/>
      <c r="K279" s="236"/>
      <c r="L279" s="60"/>
      <c r="M279" s="60"/>
      <c r="N279" s="236"/>
      <c r="O279" s="60"/>
      <c r="P279" s="60"/>
      <c r="Q279" s="236"/>
      <c r="R279" s="236"/>
      <c r="S279" s="60"/>
      <c r="T279" s="60"/>
      <c r="U279" s="236"/>
      <c r="V279" s="60"/>
      <c r="W279" s="60"/>
      <c r="X279" s="236"/>
      <c r="Y279" s="236"/>
      <c r="Z279" s="60"/>
      <c r="AA279" s="60"/>
      <c r="AB279" s="236"/>
      <c r="AC279" s="60"/>
      <c r="AD279" s="60"/>
      <c r="AE279" s="236"/>
      <c r="AF279" s="236"/>
      <c r="AG279" s="60"/>
      <c r="AH279" s="60"/>
      <c r="AI279" s="236"/>
      <c r="AJ279" s="236"/>
    </row>
    <row r="280">
      <c r="A280" s="61"/>
      <c r="B280" s="60"/>
      <c r="C280" s="236"/>
      <c r="D280" s="236"/>
      <c r="E280" s="60"/>
      <c r="F280" s="60"/>
      <c r="G280" s="236"/>
      <c r="H280" s="60"/>
      <c r="I280" s="60"/>
      <c r="J280" s="236"/>
      <c r="K280" s="236"/>
      <c r="L280" s="60"/>
      <c r="M280" s="60"/>
      <c r="N280" s="236"/>
      <c r="O280" s="60"/>
      <c r="P280" s="60"/>
      <c r="Q280" s="236"/>
      <c r="R280" s="236"/>
      <c r="S280" s="60"/>
      <c r="T280" s="60"/>
      <c r="U280" s="236"/>
      <c r="V280" s="60"/>
      <c r="W280" s="60"/>
      <c r="X280" s="236"/>
      <c r="Y280" s="236"/>
      <c r="Z280" s="60"/>
      <c r="AA280" s="60"/>
      <c r="AB280" s="236"/>
      <c r="AC280" s="60"/>
      <c r="AD280" s="60"/>
      <c r="AE280" s="236"/>
      <c r="AF280" s="236"/>
      <c r="AG280" s="60"/>
      <c r="AH280" s="60"/>
      <c r="AI280" s="236"/>
      <c r="AJ280" s="236"/>
    </row>
    <row r="281">
      <c r="A281" s="61"/>
      <c r="B281" s="60"/>
      <c r="C281" s="236"/>
      <c r="D281" s="236"/>
      <c r="E281" s="60"/>
      <c r="F281" s="60"/>
      <c r="G281" s="236"/>
      <c r="H281" s="60"/>
      <c r="I281" s="60"/>
      <c r="J281" s="236"/>
      <c r="K281" s="236"/>
      <c r="L281" s="60"/>
      <c r="M281" s="60"/>
      <c r="N281" s="236"/>
      <c r="O281" s="60"/>
      <c r="P281" s="60"/>
      <c r="Q281" s="236"/>
      <c r="R281" s="236"/>
      <c r="S281" s="60"/>
      <c r="T281" s="60"/>
      <c r="U281" s="236"/>
      <c r="V281" s="60"/>
      <c r="W281" s="60"/>
      <c r="X281" s="236"/>
      <c r="Y281" s="236"/>
      <c r="Z281" s="60"/>
      <c r="AA281" s="60"/>
      <c r="AB281" s="236"/>
      <c r="AC281" s="60"/>
      <c r="AD281" s="60"/>
      <c r="AE281" s="236"/>
      <c r="AF281" s="236"/>
      <c r="AG281" s="60"/>
      <c r="AH281" s="60"/>
      <c r="AI281" s="236"/>
      <c r="AJ281" s="236"/>
    </row>
    <row r="282">
      <c r="A282" s="61"/>
      <c r="B282" s="60"/>
      <c r="C282" s="236"/>
      <c r="D282" s="236"/>
      <c r="E282" s="60"/>
      <c r="F282" s="60"/>
      <c r="G282" s="236"/>
      <c r="H282" s="60"/>
      <c r="I282" s="60"/>
      <c r="J282" s="236"/>
      <c r="K282" s="236"/>
      <c r="L282" s="60"/>
      <c r="M282" s="60"/>
      <c r="N282" s="236"/>
      <c r="O282" s="60"/>
      <c r="P282" s="60"/>
      <c r="Q282" s="236"/>
      <c r="R282" s="236"/>
      <c r="S282" s="60"/>
      <c r="T282" s="60"/>
      <c r="U282" s="236"/>
      <c r="V282" s="60"/>
      <c r="W282" s="60"/>
      <c r="X282" s="236"/>
      <c r="Y282" s="236"/>
      <c r="Z282" s="60"/>
      <c r="AA282" s="60"/>
      <c r="AB282" s="236"/>
      <c r="AC282" s="60"/>
      <c r="AD282" s="60"/>
      <c r="AE282" s="236"/>
      <c r="AF282" s="236"/>
      <c r="AG282" s="60"/>
      <c r="AH282" s="60"/>
      <c r="AI282" s="236"/>
      <c r="AJ282" s="236"/>
    </row>
    <row r="283">
      <c r="A283" s="61"/>
      <c r="B283" s="60"/>
      <c r="C283" s="236"/>
      <c r="D283" s="236"/>
      <c r="E283" s="60"/>
      <c r="F283" s="60"/>
      <c r="G283" s="236"/>
      <c r="H283" s="60"/>
      <c r="I283" s="60"/>
      <c r="J283" s="236"/>
      <c r="K283" s="236"/>
      <c r="L283" s="60"/>
      <c r="M283" s="60"/>
      <c r="N283" s="236"/>
      <c r="O283" s="60"/>
      <c r="P283" s="60"/>
      <c r="Q283" s="236"/>
      <c r="R283" s="236"/>
      <c r="S283" s="60"/>
      <c r="T283" s="60"/>
      <c r="U283" s="236"/>
      <c r="V283" s="60"/>
      <c r="W283" s="60"/>
      <c r="X283" s="236"/>
      <c r="Y283" s="236"/>
      <c r="Z283" s="60"/>
      <c r="AA283" s="60"/>
      <c r="AB283" s="236"/>
      <c r="AC283" s="60"/>
      <c r="AD283" s="60"/>
      <c r="AE283" s="236"/>
      <c r="AF283" s="236"/>
      <c r="AG283" s="60"/>
      <c r="AH283" s="60"/>
      <c r="AI283" s="236"/>
      <c r="AJ283" s="236"/>
    </row>
    <row r="284">
      <c r="A284" s="61"/>
      <c r="B284" s="60"/>
      <c r="C284" s="236"/>
      <c r="D284" s="236"/>
      <c r="E284" s="60"/>
      <c r="F284" s="60"/>
      <c r="G284" s="236"/>
      <c r="H284" s="60"/>
      <c r="I284" s="60"/>
      <c r="J284" s="236"/>
      <c r="K284" s="236"/>
      <c r="L284" s="60"/>
      <c r="M284" s="60"/>
      <c r="N284" s="236"/>
      <c r="O284" s="60"/>
      <c r="P284" s="60"/>
      <c r="Q284" s="236"/>
      <c r="R284" s="236"/>
      <c r="S284" s="60"/>
      <c r="T284" s="60"/>
      <c r="U284" s="236"/>
      <c r="V284" s="60"/>
      <c r="W284" s="60"/>
      <c r="X284" s="236"/>
      <c r="Y284" s="236"/>
      <c r="Z284" s="60"/>
      <c r="AA284" s="60"/>
      <c r="AB284" s="236"/>
      <c r="AC284" s="60"/>
      <c r="AD284" s="60"/>
      <c r="AE284" s="236"/>
      <c r="AF284" s="236"/>
      <c r="AG284" s="60"/>
      <c r="AH284" s="60"/>
      <c r="AI284" s="236"/>
      <c r="AJ284" s="236"/>
    </row>
    <row r="285">
      <c r="A285" s="61"/>
      <c r="B285" s="60"/>
      <c r="C285" s="236"/>
      <c r="D285" s="236"/>
      <c r="E285" s="60"/>
      <c r="F285" s="60"/>
      <c r="G285" s="236"/>
      <c r="H285" s="60"/>
      <c r="I285" s="60"/>
      <c r="J285" s="236"/>
      <c r="K285" s="236"/>
      <c r="L285" s="60"/>
      <c r="M285" s="60"/>
      <c r="N285" s="236"/>
      <c r="O285" s="60"/>
      <c r="P285" s="60"/>
      <c r="Q285" s="236"/>
      <c r="R285" s="236"/>
      <c r="S285" s="60"/>
      <c r="T285" s="60"/>
      <c r="U285" s="236"/>
      <c r="V285" s="60"/>
      <c r="W285" s="60"/>
      <c r="X285" s="236"/>
      <c r="Y285" s="236"/>
      <c r="Z285" s="60"/>
      <c r="AA285" s="60"/>
      <c r="AB285" s="236"/>
      <c r="AC285" s="60"/>
      <c r="AD285" s="60"/>
      <c r="AE285" s="236"/>
      <c r="AF285" s="236"/>
      <c r="AG285" s="60"/>
      <c r="AH285" s="60"/>
      <c r="AI285" s="236"/>
      <c r="AJ285" s="236"/>
    </row>
    <row r="286">
      <c r="A286" s="61"/>
      <c r="B286" s="60"/>
      <c r="C286" s="236"/>
      <c r="D286" s="236"/>
      <c r="E286" s="60"/>
      <c r="F286" s="60"/>
      <c r="G286" s="236"/>
      <c r="H286" s="60"/>
      <c r="I286" s="60"/>
      <c r="J286" s="236"/>
      <c r="K286" s="236"/>
      <c r="L286" s="60"/>
      <c r="M286" s="60"/>
      <c r="N286" s="236"/>
      <c r="O286" s="60"/>
      <c r="P286" s="60"/>
      <c r="Q286" s="236"/>
      <c r="R286" s="236"/>
      <c r="S286" s="60"/>
      <c r="T286" s="60"/>
      <c r="U286" s="236"/>
      <c r="V286" s="60"/>
      <c r="W286" s="60"/>
      <c r="X286" s="236"/>
      <c r="Y286" s="236"/>
      <c r="Z286" s="60"/>
      <c r="AA286" s="60"/>
      <c r="AB286" s="236"/>
      <c r="AC286" s="60"/>
      <c r="AD286" s="60"/>
      <c r="AE286" s="236"/>
      <c r="AF286" s="236"/>
      <c r="AG286" s="60"/>
      <c r="AH286" s="60"/>
      <c r="AI286" s="236"/>
      <c r="AJ286" s="236"/>
    </row>
    <row r="287">
      <c r="A287" s="61"/>
      <c r="B287" s="60"/>
      <c r="C287" s="236"/>
      <c r="D287" s="236"/>
      <c r="E287" s="60"/>
      <c r="F287" s="60"/>
      <c r="G287" s="236"/>
      <c r="H287" s="60"/>
      <c r="I287" s="60"/>
      <c r="J287" s="236"/>
      <c r="K287" s="236"/>
      <c r="L287" s="60"/>
      <c r="M287" s="60"/>
      <c r="N287" s="236"/>
      <c r="O287" s="60"/>
      <c r="P287" s="60"/>
      <c r="Q287" s="236"/>
      <c r="R287" s="236"/>
      <c r="S287" s="60"/>
      <c r="T287" s="60"/>
      <c r="U287" s="236"/>
      <c r="V287" s="60"/>
      <c r="W287" s="60"/>
      <c r="X287" s="236"/>
      <c r="Y287" s="236"/>
      <c r="Z287" s="60"/>
      <c r="AA287" s="60"/>
      <c r="AB287" s="236"/>
      <c r="AC287" s="60"/>
      <c r="AD287" s="60"/>
      <c r="AE287" s="236"/>
      <c r="AF287" s="236"/>
      <c r="AG287" s="60"/>
      <c r="AH287" s="60"/>
      <c r="AI287" s="236"/>
      <c r="AJ287" s="236"/>
    </row>
    <row r="288">
      <c r="A288" s="61"/>
      <c r="B288" s="60"/>
      <c r="C288" s="236"/>
      <c r="D288" s="236"/>
      <c r="E288" s="60"/>
      <c r="F288" s="60"/>
      <c r="G288" s="236"/>
      <c r="H288" s="60"/>
      <c r="I288" s="60"/>
      <c r="J288" s="236"/>
      <c r="K288" s="236"/>
      <c r="L288" s="60"/>
      <c r="M288" s="60"/>
      <c r="N288" s="236"/>
      <c r="O288" s="60"/>
      <c r="P288" s="60"/>
      <c r="Q288" s="236"/>
      <c r="R288" s="236"/>
      <c r="S288" s="60"/>
      <c r="T288" s="60"/>
      <c r="U288" s="236"/>
      <c r="V288" s="60"/>
      <c r="W288" s="60"/>
      <c r="X288" s="236"/>
      <c r="Y288" s="236"/>
      <c r="Z288" s="60"/>
      <c r="AA288" s="60"/>
      <c r="AB288" s="236"/>
      <c r="AC288" s="60"/>
      <c r="AD288" s="60"/>
      <c r="AE288" s="236"/>
      <c r="AF288" s="236"/>
      <c r="AG288" s="60"/>
      <c r="AH288" s="60"/>
      <c r="AI288" s="236"/>
      <c r="AJ288" s="236"/>
    </row>
    <row r="289">
      <c r="A289" s="61"/>
      <c r="B289" s="60"/>
      <c r="C289" s="236"/>
      <c r="D289" s="236"/>
      <c r="E289" s="60"/>
      <c r="F289" s="60"/>
      <c r="G289" s="236"/>
      <c r="H289" s="60"/>
      <c r="I289" s="60"/>
      <c r="J289" s="236"/>
      <c r="K289" s="236"/>
      <c r="L289" s="60"/>
      <c r="M289" s="60"/>
      <c r="N289" s="236"/>
      <c r="O289" s="60"/>
      <c r="P289" s="60"/>
      <c r="Q289" s="236"/>
      <c r="R289" s="236"/>
      <c r="S289" s="60"/>
      <c r="T289" s="60"/>
      <c r="U289" s="236"/>
      <c r="V289" s="60"/>
      <c r="W289" s="60"/>
      <c r="X289" s="236"/>
      <c r="Y289" s="236"/>
      <c r="Z289" s="60"/>
      <c r="AA289" s="60"/>
      <c r="AB289" s="236"/>
      <c r="AC289" s="60"/>
      <c r="AD289" s="60"/>
      <c r="AE289" s="236"/>
      <c r="AF289" s="236"/>
      <c r="AG289" s="60"/>
      <c r="AH289" s="60"/>
      <c r="AI289" s="236"/>
      <c r="AJ289" s="236"/>
    </row>
    <row r="290">
      <c r="A290" s="61"/>
      <c r="B290" s="60"/>
      <c r="C290" s="236"/>
      <c r="D290" s="236"/>
      <c r="E290" s="60"/>
      <c r="F290" s="60"/>
      <c r="G290" s="236"/>
      <c r="H290" s="60"/>
      <c r="I290" s="60"/>
      <c r="J290" s="236"/>
      <c r="K290" s="236"/>
      <c r="L290" s="60"/>
      <c r="M290" s="60"/>
      <c r="N290" s="236"/>
      <c r="O290" s="60"/>
      <c r="P290" s="60"/>
      <c r="Q290" s="236"/>
      <c r="R290" s="236"/>
      <c r="S290" s="60"/>
      <c r="T290" s="60"/>
      <c r="U290" s="236"/>
      <c r="V290" s="60"/>
      <c r="W290" s="60"/>
      <c r="X290" s="236"/>
      <c r="Y290" s="236"/>
      <c r="Z290" s="60"/>
      <c r="AA290" s="60"/>
      <c r="AB290" s="236"/>
      <c r="AC290" s="60"/>
      <c r="AD290" s="60"/>
      <c r="AE290" s="236"/>
      <c r="AF290" s="236"/>
      <c r="AG290" s="60"/>
      <c r="AH290" s="60"/>
      <c r="AI290" s="236"/>
      <c r="AJ290" s="236"/>
    </row>
    <row r="291">
      <c r="A291" s="61"/>
      <c r="B291" s="60"/>
      <c r="C291" s="236"/>
      <c r="D291" s="236"/>
      <c r="E291" s="60"/>
      <c r="F291" s="60"/>
      <c r="G291" s="236"/>
      <c r="H291" s="60"/>
      <c r="I291" s="60"/>
      <c r="J291" s="236"/>
      <c r="K291" s="236"/>
      <c r="L291" s="60"/>
      <c r="M291" s="60"/>
      <c r="N291" s="236"/>
      <c r="O291" s="60"/>
      <c r="P291" s="60"/>
      <c r="Q291" s="236"/>
      <c r="R291" s="236"/>
      <c r="S291" s="60"/>
      <c r="T291" s="60"/>
      <c r="U291" s="236"/>
      <c r="V291" s="60"/>
      <c r="W291" s="60"/>
      <c r="X291" s="236"/>
      <c r="Y291" s="236"/>
      <c r="Z291" s="60"/>
      <c r="AA291" s="60"/>
      <c r="AB291" s="236"/>
      <c r="AC291" s="60"/>
      <c r="AD291" s="60"/>
      <c r="AE291" s="236"/>
      <c r="AF291" s="236"/>
      <c r="AG291" s="60"/>
      <c r="AH291" s="60"/>
      <c r="AI291" s="236"/>
      <c r="AJ291" s="236"/>
    </row>
    <row r="292">
      <c r="A292" s="61"/>
      <c r="B292" s="60"/>
      <c r="C292" s="236"/>
      <c r="D292" s="236"/>
      <c r="E292" s="60"/>
      <c r="F292" s="60"/>
      <c r="G292" s="236"/>
      <c r="H292" s="60"/>
      <c r="I292" s="60"/>
      <c r="J292" s="236"/>
      <c r="K292" s="236"/>
      <c r="L292" s="60"/>
      <c r="M292" s="60"/>
      <c r="N292" s="236"/>
      <c r="O292" s="60"/>
      <c r="P292" s="60"/>
      <c r="Q292" s="236"/>
      <c r="R292" s="236"/>
      <c r="S292" s="60"/>
      <c r="T292" s="60"/>
      <c r="U292" s="236"/>
      <c r="V292" s="60"/>
      <c r="W292" s="60"/>
      <c r="X292" s="236"/>
      <c r="Y292" s="236"/>
      <c r="Z292" s="60"/>
      <c r="AA292" s="60"/>
      <c r="AB292" s="236"/>
      <c r="AC292" s="60"/>
      <c r="AD292" s="60"/>
      <c r="AE292" s="236"/>
      <c r="AF292" s="236"/>
      <c r="AG292" s="60"/>
      <c r="AH292" s="60"/>
      <c r="AI292" s="236"/>
      <c r="AJ292" s="236"/>
    </row>
    <row r="293">
      <c r="A293" s="61"/>
      <c r="B293" s="60"/>
      <c r="C293" s="236"/>
      <c r="D293" s="236"/>
      <c r="E293" s="60"/>
      <c r="F293" s="60"/>
      <c r="G293" s="236"/>
      <c r="H293" s="60"/>
      <c r="I293" s="60"/>
      <c r="J293" s="236"/>
      <c r="K293" s="236"/>
      <c r="L293" s="60"/>
      <c r="M293" s="60"/>
      <c r="N293" s="236"/>
      <c r="O293" s="60"/>
      <c r="P293" s="60"/>
      <c r="Q293" s="236"/>
      <c r="R293" s="236"/>
      <c r="S293" s="60"/>
      <c r="T293" s="60"/>
      <c r="U293" s="236"/>
      <c r="V293" s="60"/>
      <c r="W293" s="60"/>
      <c r="X293" s="236"/>
      <c r="Y293" s="236"/>
      <c r="Z293" s="60"/>
      <c r="AA293" s="60"/>
      <c r="AB293" s="236"/>
      <c r="AC293" s="60"/>
      <c r="AD293" s="60"/>
      <c r="AE293" s="236"/>
      <c r="AF293" s="236"/>
      <c r="AG293" s="60"/>
      <c r="AH293" s="60"/>
      <c r="AI293" s="236"/>
      <c r="AJ293" s="236"/>
    </row>
    <row r="294">
      <c r="A294" s="61"/>
      <c r="B294" s="60"/>
      <c r="C294" s="236"/>
      <c r="D294" s="236"/>
      <c r="E294" s="60"/>
      <c r="F294" s="60"/>
      <c r="G294" s="236"/>
      <c r="H294" s="60"/>
      <c r="I294" s="60"/>
      <c r="J294" s="236"/>
      <c r="K294" s="236"/>
      <c r="L294" s="60"/>
      <c r="M294" s="60"/>
      <c r="N294" s="236"/>
      <c r="O294" s="60"/>
      <c r="P294" s="60"/>
      <c r="Q294" s="236"/>
      <c r="R294" s="236"/>
      <c r="S294" s="60"/>
      <c r="T294" s="60"/>
      <c r="U294" s="236"/>
      <c r="V294" s="60"/>
      <c r="W294" s="60"/>
      <c r="X294" s="236"/>
      <c r="Y294" s="236"/>
      <c r="Z294" s="60"/>
      <c r="AA294" s="60"/>
      <c r="AB294" s="236"/>
      <c r="AC294" s="60"/>
      <c r="AD294" s="60"/>
      <c r="AE294" s="236"/>
      <c r="AF294" s="236"/>
      <c r="AG294" s="60"/>
      <c r="AH294" s="60"/>
      <c r="AI294" s="236"/>
      <c r="AJ294" s="236"/>
    </row>
    <row r="295">
      <c r="A295" s="61"/>
      <c r="B295" s="60"/>
      <c r="C295" s="236"/>
      <c r="D295" s="236"/>
      <c r="E295" s="60"/>
      <c r="F295" s="60"/>
      <c r="G295" s="236"/>
      <c r="H295" s="60"/>
      <c r="I295" s="60"/>
      <c r="J295" s="236"/>
      <c r="K295" s="236"/>
      <c r="L295" s="60"/>
      <c r="M295" s="60"/>
      <c r="N295" s="236"/>
      <c r="O295" s="60"/>
      <c r="P295" s="60"/>
      <c r="Q295" s="236"/>
      <c r="R295" s="236"/>
      <c r="S295" s="60"/>
      <c r="T295" s="60"/>
      <c r="U295" s="236"/>
      <c r="V295" s="60"/>
      <c r="W295" s="60"/>
      <c r="X295" s="236"/>
      <c r="Y295" s="236"/>
      <c r="Z295" s="60"/>
      <c r="AA295" s="60"/>
      <c r="AB295" s="236"/>
      <c r="AC295" s="60"/>
      <c r="AD295" s="60"/>
      <c r="AE295" s="236"/>
      <c r="AF295" s="236"/>
      <c r="AG295" s="60"/>
      <c r="AH295" s="60"/>
      <c r="AI295" s="236"/>
      <c r="AJ295" s="236"/>
    </row>
    <row r="296">
      <c r="A296" s="61"/>
      <c r="B296" s="60"/>
      <c r="C296" s="236"/>
      <c r="D296" s="236"/>
      <c r="E296" s="60"/>
      <c r="F296" s="60"/>
      <c r="G296" s="236"/>
      <c r="H296" s="60"/>
      <c r="I296" s="60"/>
      <c r="J296" s="236"/>
      <c r="K296" s="236"/>
      <c r="L296" s="60"/>
      <c r="M296" s="60"/>
      <c r="N296" s="236"/>
      <c r="O296" s="60"/>
      <c r="P296" s="60"/>
      <c r="Q296" s="236"/>
      <c r="R296" s="236"/>
      <c r="S296" s="60"/>
      <c r="T296" s="60"/>
      <c r="U296" s="236"/>
      <c r="V296" s="60"/>
      <c r="W296" s="60"/>
      <c r="X296" s="236"/>
      <c r="Y296" s="236"/>
      <c r="Z296" s="60"/>
      <c r="AA296" s="60"/>
      <c r="AB296" s="236"/>
      <c r="AC296" s="60"/>
      <c r="AD296" s="60"/>
      <c r="AE296" s="236"/>
      <c r="AF296" s="236"/>
      <c r="AG296" s="60"/>
      <c r="AH296" s="60"/>
      <c r="AI296" s="236"/>
      <c r="AJ296" s="236"/>
    </row>
    <row r="297">
      <c r="A297" s="61"/>
      <c r="B297" s="60"/>
      <c r="C297" s="236"/>
      <c r="D297" s="236"/>
      <c r="E297" s="60"/>
      <c r="F297" s="60"/>
      <c r="G297" s="236"/>
      <c r="H297" s="60"/>
      <c r="I297" s="60"/>
      <c r="J297" s="236"/>
      <c r="K297" s="236"/>
      <c r="L297" s="60"/>
      <c r="M297" s="60"/>
      <c r="N297" s="236"/>
      <c r="O297" s="60"/>
      <c r="P297" s="60"/>
      <c r="Q297" s="236"/>
      <c r="R297" s="236"/>
      <c r="S297" s="60"/>
      <c r="T297" s="60"/>
      <c r="U297" s="236"/>
      <c r="V297" s="60"/>
      <c r="W297" s="60"/>
      <c r="X297" s="236"/>
      <c r="Y297" s="236"/>
      <c r="Z297" s="60"/>
      <c r="AA297" s="60"/>
      <c r="AB297" s="236"/>
      <c r="AC297" s="60"/>
      <c r="AD297" s="60"/>
      <c r="AE297" s="236"/>
      <c r="AF297" s="236"/>
      <c r="AG297" s="60"/>
      <c r="AH297" s="60"/>
      <c r="AI297" s="236"/>
      <c r="AJ297" s="236"/>
    </row>
    <row r="298">
      <c r="A298" s="61"/>
      <c r="B298" s="60"/>
      <c r="C298" s="236"/>
      <c r="D298" s="236"/>
      <c r="E298" s="60"/>
      <c r="F298" s="60"/>
      <c r="G298" s="236"/>
      <c r="H298" s="60"/>
      <c r="I298" s="60"/>
      <c r="J298" s="236"/>
      <c r="K298" s="236"/>
      <c r="L298" s="60"/>
      <c r="M298" s="60"/>
      <c r="N298" s="236"/>
      <c r="O298" s="60"/>
      <c r="P298" s="60"/>
      <c r="Q298" s="236"/>
      <c r="R298" s="236"/>
      <c r="S298" s="60"/>
      <c r="T298" s="60"/>
      <c r="U298" s="236"/>
      <c r="V298" s="60"/>
      <c r="W298" s="60"/>
      <c r="X298" s="236"/>
      <c r="Y298" s="236"/>
      <c r="Z298" s="60"/>
      <c r="AA298" s="60"/>
      <c r="AB298" s="236"/>
      <c r="AC298" s="60"/>
      <c r="AD298" s="60"/>
      <c r="AE298" s="236"/>
      <c r="AF298" s="236"/>
      <c r="AG298" s="60"/>
      <c r="AH298" s="60"/>
      <c r="AI298" s="236"/>
      <c r="AJ298" s="236"/>
    </row>
    <row r="299">
      <c r="A299" s="61"/>
      <c r="B299" s="60"/>
      <c r="C299" s="236"/>
      <c r="D299" s="236"/>
      <c r="E299" s="60"/>
      <c r="F299" s="60"/>
      <c r="G299" s="236"/>
      <c r="H299" s="60"/>
      <c r="I299" s="60"/>
      <c r="J299" s="236"/>
      <c r="K299" s="236"/>
      <c r="L299" s="60"/>
      <c r="M299" s="60"/>
      <c r="N299" s="236"/>
      <c r="O299" s="60"/>
      <c r="P299" s="60"/>
      <c r="Q299" s="236"/>
      <c r="R299" s="236"/>
      <c r="S299" s="60"/>
      <c r="T299" s="60"/>
      <c r="U299" s="236"/>
      <c r="V299" s="60"/>
      <c r="W299" s="60"/>
      <c r="X299" s="236"/>
      <c r="Y299" s="236"/>
      <c r="Z299" s="60"/>
      <c r="AA299" s="60"/>
      <c r="AB299" s="236"/>
      <c r="AC299" s="60"/>
      <c r="AD299" s="60"/>
      <c r="AE299" s="236"/>
      <c r="AF299" s="236"/>
      <c r="AG299" s="60"/>
      <c r="AH299" s="60"/>
      <c r="AI299" s="236"/>
      <c r="AJ299" s="236"/>
    </row>
    <row r="300">
      <c r="A300" s="61"/>
      <c r="B300" s="60"/>
      <c r="C300" s="236"/>
      <c r="D300" s="236"/>
      <c r="E300" s="60"/>
      <c r="F300" s="60"/>
      <c r="G300" s="236"/>
      <c r="H300" s="60"/>
      <c r="I300" s="60"/>
      <c r="J300" s="236"/>
      <c r="K300" s="236"/>
      <c r="L300" s="60"/>
      <c r="M300" s="60"/>
      <c r="N300" s="236"/>
      <c r="O300" s="60"/>
      <c r="P300" s="60"/>
      <c r="Q300" s="236"/>
      <c r="R300" s="236"/>
      <c r="S300" s="60"/>
      <c r="T300" s="60"/>
      <c r="U300" s="236"/>
      <c r="V300" s="60"/>
      <c r="W300" s="60"/>
      <c r="X300" s="236"/>
      <c r="Y300" s="236"/>
      <c r="Z300" s="60"/>
      <c r="AA300" s="60"/>
      <c r="AB300" s="236"/>
      <c r="AC300" s="60"/>
      <c r="AD300" s="60"/>
      <c r="AE300" s="236"/>
      <c r="AF300" s="236"/>
      <c r="AG300" s="60"/>
      <c r="AH300" s="60"/>
      <c r="AI300" s="236"/>
      <c r="AJ300" s="236"/>
    </row>
    <row r="301">
      <c r="A301" s="61"/>
      <c r="B301" s="60"/>
      <c r="C301" s="236"/>
      <c r="D301" s="236"/>
      <c r="E301" s="60"/>
      <c r="F301" s="60"/>
      <c r="G301" s="236"/>
      <c r="H301" s="60"/>
      <c r="I301" s="60"/>
      <c r="J301" s="236"/>
      <c r="K301" s="236"/>
      <c r="L301" s="60"/>
      <c r="M301" s="60"/>
      <c r="N301" s="236"/>
      <c r="O301" s="60"/>
      <c r="P301" s="60"/>
      <c r="Q301" s="236"/>
      <c r="R301" s="236"/>
      <c r="S301" s="60"/>
      <c r="T301" s="60"/>
      <c r="U301" s="236"/>
      <c r="V301" s="60"/>
      <c r="W301" s="60"/>
      <c r="X301" s="236"/>
      <c r="Y301" s="236"/>
      <c r="Z301" s="60"/>
      <c r="AA301" s="60"/>
      <c r="AB301" s="236"/>
      <c r="AC301" s="60"/>
      <c r="AD301" s="60"/>
      <c r="AE301" s="236"/>
      <c r="AF301" s="236"/>
      <c r="AG301" s="60"/>
      <c r="AH301" s="60"/>
      <c r="AI301" s="236"/>
      <c r="AJ301" s="236"/>
    </row>
    <row r="302">
      <c r="A302" s="61"/>
      <c r="B302" s="60"/>
      <c r="C302" s="236"/>
      <c r="D302" s="236"/>
      <c r="E302" s="60"/>
      <c r="F302" s="60"/>
      <c r="G302" s="236"/>
      <c r="H302" s="60"/>
      <c r="I302" s="60"/>
      <c r="J302" s="236"/>
      <c r="K302" s="236"/>
      <c r="L302" s="60"/>
      <c r="M302" s="60"/>
      <c r="N302" s="236"/>
      <c r="O302" s="60"/>
      <c r="P302" s="60"/>
      <c r="Q302" s="236"/>
      <c r="R302" s="236"/>
      <c r="S302" s="60"/>
      <c r="T302" s="60"/>
      <c r="U302" s="236"/>
      <c r="V302" s="60"/>
      <c r="W302" s="60"/>
      <c r="X302" s="236"/>
      <c r="Y302" s="236"/>
      <c r="Z302" s="60"/>
      <c r="AA302" s="60"/>
      <c r="AB302" s="236"/>
      <c r="AC302" s="60"/>
      <c r="AD302" s="60"/>
      <c r="AE302" s="236"/>
      <c r="AF302" s="236"/>
      <c r="AG302" s="60"/>
      <c r="AH302" s="60"/>
      <c r="AI302" s="236"/>
      <c r="AJ302" s="236"/>
    </row>
    <row r="303">
      <c r="A303" s="61"/>
      <c r="B303" s="60"/>
      <c r="C303" s="236"/>
      <c r="D303" s="236"/>
      <c r="E303" s="60"/>
      <c r="F303" s="60"/>
      <c r="G303" s="236"/>
      <c r="H303" s="60"/>
      <c r="I303" s="60"/>
      <c r="J303" s="236"/>
      <c r="K303" s="236"/>
      <c r="L303" s="60"/>
      <c r="M303" s="60"/>
      <c r="N303" s="236"/>
      <c r="O303" s="60"/>
      <c r="P303" s="60"/>
      <c r="Q303" s="236"/>
      <c r="R303" s="236"/>
      <c r="S303" s="60"/>
      <c r="T303" s="60"/>
      <c r="U303" s="236"/>
      <c r="V303" s="60"/>
      <c r="W303" s="60"/>
      <c r="X303" s="236"/>
      <c r="Y303" s="236"/>
      <c r="Z303" s="60"/>
      <c r="AA303" s="60"/>
      <c r="AB303" s="236"/>
      <c r="AC303" s="60"/>
      <c r="AD303" s="60"/>
      <c r="AE303" s="236"/>
      <c r="AF303" s="236"/>
      <c r="AG303" s="60"/>
      <c r="AH303" s="60"/>
      <c r="AI303" s="236"/>
      <c r="AJ303" s="236"/>
    </row>
    <row r="304">
      <c r="A304" s="61"/>
      <c r="B304" s="60"/>
      <c r="C304" s="236"/>
      <c r="D304" s="236"/>
      <c r="E304" s="60"/>
      <c r="F304" s="60"/>
      <c r="G304" s="236"/>
      <c r="H304" s="60"/>
      <c r="I304" s="60"/>
      <c r="J304" s="236"/>
      <c r="K304" s="236"/>
      <c r="L304" s="60"/>
      <c r="M304" s="60"/>
      <c r="N304" s="236"/>
      <c r="O304" s="60"/>
      <c r="P304" s="60"/>
      <c r="Q304" s="236"/>
      <c r="R304" s="236"/>
      <c r="S304" s="60"/>
      <c r="T304" s="60"/>
      <c r="U304" s="236"/>
      <c r="V304" s="60"/>
      <c r="W304" s="60"/>
      <c r="X304" s="236"/>
      <c r="Y304" s="236"/>
      <c r="Z304" s="60"/>
      <c r="AA304" s="60"/>
      <c r="AB304" s="236"/>
      <c r="AC304" s="60"/>
      <c r="AD304" s="60"/>
      <c r="AE304" s="236"/>
      <c r="AF304" s="236"/>
      <c r="AG304" s="60"/>
      <c r="AH304" s="60"/>
      <c r="AI304" s="236"/>
      <c r="AJ304" s="236"/>
    </row>
    <row r="305">
      <c r="A305" s="61"/>
      <c r="B305" s="60"/>
      <c r="C305" s="236"/>
      <c r="D305" s="236"/>
      <c r="E305" s="60"/>
      <c r="F305" s="60"/>
      <c r="G305" s="236"/>
      <c r="H305" s="60"/>
      <c r="I305" s="60"/>
      <c r="J305" s="236"/>
      <c r="K305" s="236"/>
      <c r="L305" s="60"/>
      <c r="M305" s="60"/>
      <c r="N305" s="236"/>
      <c r="O305" s="60"/>
      <c r="P305" s="60"/>
      <c r="Q305" s="236"/>
      <c r="R305" s="236"/>
      <c r="S305" s="60"/>
      <c r="T305" s="60"/>
      <c r="U305" s="236"/>
      <c r="V305" s="60"/>
      <c r="W305" s="60"/>
      <c r="X305" s="236"/>
      <c r="Y305" s="236"/>
      <c r="Z305" s="60"/>
      <c r="AA305" s="60"/>
      <c r="AB305" s="236"/>
      <c r="AC305" s="60"/>
      <c r="AD305" s="60"/>
      <c r="AE305" s="236"/>
      <c r="AF305" s="236"/>
      <c r="AG305" s="60"/>
      <c r="AH305" s="60"/>
      <c r="AI305" s="236"/>
      <c r="AJ305" s="236"/>
    </row>
    <row r="306">
      <c r="A306" s="61"/>
      <c r="B306" s="60"/>
      <c r="C306" s="236"/>
      <c r="D306" s="236"/>
      <c r="E306" s="60"/>
      <c r="F306" s="60"/>
      <c r="G306" s="236"/>
      <c r="H306" s="60"/>
      <c r="I306" s="60"/>
      <c r="J306" s="236"/>
      <c r="K306" s="236"/>
      <c r="L306" s="60"/>
      <c r="M306" s="60"/>
      <c r="N306" s="236"/>
      <c r="O306" s="60"/>
      <c r="P306" s="60"/>
      <c r="Q306" s="236"/>
      <c r="R306" s="236"/>
      <c r="S306" s="60"/>
      <c r="T306" s="60"/>
      <c r="U306" s="236"/>
      <c r="V306" s="60"/>
      <c r="W306" s="60"/>
      <c r="X306" s="236"/>
      <c r="Y306" s="236"/>
      <c r="Z306" s="60"/>
      <c r="AA306" s="60"/>
      <c r="AB306" s="236"/>
      <c r="AC306" s="60"/>
      <c r="AD306" s="60"/>
      <c r="AE306" s="236"/>
      <c r="AF306" s="236"/>
      <c r="AG306" s="60"/>
      <c r="AH306" s="60"/>
      <c r="AI306" s="236"/>
      <c r="AJ306" s="236"/>
    </row>
    <row r="307">
      <c r="A307" s="61"/>
      <c r="B307" s="60"/>
      <c r="C307" s="236"/>
      <c r="D307" s="236"/>
      <c r="E307" s="60"/>
      <c r="F307" s="60"/>
      <c r="G307" s="236"/>
      <c r="H307" s="60"/>
      <c r="I307" s="60"/>
      <c r="J307" s="236"/>
      <c r="K307" s="236"/>
      <c r="L307" s="60"/>
      <c r="M307" s="60"/>
      <c r="N307" s="236"/>
      <c r="O307" s="60"/>
      <c r="P307" s="60"/>
      <c r="Q307" s="236"/>
      <c r="R307" s="236"/>
      <c r="S307" s="60"/>
      <c r="T307" s="60"/>
      <c r="U307" s="236"/>
      <c r="V307" s="60"/>
      <c r="W307" s="60"/>
      <c r="X307" s="236"/>
      <c r="Y307" s="236"/>
      <c r="Z307" s="60"/>
      <c r="AA307" s="60"/>
      <c r="AB307" s="236"/>
      <c r="AC307" s="60"/>
      <c r="AD307" s="60"/>
      <c r="AE307" s="236"/>
      <c r="AF307" s="236"/>
      <c r="AG307" s="60"/>
      <c r="AH307" s="60"/>
      <c r="AI307" s="236"/>
      <c r="AJ307" s="236"/>
    </row>
    <row r="308">
      <c r="A308" s="61"/>
      <c r="B308" s="60"/>
      <c r="C308" s="236"/>
      <c r="D308" s="236"/>
      <c r="E308" s="60"/>
      <c r="F308" s="60"/>
      <c r="G308" s="236"/>
      <c r="H308" s="60"/>
      <c r="I308" s="60"/>
      <c r="J308" s="236"/>
      <c r="K308" s="236"/>
      <c r="L308" s="60"/>
      <c r="M308" s="60"/>
      <c r="N308" s="236"/>
      <c r="O308" s="60"/>
      <c r="P308" s="60"/>
      <c r="Q308" s="236"/>
      <c r="R308" s="236"/>
      <c r="S308" s="60"/>
      <c r="T308" s="60"/>
      <c r="U308" s="236"/>
      <c r="V308" s="60"/>
      <c r="W308" s="60"/>
      <c r="X308" s="236"/>
      <c r="Y308" s="236"/>
      <c r="Z308" s="60"/>
      <c r="AA308" s="60"/>
      <c r="AB308" s="236"/>
      <c r="AC308" s="60"/>
      <c r="AD308" s="60"/>
      <c r="AE308" s="236"/>
      <c r="AF308" s="236"/>
      <c r="AG308" s="60"/>
      <c r="AH308" s="60"/>
      <c r="AI308" s="236"/>
      <c r="AJ308" s="236"/>
    </row>
    <row r="309">
      <c r="A309" s="61"/>
      <c r="B309" s="60"/>
      <c r="C309" s="236"/>
      <c r="D309" s="236"/>
      <c r="E309" s="60"/>
      <c r="F309" s="60"/>
      <c r="G309" s="236"/>
      <c r="H309" s="60"/>
      <c r="I309" s="60"/>
      <c r="J309" s="236"/>
      <c r="K309" s="236"/>
      <c r="L309" s="60"/>
      <c r="M309" s="60"/>
      <c r="N309" s="236"/>
      <c r="O309" s="60"/>
      <c r="P309" s="60"/>
      <c r="Q309" s="236"/>
      <c r="R309" s="236"/>
      <c r="S309" s="60"/>
      <c r="T309" s="60"/>
      <c r="U309" s="236"/>
      <c r="V309" s="60"/>
      <c r="W309" s="60"/>
      <c r="X309" s="236"/>
      <c r="Y309" s="236"/>
      <c r="Z309" s="60"/>
      <c r="AA309" s="60"/>
      <c r="AB309" s="236"/>
      <c r="AC309" s="60"/>
      <c r="AD309" s="60"/>
      <c r="AE309" s="236"/>
      <c r="AF309" s="236"/>
      <c r="AG309" s="60"/>
      <c r="AH309" s="60"/>
      <c r="AI309" s="236"/>
      <c r="AJ309" s="236"/>
    </row>
    <row r="310">
      <c r="A310" s="61"/>
      <c r="B310" s="60"/>
      <c r="C310" s="236"/>
      <c r="D310" s="236"/>
      <c r="E310" s="60"/>
      <c r="F310" s="60"/>
      <c r="G310" s="236"/>
      <c r="H310" s="60"/>
      <c r="I310" s="60"/>
      <c r="J310" s="236"/>
      <c r="K310" s="236"/>
      <c r="L310" s="60"/>
      <c r="M310" s="60"/>
      <c r="N310" s="236"/>
      <c r="O310" s="60"/>
      <c r="P310" s="60"/>
      <c r="Q310" s="236"/>
      <c r="R310" s="236"/>
      <c r="S310" s="60"/>
      <c r="T310" s="60"/>
      <c r="U310" s="236"/>
      <c r="V310" s="60"/>
      <c r="W310" s="60"/>
      <c r="X310" s="236"/>
      <c r="Y310" s="236"/>
      <c r="Z310" s="60"/>
      <c r="AA310" s="60"/>
      <c r="AB310" s="236"/>
      <c r="AC310" s="60"/>
      <c r="AD310" s="60"/>
      <c r="AE310" s="236"/>
      <c r="AF310" s="236"/>
      <c r="AG310" s="60"/>
      <c r="AH310" s="60"/>
      <c r="AI310" s="236"/>
      <c r="AJ310" s="236"/>
    </row>
    <row r="311">
      <c r="A311" s="61"/>
      <c r="B311" s="60"/>
      <c r="C311" s="236"/>
      <c r="D311" s="236"/>
      <c r="E311" s="60"/>
      <c r="F311" s="60"/>
      <c r="G311" s="236"/>
      <c r="H311" s="60"/>
      <c r="I311" s="60"/>
      <c r="J311" s="236"/>
      <c r="K311" s="236"/>
      <c r="L311" s="60"/>
      <c r="M311" s="60"/>
      <c r="N311" s="236"/>
      <c r="O311" s="60"/>
      <c r="P311" s="60"/>
      <c r="Q311" s="236"/>
      <c r="R311" s="236"/>
      <c r="S311" s="60"/>
      <c r="T311" s="60"/>
      <c r="U311" s="236"/>
      <c r="V311" s="60"/>
      <c r="W311" s="60"/>
      <c r="X311" s="236"/>
      <c r="Y311" s="236"/>
      <c r="Z311" s="60"/>
      <c r="AA311" s="60"/>
      <c r="AB311" s="236"/>
      <c r="AC311" s="60"/>
      <c r="AD311" s="60"/>
      <c r="AE311" s="236"/>
      <c r="AF311" s="236"/>
      <c r="AG311" s="60"/>
      <c r="AH311" s="60"/>
      <c r="AI311" s="236"/>
      <c r="AJ311" s="236"/>
    </row>
    <row r="312">
      <c r="A312" s="61"/>
      <c r="B312" s="60"/>
      <c r="C312" s="236"/>
      <c r="D312" s="236"/>
      <c r="E312" s="60"/>
      <c r="F312" s="60"/>
      <c r="G312" s="236"/>
      <c r="H312" s="60"/>
      <c r="I312" s="60"/>
      <c r="J312" s="236"/>
      <c r="K312" s="236"/>
      <c r="L312" s="60"/>
      <c r="M312" s="60"/>
      <c r="N312" s="236"/>
      <c r="O312" s="60"/>
      <c r="P312" s="60"/>
      <c r="Q312" s="236"/>
      <c r="R312" s="236"/>
      <c r="S312" s="60"/>
      <c r="T312" s="60"/>
      <c r="U312" s="236"/>
      <c r="V312" s="60"/>
      <c r="W312" s="60"/>
      <c r="X312" s="236"/>
      <c r="Y312" s="236"/>
      <c r="Z312" s="60"/>
      <c r="AA312" s="60"/>
      <c r="AB312" s="236"/>
      <c r="AC312" s="60"/>
      <c r="AD312" s="60"/>
      <c r="AE312" s="236"/>
      <c r="AF312" s="236"/>
      <c r="AG312" s="60"/>
      <c r="AH312" s="60"/>
      <c r="AI312" s="236"/>
      <c r="AJ312" s="236"/>
    </row>
    <row r="313">
      <c r="A313" s="61"/>
      <c r="B313" s="60"/>
      <c r="C313" s="236"/>
      <c r="D313" s="236"/>
      <c r="E313" s="60"/>
      <c r="F313" s="60"/>
      <c r="G313" s="236"/>
      <c r="H313" s="60"/>
      <c r="I313" s="60"/>
      <c r="J313" s="236"/>
      <c r="K313" s="236"/>
      <c r="L313" s="60"/>
      <c r="M313" s="60"/>
      <c r="N313" s="236"/>
      <c r="O313" s="60"/>
      <c r="P313" s="60"/>
      <c r="Q313" s="236"/>
      <c r="R313" s="236"/>
      <c r="S313" s="60"/>
      <c r="T313" s="60"/>
      <c r="U313" s="236"/>
      <c r="V313" s="60"/>
      <c r="W313" s="60"/>
      <c r="X313" s="236"/>
      <c r="Y313" s="236"/>
      <c r="Z313" s="60"/>
      <c r="AA313" s="60"/>
      <c r="AB313" s="236"/>
      <c r="AC313" s="60"/>
      <c r="AD313" s="60"/>
      <c r="AE313" s="236"/>
      <c r="AF313" s="236"/>
      <c r="AG313" s="60"/>
      <c r="AH313" s="60"/>
      <c r="AI313" s="236"/>
      <c r="AJ313" s="236"/>
    </row>
    <row r="314">
      <c r="A314" s="61"/>
      <c r="B314" s="60"/>
      <c r="C314" s="236"/>
      <c r="D314" s="236"/>
      <c r="E314" s="60"/>
      <c r="F314" s="60"/>
      <c r="G314" s="236"/>
      <c r="H314" s="60"/>
      <c r="I314" s="60"/>
      <c r="J314" s="236"/>
      <c r="K314" s="236"/>
      <c r="L314" s="60"/>
      <c r="M314" s="60"/>
      <c r="N314" s="236"/>
      <c r="O314" s="60"/>
      <c r="P314" s="60"/>
      <c r="Q314" s="236"/>
      <c r="R314" s="236"/>
      <c r="S314" s="60"/>
      <c r="T314" s="60"/>
      <c r="U314" s="236"/>
      <c r="V314" s="60"/>
      <c r="W314" s="60"/>
      <c r="X314" s="236"/>
      <c r="Y314" s="236"/>
      <c r="Z314" s="60"/>
      <c r="AA314" s="60"/>
      <c r="AB314" s="236"/>
      <c r="AC314" s="60"/>
      <c r="AD314" s="60"/>
      <c r="AE314" s="236"/>
      <c r="AF314" s="236"/>
      <c r="AG314" s="60"/>
      <c r="AH314" s="60"/>
      <c r="AI314" s="236"/>
      <c r="AJ314" s="236"/>
    </row>
    <row r="315">
      <c r="A315" s="61"/>
      <c r="B315" s="60"/>
      <c r="C315" s="236"/>
      <c r="D315" s="236"/>
      <c r="E315" s="60"/>
      <c r="F315" s="60"/>
      <c r="G315" s="236"/>
      <c r="H315" s="60"/>
      <c r="I315" s="60"/>
      <c r="J315" s="236"/>
      <c r="K315" s="236"/>
      <c r="L315" s="60"/>
      <c r="M315" s="60"/>
      <c r="N315" s="236"/>
      <c r="O315" s="60"/>
      <c r="P315" s="60"/>
      <c r="Q315" s="236"/>
      <c r="R315" s="236"/>
      <c r="S315" s="60"/>
      <c r="T315" s="60"/>
      <c r="U315" s="236"/>
      <c r="V315" s="60"/>
      <c r="W315" s="60"/>
      <c r="X315" s="236"/>
      <c r="Y315" s="236"/>
      <c r="Z315" s="60"/>
      <c r="AA315" s="60"/>
      <c r="AB315" s="236"/>
      <c r="AC315" s="60"/>
      <c r="AD315" s="60"/>
      <c r="AE315" s="236"/>
      <c r="AF315" s="236"/>
      <c r="AG315" s="60"/>
      <c r="AH315" s="60"/>
      <c r="AI315" s="236"/>
      <c r="AJ315" s="236"/>
    </row>
    <row r="316">
      <c r="A316" s="61"/>
      <c r="B316" s="60"/>
      <c r="C316" s="236"/>
      <c r="D316" s="236"/>
      <c r="E316" s="60"/>
      <c r="F316" s="60"/>
      <c r="G316" s="236"/>
      <c r="H316" s="60"/>
      <c r="I316" s="60"/>
      <c r="J316" s="236"/>
      <c r="K316" s="236"/>
      <c r="L316" s="60"/>
      <c r="M316" s="60"/>
      <c r="N316" s="236"/>
      <c r="O316" s="60"/>
      <c r="P316" s="60"/>
      <c r="Q316" s="236"/>
      <c r="R316" s="236"/>
      <c r="S316" s="60"/>
      <c r="T316" s="60"/>
      <c r="U316" s="236"/>
      <c r="V316" s="60"/>
      <c r="W316" s="60"/>
      <c r="X316" s="236"/>
      <c r="Y316" s="236"/>
      <c r="Z316" s="60"/>
      <c r="AA316" s="60"/>
      <c r="AB316" s="236"/>
      <c r="AC316" s="60"/>
      <c r="AD316" s="60"/>
      <c r="AE316" s="236"/>
      <c r="AF316" s="236"/>
      <c r="AG316" s="60"/>
      <c r="AH316" s="60"/>
      <c r="AI316" s="236"/>
      <c r="AJ316" s="236"/>
    </row>
    <row r="317">
      <c r="A317" s="61"/>
      <c r="B317" s="60"/>
      <c r="C317" s="236"/>
      <c r="D317" s="236"/>
      <c r="E317" s="60"/>
      <c r="F317" s="60"/>
      <c r="G317" s="236"/>
      <c r="H317" s="60"/>
      <c r="I317" s="60"/>
      <c r="J317" s="236"/>
      <c r="K317" s="236"/>
      <c r="L317" s="60"/>
      <c r="M317" s="60"/>
      <c r="N317" s="236"/>
      <c r="O317" s="60"/>
      <c r="P317" s="60"/>
      <c r="Q317" s="236"/>
      <c r="R317" s="236"/>
      <c r="S317" s="60"/>
      <c r="T317" s="60"/>
      <c r="U317" s="236"/>
      <c r="V317" s="60"/>
      <c r="W317" s="60"/>
      <c r="X317" s="236"/>
      <c r="Y317" s="236"/>
      <c r="Z317" s="60"/>
      <c r="AA317" s="60"/>
      <c r="AB317" s="236"/>
      <c r="AC317" s="60"/>
      <c r="AD317" s="60"/>
      <c r="AE317" s="236"/>
      <c r="AF317" s="236"/>
      <c r="AG317" s="60"/>
      <c r="AH317" s="60"/>
      <c r="AI317" s="236"/>
      <c r="AJ317" s="236"/>
    </row>
    <row r="318">
      <c r="A318" s="61"/>
      <c r="B318" s="60"/>
      <c r="C318" s="236"/>
      <c r="D318" s="236"/>
      <c r="E318" s="60"/>
      <c r="F318" s="60"/>
      <c r="G318" s="236"/>
      <c r="H318" s="60"/>
      <c r="I318" s="60"/>
      <c r="J318" s="236"/>
      <c r="K318" s="236"/>
      <c r="L318" s="60"/>
      <c r="M318" s="60"/>
      <c r="N318" s="236"/>
      <c r="O318" s="60"/>
      <c r="P318" s="60"/>
      <c r="Q318" s="236"/>
      <c r="R318" s="236"/>
      <c r="S318" s="60"/>
      <c r="T318" s="60"/>
      <c r="U318" s="236"/>
      <c r="V318" s="60"/>
      <c r="W318" s="60"/>
      <c r="X318" s="236"/>
      <c r="Y318" s="236"/>
      <c r="Z318" s="60"/>
      <c r="AA318" s="60"/>
      <c r="AB318" s="236"/>
      <c r="AC318" s="60"/>
      <c r="AD318" s="60"/>
      <c r="AE318" s="236"/>
      <c r="AF318" s="236"/>
      <c r="AG318" s="60"/>
      <c r="AH318" s="60"/>
      <c r="AI318" s="236"/>
      <c r="AJ318" s="236"/>
    </row>
    <row r="319">
      <c r="A319" s="61"/>
      <c r="B319" s="60"/>
      <c r="C319" s="236"/>
      <c r="D319" s="236"/>
      <c r="E319" s="60"/>
      <c r="F319" s="60"/>
      <c r="G319" s="236"/>
      <c r="H319" s="60"/>
      <c r="I319" s="60"/>
      <c r="J319" s="236"/>
      <c r="K319" s="236"/>
      <c r="L319" s="60"/>
      <c r="M319" s="60"/>
      <c r="N319" s="236"/>
      <c r="O319" s="60"/>
      <c r="P319" s="60"/>
      <c r="Q319" s="236"/>
      <c r="R319" s="236"/>
      <c r="S319" s="60"/>
      <c r="T319" s="60"/>
      <c r="U319" s="236"/>
      <c r="V319" s="60"/>
      <c r="W319" s="60"/>
      <c r="X319" s="236"/>
      <c r="Y319" s="236"/>
      <c r="Z319" s="60"/>
      <c r="AA319" s="60"/>
      <c r="AB319" s="236"/>
      <c r="AC319" s="60"/>
      <c r="AD319" s="60"/>
      <c r="AE319" s="236"/>
      <c r="AF319" s="236"/>
      <c r="AG319" s="60"/>
      <c r="AH319" s="60"/>
      <c r="AI319" s="236"/>
      <c r="AJ319" s="236"/>
    </row>
    <row r="320">
      <c r="A320" s="61"/>
      <c r="B320" s="60"/>
      <c r="C320" s="236"/>
      <c r="D320" s="236"/>
      <c r="E320" s="60"/>
      <c r="F320" s="60"/>
      <c r="G320" s="236"/>
      <c r="H320" s="60"/>
      <c r="I320" s="60"/>
      <c r="J320" s="236"/>
      <c r="K320" s="236"/>
      <c r="L320" s="60"/>
      <c r="M320" s="60"/>
      <c r="N320" s="236"/>
      <c r="O320" s="60"/>
      <c r="P320" s="60"/>
      <c r="Q320" s="236"/>
      <c r="R320" s="236"/>
      <c r="S320" s="60"/>
      <c r="T320" s="60"/>
      <c r="U320" s="236"/>
      <c r="V320" s="60"/>
      <c r="W320" s="60"/>
      <c r="X320" s="236"/>
      <c r="Y320" s="236"/>
      <c r="Z320" s="60"/>
      <c r="AA320" s="60"/>
      <c r="AB320" s="236"/>
      <c r="AC320" s="60"/>
      <c r="AD320" s="60"/>
      <c r="AE320" s="236"/>
      <c r="AF320" s="236"/>
      <c r="AG320" s="60"/>
      <c r="AH320" s="60"/>
      <c r="AI320" s="236"/>
      <c r="AJ320" s="236"/>
    </row>
    <row r="321">
      <c r="A321" s="61"/>
      <c r="B321" s="60"/>
      <c r="C321" s="236"/>
      <c r="D321" s="236"/>
      <c r="E321" s="60"/>
      <c r="F321" s="60"/>
      <c r="G321" s="236"/>
      <c r="H321" s="60"/>
      <c r="I321" s="60"/>
      <c r="J321" s="236"/>
      <c r="K321" s="236"/>
      <c r="L321" s="60"/>
      <c r="M321" s="60"/>
      <c r="N321" s="236"/>
      <c r="O321" s="60"/>
      <c r="P321" s="60"/>
      <c r="Q321" s="236"/>
      <c r="R321" s="236"/>
      <c r="S321" s="60"/>
      <c r="T321" s="60"/>
      <c r="U321" s="236"/>
      <c r="V321" s="60"/>
      <c r="W321" s="60"/>
      <c r="X321" s="236"/>
      <c r="Y321" s="236"/>
      <c r="Z321" s="60"/>
      <c r="AA321" s="60"/>
      <c r="AB321" s="236"/>
      <c r="AC321" s="60"/>
      <c r="AD321" s="60"/>
      <c r="AE321" s="236"/>
      <c r="AF321" s="236"/>
      <c r="AG321" s="60"/>
      <c r="AH321" s="60"/>
      <c r="AI321" s="236"/>
      <c r="AJ321" s="236"/>
    </row>
    <row r="322">
      <c r="A322" s="61"/>
      <c r="B322" s="60"/>
      <c r="C322" s="236"/>
      <c r="D322" s="236"/>
      <c r="E322" s="60"/>
      <c r="F322" s="60"/>
      <c r="G322" s="236"/>
      <c r="H322" s="60"/>
      <c r="I322" s="60"/>
      <c r="J322" s="236"/>
      <c r="K322" s="236"/>
      <c r="L322" s="60"/>
      <c r="M322" s="60"/>
      <c r="N322" s="236"/>
      <c r="O322" s="60"/>
      <c r="P322" s="60"/>
      <c r="Q322" s="236"/>
      <c r="R322" s="236"/>
      <c r="S322" s="60"/>
      <c r="T322" s="60"/>
      <c r="U322" s="236"/>
      <c r="V322" s="60"/>
      <c r="W322" s="60"/>
      <c r="X322" s="236"/>
      <c r="Y322" s="236"/>
      <c r="Z322" s="60"/>
      <c r="AA322" s="60"/>
      <c r="AB322" s="236"/>
      <c r="AC322" s="60"/>
      <c r="AD322" s="60"/>
      <c r="AE322" s="236"/>
      <c r="AF322" s="236"/>
      <c r="AG322" s="60"/>
      <c r="AH322" s="60"/>
      <c r="AI322" s="236"/>
      <c r="AJ322" s="236"/>
    </row>
    <row r="323">
      <c r="A323" s="61"/>
      <c r="B323" s="60"/>
      <c r="C323" s="236"/>
      <c r="D323" s="236"/>
      <c r="E323" s="60"/>
      <c r="F323" s="60"/>
      <c r="G323" s="236"/>
      <c r="H323" s="60"/>
      <c r="I323" s="60"/>
      <c r="J323" s="236"/>
      <c r="K323" s="236"/>
      <c r="L323" s="60"/>
      <c r="M323" s="60"/>
      <c r="N323" s="236"/>
      <c r="O323" s="60"/>
      <c r="P323" s="60"/>
      <c r="Q323" s="236"/>
      <c r="R323" s="236"/>
      <c r="S323" s="60"/>
      <c r="T323" s="60"/>
      <c r="U323" s="236"/>
      <c r="V323" s="60"/>
      <c r="W323" s="60"/>
      <c r="X323" s="236"/>
      <c r="Y323" s="236"/>
      <c r="Z323" s="60"/>
      <c r="AA323" s="60"/>
      <c r="AB323" s="236"/>
      <c r="AC323" s="60"/>
      <c r="AD323" s="60"/>
      <c r="AE323" s="236"/>
      <c r="AF323" s="236"/>
      <c r="AG323" s="60"/>
      <c r="AH323" s="60"/>
      <c r="AI323" s="236"/>
      <c r="AJ323" s="236"/>
    </row>
    <row r="324">
      <c r="A324" s="61"/>
      <c r="B324" s="60"/>
      <c r="C324" s="236"/>
      <c r="D324" s="236"/>
      <c r="E324" s="60"/>
      <c r="F324" s="60"/>
      <c r="G324" s="236"/>
      <c r="H324" s="60"/>
      <c r="I324" s="60"/>
      <c r="J324" s="236"/>
      <c r="K324" s="236"/>
      <c r="L324" s="60"/>
      <c r="M324" s="60"/>
      <c r="N324" s="236"/>
      <c r="O324" s="60"/>
      <c r="P324" s="60"/>
      <c r="Q324" s="236"/>
      <c r="R324" s="236"/>
      <c r="S324" s="60"/>
      <c r="T324" s="60"/>
      <c r="U324" s="236"/>
      <c r="V324" s="60"/>
      <c r="W324" s="60"/>
      <c r="X324" s="236"/>
      <c r="Y324" s="236"/>
      <c r="Z324" s="60"/>
      <c r="AA324" s="60"/>
      <c r="AB324" s="236"/>
      <c r="AC324" s="60"/>
      <c r="AD324" s="60"/>
      <c r="AE324" s="236"/>
      <c r="AF324" s="236"/>
      <c r="AG324" s="60"/>
      <c r="AH324" s="60"/>
      <c r="AI324" s="236"/>
      <c r="AJ324" s="236"/>
    </row>
    <row r="325">
      <c r="A325" s="61"/>
      <c r="B325" s="60"/>
      <c r="C325" s="236"/>
      <c r="D325" s="236"/>
      <c r="E325" s="60"/>
      <c r="F325" s="60"/>
      <c r="G325" s="236"/>
      <c r="H325" s="60"/>
      <c r="I325" s="60"/>
      <c r="J325" s="236"/>
      <c r="K325" s="236"/>
      <c r="L325" s="60"/>
      <c r="M325" s="60"/>
      <c r="N325" s="236"/>
      <c r="O325" s="60"/>
      <c r="P325" s="60"/>
      <c r="Q325" s="236"/>
      <c r="R325" s="236"/>
      <c r="S325" s="60"/>
      <c r="T325" s="60"/>
      <c r="U325" s="236"/>
      <c r="V325" s="60"/>
      <c r="W325" s="60"/>
      <c r="X325" s="236"/>
      <c r="Y325" s="236"/>
      <c r="Z325" s="60"/>
      <c r="AA325" s="60"/>
      <c r="AB325" s="236"/>
      <c r="AC325" s="60"/>
      <c r="AD325" s="60"/>
      <c r="AE325" s="236"/>
      <c r="AF325" s="236"/>
      <c r="AG325" s="60"/>
      <c r="AH325" s="60"/>
      <c r="AI325" s="236"/>
      <c r="AJ325" s="236"/>
    </row>
    <row r="326">
      <c r="A326" s="61"/>
      <c r="B326" s="60"/>
      <c r="C326" s="236"/>
      <c r="D326" s="236"/>
      <c r="E326" s="60"/>
      <c r="F326" s="60"/>
      <c r="G326" s="236"/>
      <c r="H326" s="60"/>
      <c r="I326" s="60"/>
      <c r="J326" s="236"/>
      <c r="K326" s="236"/>
      <c r="L326" s="60"/>
      <c r="M326" s="60"/>
      <c r="N326" s="236"/>
      <c r="O326" s="60"/>
      <c r="P326" s="60"/>
      <c r="Q326" s="236"/>
      <c r="R326" s="236"/>
      <c r="S326" s="60"/>
      <c r="T326" s="60"/>
      <c r="U326" s="236"/>
      <c r="V326" s="60"/>
      <c r="W326" s="60"/>
      <c r="X326" s="236"/>
      <c r="Y326" s="236"/>
      <c r="Z326" s="60"/>
      <c r="AA326" s="60"/>
      <c r="AB326" s="236"/>
      <c r="AC326" s="60"/>
      <c r="AD326" s="60"/>
      <c r="AE326" s="236"/>
      <c r="AF326" s="236"/>
      <c r="AG326" s="60"/>
      <c r="AH326" s="60"/>
      <c r="AI326" s="236"/>
      <c r="AJ326" s="236"/>
    </row>
    <row r="327">
      <c r="A327" s="61"/>
      <c r="B327" s="60"/>
      <c r="C327" s="236"/>
      <c r="D327" s="236"/>
      <c r="E327" s="60"/>
      <c r="F327" s="60"/>
      <c r="G327" s="236"/>
      <c r="H327" s="60"/>
      <c r="I327" s="60"/>
      <c r="J327" s="236"/>
      <c r="K327" s="236"/>
      <c r="L327" s="60"/>
      <c r="M327" s="60"/>
      <c r="N327" s="236"/>
      <c r="O327" s="60"/>
      <c r="P327" s="60"/>
      <c r="Q327" s="236"/>
      <c r="R327" s="236"/>
      <c r="S327" s="60"/>
      <c r="T327" s="60"/>
      <c r="U327" s="236"/>
      <c r="V327" s="60"/>
      <c r="W327" s="60"/>
      <c r="X327" s="236"/>
      <c r="Y327" s="236"/>
      <c r="Z327" s="60"/>
      <c r="AA327" s="60"/>
      <c r="AB327" s="236"/>
      <c r="AC327" s="60"/>
      <c r="AD327" s="60"/>
      <c r="AE327" s="236"/>
      <c r="AF327" s="236"/>
      <c r="AG327" s="60"/>
      <c r="AH327" s="60"/>
      <c r="AI327" s="236"/>
      <c r="AJ327" s="236"/>
    </row>
    <row r="328">
      <c r="A328" s="61"/>
      <c r="B328" s="60"/>
      <c r="C328" s="236"/>
      <c r="D328" s="236"/>
      <c r="E328" s="60"/>
      <c r="F328" s="60"/>
      <c r="G328" s="236"/>
      <c r="H328" s="60"/>
      <c r="I328" s="60"/>
      <c r="J328" s="236"/>
      <c r="K328" s="236"/>
      <c r="L328" s="60"/>
      <c r="M328" s="60"/>
      <c r="N328" s="236"/>
      <c r="O328" s="60"/>
      <c r="P328" s="60"/>
      <c r="Q328" s="236"/>
      <c r="R328" s="236"/>
      <c r="S328" s="60"/>
      <c r="T328" s="60"/>
      <c r="U328" s="236"/>
      <c r="V328" s="60"/>
      <c r="W328" s="60"/>
      <c r="X328" s="236"/>
      <c r="Y328" s="236"/>
      <c r="Z328" s="60"/>
      <c r="AA328" s="60"/>
      <c r="AB328" s="236"/>
      <c r="AC328" s="60"/>
      <c r="AD328" s="60"/>
      <c r="AE328" s="236"/>
      <c r="AF328" s="236"/>
      <c r="AG328" s="60"/>
      <c r="AH328" s="60"/>
      <c r="AI328" s="236"/>
      <c r="AJ328" s="236"/>
    </row>
    <row r="329">
      <c r="A329" s="61"/>
      <c r="B329" s="60"/>
      <c r="C329" s="236"/>
      <c r="D329" s="236"/>
      <c r="E329" s="60"/>
      <c r="F329" s="60"/>
      <c r="G329" s="236"/>
      <c r="H329" s="60"/>
      <c r="I329" s="60"/>
      <c r="J329" s="236"/>
      <c r="K329" s="236"/>
      <c r="L329" s="60"/>
      <c r="M329" s="60"/>
      <c r="N329" s="236"/>
      <c r="O329" s="60"/>
      <c r="P329" s="60"/>
      <c r="Q329" s="236"/>
      <c r="R329" s="236"/>
      <c r="S329" s="60"/>
      <c r="T329" s="60"/>
      <c r="U329" s="236"/>
      <c r="V329" s="60"/>
      <c r="W329" s="60"/>
      <c r="X329" s="236"/>
      <c r="Y329" s="236"/>
      <c r="Z329" s="60"/>
      <c r="AA329" s="60"/>
      <c r="AB329" s="236"/>
      <c r="AC329" s="60"/>
      <c r="AD329" s="60"/>
      <c r="AE329" s="236"/>
      <c r="AF329" s="236"/>
      <c r="AG329" s="60"/>
      <c r="AH329" s="60"/>
      <c r="AI329" s="236"/>
      <c r="AJ329" s="236"/>
    </row>
    <row r="330">
      <c r="A330" s="61"/>
      <c r="B330" s="60"/>
      <c r="C330" s="236"/>
      <c r="D330" s="236"/>
      <c r="E330" s="60"/>
      <c r="F330" s="60"/>
      <c r="G330" s="236"/>
      <c r="H330" s="60"/>
      <c r="I330" s="60"/>
      <c r="J330" s="236"/>
      <c r="K330" s="236"/>
      <c r="L330" s="60"/>
      <c r="M330" s="60"/>
      <c r="N330" s="236"/>
      <c r="O330" s="60"/>
      <c r="P330" s="60"/>
      <c r="Q330" s="236"/>
      <c r="R330" s="236"/>
      <c r="S330" s="60"/>
      <c r="T330" s="60"/>
      <c r="U330" s="236"/>
      <c r="V330" s="60"/>
      <c r="W330" s="60"/>
      <c r="X330" s="236"/>
      <c r="Y330" s="236"/>
      <c r="Z330" s="60"/>
      <c r="AA330" s="60"/>
      <c r="AB330" s="236"/>
      <c r="AC330" s="60"/>
      <c r="AD330" s="60"/>
      <c r="AE330" s="236"/>
      <c r="AF330" s="236"/>
      <c r="AG330" s="60"/>
      <c r="AH330" s="60"/>
      <c r="AI330" s="236"/>
      <c r="AJ330" s="236"/>
    </row>
    <row r="331">
      <c r="A331" s="61"/>
      <c r="B331" s="60"/>
      <c r="C331" s="236"/>
      <c r="D331" s="236"/>
      <c r="E331" s="60"/>
      <c r="F331" s="60"/>
      <c r="G331" s="236"/>
      <c r="H331" s="60"/>
      <c r="I331" s="60"/>
      <c r="J331" s="236"/>
      <c r="K331" s="236"/>
      <c r="L331" s="60"/>
      <c r="M331" s="60"/>
      <c r="N331" s="236"/>
      <c r="O331" s="60"/>
      <c r="P331" s="60"/>
      <c r="Q331" s="236"/>
      <c r="R331" s="236"/>
      <c r="S331" s="60"/>
      <c r="T331" s="60"/>
      <c r="U331" s="236"/>
      <c r="V331" s="60"/>
      <c r="W331" s="60"/>
      <c r="X331" s="236"/>
      <c r="Y331" s="236"/>
      <c r="Z331" s="60"/>
      <c r="AA331" s="60"/>
      <c r="AB331" s="236"/>
      <c r="AC331" s="60"/>
      <c r="AD331" s="60"/>
      <c r="AE331" s="236"/>
      <c r="AF331" s="236"/>
      <c r="AG331" s="60"/>
      <c r="AH331" s="60"/>
      <c r="AI331" s="236"/>
      <c r="AJ331" s="236"/>
    </row>
    <row r="332">
      <c r="A332" s="61"/>
      <c r="B332" s="60"/>
      <c r="C332" s="236"/>
      <c r="D332" s="236"/>
      <c r="E332" s="60"/>
      <c r="F332" s="60"/>
      <c r="G332" s="236"/>
      <c r="H332" s="60"/>
      <c r="I332" s="60"/>
      <c r="J332" s="236"/>
      <c r="K332" s="236"/>
      <c r="L332" s="60"/>
      <c r="M332" s="60"/>
      <c r="N332" s="236"/>
      <c r="O332" s="60"/>
      <c r="P332" s="60"/>
      <c r="Q332" s="236"/>
      <c r="R332" s="236"/>
      <c r="S332" s="60"/>
      <c r="T332" s="60"/>
      <c r="U332" s="236"/>
      <c r="V332" s="60"/>
      <c r="W332" s="60"/>
      <c r="X332" s="236"/>
      <c r="Y332" s="236"/>
      <c r="Z332" s="60"/>
      <c r="AA332" s="60"/>
      <c r="AB332" s="236"/>
      <c r="AC332" s="60"/>
      <c r="AD332" s="60"/>
      <c r="AE332" s="236"/>
      <c r="AF332" s="236"/>
      <c r="AG332" s="60"/>
      <c r="AH332" s="60"/>
      <c r="AI332" s="236"/>
      <c r="AJ332" s="236"/>
    </row>
    <row r="333">
      <c r="A333" s="61"/>
      <c r="B333" s="60"/>
      <c r="C333" s="236"/>
      <c r="D333" s="236"/>
      <c r="E333" s="60"/>
      <c r="F333" s="60"/>
      <c r="G333" s="236"/>
      <c r="H333" s="60"/>
      <c r="I333" s="60"/>
      <c r="J333" s="236"/>
      <c r="K333" s="236"/>
      <c r="L333" s="60"/>
      <c r="M333" s="60"/>
      <c r="N333" s="236"/>
      <c r="O333" s="60"/>
      <c r="P333" s="60"/>
      <c r="Q333" s="236"/>
      <c r="R333" s="236"/>
      <c r="S333" s="60"/>
      <c r="T333" s="60"/>
      <c r="U333" s="236"/>
      <c r="V333" s="60"/>
      <c r="W333" s="60"/>
      <c r="X333" s="236"/>
      <c r="Y333" s="236"/>
      <c r="Z333" s="60"/>
      <c r="AA333" s="60"/>
      <c r="AB333" s="236"/>
      <c r="AC333" s="60"/>
      <c r="AD333" s="60"/>
      <c r="AE333" s="236"/>
      <c r="AF333" s="236"/>
      <c r="AG333" s="60"/>
      <c r="AH333" s="60"/>
      <c r="AI333" s="236"/>
      <c r="AJ333" s="236"/>
    </row>
    <row r="334">
      <c r="A334" s="61"/>
      <c r="B334" s="60"/>
      <c r="C334" s="236"/>
      <c r="D334" s="236"/>
      <c r="E334" s="60"/>
      <c r="F334" s="60"/>
      <c r="G334" s="236"/>
      <c r="H334" s="60"/>
      <c r="I334" s="60"/>
      <c r="J334" s="236"/>
      <c r="K334" s="236"/>
      <c r="L334" s="60"/>
      <c r="M334" s="60"/>
      <c r="N334" s="236"/>
      <c r="O334" s="60"/>
      <c r="P334" s="60"/>
      <c r="Q334" s="236"/>
      <c r="R334" s="236"/>
      <c r="S334" s="60"/>
      <c r="T334" s="60"/>
      <c r="U334" s="236"/>
      <c r="V334" s="60"/>
      <c r="W334" s="60"/>
      <c r="X334" s="236"/>
      <c r="Y334" s="236"/>
      <c r="Z334" s="60"/>
      <c r="AA334" s="60"/>
      <c r="AB334" s="236"/>
      <c r="AC334" s="60"/>
      <c r="AD334" s="60"/>
      <c r="AE334" s="236"/>
      <c r="AF334" s="236"/>
      <c r="AG334" s="60"/>
      <c r="AH334" s="60"/>
      <c r="AI334" s="236"/>
      <c r="AJ334" s="236"/>
    </row>
    <row r="335">
      <c r="A335" s="61"/>
      <c r="B335" s="60"/>
      <c r="C335" s="236"/>
      <c r="D335" s="236"/>
      <c r="E335" s="60"/>
      <c r="F335" s="60"/>
      <c r="G335" s="236"/>
      <c r="H335" s="60"/>
      <c r="I335" s="60"/>
      <c r="J335" s="236"/>
      <c r="K335" s="236"/>
      <c r="L335" s="60"/>
      <c r="M335" s="60"/>
      <c r="N335" s="236"/>
      <c r="O335" s="60"/>
      <c r="P335" s="60"/>
      <c r="Q335" s="236"/>
      <c r="R335" s="236"/>
      <c r="S335" s="60"/>
      <c r="T335" s="60"/>
      <c r="U335" s="236"/>
      <c r="V335" s="60"/>
      <c r="W335" s="60"/>
      <c r="X335" s="236"/>
      <c r="Y335" s="236"/>
      <c r="Z335" s="60"/>
      <c r="AA335" s="60"/>
      <c r="AB335" s="236"/>
      <c r="AC335" s="60"/>
      <c r="AD335" s="60"/>
      <c r="AE335" s="236"/>
      <c r="AF335" s="236"/>
      <c r="AG335" s="60"/>
      <c r="AH335" s="60"/>
      <c r="AI335" s="236"/>
      <c r="AJ335" s="236"/>
    </row>
    <row r="336">
      <c r="A336" s="61"/>
      <c r="B336" s="60"/>
      <c r="C336" s="236"/>
      <c r="D336" s="236"/>
      <c r="E336" s="60"/>
      <c r="F336" s="60"/>
      <c r="G336" s="236"/>
      <c r="H336" s="60"/>
      <c r="I336" s="60"/>
      <c r="J336" s="236"/>
      <c r="K336" s="236"/>
      <c r="L336" s="60"/>
      <c r="M336" s="60"/>
      <c r="N336" s="236"/>
      <c r="O336" s="60"/>
      <c r="P336" s="60"/>
      <c r="Q336" s="236"/>
      <c r="R336" s="236"/>
      <c r="S336" s="60"/>
      <c r="T336" s="60"/>
      <c r="U336" s="236"/>
      <c r="V336" s="60"/>
      <c r="W336" s="60"/>
      <c r="X336" s="236"/>
      <c r="Y336" s="236"/>
      <c r="Z336" s="60"/>
      <c r="AA336" s="60"/>
      <c r="AB336" s="236"/>
      <c r="AC336" s="60"/>
      <c r="AD336" s="60"/>
      <c r="AE336" s="236"/>
      <c r="AF336" s="236"/>
      <c r="AG336" s="60"/>
      <c r="AH336" s="60"/>
      <c r="AI336" s="236"/>
      <c r="AJ336" s="236"/>
    </row>
    <row r="337">
      <c r="A337" s="61"/>
      <c r="B337" s="60"/>
      <c r="C337" s="236"/>
      <c r="D337" s="236"/>
      <c r="E337" s="60"/>
      <c r="F337" s="60"/>
      <c r="G337" s="236"/>
      <c r="H337" s="60"/>
      <c r="I337" s="60"/>
      <c r="J337" s="236"/>
      <c r="K337" s="236"/>
      <c r="L337" s="60"/>
      <c r="M337" s="60"/>
      <c r="N337" s="236"/>
      <c r="O337" s="60"/>
      <c r="P337" s="60"/>
      <c r="Q337" s="236"/>
      <c r="R337" s="236"/>
      <c r="S337" s="60"/>
      <c r="T337" s="60"/>
      <c r="U337" s="236"/>
      <c r="V337" s="60"/>
      <c r="W337" s="60"/>
      <c r="X337" s="236"/>
      <c r="Y337" s="236"/>
      <c r="Z337" s="60"/>
      <c r="AA337" s="60"/>
      <c r="AB337" s="236"/>
      <c r="AC337" s="60"/>
      <c r="AD337" s="60"/>
      <c r="AE337" s="236"/>
      <c r="AF337" s="236"/>
      <c r="AG337" s="60"/>
      <c r="AH337" s="60"/>
      <c r="AI337" s="236"/>
      <c r="AJ337" s="236"/>
    </row>
    <row r="338">
      <c r="A338" s="61"/>
      <c r="B338" s="60"/>
      <c r="C338" s="236"/>
      <c r="D338" s="236"/>
      <c r="E338" s="60"/>
      <c r="F338" s="60"/>
      <c r="G338" s="236"/>
      <c r="H338" s="60"/>
      <c r="I338" s="60"/>
      <c r="J338" s="236"/>
      <c r="K338" s="236"/>
      <c r="L338" s="60"/>
      <c r="M338" s="60"/>
      <c r="N338" s="236"/>
      <c r="O338" s="60"/>
      <c r="P338" s="60"/>
      <c r="Q338" s="236"/>
      <c r="R338" s="236"/>
      <c r="S338" s="60"/>
      <c r="T338" s="60"/>
      <c r="U338" s="236"/>
      <c r="V338" s="60"/>
      <c r="W338" s="60"/>
      <c r="X338" s="236"/>
      <c r="Y338" s="236"/>
      <c r="Z338" s="60"/>
      <c r="AA338" s="60"/>
      <c r="AB338" s="236"/>
      <c r="AC338" s="60"/>
      <c r="AD338" s="60"/>
      <c r="AE338" s="236"/>
      <c r="AF338" s="236"/>
      <c r="AG338" s="60"/>
      <c r="AH338" s="60"/>
      <c r="AI338" s="236"/>
      <c r="AJ338" s="236"/>
    </row>
    <row r="339">
      <c r="A339" s="61"/>
      <c r="B339" s="60"/>
      <c r="C339" s="236"/>
      <c r="D339" s="236"/>
      <c r="E339" s="60"/>
      <c r="F339" s="60"/>
      <c r="G339" s="236"/>
      <c r="H339" s="60"/>
      <c r="I339" s="60"/>
      <c r="J339" s="236"/>
      <c r="K339" s="236"/>
      <c r="L339" s="60"/>
      <c r="M339" s="60"/>
      <c r="N339" s="236"/>
      <c r="O339" s="60"/>
      <c r="P339" s="60"/>
      <c r="Q339" s="236"/>
      <c r="R339" s="236"/>
      <c r="S339" s="60"/>
      <c r="T339" s="60"/>
      <c r="U339" s="236"/>
      <c r="V339" s="60"/>
      <c r="W339" s="60"/>
      <c r="X339" s="236"/>
      <c r="Y339" s="236"/>
      <c r="Z339" s="60"/>
      <c r="AA339" s="60"/>
      <c r="AB339" s="236"/>
      <c r="AC339" s="60"/>
      <c r="AD339" s="60"/>
      <c r="AE339" s="236"/>
      <c r="AF339" s="236"/>
      <c r="AG339" s="60"/>
      <c r="AH339" s="60"/>
      <c r="AI339" s="236"/>
      <c r="AJ339" s="236"/>
    </row>
    <row r="340">
      <c r="A340" s="61"/>
      <c r="B340" s="60"/>
      <c r="C340" s="236"/>
      <c r="D340" s="236"/>
      <c r="E340" s="60"/>
      <c r="F340" s="60"/>
      <c r="G340" s="236"/>
      <c r="H340" s="60"/>
      <c r="I340" s="60"/>
      <c r="J340" s="236"/>
      <c r="K340" s="236"/>
      <c r="L340" s="60"/>
      <c r="M340" s="60"/>
      <c r="N340" s="236"/>
      <c r="O340" s="60"/>
      <c r="P340" s="60"/>
      <c r="Q340" s="236"/>
      <c r="R340" s="236"/>
      <c r="S340" s="60"/>
      <c r="T340" s="60"/>
      <c r="U340" s="236"/>
      <c r="V340" s="60"/>
      <c r="W340" s="60"/>
      <c r="X340" s="236"/>
      <c r="Y340" s="236"/>
      <c r="Z340" s="60"/>
      <c r="AA340" s="60"/>
      <c r="AB340" s="236"/>
      <c r="AC340" s="60"/>
      <c r="AD340" s="60"/>
      <c r="AE340" s="236"/>
      <c r="AF340" s="236"/>
      <c r="AG340" s="60"/>
      <c r="AH340" s="60"/>
      <c r="AI340" s="236"/>
      <c r="AJ340" s="236"/>
    </row>
    <row r="341">
      <c r="A341" s="61"/>
      <c r="B341" s="60"/>
      <c r="C341" s="236"/>
      <c r="D341" s="236"/>
      <c r="E341" s="60"/>
      <c r="F341" s="60"/>
      <c r="G341" s="236"/>
      <c r="H341" s="60"/>
      <c r="I341" s="60"/>
      <c r="J341" s="236"/>
      <c r="K341" s="236"/>
      <c r="L341" s="60"/>
      <c r="M341" s="60"/>
      <c r="N341" s="236"/>
      <c r="O341" s="60"/>
      <c r="P341" s="60"/>
      <c r="Q341" s="236"/>
      <c r="R341" s="236"/>
      <c r="S341" s="60"/>
      <c r="T341" s="60"/>
      <c r="U341" s="236"/>
      <c r="V341" s="60"/>
      <c r="W341" s="60"/>
      <c r="X341" s="236"/>
      <c r="Y341" s="236"/>
      <c r="Z341" s="60"/>
      <c r="AA341" s="60"/>
      <c r="AB341" s="236"/>
      <c r="AC341" s="60"/>
      <c r="AD341" s="60"/>
      <c r="AE341" s="236"/>
      <c r="AF341" s="236"/>
      <c r="AG341" s="60"/>
      <c r="AH341" s="60"/>
      <c r="AI341" s="236"/>
      <c r="AJ341" s="236"/>
    </row>
    <row r="342">
      <c r="A342" s="61"/>
      <c r="B342" s="60"/>
      <c r="C342" s="236"/>
      <c r="D342" s="236"/>
      <c r="E342" s="60"/>
      <c r="F342" s="60"/>
      <c r="G342" s="236"/>
      <c r="H342" s="60"/>
      <c r="I342" s="60"/>
      <c r="J342" s="236"/>
      <c r="K342" s="236"/>
      <c r="L342" s="60"/>
      <c r="M342" s="60"/>
      <c r="N342" s="236"/>
      <c r="O342" s="60"/>
      <c r="P342" s="60"/>
      <c r="Q342" s="236"/>
      <c r="R342" s="236"/>
      <c r="S342" s="60"/>
      <c r="T342" s="60"/>
      <c r="U342" s="236"/>
      <c r="V342" s="60"/>
      <c r="W342" s="60"/>
      <c r="X342" s="236"/>
      <c r="Y342" s="236"/>
      <c r="Z342" s="60"/>
      <c r="AA342" s="60"/>
      <c r="AB342" s="236"/>
      <c r="AC342" s="60"/>
      <c r="AD342" s="60"/>
      <c r="AE342" s="236"/>
      <c r="AF342" s="236"/>
      <c r="AG342" s="60"/>
      <c r="AH342" s="60"/>
      <c r="AI342" s="236"/>
      <c r="AJ342" s="236"/>
    </row>
    <row r="343">
      <c r="A343" s="61"/>
      <c r="B343" s="60"/>
      <c r="C343" s="236"/>
      <c r="D343" s="236"/>
      <c r="E343" s="60"/>
      <c r="F343" s="60"/>
      <c r="G343" s="236"/>
      <c r="H343" s="60"/>
      <c r="I343" s="60"/>
      <c r="J343" s="236"/>
      <c r="K343" s="236"/>
      <c r="L343" s="60"/>
      <c r="M343" s="60"/>
      <c r="N343" s="236"/>
      <c r="O343" s="60"/>
      <c r="P343" s="60"/>
      <c r="Q343" s="236"/>
      <c r="R343" s="236"/>
      <c r="S343" s="60"/>
      <c r="T343" s="60"/>
      <c r="U343" s="236"/>
      <c r="V343" s="60"/>
      <c r="W343" s="60"/>
      <c r="X343" s="236"/>
      <c r="Y343" s="236"/>
      <c r="Z343" s="60"/>
      <c r="AA343" s="60"/>
      <c r="AB343" s="236"/>
      <c r="AC343" s="60"/>
      <c r="AD343" s="60"/>
      <c r="AE343" s="236"/>
      <c r="AF343" s="236"/>
      <c r="AG343" s="60"/>
      <c r="AH343" s="60"/>
      <c r="AI343" s="236"/>
      <c r="AJ343" s="236"/>
    </row>
    <row r="344">
      <c r="A344" s="61"/>
      <c r="B344" s="60"/>
      <c r="C344" s="236"/>
      <c r="D344" s="236"/>
      <c r="E344" s="60"/>
      <c r="F344" s="60"/>
      <c r="G344" s="236"/>
      <c r="H344" s="60"/>
      <c r="I344" s="60"/>
      <c r="J344" s="236"/>
      <c r="K344" s="236"/>
      <c r="L344" s="60"/>
      <c r="M344" s="60"/>
      <c r="N344" s="236"/>
      <c r="O344" s="60"/>
      <c r="P344" s="60"/>
      <c r="Q344" s="236"/>
      <c r="R344" s="236"/>
      <c r="S344" s="60"/>
      <c r="T344" s="60"/>
      <c r="U344" s="236"/>
      <c r="V344" s="60"/>
      <c r="W344" s="60"/>
      <c r="X344" s="236"/>
      <c r="Y344" s="236"/>
      <c r="Z344" s="60"/>
      <c r="AA344" s="60"/>
      <c r="AB344" s="236"/>
      <c r="AC344" s="60"/>
      <c r="AD344" s="60"/>
      <c r="AE344" s="236"/>
      <c r="AF344" s="236"/>
      <c r="AG344" s="60"/>
      <c r="AH344" s="60"/>
      <c r="AI344" s="236"/>
      <c r="AJ344" s="236"/>
    </row>
    <row r="345">
      <c r="A345" s="61"/>
      <c r="B345" s="60"/>
      <c r="C345" s="236"/>
      <c r="D345" s="236"/>
      <c r="E345" s="60"/>
      <c r="F345" s="60"/>
      <c r="G345" s="236"/>
      <c r="H345" s="60"/>
      <c r="I345" s="60"/>
      <c r="J345" s="236"/>
      <c r="K345" s="236"/>
      <c r="L345" s="60"/>
      <c r="M345" s="60"/>
      <c r="N345" s="236"/>
      <c r="O345" s="60"/>
      <c r="P345" s="60"/>
      <c r="Q345" s="236"/>
      <c r="R345" s="236"/>
      <c r="S345" s="60"/>
      <c r="T345" s="60"/>
      <c r="U345" s="236"/>
      <c r="V345" s="60"/>
      <c r="W345" s="60"/>
      <c r="X345" s="236"/>
      <c r="Y345" s="236"/>
      <c r="Z345" s="60"/>
      <c r="AA345" s="60"/>
      <c r="AB345" s="236"/>
      <c r="AC345" s="60"/>
      <c r="AD345" s="60"/>
      <c r="AE345" s="236"/>
      <c r="AF345" s="236"/>
      <c r="AG345" s="60"/>
      <c r="AH345" s="60"/>
      <c r="AI345" s="236"/>
      <c r="AJ345" s="236"/>
    </row>
    <row r="346">
      <c r="A346" s="61"/>
      <c r="B346" s="60"/>
      <c r="C346" s="236"/>
      <c r="D346" s="236"/>
      <c r="E346" s="60"/>
      <c r="F346" s="60"/>
      <c r="G346" s="236"/>
      <c r="H346" s="60"/>
      <c r="I346" s="60"/>
      <c r="J346" s="236"/>
      <c r="K346" s="236"/>
      <c r="L346" s="60"/>
      <c r="M346" s="60"/>
      <c r="N346" s="236"/>
      <c r="O346" s="60"/>
      <c r="P346" s="60"/>
      <c r="Q346" s="236"/>
      <c r="R346" s="236"/>
      <c r="S346" s="60"/>
      <c r="T346" s="60"/>
      <c r="U346" s="236"/>
      <c r="V346" s="60"/>
      <c r="W346" s="60"/>
      <c r="X346" s="236"/>
      <c r="Y346" s="236"/>
      <c r="Z346" s="60"/>
      <c r="AA346" s="60"/>
      <c r="AB346" s="236"/>
      <c r="AC346" s="60"/>
      <c r="AD346" s="60"/>
      <c r="AE346" s="236"/>
      <c r="AF346" s="236"/>
      <c r="AG346" s="60"/>
      <c r="AH346" s="60"/>
      <c r="AI346" s="236"/>
      <c r="AJ346" s="236"/>
    </row>
    <row r="347">
      <c r="A347" s="61"/>
      <c r="B347" s="60"/>
      <c r="C347" s="236"/>
      <c r="D347" s="236"/>
      <c r="E347" s="60"/>
      <c r="F347" s="60"/>
      <c r="G347" s="236"/>
      <c r="H347" s="60"/>
      <c r="I347" s="60"/>
      <c r="J347" s="236"/>
      <c r="K347" s="236"/>
      <c r="L347" s="60"/>
      <c r="M347" s="60"/>
      <c r="N347" s="236"/>
      <c r="O347" s="60"/>
      <c r="P347" s="60"/>
      <c r="Q347" s="236"/>
      <c r="R347" s="236"/>
      <c r="S347" s="60"/>
      <c r="T347" s="60"/>
      <c r="U347" s="236"/>
      <c r="V347" s="60"/>
      <c r="W347" s="60"/>
      <c r="X347" s="236"/>
      <c r="Y347" s="236"/>
      <c r="Z347" s="60"/>
      <c r="AA347" s="60"/>
      <c r="AB347" s="236"/>
      <c r="AC347" s="60"/>
      <c r="AD347" s="60"/>
      <c r="AE347" s="236"/>
      <c r="AF347" s="236"/>
      <c r="AG347" s="60"/>
      <c r="AH347" s="60"/>
      <c r="AI347" s="236"/>
      <c r="AJ347" s="236"/>
    </row>
    <row r="348">
      <c r="A348" s="61"/>
      <c r="B348" s="60"/>
      <c r="C348" s="236"/>
      <c r="D348" s="236"/>
      <c r="E348" s="60"/>
      <c r="F348" s="60"/>
      <c r="G348" s="236"/>
      <c r="H348" s="60"/>
      <c r="I348" s="60"/>
      <c r="J348" s="236"/>
      <c r="K348" s="236"/>
      <c r="L348" s="60"/>
      <c r="M348" s="60"/>
      <c r="N348" s="236"/>
      <c r="O348" s="60"/>
      <c r="P348" s="60"/>
      <c r="Q348" s="236"/>
      <c r="R348" s="236"/>
      <c r="S348" s="60"/>
      <c r="T348" s="60"/>
      <c r="U348" s="236"/>
      <c r="V348" s="60"/>
      <c r="W348" s="60"/>
      <c r="X348" s="236"/>
      <c r="Y348" s="236"/>
      <c r="Z348" s="60"/>
      <c r="AA348" s="60"/>
      <c r="AB348" s="236"/>
      <c r="AC348" s="60"/>
      <c r="AD348" s="60"/>
      <c r="AE348" s="236"/>
      <c r="AF348" s="236"/>
      <c r="AG348" s="60"/>
      <c r="AH348" s="60"/>
      <c r="AI348" s="236"/>
      <c r="AJ348" s="236"/>
    </row>
    <row r="349">
      <c r="A349" s="61"/>
      <c r="B349" s="60"/>
      <c r="C349" s="236"/>
      <c r="D349" s="236"/>
      <c r="E349" s="60"/>
      <c r="F349" s="60"/>
      <c r="G349" s="236"/>
      <c r="H349" s="60"/>
      <c r="I349" s="60"/>
      <c r="J349" s="236"/>
      <c r="K349" s="236"/>
      <c r="L349" s="60"/>
      <c r="M349" s="60"/>
      <c r="N349" s="236"/>
      <c r="O349" s="60"/>
      <c r="P349" s="60"/>
      <c r="Q349" s="236"/>
      <c r="R349" s="236"/>
      <c r="S349" s="60"/>
      <c r="T349" s="60"/>
      <c r="U349" s="236"/>
      <c r="V349" s="60"/>
      <c r="W349" s="60"/>
      <c r="X349" s="236"/>
      <c r="Y349" s="236"/>
      <c r="Z349" s="60"/>
      <c r="AA349" s="60"/>
      <c r="AB349" s="236"/>
      <c r="AC349" s="60"/>
      <c r="AD349" s="60"/>
      <c r="AE349" s="236"/>
      <c r="AF349" s="236"/>
      <c r="AG349" s="60"/>
      <c r="AH349" s="60"/>
      <c r="AI349" s="236"/>
      <c r="AJ349" s="236"/>
    </row>
    <row r="350">
      <c r="A350" s="61"/>
      <c r="B350" s="60"/>
      <c r="C350" s="236"/>
      <c r="D350" s="236"/>
      <c r="E350" s="60"/>
      <c r="F350" s="60"/>
      <c r="G350" s="236"/>
      <c r="H350" s="60"/>
      <c r="I350" s="60"/>
      <c r="J350" s="236"/>
      <c r="K350" s="236"/>
      <c r="L350" s="60"/>
      <c r="M350" s="60"/>
      <c r="N350" s="236"/>
      <c r="O350" s="60"/>
      <c r="P350" s="60"/>
      <c r="Q350" s="236"/>
      <c r="R350" s="236"/>
      <c r="S350" s="60"/>
      <c r="T350" s="60"/>
      <c r="U350" s="236"/>
      <c r="V350" s="60"/>
      <c r="W350" s="60"/>
      <c r="X350" s="236"/>
      <c r="Y350" s="236"/>
      <c r="Z350" s="60"/>
      <c r="AA350" s="60"/>
      <c r="AB350" s="236"/>
      <c r="AC350" s="60"/>
      <c r="AD350" s="60"/>
      <c r="AE350" s="236"/>
      <c r="AF350" s="236"/>
      <c r="AG350" s="60"/>
      <c r="AH350" s="60"/>
      <c r="AI350" s="236"/>
      <c r="AJ350" s="236"/>
    </row>
    <row r="351">
      <c r="A351" s="61"/>
      <c r="B351" s="60"/>
      <c r="C351" s="236"/>
      <c r="D351" s="236"/>
      <c r="E351" s="60"/>
      <c r="F351" s="60"/>
      <c r="G351" s="236"/>
      <c r="H351" s="60"/>
      <c r="I351" s="60"/>
      <c r="J351" s="236"/>
      <c r="K351" s="236"/>
      <c r="L351" s="60"/>
      <c r="M351" s="60"/>
      <c r="N351" s="236"/>
      <c r="O351" s="60"/>
      <c r="P351" s="60"/>
      <c r="Q351" s="236"/>
      <c r="R351" s="236"/>
      <c r="S351" s="60"/>
      <c r="T351" s="60"/>
      <c r="U351" s="236"/>
      <c r="V351" s="60"/>
      <c r="W351" s="60"/>
      <c r="X351" s="236"/>
      <c r="Y351" s="236"/>
      <c r="Z351" s="60"/>
      <c r="AA351" s="60"/>
      <c r="AB351" s="236"/>
      <c r="AC351" s="60"/>
      <c r="AD351" s="60"/>
      <c r="AE351" s="236"/>
      <c r="AF351" s="236"/>
      <c r="AG351" s="60"/>
      <c r="AH351" s="60"/>
      <c r="AI351" s="236"/>
      <c r="AJ351" s="236"/>
    </row>
    <row r="352">
      <c r="A352" s="61"/>
      <c r="B352" s="60"/>
      <c r="C352" s="236"/>
      <c r="D352" s="236"/>
      <c r="E352" s="60"/>
      <c r="F352" s="60"/>
      <c r="G352" s="236"/>
      <c r="H352" s="60"/>
      <c r="I352" s="60"/>
      <c r="J352" s="236"/>
      <c r="K352" s="236"/>
      <c r="L352" s="60"/>
      <c r="M352" s="60"/>
      <c r="N352" s="236"/>
      <c r="O352" s="60"/>
      <c r="P352" s="60"/>
      <c r="Q352" s="236"/>
      <c r="R352" s="236"/>
      <c r="S352" s="60"/>
      <c r="T352" s="60"/>
      <c r="U352" s="236"/>
      <c r="V352" s="60"/>
      <c r="W352" s="60"/>
      <c r="X352" s="236"/>
      <c r="Y352" s="236"/>
      <c r="Z352" s="60"/>
      <c r="AA352" s="60"/>
      <c r="AB352" s="236"/>
      <c r="AC352" s="60"/>
      <c r="AD352" s="60"/>
      <c r="AE352" s="236"/>
      <c r="AF352" s="236"/>
      <c r="AG352" s="60"/>
      <c r="AH352" s="60"/>
      <c r="AI352" s="236"/>
      <c r="AJ352" s="236"/>
    </row>
    <row r="353">
      <c r="A353" s="61"/>
      <c r="B353" s="60"/>
      <c r="C353" s="236"/>
      <c r="D353" s="236"/>
      <c r="E353" s="60"/>
      <c r="F353" s="60"/>
      <c r="G353" s="236"/>
      <c r="H353" s="60"/>
      <c r="I353" s="60"/>
      <c r="J353" s="236"/>
      <c r="K353" s="236"/>
      <c r="L353" s="60"/>
      <c r="M353" s="60"/>
      <c r="N353" s="236"/>
      <c r="O353" s="60"/>
      <c r="P353" s="60"/>
      <c r="Q353" s="236"/>
      <c r="R353" s="236"/>
      <c r="S353" s="60"/>
      <c r="T353" s="60"/>
      <c r="U353" s="236"/>
      <c r="V353" s="60"/>
      <c r="W353" s="60"/>
      <c r="X353" s="236"/>
      <c r="Y353" s="236"/>
      <c r="Z353" s="60"/>
      <c r="AA353" s="60"/>
      <c r="AB353" s="236"/>
      <c r="AC353" s="60"/>
      <c r="AD353" s="60"/>
      <c r="AE353" s="236"/>
      <c r="AF353" s="236"/>
      <c r="AG353" s="60"/>
      <c r="AH353" s="60"/>
      <c r="AI353" s="236"/>
      <c r="AJ353" s="236"/>
    </row>
    <row r="354">
      <c r="A354" s="61"/>
      <c r="B354" s="60"/>
      <c r="C354" s="236"/>
      <c r="D354" s="236"/>
      <c r="E354" s="60"/>
      <c r="F354" s="60"/>
      <c r="G354" s="236"/>
      <c r="H354" s="60"/>
      <c r="I354" s="60"/>
      <c r="J354" s="236"/>
      <c r="K354" s="236"/>
      <c r="L354" s="60"/>
      <c r="M354" s="60"/>
      <c r="N354" s="236"/>
      <c r="O354" s="60"/>
      <c r="P354" s="60"/>
      <c r="Q354" s="236"/>
      <c r="R354" s="236"/>
      <c r="S354" s="60"/>
      <c r="T354" s="60"/>
      <c r="U354" s="236"/>
      <c r="V354" s="60"/>
      <c r="W354" s="60"/>
      <c r="X354" s="236"/>
      <c r="Y354" s="236"/>
      <c r="Z354" s="60"/>
      <c r="AA354" s="60"/>
      <c r="AB354" s="236"/>
      <c r="AC354" s="60"/>
      <c r="AD354" s="60"/>
      <c r="AE354" s="236"/>
      <c r="AF354" s="236"/>
      <c r="AG354" s="60"/>
      <c r="AH354" s="60"/>
      <c r="AI354" s="236"/>
      <c r="AJ354" s="236"/>
    </row>
    <row r="355">
      <c r="A355" s="61"/>
      <c r="B355" s="60"/>
      <c r="C355" s="236"/>
      <c r="D355" s="236"/>
      <c r="E355" s="60"/>
      <c r="F355" s="60"/>
      <c r="G355" s="236"/>
      <c r="H355" s="60"/>
      <c r="I355" s="60"/>
      <c r="J355" s="236"/>
      <c r="K355" s="236"/>
      <c r="L355" s="60"/>
      <c r="M355" s="60"/>
      <c r="N355" s="236"/>
      <c r="O355" s="60"/>
      <c r="P355" s="60"/>
      <c r="Q355" s="236"/>
      <c r="R355" s="236"/>
      <c r="S355" s="60"/>
      <c r="T355" s="60"/>
      <c r="U355" s="236"/>
      <c r="V355" s="60"/>
      <c r="W355" s="60"/>
      <c r="X355" s="236"/>
      <c r="Y355" s="236"/>
      <c r="Z355" s="60"/>
      <c r="AA355" s="60"/>
      <c r="AB355" s="236"/>
      <c r="AC355" s="60"/>
      <c r="AD355" s="60"/>
      <c r="AE355" s="236"/>
      <c r="AF355" s="236"/>
      <c r="AG355" s="60"/>
      <c r="AH355" s="60"/>
      <c r="AI355" s="236"/>
      <c r="AJ355" s="236"/>
    </row>
    <row r="356">
      <c r="A356" s="61"/>
      <c r="B356" s="60"/>
      <c r="C356" s="236"/>
      <c r="D356" s="236"/>
      <c r="E356" s="60"/>
      <c r="F356" s="60"/>
      <c r="G356" s="236"/>
      <c r="H356" s="60"/>
      <c r="I356" s="60"/>
      <c r="J356" s="236"/>
      <c r="K356" s="236"/>
      <c r="L356" s="60"/>
      <c r="M356" s="60"/>
      <c r="N356" s="236"/>
      <c r="O356" s="60"/>
      <c r="P356" s="60"/>
      <c r="Q356" s="236"/>
      <c r="R356" s="236"/>
      <c r="S356" s="60"/>
      <c r="T356" s="60"/>
      <c r="U356" s="236"/>
      <c r="V356" s="60"/>
      <c r="W356" s="60"/>
      <c r="X356" s="236"/>
      <c r="Y356" s="236"/>
      <c r="Z356" s="60"/>
      <c r="AA356" s="60"/>
      <c r="AB356" s="236"/>
      <c r="AC356" s="60"/>
      <c r="AD356" s="60"/>
      <c r="AE356" s="236"/>
      <c r="AF356" s="236"/>
      <c r="AG356" s="60"/>
      <c r="AH356" s="60"/>
      <c r="AI356" s="236"/>
      <c r="AJ356" s="236"/>
    </row>
    <row r="357">
      <c r="A357" s="61"/>
      <c r="B357" s="60"/>
      <c r="C357" s="236"/>
      <c r="D357" s="236"/>
      <c r="E357" s="60"/>
      <c r="F357" s="60"/>
      <c r="G357" s="236"/>
      <c r="H357" s="60"/>
      <c r="I357" s="60"/>
      <c r="J357" s="236"/>
      <c r="K357" s="236"/>
      <c r="L357" s="60"/>
      <c r="M357" s="60"/>
      <c r="N357" s="236"/>
      <c r="O357" s="60"/>
      <c r="P357" s="60"/>
      <c r="Q357" s="236"/>
      <c r="R357" s="236"/>
      <c r="S357" s="60"/>
      <c r="T357" s="60"/>
      <c r="U357" s="236"/>
      <c r="V357" s="60"/>
      <c r="W357" s="60"/>
      <c r="X357" s="236"/>
      <c r="Y357" s="236"/>
      <c r="Z357" s="60"/>
      <c r="AA357" s="60"/>
      <c r="AB357" s="236"/>
      <c r="AC357" s="60"/>
      <c r="AD357" s="60"/>
      <c r="AE357" s="236"/>
      <c r="AF357" s="236"/>
      <c r="AG357" s="60"/>
      <c r="AH357" s="60"/>
      <c r="AI357" s="236"/>
      <c r="AJ357" s="236"/>
    </row>
    <row r="358">
      <c r="A358" s="61"/>
      <c r="B358" s="60"/>
      <c r="C358" s="236"/>
      <c r="D358" s="236"/>
      <c r="E358" s="60"/>
      <c r="F358" s="60"/>
      <c r="G358" s="236"/>
      <c r="H358" s="60"/>
      <c r="I358" s="60"/>
      <c r="J358" s="236"/>
      <c r="K358" s="236"/>
      <c r="L358" s="60"/>
      <c r="M358" s="60"/>
      <c r="N358" s="236"/>
      <c r="O358" s="60"/>
      <c r="P358" s="60"/>
      <c r="Q358" s="236"/>
      <c r="R358" s="236"/>
      <c r="S358" s="60"/>
      <c r="T358" s="60"/>
      <c r="U358" s="236"/>
      <c r="V358" s="60"/>
      <c r="W358" s="60"/>
      <c r="X358" s="236"/>
      <c r="Y358" s="236"/>
      <c r="Z358" s="60"/>
      <c r="AA358" s="60"/>
      <c r="AB358" s="236"/>
      <c r="AC358" s="60"/>
      <c r="AD358" s="60"/>
      <c r="AE358" s="236"/>
      <c r="AF358" s="236"/>
      <c r="AG358" s="60"/>
      <c r="AH358" s="60"/>
      <c r="AI358" s="236"/>
      <c r="AJ358" s="236"/>
    </row>
    <row r="359">
      <c r="A359" s="61"/>
      <c r="B359" s="60"/>
      <c r="C359" s="236"/>
      <c r="D359" s="236"/>
      <c r="E359" s="60"/>
      <c r="F359" s="60"/>
      <c r="G359" s="236"/>
      <c r="H359" s="60"/>
      <c r="I359" s="60"/>
      <c r="J359" s="236"/>
      <c r="K359" s="236"/>
      <c r="L359" s="60"/>
      <c r="M359" s="60"/>
      <c r="N359" s="236"/>
      <c r="O359" s="60"/>
      <c r="P359" s="60"/>
      <c r="Q359" s="236"/>
      <c r="R359" s="236"/>
      <c r="S359" s="60"/>
      <c r="T359" s="60"/>
      <c r="U359" s="236"/>
      <c r="V359" s="60"/>
      <c r="W359" s="60"/>
      <c r="X359" s="236"/>
      <c r="Y359" s="236"/>
      <c r="Z359" s="60"/>
      <c r="AA359" s="60"/>
      <c r="AB359" s="236"/>
      <c r="AC359" s="60"/>
      <c r="AD359" s="60"/>
      <c r="AE359" s="236"/>
      <c r="AF359" s="236"/>
      <c r="AG359" s="60"/>
      <c r="AH359" s="60"/>
      <c r="AI359" s="236"/>
      <c r="AJ359" s="236"/>
    </row>
    <row r="360">
      <c r="A360" s="61"/>
      <c r="B360" s="60"/>
      <c r="C360" s="236"/>
      <c r="D360" s="236"/>
      <c r="E360" s="60"/>
      <c r="F360" s="60"/>
      <c r="G360" s="236"/>
      <c r="H360" s="60"/>
      <c r="I360" s="60"/>
      <c r="J360" s="236"/>
      <c r="K360" s="236"/>
      <c r="L360" s="60"/>
      <c r="M360" s="60"/>
      <c r="N360" s="236"/>
      <c r="O360" s="60"/>
      <c r="P360" s="60"/>
      <c r="Q360" s="236"/>
      <c r="R360" s="236"/>
      <c r="S360" s="60"/>
      <c r="T360" s="60"/>
      <c r="U360" s="236"/>
      <c r="V360" s="60"/>
      <c r="W360" s="60"/>
      <c r="X360" s="236"/>
      <c r="Y360" s="236"/>
      <c r="Z360" s="60"/>
      <c r="AA360" s="60"/>
      <c r="AB360" s="236"/>
      <c r="AC360" s="60"/>
      <c r="AD360" s="60"/>
      <c r="AE360" s="236"/>
      <c r="AF360" s="236"/>
      <c r="AG360" s="60"/>
      <c r="AH360" s="60"/>
      <c r="AI360" s="236"/>
      <c r="AJ360" s="236"/>
    </row>
    <row r="361">
      <c r="A361" s="61"/>
      <c r="B361" s="60"/>
      <c r="C361" s="236"/>
      <c r="D361" s="236"/>
      <c r="E361" s="60"/>
      <c r="F361" s="60"/>
      <c r="G361" s="236"/>
      <c r="H361" s="60"/>
      <c r="I361" s="60"/>
      <c r="J361" s="236"/>
      <c r="K361" s="236"/>
      <c r="L361" s="60"/>
      <c r="M361" s="60"/>
      <c r="N361" s="236"/>
      <c r="O361" s="60"/>
      <c r="P361" s="60"/>
      <c r="Q361" s="236"/>
      <c r="R361" s="236"/>
      <c r="S361" s="60"/>
      <c r="T361" s="60"/>
      <c r="U361" s="236"/>
      <c r="V361" s="60"/>
      <c r="W361" s="60"/>
      <c r="X361" s="236"/>
      <c r="Y361" s="236"/>
      <c r="Z361" s="60"/>
      <c r="AA361" s="60"/>
      <c r="AB361" s="236"/>
      <c r="AC361" s="60"/>
      <c r="AD361" s="60"/>
      <c r="AE361" s="236"/>
      <c r="AF361" s="236"/>
      <c r="AG361" s="60"/>
      <c r="AH361" s="60"/>
      <c r="AI361" s="236"/>
      <c r="AJ361" s="236"/>
    </row>
    <row r="362">
      <c r="A362" s="61"/>
      <c r="B362" s="60"/>
      <c r="C362" s="236"/>
      <c r="D362" s="236"/>
      <c r="E362" s="60"/>
      <c r="F362" s="60"/>
      <c r="G362" s="236"/>
      <c r="H362" s="60"/>
      <c r="I362" s="60"/>
      <c r="J362" s="236"/>
      <c r="K362" s="236"/>
      <c r="L362" s="60"/>
      <c r="M362" s="60"/>
      <c r="N362" s="236"/>
      <c r="O362" s="60"/>
      <c r="P362" s="60"/>
      <c r="Q362" s="236"/>
      <c r="R362" s="236"/>
      <c r="S362" s="60"/>
      <c r="T362" s="60"/>
      <c r="U362" s="236"/>
      <c r="V362" s="60"/>
      <c r="W362" s="60"/>
      <c r="X362" s="236"/>
      <c r="Y362" s="236"/>
      <c r="Z362" s="60"/>
      <c r="AA362" s="60"/>
      <c r="AB362" s="236"/>
      <c r="AC362" s="60"/>
      <c r="AD362" s="60"/>
      <c r="AE362" s="236"/>
      <c r="AF362" s="236"/>
      <c r="AG362" s="60"/>
      <c r="AH362" s="60"/>
      <c r="AI362" s="236"/>
      <c r="AJ362" s="236"/>
    </row>
    <row r="363">
      <c r="A363" s="61"/>
      <c r="B363" s="60"/>
      <c r="C363" s="236"/>
      <c r="D363" s="236"/>
      <c r="E363" s="60"/>
      <c r="F363" s="60"/>
      <c r="G363" s="236"/>
      <c r="H363" s="60"/>
      <c r="I363" s="60"/>
      <c r="J363" s="236"/>
      <c r="K363" s="236"/>
      <c r="L363" s="60"/>
      <c r="M363" s="60"/>
      <c r="N363" s="236"/>
      <c r="O363" s="60"/>
      <c r="P363" s="60"/>
      <c r="Q363" s="236"/>
      <c r="R363" s="236"/>
      <c r="S363" s="60"/>
      <c r="T363" s="60"/>
      <c r="U363" s="236"/>
      <c r="V363" s="60"/>
      <c r="W363" s="60"/>
      <c r="X363" s="236"/>
      <c r="Y363" s="236"/>
      <c r="Z363" s="60"/>
      <c r="AA363" s="60"/>
      <c r="AB363" s="236"/>
      <c r="AC363" s="60"/>
      <c r="AD363" s="60"/>
      <c r="AE363" s="236"/>
      <c r="AF363" s="236"/>
      <c r="AG363" s="60"/>
      <c r="AH363" s="60"/>
      <c r="AI363" s="236"/>
      <c r="AJ363" s="236"/>
    </row>
    <row r="364">
      <c r="A364" s="61"/>
      <c r="B364" s="60"/>
      <c r="C364" s="236"/>
      <c r="D364" s="236"/>
      <c r="E364" s="60"/>
      <c r="F364" s="60"/>
      <c r="G364" s="236"/>
      <c r="H364" s="60"/>
      <c r="I364" s="60"/>
      <c r="J364" s="236"/>
      <c r="K364" s="236"/>
      <c r="L364" s="60"/>
      <c r="M364" s="60"/>
      <c r="N364" s="236"/>
      <c r="O364" s="60"/>
      <c r="P364" s="60"/>
      <c r="Q364" s="236"/>
      <c r="R364" s="236"/>
      <c r="S364" s="60"/>
      <c r="T364" s="60"/>
      <c r="U364" s="236"/>
      <c r="V364" s="60"/>
      <c r="W364" s="60"/>
      <c r="X364" s="236"/>
      <c r="Y364" s="236"/>
      <c r="Z364" s="60"/>
      <c r="AA364" s="60"/>
      <c r="AB364" s="236"/>
      <c r="AC364" s="60"/>
      <c r="AD364" s="60"/>
      <c r="AE364" s="236"/>
      <c r="AF364" s="236"/>
      <c r="AG364" s="60"/>
      <c r="AH364" s="60"/>
      <c r="AI364" s="236"/>
      <c r="AJ364" s="236"/>
    </row>
    <row r="365">
      <c r="A365" s="61"/>
      <c r="B365" s="60"/>
      <c r="C365" s="236"/>
      <c r="D365" s="236"/>
      <c r="E365" s="60"/>
      <c r="F365" s="60"/>
      <c r="G365" s="236"/>
      <c r="H365" s="60"/>
      <c r="I365" s="60"/>
      <c r="J365" s="236"/>
      <c r="K365" s="236"/>
      <c r="L365" s="60"/>
      <c r="M365" s="60"/>
      <c r="N365" s="236"/>
      <c r="O365" s="60"/>
      <c r="P365" s="60"/>
      <c r="Q365" s="236"/>
      <c r="R365" s="236"/>
      <c r="S365" s="60"/>
      <c r="T365" s="60"/>
      <c r="U365" s="236"/>
      <c r="V365" s="60"/>
      <c r="W365" s="60"/>
      <c r="X365" s="236"/>
      <c r="Y365" s="236"/>
      <c r="Z365" s="60"/>
      <c r="AA365" s="60"/>
      <c r="AB365" s="236"/>
      <c r="AC365" s="60"/>
      <c r="AD365" s="60"/>
      <c r="AE365" s="236"/>
      <c r="AF365" s="236"/>
      <c r="AG365" s="60"/>
      <c r="AH365" s="60"/>
      <c r="AI365" s="236"/>
      <c r="AJ365" s="236"/>
    </row>
    <row r="366">
      <c r="A366" s="61"/>
      <c r="B366" s="60"/>
      <c r="C366" s="236"/>
      <c r="D366" s="236"/>
      <c r="E366" s="60"/>
      <c r="F366" s="60"/>
      <c r="G366" s="236"/>
      <c r="H366" s="60"/>
      <c r="I366" s="60"/>
      <c r="J366" s="236"/>
      <c r="K366" s="236"/>
      <c r="L366" s="60"/>
      <c r="M366" s="60"/>
      <c r="N366" s="236"/>
      <c r="O366" s="60"/>
      <c r="P366" s="60"/>
      <c r="Q366" s="236"/>
      <c r="R366" s="236"/>
      <c r="S366" s="60"/>
      <c r="T366" s="60"/>
      <c r="U366" s="236"/>
      <c r="V366" s="60"/>
      <c r="W366" s="60"/>
      <c r="X366" s="236"/>
      <c r="Y366" s="236"/>
      <c r="Z366" s="60"/>
      <c r="AA366" s="60"/>
      <c r="AB366" s="236"/>
      <c r="AC366" s="60"/>
      <c r="AD366" s="60"/>
      <c r="AE366" s="236"/>
      <c r="AF366" s="236"/>
      <c r="AG366" s="60"/>
      <c r="AH366" s="60"/>
      <c r="AI366" s="236"/>
      <c r="AJ366" s="236"/>
    </row>
    <row r="367">
      <c r="A367" s="61"/>
      <c r="B367" s="60"/>
      <c r="C367" s="236"/>
      <c r="D367" s="236"/>
      <c r="E367" s="60"/>
      <c r="F367" s="60"/>
      <c r="G367" s="236"/>
      <c r="H367" s="60"/>
      <c r="I367" s="60"/>
      <c r="J367" s="236"/>
      <c r="K367" s="236"/>
      <c r="L367" s="60"/>
      <c r="M367" s="60"/>
      <c r="N367" s="236"/>
      <c r="O367" s="60"/>
      <c r="P367" s="60"/>
      <c r="Q367" s="236"/>
      <c r="R367" s="236"/>
      <c r="S367" s="60"/>
      <c r="T367" s="60"/>
      <c r="U367" s="236"/>
      <c r="V367" s="60"/>
      <c r="W367" s="60"/>
      <c r="X367" s="236"/>
      <c r="Y367" s="236"/>
      <c r="Z367" s="60"/>
      <c r="AA367" s="60"/>
      <c r="AB367" s="236"/>
      <c r="AC367" s="60"/>
      <c r="AD367" s="60"/>
      <c r="AE367" s="236"/>
      <c r="AF367" s="236"/>
      <c r="AG367" s="60"/>
      <c r="AH367" s="60"/>
      <c r="AI367" s="236"/>
      <c r="AJ367" s="236"/>
    </row>
    <row r="368">
      <c r="A368" s="61"/>
      <c r="B368" s="60"/>
      <c r="C368" s="236"/>
      <c r="D368" s="236"/>
      <c r="E368" s="60"/>
      <c r="F368" s="60"/>
      <c r="G368" s="236"/>
      <c r="H368" s="60"/>
      <c r="I368" s="60"/>
      <c r="J368" s="236"/>
      <c r="K368" s="236"/>
      <c r="L368" s="60"/>
      <c r="M368" s="60"/>
      <c r="N368" s="236"/>
      <c r="O368" s="60"/>
      <c r="P368" s="60"/>
      <c r="Q368" s="236"/>
      <c r="R368" s="236"/>
      <c r="S368" s="60"/>
      <c r="T368" s="60"/>
      <c r="U368" s="236"/>
      <c r="V368" s="60"/>
      <c r="W368" s="60"/>
      <c r="X368" s="236"/>
      <c r="Y368" s="236"/>
      <c r="Z368" s="60"/>
      <c r="AA368" s="60"/>
      <c r="AB368" s="236"/>
      <c r="AC368" s="60"/>
      <c r="AD368" s="60"/>
      <c r="AE368" s="236"/>
      <c r="AF368" s="236"/>
      <c r="AG368" s="60"/>
      <c r="AH368" s="60"/>
      <c r="AI368" s="236"/>
      <c r="AJ368" s="236"/>
    </row>
    <row r="369">
      <c r="A369" s="61"/>
      <c r="B369" s="60"/>
      <c r="C369" s="236"/>
      <c r="D369" s="236"/>
      <c r="E369" s="60"/>
      <c r="F369" s="60"/>
      <c r="G369" s="236"/>
      <c r="H369" s="60"/>
      <c r="I369" s="60"/>
      <c r="J369" s="236"/>
      <c r="K369" s="236"/>
      <c r="L369" s="60"/>
      <c r="M369" s="60"/>
      <c r="N369" s="236"/>
      <c r="O369" s="60"/>
      <c r="P369" s="60"/>
      <c r="Q369" s="236"/>
      <c r="R369" s="236"/>
      <c r="S369" s="60"/>
      <c r="T369" s="60"/>
      <c r="U369" s="236"/>
      <c r="V369" s="60"/>
      <c r="W369" s="60"/>
      <c r="X369" s="236"/>
      <c r="Y369" s="236"/>
      <c r="Z369" s="60"/>
      <c r="AA369" s="60"/>
      <c r="AB369" s="236"/>
      <c r="AC369" s="60"/>
      <c r="AD369" s="60"/>
      <c r="AE369" s="236"/>
      <c r="AF369" s="236"/>
      <c r="AG369" s="60"/>
      <c r="AH369" s="60"/>
      <c r="AI369" s="236"/>
      <c r="AJ369" s="236"/>
    </row>
    <row r="370">
      <c r="A370" s="61"/>
      <c r="B370" s="60"/>
      <c r="C370" s="236"/>
      <c r="D370" s="236"/>
      <c r="E370" s="60"/>
      <c r="F370" s="60"/>
      <c r="G370" s="236"/>
      <c r="H370" s="60"/>
      <c r="I370" s="60"/>
      <c r="J370" s="236"/>
      <c r="K370" s="236"/>
      <c r="L370" s="60"/>
      <c r="M370" s="60"/>
      <c r="N370" s="236"/>
      <c r="O370" s="60"/>
      <c r="P370" s="60"/>
      <c r="Q370" s="236"/>
      <c r="R370" s="236"/>
      <c r="S370" s="60"/>
      <c r="T370" s="60"/>
      <c r="U370" s="236"/>
      <c r="V370" s="60"/>
      <c r="W370" s="60"/>
      <c r="X370" s="236"/>
      <c r="Y370" s="236"/>
      <c r="Z370" s="60"/>
      <c r="AA370" s="60"/>
      <c r="AB370" s="236"/>
      <c r="AC370" s="60"/>
      <c r="AD370" s="60"/>
      <c r="AE370" s="236"/>
      <c r="AF370" s="236"/>
      <c r="AG370" s="60"/>
      <c r="AH370" s="60"/>
      <c r="AI370" s="236"/>
      <c r="AJ370" s="236"/>
    </row>
    <row r="371">
      <c r="A371" s="61"/>
      <c r="B371" s="60"/>
      <c r="C371" s="236"/>
      <c r="D371" s="236"/>
      <c r="E371" s="60"/>
      <c r="F371" s="60"/>
      <c r="G371" s="236"/>
      <c r="H371" s="60"/>
      <c r="I371" s="60"/>
      <c r="J371" s="236"/>
      <c r="K371" s="236"/>
      <c r="L371" s="60"/>
      <c r="M371" s="60"/>
      <c r="N371" s="236"/>
      <c r="O371" s="60"/>
      <c r="P371" s="60"/>
      <c r="Q371" s="236"/>
      <c r="R371" s="236"/>
      <c r="S371" s="60"/>
      <c r="T371" s="60"/>
      <c r="U371" s="236"/>
      <c r="V371" s="60"/>
      <c r="W371" s="60"/>
      <c r="X371" s="236"/>
      <c r="Y371" s="236"/>
      <c r="Z371" s="60"/>
      <c r="AA371" s="60"/>
      <c r="AB371" s="236"/>
      <c r="AC371" s="60"/>
      <c r="AD371" s="60"/>
      <c r="AE371" s="236"/>
      <c r="AF371" s="236"/>
      <c r="AG371" s="60"/>
      <c r="AH371" s="60"/>
      <c r="AI371" s="236"/>
      <c r="AJ371" s="236"/>
    </row>
    <row r="372">
      <c r="A372" s="61"/>
      <c r="B372" s="60"/>
      <c r="C372" s="236"/>
      <c r="D372" s="236"/>
      <c r="E372" s="60"/>
      <c r="F372" s="60"/>
      <c r="G372" s="236"/>
      <c r="H372" s="60"/>
      <c r="I372" s="60"/>
      <c r="J372" s="236"/>
      <c r="K372" s="236"/>
      <c r="L372" s="60"/>
      <c r="M372" s="60"/>
      <c r="N372" s="236"/>
      <c r="O372" s="60"/>
      <c r="P372" s="60"/>
      <c r="Q372" s="236"/>
      <c r="R372" s="236"/>
      <c r="S372" s="60"/>
      <c r="T372" s="60"/>
      <c r="U372" s="236"/>
      <c r="V372" s="60"/>
      <c r="W372" s="60"/>
      <c r="X372" s="236"/>
      <c r="Y372" s="236"/>
      <c r="Z372" s="60"/>
      <c r="AA372" s="60"/>
      <c r="AB372" s="236"/>
      <c r="AC372" s="60"/>
      <c r="AD372" s="60"/>
      <c r="AE372" s="236"/>
      <c r="AF372" s="236"/>
      <c r="AG372" s="60"/>
      <c r="AH372" s="60"/>
      <c r="AI372" s="236"/>
      <c r="AJ372" s="236"/>
    </row>
    <row r="373">
      <c r="A373" s="61"/>
      <c r="B373" s="60"/>
      <c r="C373" s="236"/>
      <c r="D373" s="236"/>
      <c r="E373" s="60"/>
      <c r="F373" s="60"/>
      <c r="G373" s="236"/>
      <c r="H373" s="60"/>
      <c r="I373" s="60"/>
      <c r="J373" s="236"/>
      <c r="K373" s="236"/>
      <c r="L373" s="60"/>
      <c r="M373" s="60"/>
      <c r="N373" s="236"/>
      <c r="O373" s="60"/>
      <c r="P373" s="60"/>
      <c r="Q373" s="236"/>
      <c r="R373" s="236"/>
      <c r="S373" s="60"/>
      <c r="T373" s="60"/>
      <c r="U373" s="236"/>
      <c r="V373" s="60"/>
      <c r="W373" s="60"/>
      <c r="X373" s="236"/>
      <c r="Y373" s="236"/>
      <c r="Z373" s="60"/>
      <c r="AA373" s="60"/>
      <c r="AB373" s="236"/>
      <c r="AC373" s="60"/>
      <c r="AD373" s="60"/>
      <c r="AE373" s="236"/>
      <c r="AF373" s="236"/>
      <c r="AG373" s="60"/>
      <c r="AH373" s="60"/>
      <c r="AI373" s="236"/>
      <c r="AJ373" s="236"/>
    </row>
    <row r="374">
      <c r="A374" s="61"/>
      <c r="B374" s="60"/>
      <c r="C374" s="236"/>
      <c r="D374" s="236"/>
      <c r="E374" s="60"/>
      <c r="F374" s="60"/>
      <c r="G374" s="236"/>
      <c r="H374" s="60"/>
      <c r="I374" s="60"/>
      <c r="J374" s="236"/>
      <c r="K374" s="236"/>
      <c r="L374" s="60"/>
      <c r="M374" s="60"/>
      <c r="N374" s="236"/>
      <c r="O374" s="60"/>
      <c r="P374" s="60"/>
      <c r="Q374" s="236"/>
      <c r="R374" s="236"/>
      <c r="S374" s="60"/>
      <c r="T374" s="60"/>
      <c r="U374" s="236"/>
      <c r="V374" s="60"/>
      <c r="W374" s="60"/>
      <c r="X374" s="236"/>
      <c r="Y374" s="236"/>
      <c r="Z374" s="60"/>
      <c r="AA374" s="60"/>
      <c r="AB374" s="236"/>
      <c r="AC374" s="60"/>
      <c r="AD374" s="60"/>
      <c r="AE374" s="236"/>
      <c r="AF374" s="236"/>
      <c r="AG374" s="60"/>
      <c r="AH374" s="60"/>
      <c r="AI374" s="236"/>
      <c r="AJ374" s="236"/>
    </row>
    <row r="375">
      <c r="A375" s="61"/>
      <c r="B375" s="60"/>
      <c r="C375" s="236"/>
      <c r="D375" s="236"/>
      <c r="E375" s="60"/>
      <c r="F375" s="60"/>
      <c r="G375" s="236"/>
      <c r="H375" s="60"/>
      <c r="I375" s="60"/>
      <c r="J375" s="236"/>
      <c r="K375" s="236"/>
      <c r="L375" s="60"/>
      <c r="M375" s="60"/>
      <c r="N375" s="236"/>
      <c r="O375" s="60"/>
      <c r="P375" s="60"/>
      <c r="Q375" s="236"/>
      <c r="R375" s="236"/>
      <c r="S375" s="60"/>
      <c r="T375" s="60"/>
      <c r="U375" s="236"/>
      <c r="V375" s="60"/>
      <c r="W375" s="60"/>
      <c r="X375" s="236"/>
      <c r="Y375" s="236"/>
      <c r="Z375" s="60"/>
      <c r="AA375" s="60"/>
      <c r="AB375" s="236"/>
      <c r="AC375" s="60"/>
      <c r="AD375" s="60"/>
      <c r="AE375" s="236"/>
      <c r="AF375" s="236"/>
      <c r="AG375" s="60"/>
      <c r="AH375" s="60"/>
      <c r="AI375" s="236"/>
      <c r="AJ375" s="236"/>
    </row>
    <row r="376">
      <c r="A376" s="61"/>
      <c r="B376" s="60"/>
      <c r="C376" s="236"/>
      <c r="D376" s="236"/>
      <c r="E376" s="60"/>
      <c r="F376" s="60"/>
      <c r="G376" s="236"/>
      <c r="H376" s="60"/>
      <c r="I376" s="60"/>
      <c r="J376" s="236"/>
      <c r="K376" s="236"/>
      <c r="L376" s="60"/>
      <c r="M376" s="60"/>
      <c r="N376" s="236"/>
      <c r="O376" s="60"/>
      <c r="P376" s="60"/>
      <c r="Q376" s="236"/>
      <c r="R376" s="236"/>
      <c r="S376" s="60"/>
      <c r="T376" s="60"/>
      <c r="U376" s="236"/>
      <c r="V376" s="60"/>
      <c r="W376" s="60"/>
      <c r="X376" s="236"/>
      <c r="Y376" s="236"/>
      <c r="Z376" s="60"/>
      <c r="AA376" s="60"/>
      <c r="AB376" s="236"/>
      <c r="AC376" s="60"/>
      <c r="AD376" s="60"/>
      <c r="AE376" s="236"/>
      <c r="AF376" s="236"/>
      <c r="AG376" s="60"/>
      <c r="AH376" s="60"/>
      <c r="AI376" s="236"/>
      <c r="AJ376" s="236"/>
    </row>
    <row r="377">
      <c r="A377" s="61"/>
      <c r="B377" s="60"/>
      <c r="C377" s="236"/>
      <c r="D377" s="236"/>
      <c r="E377" s="60"/>
      <c r="F377" s="60"/>
      <c r="G377" s="236"/>
      <c r="H377" s="60"/>
      <c r="I377" s="60"/>
      <c r="J377" s="236"/>
      <c r="K377" s="236"/>
      <c r="L377" s="60"/>
      <c r="M377" s="60"/>
      <c r="N377" s="236"/>
      <c r="O377" s="60"/>
      <c r="P377" s="60"/>
      <c r="Q377" s="236"/>
      <c r="R377" s="236"/>
      <c r="S377" s="60"/>
      <c r="T377" s="60"/>
      <c r="U377" s="236"/>
      <c r="V377" s="60"/>
      <c r="W377" s="60"/>
      <c r="X377" s="236"/>
      <c r="Y377" s="236"/>
      <c r="Z377" s="60"/>
      <c r="AA377" s="60"/>
      <c r="AB377" s="236"/>
      <c r="AC377" s="60"/>
      <c r="AD377" s="60"/>
      <c r="AE377" s="236"/>
      <c r="AF377" s="236"/>
      <c r="AG377" s="60"/>
      <c r="AH377" s="60"/>
      <c r="AI377" s="236"/>
      <c r="AJ377" s="236"/>
    </row>
    <row r="378">
      <c r="A378" s="61"/>
      <c r="B378" s="60"/>
      <c r="C378" s="236"/>
      <c r="D378" s="236"/>
      <c r="E378" s="60"/>
      <c r="F378" s="60"/>
      <c r="G378" s="236"/>
      <c r="H378" s="60"/>
      <c r="I378" s="60"/>
      <c r="J378" s="236"/>
      <c r="K378" s="236"/>
      <c r="L378" s="60"/>
      <c r="M378" s="60"/>
      <c r="N378" s="236"/>
      <c r="O378" s="60"/>
      <c r="P378" s="60"/>
      <c r="Q378" s="236"/>
      <c r="R378" s="236"/>
      <c r="S378" s="60"/>
      <c r="T378" s="60"/>
      <c r="U378" s="236"/>
      <c r="V378" s="60"/>
      <c r="W378" s="60"/>
      <c r="X378" s="236"/>
      <c r="Y378" s="236"/>
      <c r="Z378" s="60"/>
      <c r="AA378" s="60"/>
      <c r="AB378" s="236"/>
      <c r="AC378" s="60"/>
      <c r="AD378" s="60"/>
      <c r="AE378" s="236"/>
      <c r="AF378" s="236"/>
      <c r="AG378" s="60"/>
      <c r="AH378" s="60"/>
      <c r="AI378" s="236"/>
      <c r="AJ378" s="236"/>
    </row>
    <row r="379">
      <c r="A379" s="61"/>
      <c r="B379" s="60"/>
      <c r="C379" s="236"/>
      <c r="D379" s="236"/>
      <c r="E379" s="60"/>
      <c r="F379" s="60"/>
      <c r="G379" s="236"/>
      <c r="H379" s="60"/>
      <c r="I379" s="60"/>
      <c r="J379" s="236"/>
      <c r="K379" s="236"/>
      <c r="L379" s="60"/>
      <c r="M379" s="60"/>
      <c r="N379" s="236"/>
      <c r="O379" s="60"/>
      <c r="P379" s="60"/>
      <c r="Q379" s="236"/>
      <c r="R379" s="236"/>
      <c r="S379" s="60"/>
      <c r="T379" s="60"/>
      <c r="U379" s="236"/>
      <c r="V379" s="60"/>
      <c r="W379" s="60"/>
      <c r="X379" s="236"/>
      <c r="Y379" s="236"/>
      <c r="Z379" s="60"/>
      <c r="AA379" s="60"/>
      <c r="AB379" s="236"/>
      <c r="AC379" s="60"/>
      <c r="AD379" s="60"/>
      <c r="AE379" s="236"/>
      <c r="AF379" s="236"/>
      <c r="AG379" s="60"/>
      <c r="AH379" s="60"/>
      <c r="AI379" s="236"/>
      <c r="AJ379" s="236"/>
    </row>
    <row r="380">
      <c r="A380" s="61"/>
      <c r="B380" s="60"/>
      <c r="C380" s="236"/>
      <c r="D380" s="236"/>
      <c r="E380" s="60"/>
      <c r="F380" s="60"/>
      <c r="G380" s="236"/>
      <c r="H380" s="60"/>
      <c r="I380" s="60"/>
      <c r="J380" s="236"/>
      <c r="K380" s="236"/>
      <c r="L380" s="60"/>
      <c r="M380" s="60"/>
      <c r="N380" s="236"/>
      <c r="O380" s="60"/>
      <c r="P380" s="60"/>
      <c r="Q380" s="236"/>
      <c r="R380" s="236"/>
      <c r="S380" s="60"/>
      <c r="T380" s="60"/>
      <c r="U380" s="236"/>
      <c r="V380" s="60"/>
      <c r="W380" s="60"/>
      <c r="X380" s="236"/>
      <c r="Y380" s="236"/>
      <c r="Z380" s="60"/>
      <c r="AA380" s="60"/>
      <c r="AB380" s="236"/>
      <c r="AC380" s="60"/>
      <c r="AD380" s="60"/>
      <c r="AE380" s="236"/>
      <c r="AF380" s="236"/>
      <c r="AG380" s="60"/>
      <c r="AH380" s="60"/>
      <c r="AI380" s="236"/>
      <c r="AJ380" s="236"/>
    </row>
    <row r="381">
      <c r="A381" s="61"/>
      <c r="B381" s="60"/>
      <c r="C381" s="236"/>
      <c r="D381" s="236"/>
      <c r="E381" s="60"/>
      <c r="F381" s="60"/>
      <c r="G381" s="236"/>
      <c r="H381" s="60"/>
      <c r="I381" s="60"/>
      <c r="J381" s="236"/>
      <c r="K381" s="236"/>
      <c r="L381" s="60"/>
      <c r="M381" s="60"/>
      <c r="N381" s="236"/>
      <c r="O381" s="60"/>
      <c r="P381" s="60"/>
      <c r="Q381" s="236"/>
      <c r="R381" s="236"/>
      <c r="S381" s="60"/>
      <c r="T381" s="60"/>
      <c r="U381" s="236"/>
      <c r="V381" s="60"/>
      <c r="W381" s="60"/>
      <c r="X381" s="236"/>
      <c r="Y381" s="236"/>
      <c r="Z381" s="60"/>
      <c r="AA381" s="60"/>
      <c r="AB381" s="236"/>
      <c r="AC381" s="60"/>
      <c r="AD381" s="60"/>
      <c r="AE381" s="236"/>
      <c r="AF381" s="236"/>
      <c r="AG381" s="60"/>
      <c r="AH381" s="60"/>
      <c r="AI381" s="236"/>
      <c r="AJ381" s="236"/>
    </row>
    <row r="382">
      <c r="A382" s="61"/>
      <c r="B382" s="60"/>
      <c r="C382" s="236"/>
      <c r="D382" s="236"/>
      <c r="E382" s="60"/>
      <c r="F382" s="60"/>
      <c r="G382" s="236"/>
      <c r="H382" s="60"/>
      <c r="I382" s="60"/>
      <c r="J382" s="236"/>
      <c r="K382" s="236"/>
      <c r="L382" s="60"/>
      <c r="M382" s="60"/>
      <c r="N382" s="236"/>
      <c r="O382" s="60"/>
      <c r="P382" s="60"/>
      <c r="Q382" s="236"/>
      <c r="R382" s="236"/>
      <c r="S382" s="60"/>
      <c r="T382" s="60"/>
      <c r="U382" s="236"/>
      <c r="V382" s="60"/>
      <c r="W382" s="60"/>
      <c r="X382" s="236"/>
      <c r="Y382" s="236"/>
      <c r="Z382" s="60"/>
      <c r="AA382" s="60"/>
      <c r="AB382" s="236"/>
      <c r="AC382" s="60"/>
      <c r="AD382" s="60"/>
      <c r="AE382" s="236"/>
      <c r="AF382" s="236"/>
      <c r="AG382" s="60"/>
      <c r="AH382" s="60"/>
      <c r="AI382" s="236"/>
      <c r="AJ382" s="236"/>
    </row>
    <row r="383">
      <c r="A383" s="61"/>
      <c r="B383" s="60"/>
      <c r="C383" s="236"/>
      <c r="D383" s="236"/>
      <c r="E383" s="60"/>
      <c r="F383" s="60"/>
      <c r="G383" s="236"/>
      <c r="H383" s="60"/>
      <c r="I383" s="60"/>
      <c r="J383" s="236"/>
      <c r="K383" s="236"/>
      <c r="L383" s="60"/>
      <c r="M383" s="60"/>
      <c r="N383" s="236"/>
      <c r="O383" s="60"/>
      <c r="P383" s="60"/>
      <c r="Q383" s="236"/>
      <c r="R383" s="236"/>
      <c r="S383" s="60"/>
      <c r="T383" s="60"/>
      <c r="U383" s="236"/>
      <c r="V383" s="60"/>
      <c r="W383" s="60"/>
      <c r="X383" s="236"/>
      <c r="Y383" s="236"/>
      <c r="Z383" s="60"/>
      <c r="AA383" s="60"/>
      <c r="AB383" s="236"/>
      <c r="AC383" s="60"/>
      <c r="AD383" s="60"/>
      <c r="AE383" s="236"/>
      <c r="AF383" s="236"/>
      <c r="AG383" s="60"/>
      <c r="AH383" s="60"/>
      <c r="AI383" s="236"/>
      <c r="AJ383" s="236"/>
    </row>
    <row r="384">
      <c r="A384" s="61"/>
      <c r="B384" s="60"/>
      <c r="C384" s="236"/>
      <c r="D384" s="236"/>
      <c r="E384" s="60"/>
      <c r="F384" s="60"/>
      <c r="G384" s="236"/>
      <c r="H384" s="60"/>
      <c r="I384" s="60"/>
      <c r="J384" s="236"/>
      <c r="K384" s="236"/>
      <c r="L384" s="60"/>
      <c r="M384" s="60"/>
      <c r="N384" s="236"/>
      <c r="O384" s="60"/>
      <c r="P384" s="60"/>
      <c r="Q384" s="236"/>
      <c r="R384" s="236"/>
      <c r="S384" s="60"/>
      <c r="T384" s="60"/>
      <c r="U384" s="236"/>
      <c r="V384" s="60"/>
      <c r="W384" s="60"/>
      <c r="X384" s="236"/>
      <c r="Y384" s="236"/>
      <c r="Z384" s="60"/>
      <c r="AA384" s="60"/>
      <c r="AB384" s="236"/>
      <c r="AC384" s="60"/>
      <c r="AD384" s="60"/>
      <c r="AE384" s="236"/>
      <c r="AF384" s="236"/>
      <c r="AG384" s="60"/>
      <c r="AH384" s="60"/>
      <c r="AI384" s="236"/>
      <c r="AJ384" s="236"/>
    </row>
    <row r="385">
      <c r="A385" s="61"/>
      <c r="B385" s="60"/>
      <c r="C385" s="236"/>
      <c r="D385" s="236"/>
      <c r="E385" s="60"/>
      <c r="F385" s="60"/>
      <c r="G385" s="236"/>
      <c r="H385" s="60"/>
      <c r="I385" s="60"/>
      <c r="J385" s="236"/>
      <c r="K385" s="236"/>
      <c r="L385" s="60"/>
      <c r="M385" s="60"/>
      <c r="N385" s="236"/>
      <c r="O385" s="60"/>
      <c r="P385" s="60"/>
      <c r="Q385" s="236"/>
      <c r="R385" s="236"/>
      <c r="S385" s="60"/>
      <c r="T385" s="60"/>
      <c r="U385" s="236"/>
      <c r="V385" s="60"/>
      <c r="W385" s="60"/>
      <c r="X385" s="236"/>
      <c r="Y385" s="236"/>
      <c r="Z385" s="60"/>
      <c r="AA385" s="60"/>
      <c r="AB385" s="236"/>
      <c r="AC385" s="60"/>
      <c r="AD385" s="60"/>
      <c r="AE385" s="236"/>
      <c r="AF385" s="236"/>
      <c r="AG385" s="60"/>
      <c r="AH385" s="60"/>
      <c r="AI385" s="236"/>
      <c r="AJ385" s="236"/>
    </row>
    <row r="386">
      <c r="A386" s="61"/>
      <c r="B386" s="60"/>
      <c r="C386" s="236"/>
      <c r="D386" s="236"/>
      <c r="E386" s="60"/>
      <c r="F386" s="60"/>
      <c r="G386" s="236"/>
      <c r="H386" s="60"/>
      <c r="I386" s="60"/>
      <c r="J386" s="236"/>
      <c r="K386" s="236"/>
      <c r="L386" s="60"/>
      <c r="M386" s="60"/>
      <c r="N386" s="236"/>
      <c r="O386" s="60"/>
      <c r="P386" s="60"/>
      <c r="Q386" s="236"/>
      <c r="R386" s="236"/>
      <c r="S386" s="60"/>
      <c r="T386" s="60"/>
      <c r="U386" s="236"/>
      <c r="V386" s="60"/>
      <c r="W386" s="60"/>
      <c r="X386" s="236"/>
      <c r="Y386" s="236"/>
      <c r="Z386" s="60"/>
      <c r="AA386" s="60"/>
      <c r="AB386" s="236"/>
      <c r="AC386" s="60"/>
      <c r="AD386" s="60"/>
      <c r="AE386" s="236"/>
      <c r="AF386" s="236"/>
      <c r="AG386" s="60"/>
      <c r="AH386" s="60"/>
      <c r="AI386" s="236"/>
      <c r="AJ386" s="236"/>
    </row>
    <row r="387">
      <c r="A387" s="61"/>
      <c r="B387" s="60"/>
      <c r="C387" s="236"/>
      <c r="D387" s="236"/>
      <c r="E387" s="60"/>
      <c r="F387" s="60"/>
      <c r="G387" s="236"/>
      <c r="H387" s="60"/>
      <c r="I387" s="60"/>
      <c r="J387" s="236"/>
      <c r="K387" s="236"/>
      <c r="L387" s="60"/>
      <c r="M387" s="60"/>
      <c r="N387" s="236"/>
      <c r="O387" s="60"/>
      <c r="P387" s="60"/>
      <c r="Q387" s="236"/>
      <c r="R387" s="236"/>
      <c r="S387" s="60"/>
      <c r="T387" s="60"/>
      <c r="U387" s="236"/>
      <c r="V387" s="60"/>
      <c r="W387" s="60"/>
      <c r="X387" s="236"/>
      <c r="Y387" s="236"/>
      <c r="Z387" s="60"/>
      <c r="AA387" s="60"/>
      <c r="AB387" s="236"/>
      <c r="AC387" s="60"/>
      <c r="AD387" s="60"/>
      <c r="AE387" s="236"/>
      <c r="AF387" s="236"/>
      <c r="AG387" s="60"/>
      <c r="AH387" s="60"/>
      <c r="AI387" s="236"/>
      <c r="AJ387" s="236"/>
    </row>
    <row r="388">
      <c r="A388" s="61"/>
      <c r="B388" s="60"/>
      <c r="C388" s="236"/>
      <c r="D388" s="236"/>
      <c r="E388" s="60"/>
      <c r="F388" s="60"/>
      <c r="G388" s="236"/>
      <c r="H388" s="60"/>
      <c r="I388" s="60"/>
      <c r="J388" s="236"/>
      <c r="K388" s="236"/>
      <c r="L388" s="60"/>
      <c r="M388" s="60"/>
      <c r="N388" s="236"/>
      <c r="O388" s="60"/>
      <c r="P388" s="60"/>
      <c r="Q388" s="236"/>
      <c r="R388" s="236"/>
      <c r="S388" s="60"/>
      <c r="T388" s="60"/>
      <c r="U388" s="236"/>
      <c r="V388" s="60"/>
      <c r="W388" s="60"/>
      <c r="X388" s="236"/>
      <c r="Y388" s="236"/>
      <c r="Z388" s="60"/>
      <c r="AA388" s="60"/>
      <c r="AB388" s="236"/>
      <c r="AC388" s="60"/>
      <c r="AD388" s="60"/>
      <c r="AE388" s="236"/>
      <c r="AF388" s="236"/>
      <c r="AG388" s="60"/>
      <c r="AH388" s="60"/>
      <c r="AI388" s="236"/>
      <c r="AJ388" s="236"/>
    </row>
    <row r="389">
      <c r="A389" s="61"/>
      <c r="B389" s="60"/>
      <c r="C389" s="236"/>
      <c r="D389" s="236"/>
      <c r="E389" s="60"/>
      <c r="F389" s="60"/>
      <c r="G389" s="236"/>
      <c r="H389" s="60"/>
      <c r="I389" s="60"/>
      <c r="J389" s="236"/>
      <c r="K389" s="236"/>
      <c r="L389" s="60"/>
      <c r="M389" s="60"/>
      <c r="N389" s="236"/>
      <c r="O389" s="60"/>
      <c r="P389" s="60"/>
      <c r="Q389" s="236"/>
      <c r="R389" s="236"/>
      <c r="S389" s="60"/>
      <c r="T389" s="60"/>
      <c r="U389" s="236"/>
      <c r="V389" s="60"/>
      <c r="W389" s="60"/>
      <c r="X389" s="236"/>
      <c r="Y389" s="236"/>
      <c r="Z389" s="60"/>
      <c r="AA389" s="60"/>
      <c r="AB389" s="236"/>
      <c r="AC389" s="60"/>
      <c r="AD389" s="60"/>
      <c r="AE389" s="236"/>
      <c r="AF389" s="236"/>
      <c r="AG389" s="60"/>
      <c r="AH389" s="60"/>
      <c r="AI389" s="236"/>
      <c r="AJ389" s="236"/>
    </row>
    <row r="390">
      <c r="A390" s="61"/>
      <c r="B390" s="60"/>
      <c r="C390" s="236"/>
      <c r="D390" s="236"/>
      <c r="E390" s="60"/>
      <c r="F390" s="60"/>
      <c r="G390" s="236"/>
      <c r="H390" s="60"/>
      <c r="I390" s="60"/>
      <c r="J390" s="236"/>
      <c r="K390" s="236"/>
      <c r="L390" s="60"/>
      <c r="M390" s="60"/>
      <c r="N390" s="236"/>
      <c r="O390" s="60"/>
      <c r="P390" s="60"/>
      <c r="Q390" s="236"/>
      <c r="R390" s="236"/>
      <c r="S390" s="60"/>
      <c r="T390" s="60"/>
      <c r="U390" s="236"/>
      <c r="V390" s="60"/>
      <c r="W390" s="60"/>
      <c r="X390" s="236"/>
      <c r="Y390" s="236"/>
      <c r="Z390" s="60"/>
      <c r="AA390" s="60"/>
      <c r="AB390" s="236"/>
      <c r="AC390" s="60"/>
      <c r="AD390" s="60"/>
      <c r="AE390" s="236"/>
      <c r="AF390" s="236"/>
      <c r="AG390" s="60"/>
      <c r="AH390" s="60"/>
      <c r="AI390" s="236"/>
      <c r="AJ390" s="236"/>
    </row>
    <row r="391">
      <c r="A391" s="61"/>
      <c r="B391" s="60"/>
      <c r="C391" s="236"/>
      <c r="D391" s="236"/>
      <c r="E391" s="60"/>
      <c r="F391" s="60"/>
      <c r="G391" s="236"/>
      <c r="H391" s="60"/>
      <c r="I391" s="60"/>
      <c r="J391" s="236"/>
      <c r="K391" s="236"/>
      <c r="L391" s="60"/>
      <c r="M391" s="60"/>
      <c r="N391" s="236"/>
      <c r="O391" s="60"/>
      <c r="P391" s="60"/>
      <c r="Q391" s="236"/>
      <c r="R391" s="236"/>
      <c r="S391" s="60"/>
      <c r="T391" s="60"/>
      <c r="U391" s="236"/>
      <c r="V391" s="60"/>
      <c r="W391" s="60"/>
      <c r="X391" s="236"/>
      <c r="Y391" s="236"/>
      <c r="Z391" s="60"/>
      <c r="AA391" s="60"/>
      <c r="AB391" s="236"/>
      <c r="AC391" s="60"/>
      <c r="AD391" s="60"/>
      <c r="AE391" s="236"/>
      <c r="AF391" s="236"/>
      <c r="AG391" s="60"/>
      <c r="AH391" s="60"/>
      <c r="AI391" s="236"/>
      <c r="AJ391" s="236"/>
    </row>
    <row r="392">
      <c r="A392" s="61"/>
      <c r="B392" s="60"/>
      <c r="C392" s="236"/>
      <c r="D392" s="236"/>
      <c r="E392" s="60"/>
      <c r="F392" s="60"/>
      <c r="G392" s="236"/>
      <c r="H392" s="60"/>
      <c r="I392" s="60"/>
      <c r="J392" s="236"/>
      <c r="K392" s="236"/>
      <c r="L392" s="60"/>
      <c r="M392" s="60"/>
      <c r="N392" s="236"/>
      <c r="O392" s="60"/>
      <c r="P392" s="60"/>
      <c r="Q392" s="236"/>
      <c r="R392" s="236"/>
      <c r="S392" s="60"/>
      <c r="T392" s="60"/>
      <c r="U392" s="236"/>
      <c r="V392" s="60"/>
      <c r="W392" s="60"/>
      <c r="X392" s="236"/>
      <c r="Y392" s="236"/>
      <c r="Z392" s="60"/>
      <c r="AA392" s="60"/>
      <c r="AB392" s="236"/>
      <c r="AC392" s="60"/>
      <c r="AD392" s="60"/>
      <c r="AE392" s="236"/>
      <c r="AF392" s="236"/>
      <c r="AG392" s="60"/>
      <c r="AH392" s="60"/>
      <c r="AI392" s="236"/>
      <c r="AJ392" s="236"/>
    </row>
    <row r="393">
      <c r="A393" s="61"/>
      <c r="B393" s="60"/>
      <c r="C393" s="236"/>
      <c r="D393" s="236"/>
      <c r="E393" s="60"/>
      <c r="F393" s="60"/>
      <c r="G393" s="236"/>
      <c r="H393" s="60"/>
      <c r="I393" s="60"/>
      <c r="J393" s="236"/>
      <c r="K393" s="236"/>
      <c r="L393" s="60"/>
      <c r="M393" s="60"/>
      <c r="N393" s="236"/>
      <c r="O393" s="60"/>
      <c r="P393" s="60"/>
      <c r="Q393" s="236"/>
      <c r="R393" s="236"/>
      <c r="S393" s="60"/>
      <c r="T393" s="60"/>
      <c r="U393" s="236"/>
      <c r="V393" s="60"/>
      <c r="W393" s="60"/>
      <c r="X393" s="236"/>
      <c r="Y393" s="236"/>
      <c r="Z393" s="60"/>
      <c r="AA393" s="60"/>
      <c r="AB393" s="236"/>
      <c r="AC393" s="60"/>
      <c r="AD393" s="60"/>
      <c r="AE393" s="236"/>
      <c r="AF393" s="236"/>
      <c r="AG393" s="60"/>
      <c r="AH393" s="60"/>
      <c r="AI393" s="236"/>
      <c r="AJ393" s="236"/>
    </row>
    <row r="394">
      <c r="A394" s="61"/>
      <c r="B394" s="60"/>
      <c r="C394" s="236"/>
      <c r="D394" s="236"/>
      <c r="E394" s="60"/>
      <c r="F394" s="60"/>
      <c r="G394" s="236"/>
      <c r="H394" s="60"/>
      <c r="I394" s="60"/>
      <c r="J394" s="236"/>
      <c r="K394" s="236"/>
      <c r="L394" s="60"/>
      <c r="M394" s="60"/>
      <c r="N394" s="236"/>
      <c r="O394" s="60"/>
      <c r="P394" s="60"/>
      <c r="Q394" s="236"/>
      <c r="R394" s="236"/>
      <c r="S394" s="60"/>
      <c r="T394" s="60"/>
      <c r="U394" s="236"/>
      <c r="V394" s="60"/>
      <c r="W394" s="60"/>
      <c r="X394" s="236"/>
      <c r="Y394" s="236"/>
      <c r="Z394" s="60"/>
      <c r="AA394" s="60"/>
      <c r="AB394" s="236"/>
      <c r="AC394" s="60"/>
      <c r="AD394" s="60"/>
      <c r="AE394" s="236"/>
      <c r="AF394" s="236"/>
      <c r="AG394" s="60"/>
      <c r="AH394" s="60"/>
      <c r="AI394" s="236"/>
      <c r="AJ394" s="236"/>
    </row>
    <row r="395">
      <c r="A395" s="61"/>
      <c r="B395" s="60"/>
      <c r="C395" s="236"/>
      <c r="D395" s="236"/>
      <c r="E395" s="60"/>
      <c r="F395" s="60"/>
      <c r="G395" s="236"/>
      <c r="H395" s="60"/>
      <c r="I395" s="60"/>
      <c r="J395" s="236"/>
      <c r="K395" s="236"/>
      <c r="L395" s="60"/>
      <c r="M395" s="60"/>
      <c r="N395" s="236"/>
      <c r="O395" s="60"/>
      <c r="P395" s="60"/>
      <c r="Q395" s="236"/>
      <c r="R395" s="236"/>
      <c r="S395" s="60"/>
      <c r="T395" s="60"/>
      <c r="U395" s="236"/>
      <c r="V395" s="60"/>
      <c r="W395" s="60"/>
      <c r="X395" s="236"/>
      <c r="Y395" s="236"/>
      <c r="Z395" s="60"/>
      <c r="AA395" s="60"/>
      <c r="AB395" s="236"/>
      <c r="AC395" s="60"/>
      <c r="AD395" s="60"/>
      <c r="AE395" s="236"/>
      <c r="AF395" s="236"/>
      <c r="AG395" s="60"/>
      <c r="AH395" s="60"/>
      <c r="AI395" s="236"/>
      <c r="AJ395" s="236"/>
    </row>
    <row r="396">
      <c r="A396" s="61"/>
      <c r="B396" s="60"/>
      <c r="C396" s="236"/>
      <c r="D396" s="236"/>
      <c r="E396" s="60"/>
      <c r="F396" s="60"/>
      <c r="G396" s="236"/>
      <c r="H396" s="60"/>
      <c r="I396" s="60"/>
      <c r="J396" s="236"/>
      <c r="K396" s="236"/>
      <c r="L396" s="60"/>
      <c r="M396" s="60"/>
      <c r="N396" s="236"/>
      <c r="O396" s="60"/>
      <c r="P396" s="60"/>
      <c r="Q396" s="236"/>
      <c r="R396" s="236"/>
      <c r="S396" s="60"/>
      <c r="T396" s="60"/>
      <c r="U396" s="236"/>
      <c r="V396" s="60"/>
      <c r="W396" s="60"/>
      <c r="X396" s="236"/>
      <c r="Y396" s="236"/>
      <c r="Z396" s="60"/>
      <c r="AA396" s="60"/>
      <c r="AB396" s="236"/>
      <c r="AC396" s="60"/>
      <c r="AD396" s="60"/>
      <c r="AE396" s="236"/>
      <c r="AF396" s="236"/>
      <c r="AG396" s="60"/>
      <c r="AH396" s="60"/>
      <c r="AI396" s="236"/>
      <c r="AJ396" s="236"/>
    </row>
    <row r="397">
      <c r="A397" s="61"/>
      <c r="B397" s="60"/>
      <c r="C397" s="236"/>
      <c r="D397" s="236"/>
      <c r="E397" s="60"/>
      <c r="F397" s="60"/>
      <c r="G397" s="236"/>
      <c r="H397" s="60"/>
      <c r="I397" s="60"/>
      <c r="J397" s="236"/>
      <c r="K397" s="236"/>
      <c r="L397" s="60"/>
      <c r="M397" s="60"/>
      <c r="N397" s="236"/>
      <c r="O397" s="60"/>
      <c r="P397" s="60"/>
      <c r="Q397" s="236"/>
      <c r="R397" s="236"/>
      <c r="S397" s="60"/>
      <c r="T397" s="60"/>
      <c r="U397" s="236"/>
      <c r="V397" s="60"/>
      <c r="W397" s="60"/>
      <c r="X397" s="236"/>
      <c r="Y397" s="236"/>
      <c r="Z397" s="60"/>
      <c r="AA397" s="60"/>
      <c r="AB397" s="236"/>
      <c r="AC397" s="60"/>
      <c r="AD397" s="60"/>
      <c r="AE397" s="236"/>
      <c r="AF397" s="236"/>
      <c r="AG397" s="60"/>
      <c r="AH397" s="60"/>
      <c r="AI397" s="236"/>
      <c r="AJ397" s="236"/>
    </row>
    <row r="398">
      <c r="A398" s="61"/>
      <c r="B398" s="60"/>
      <c r="C398" s="236"/>
      <c r="D398" s="236"/>
      <c r="E398" s="60"/>
      <c r="F398" s="60"/>
      <c r="G398" s="236"/>
      <c r="H398" s="60"/>
      <c r="I398" s="60"/>
      <c r="J398" s="236"/>
      <c r="K398" s="236"/>
      <c r="L398" s="60"/>
      <c r="M398" s="60"/>
      <c r="N398" s="236"/>
      <c r="O398" s="60"/>
      <c r="P398" s="60"/>
      <c r="Q398" s="236"/>
      <c r="R398" s="236"/>
      <c r="S398" s="60"/>
      <c r="T398" s="60"/>
      <c r="U398" s="236"/>
      <c r="V398" s="60"/>
      <c r="W398" s="60"/>
      <c r="X398" s="236"/>
      <c r="Y398" s="236"/>
      <c r="Z398" s="60"/>
      <c r="AA398" s="60"/>
      <c r="AB398" s="236"/>
      <c r="AC398" s="60"/>
      <c r="AD398" s="60"/>
      <c r="AE398" s="236"/>
      <c r="AF398" s="236"/>
      <c r="AG398" s="60"/>
      <c r="AH398" s="60"/>
      <c r="AI398" s="236"/>
      <c r="AJ398" s="236"/>
    </row>
    <row r="399">
      <c r="A399" s="61"/>
      <c r="B399" s="60"/>
      <c r="C399" s="236"/>
      <c r="D399" s="236"/>
      <c r="E399" s="60"/>
      <c r="F399" s="60"/>
      <c r="G399" s="236"/>
      <c r="H399" s="60"/>
      <c r="I399" s="60"/>
      <c r="J399" s="236"/>
      <c r="K399" s="236"/>
      <c r="L399" s="60"/>
      <c r="M399" s="60"/>
      <c r="N399" s="236"/>
      <c r="O399" s="60"/>
      <c r="P399" s="60"/>
      <c r="Q399" s="236"/>
      <c r="R399" s="236"/>
      <c r="S399" s="60"/>
      <c r="T399" s="60"/>
      <c r="U399" s="236"/>
      <c r="V399" s="60"/>
      <c r="W399" s="60"/>
      <c r="X399" s="236"/>
      <c r="Y399" s="236"/>
      <c r="Z399" s="60"/>
      <c r="AA399" s="60"/>
      <c r="AB399" s="236"/>
      <c r="AC399" s="60"/>
      <c r="AD399" s="60"/>
      <c r="AE399" s="236"/>
      <c r="AF399" s="236"/>
      <c r="AG399" s="60"/>
      <c r="AH399" s="60"/>
      <c r="AI399" s="236"/>
      <c r="AJ399" s="236"/>
    </row>
    <row r="400">
      <c r="A400" s="61"/>
      <c r="B400" s="60"/>
      <c r="C400" s="236"/>
      <c r="D400" s="236"/>
      <c r="E400" s="60"/>
      <c r="F400" s="60"/>
      <c r="G400" s="236"/>
      <c r="H400" s="60"/>
      <c r="I400" s="60"/>
      <c r="J400" s="236"/>
      <c r="K400" s="236"/>
      <c r="L400" s="60"/>
      <c r="M400" s="60"/>
      <c r="N400" s="236"/>
      <c r="O400" s="60"/>
      <c r="P400" s="60"/>
      <c r="Q400" s="236"/>
      <c r="R400" s="236"/>
      <c r="S400" s="60"/>
      <c r="T400" s="60"/>
      <c r="U400" s="236"/>
      <c r="V400" s="60"/>
      <c r="W400" s="60"/>
      <c r="X400" s="236"/>
      <c r="Y400" s="236"/>
      <c r="Z400" s="60"/>
      <c r="AA400" s="60"/>
      <c r="AB400" s="236"/>
      <c r="AC400" s="60"/>
      <c r="AD400" s="60"/>
      <c r="AE400" s="236"/>
      <c r="AF400" s="236"/>
      <c r="AG400" s="60"/>
      <c r="AH400" s="60"/>
      <c r="AI400" s="236"/>
      <c r="AJ400" s="236"/>
    </row>
    <row r="401">
      <c r="A401" s="61"/>
      <c r="B401" s="60"/>
      <c r="C401" s="236"/>
      <c r="D401" s="236"/>
      <c r="E401" s="60"/>
      <c r="F401" s="60"/>
      <c r="G401" s="236"/>
      <c r="H401" s="60"/>
      <c r="I401" s="60"/>
      <c r="J401" s="236"/>
      <c r="K401" s="236"/>
      <c r="L401" s="60"/>
      <c r="M401" s="60"/>
      <c r="N401" s="236"/>
      <c r="O401" s="60"/>
      <c r="P401" s="60"/>
      <c r="Q401" s="236"/>
      <c r="R401" s="236"/>
      <c r="S401" s="60"/>
      <c r="T401" s="60"/>
      <c r="U401" s="236"/>
      <c r="V401" s="60"/>
      <c r="W401" s="60"/>
      <c r="X401" s="236"/>
      <c r="Y401" s="236"/>
      <c r="Z401" s="60"/>
      <c r="AA401" s="60"/>
      <c r="AB401" s="236"/>
      <c r="AC401" s="60"/>
      <c r="AD401" s="60"/>
      <c r="AE401" s="236"/>
      <c r="AF401" s="236"/>
      <c r="AG401" s="60"/>
      <c r="AH401" s="60"/>
      <c r="AI401" s="236"/>
      <c r="AJ401" s="236"/>
    </row>
    <row r="402">
      <c r="A402" s="61"/>
      <c r="B402" s="60"/>
      <c r="C402" s="236"/>
      <c r="D402" s="236"/>
      <c r="E402" s="60"/>
      <c r="F402" s="60"/>
      <c r="G402" s="236"/>
      <c r="H402" s="60"/>
      <c r="I402" s="60"/>
      <c r="J402" s="236"/>
      <c r="K402" s="236"/>
      <c r="L402" s="60"/>
      <c r="M402" s="60"/>
      <c r="N402" s="236"/>
      <c r="O402" s="60"/>
      <c r="P402" s="60"/>
      <c r="Q402" s="236"/>
      <c r="R402" s="236"/>
      <c r="S402" s="60"/>
      <c r="T402" s="60"/>
      <c r="U402" s="236"/>
      <c r="V402" s="60"/>
      <c r="W402" s="60"/>
      <c r="X402" s="236"/>
      <c r="Y402" s="236"/>
      <c r="Z402" s="60"/>
      <c r="AA402" s="60"/>
      <c r="AB402" s="236"/>
      <c r="AC402" s="60"/>
      <c r="AD402" s="60"/>
      <c r="AE402" s="236"/>
      <c r="AF402" s="236"/>
      <c r="AG402" s="60"/>
      <c r="AH402" s="60"/>
      <c r="AI402" s="236"/>
      <c r="AJ402" s="236"/>
    </row>
    <row r="403">
      <c r="A403" s="61"/>
      <c r="B403" s="60"/>
      <c r="C403" s="236"/>
      <c r="D403" s="236"/>
      <c r="E403" s="60"/>
      <c r="F403" s="60"/>
      <c r="G403" s="236"/>
      <c r="H403" s="60"/>
      <c r="I403" s="60"/>
      <c r="J403" s="236"/>
      <c r="K403" s="236"/>
      <c r="L403" s="60"/>
      <c r="M403" s="60"/>
      <c r="N403" s="236"/>
      <c r="O403" s="60"/>
      <c r="P403" s="60"/>
      <c r="Q403" s="236"/>
      <c r="R403" s="236"/>
      <c r="S403" s="60"/>
      <c r="T403" s="60"/>
      <c r="U403" s="236"/>
      <c r="V403" s="60"/>
      <c r="W403" s="60"/>
      <c r="X403" s="236"/>
      <c r="Y403" s="236"/>
      <c r="Z403" s="60"/>
      <c r="AA403" s="60"/>
      <c r="AB403" s="236"/>
      <c r="AC403" s="60"/>
      <c r="AD403" s="60"/>
      <c r="AE403" s="236"/>
      <c r="AF403" s="236"/>
      <c r="AG403" s="60"/>
      <c r="AH403" s="60"/>
      <c r="AI403" s="236"/>
      <c r="AJ403" s="236"/>
    </row>
    <row r="404">
      <c r="A404" s="61"/>
      <c r="B404" s="60"/>
      <c r="C404" s="236"/>
      <c r="D404" s="236"/>
      <c r="E404" s="60"/>
      <c r="F404" s="60"/>
      <c r="G404" s="236"/>
      <c r="H404" s="60"/>
      <c r="I404" s="60"/>
      <c r="J404" s="236"/>
      <c r="K404" s="236"/>
      <c r="L404" s="60"/>
      <c r="M404" s="60"/>
      <c r="N404" s="236"/>
      <c r="O404" s="60"/>
      <c r="P404" s="60"/>
      <c r="Q404" s="236"/>
      <c r="R404" s="236"/>
      <c r="S404" s="60"/>
      <c r="T404" s="60"/>
      <c r="U404" s="236"/>
      <c r="V404" s="60"/>
      <c r="W404" s="60"/>
      <c r="X404" s="236"/>
      <c r="Y404" s="236"/>
      <c r="Z404" s="60"/>
      <c r="AA404" s="60"/>
      <c r="AB404" s="236"/>
      <c r="AC404" s="60"/>
      <c r="AD404" s="60"/>
      <c r="AE404" s="236"/>
      <c r="AF404" s="236"/>
      <c r="AG404" s="60"/>
      <c r="AH404" s="60"/>
      <c r="AI404" s="236"/>
      <c r="AJ404" s="236"/>
    </row>
    <row r="405">
      <c r="A405" s="61"/>
      <c r="B405" s="60"/>
      <c r="C405" s="236"/>
      <c r="D405" s="236"/>
      <c r="E405" s="60"/>
      <c r="F405" s="60"/>
      <c r="G405" s="236"/>
      <c r="H405" s="60"/>
      <c r="I405" s="60"/>
      <c r="J405" s="236"/>
      <c r="K405" s="236"/>
      <c r="L405" s="60"/>
      <c r="M405" s="60"/>
      <c r="N405" s="236"/>
      <c r="O405" s="60"/>
      <c r="P405" s="60"/>
      <c r="Q405" s="236"/>
      <c r="R405" s="236"/>
      <c r="S405" s="60"/>
      <c r="T405" s="60"/>
      <c r="U405" s="236"/>
      <c r="V405" s="60"/>
      <c r="W405" s="60"/>
      <c r="X405" s="236"/>
      <c r="Y405" s="236"/>
      <c r="Z405" s="60"/>
      <c r="AA405" s="60"/>
      <c r="AB405" s="236"/>
      <c r="AC405" s="60"/>
      <c r="AD405" s="60"/>
      <c r="AE405" s="236"/>
      <c r="AF405" s="236"/>
      <c r="AG405" s="60"/>
      <c r="AH405" s="60"/>
      <c r="AI405" s="236"/>
      <c r="AJ405" s="236"/>
    </row>
    <row r="406">
      <c r="A406" s="61"/>
      <c r="B406" s="60"/>
      <c r="C406" s="236"/>
      <c r="D406" s="236"/>
      <c r="E406" s="60"/>
      <c r="F406" s="60"/>
      <c r="G406" s="236"/>
      <c r="H406" s="60"/>
      <c r="I406" s="60"/>
      <c r="J406" s="236"/>
      <c r="K406" s="236"/>
      <c r="L406" s="60"/>
      <c r="M406" s="60"/>
      <c r="N406" s="236"/>
      <c r="O406" s="60"/>
      <c r="P406" s="60"/>
      <c r="Q406" s="236"/>
      <c r="R406" s="236"/>
      <c r="S406" s="60"/>
      <c r="T406" s="60"/>
      <c r="U406" s="236"/>
      <c r="V406" s="60"/>
      <c r="W406" s="60"/>
      <c r="X406" s="236"/>
      <c r="Y406" s="236"/>
      <c r="Z406" s="60"/>
      <c r="AA406" s="60"/>
      <c r="AB406" s="236"/>
      <c r="AC406" s="60"/>
      <c r="AD406" s="60"/>
      <c r="AE406" s="236"/>
      <c r="AF406" s="236"/>
      <c r="AG406" s="60"/>
      <c r="AH406" s="60"/>
      <c r="AI406" s="236"/>
      <c r="AJ406" s="236"/>
    </row>
    <row r="407">
      <c r="A407" s="61"/>
      <c r="B407" s="60"/>
      <c r="C407" s="236"/>
      <c r="D407" s="236"/>
      <c r="E407" s="60"/>
      <c r="F407" s="60"/>
      <c r="G407" s="236"/>
      <c r="H407" s="60"/>
      <c r="I407" s="60"/>
      <c r="J407" s="236"/>
      <c r="K407" s="236"/>
      <c r="L407" s="60"/>
      <c r="M407" s="60"/>
      <c r="N407" s="236"/>
      <c r="O407" s="60"/>
      <c r="P407" s="60"/>
      <c r="Q407" s="236"/>
      <c r="R407" s="236"/>
      <c r="S407" s="60"/>
      <c r="T407" s="60"/>
      <c r="U407" s="236"/>
      <c r="V407" s="60"/>
      <c r="W407" s="60"/>
      <c r="X407" s="236"/>
      <c r="Y407" s="236"/>
      <c r="Z407" s="60"/>
      <c r="AA407" s="60"/>
      <c r="AB407" s="236"/>
      <c r="AC407" s="60"/>
      <c r="AD407" s="60"/>
      <c r="AE407" s="236"/>
      <c r="AF407" s="236"/>
      <c r="AG407" s="60"/>
      <c r="AH407" s="60"/>
      <c r="AI407" s="236"/>
      <c r="AJ407" s="236"/>
    </row>
    <row r="408">
      <c r="A408" s="61"/>
      <c r="B408" s="60"/>
      <c r="C408" s="236"/>
      <c r="D408" s="236"/>
      <c r="E408" s="60"/>
      <c r="F408" s="60"/>
      <c r="G408" s="236"/>
      <c r="H408" s="60"/>
      <c r="I408" s="60"/>
      <c r="J408" s="236"/>
      <c r="K408" s="236"/>
      <c r="L408" s="60"/>
      <c r="M408" s="60"/>
      <c r="N408" s="236"/>
      <c r="O408" s="60"/>
      <c r="P408" s="60"/>
      <c r="Q408" s="236"/>
      <c r="R408" s="236"/>
      <c r="S408" s="60"/>
      <c r="T408" s="60"/>
      <c r="U408" s="236"/>
      <c r="V408" s="60"/>
      <c r="W408" s="60"/>
      <c r="X408" s="236"/>
      <c r="Y408" s="236"/>
      <c r="Z408" s="60"/>
      <c r="AA408" s="60"/>
      <c r="AB408" s="236"/>
      <c r="AC408" s="60"/>
      <c r="AD408" s="60"/>
      <c r="AE408" s="236"/>
      <c r="AF408" s="236"/>
      <c r="AG408" s="60"/>
      <c r="AH408" s="60"/>
      <c r="AI408" s="236"/>
      <c r="AJ408" s="236"/>
    </row>
    <row r="409">
      <c r="A409" s="61"/>
      <c r="B409" s="60"/>
      <c r="C409" s="236"/>
      <c r="D409" s="236"/>
      <c r="E409" s="60"/>
      <c r="F409" s="60"/>
      <c r="G409" s="236"/>
      <c r="H409" s="60"/>
      <c r="I409" s="60"/>
      <c r="J409" s="236"/>
      <c r="K409" s="236"/>
      <c r="L409" s="60"/>
      <c r="M409" s="60"/>
      <c r="N409" s="236"/>
      <c r="O409" s="60"/>
      <c r="P409" s="60"/>
      <c r="Q409" s="236"/>
      <c r="R409" s="236"/>
      <c r="S409" s="60"/>
      <c r="T409" s="60"/>
      <c r="U409" s="236"/>
      <c r="V409" s="60"/>
      <c r="W409" s="60"/>
      <c r="X409" s="236"/>
      <c r="Y409" s="236"/>
      <c r="Z409" s="60"/>
      <c r="AA409" s="60"/>
      <c r="AB409" s="236"/>
      <c r="AC409" s="60"/>
      <c r="AD409" s="60"/>
      <c r="AE409" s="236"/>
      <c r="AF409" s="236"/>
      <c r="AG409" s="60"/>
      <c r="AH409" s="60"/>
      <c r="AI409" s="236"/>
      <c r="AJ409" s="236"/>
    </row>
    <row r="410">
      <c r="A410" s="61"/>
      <c r="B410" s="60"/>
      <c r="C410" s="236"/>
      <c r="D410" s="236"/>
      <c r="E410" s="60"/>
      <c r="F410" s="60"/>
      <c r="G410" s="236"/>
      <c r="H410" s="60"/>
      <c r="I410" s="60"/>
      <c r="J410" s="236"/>
      <c r="K410" s="236"/>
      <c r="L410" s="60"/>
      <c r="M410" s="60"/>
      <c r="N410" s="236"/>
      <c r="O410" s="60"/>
      <c r="P410" s="60"/>
      <c r="Q410" s="236"/>
      <c r="R410" s="236"/>
      <c r="S410" s="60"/>
      <c r="T410" s="60"/>
      <c r="U410" s="236"/>
      <c r="V410" s="60"/>
      <c r="W410" s="60"/>
      <c r="X410" s="236"/>
      <c r="Y410" s="236"/>
      <c r="Z410" s="60"/>
      <c r="AA410" s="60"/>
      <c r="AB410" s="236"/>
      <c r="AC410" s="60"/>
      <c r="AD410" s="60"/>
      <c r="AE410" s="236"/>
      <c r="AF410" s="236"/>
      <c r="AG410" s="60"/>
      <c r="AH410" s="60"/>
      <c r="AI410" s="236"/>
      <c r="AJ410" s="236"/>
    </row>
    <row r="411">
      <c r="A411" s="61"/>
      <c r="B411" s="60"/>
      <c r="C411" s="236"/>
      <c r="D411" s="236"/>
      <c r="E411" s="60"/>
      <c r="F411" s="60"/>
      <c r="G411" s="236"/>
      <c r="H411" s="60"/>
      <c r="I411" s="60"/>
      <c r="J411" s="236"/>
      <c r="K411" s="236"/>
      <c r="L411" s="60"/>
      <c r="M411" s="60"/>
      <c r="N411" s="236"/>
      <c r="O411" s="60"/>
      <c r="P411" s="60"/>
      <c r="Q411" s="236"/>
      <c r="R411" s="236"/>
      <c r="S411" s="60"/>
      <c r="T411" s="60"/>
      <c r="U411" s="236"/>
      <c r="V411" s="60"/>
      <c r="W411" s="60"/>
      <c r="X411" s="236"/>
      <c r="Y411" s="236"/>
      <c r="Z411" s="60"/>
      <c r="AA411" s="60"/>
      <c r="AB411" s="236"/>
      <c r="AC411" s="60"/>
      <c r="AD411" s="60"/>
      <c r="AE411" s="236"/>
      <c r="AF411" s="236"/>
      <c r="AG411" s="60"/>
      <c r="AH411" s="60"/>
      <c r="AI411" s="236"/>
      <c r="AJ411" s="236"/>
    </row>
    <row r="412">
      <c r="A412" s="61"/>
      <c r="B412" s="60"/>
      <c r="C412" s="236"/>
      <c r="D412" s="236"/>
      <c r="E412" s="60"/>
      <c r="F412" s="60"/>
      <c r="G412" s="236"/>
      <c r="H412" s="60"/>
      <c r="I412" s="60"/>
      <c r="J412" s="236"/>
      <c r="K412" s="236"/>
      <c r="L412" s="60"/>
      <c r="M412" s="60"/>
      <c r="N412" s="236"/>
      <c r="O412" s="60"/>
      <c r="P412" s="60"/>
      <c r="Q412" s="236"/>
      <c r="R412" s="236"/>
      <c r="S412" s="60"/>
      <c r="T412" s="60"/>
      <c r="U412" s="236"/>
      <c r="V412" s="60"/>
      <c r="W412" s="60"/>
      <c r="X412" s="236"/>
      <c r="Y412" s="236"/>
      <c r="Z412" s="60"/>
      <c r="AA412" s="60"/>
      <c r="AB412" s="236"/>
      <c r="AC412" s="60"/>
      <c r="AD412" s="60"/>
      <c r="AE412" s="236"/>
      <c r="AF412" s="236"/>
      <c r="AG412" s="60"/>
      <c r="AH412" s="60"/>
      <c r="AI412" s="236"/>
      <c r="AJ412" s="236"/>
    </row>
    <row r="413">
      <c r="A413" s="61"/>
      <c r="B413" s="60"/>
      <c r="C413" s="236"/>
      <c r="D413" s="236"/>
      <c r="E413" s="60"/>
      <c r="F413" s="60"/>
      <c r="G413" s="236"/>
      <c r="H413" s="60"/>
      <c r="I413" s="60"/>
      <c r="J413" s="236"/>
      <c r="K413" s="236"/>
      <c r="L413" s="60"/>
      <c r="M413" s="60"/>
      <c r="N413" s="236"/>
      <c r="O413" s="60"/>
      <c r="P413" s="60"/>
      <c r="Q413" s="236"/>
      <c r="R413" s="236"/>
      <c r="S413" s="60"/>
      <c r="T413" s="60"/>
      <c r="U413" s="236"/>
      <c r="V413" s="60"/>
      <c r="W413" s="60"/>
      <c r="X413" s="236"/>
      <c r="Y413" s="236"/>
      <c r="Z413" s="60"/>
      <c r="AA413" s="60"/>
      <c r="AB413" s="236"/>
      <c r="AC413" s="60"/>
      <c r="AD413" s="60"/>
      <c r="AE413" s="236"/>
      <c r="AF413" s="236"/>
      <c r="AG413" s="60"/>
      <c r="AH413" s="60"/>
      <c r="AI413" s="236"/>
      <c r="AJ413" s="236"/>
    </row>
    <row r="414">
      <c r="A414" s="61"/>
      <c r="B414" s="60"/>
      <c r="C414" s="236"/>
      <c r="D414" s="236"/>
      <c r="E414" s="60"/>
      <c r="F414" s="60"/>
      <c r="G414" s="236"/>
      <c r="H414" s="60"/>
      <c r="I414" s="60"/>
      <c r="J414" s="236"/>
      <c r="K414" s="236"/>
      <c r="L414" s="60"/>
      <c r="M414" s="60"/>
      <c r="N414" s="236"/>
      <c r="O414" s="60"/>
      <c r="P414" s="60"/>
      <c r="Q414" s="236"/>
      <c r="R414" s="236"/>
      <c r="S414" s="60"/>
      <c r="T414" s="60"/>
      <c r="U414" s="236"/>
      <c r="V414" s="60"/>
      <c r="W414" s="60"/>
      <c r="X414" s="236"/>
      <c r="Y414" s="236"/>
      <c r="Z414" s="60"/>
      <c r="AA414" s="60"/>
      <c r="AB414" s="236"/>
      <c r="AC414" s="60"/>
      <c r="AD414" s="60"/>
      <c r="AE414" s="236"/>
      <c r="AF414" s="236"/>
      <c r="AG414" s="60"/>
      <c r="AH414" s="60"/>
      <c r="AI414" s="236"/>
      <c r="AJ414" s="236"/>
    </row>
    <row r="415">
      <c r="A415" s="61"/>
      <c r="B415" s="60"/>
      <c r="C415" s="236"/>
      <c r="D415" s="236"/>
      <c r="E415" s="60"/>
      <c r="F415" s="60"/>
      <c r="G415" s="236"/>
      <c r="H415" s="60"/>
      <c r="I415" s="60"/>
      <c r="J415" s="236"/>
      <c r="K415" s="236"/>
      <c r="L415" s="60"/>
      <c r="M415" s="60"/>
      <c r="N415" s="236"/>
      <c r="O415" s="60"/>
      <c r="P415" s="60"/>
      <c r="Q415" s="236"/>
      <c r="R415" s="236"/>
      <c r="S415" s="60"/>
      <c r="T415" s="60"/>
      <c r="U415" s="236"/>
      <c r="V415" s="60"/>
      <c r="W415" s="60"/>
      <c r="X415" s="236"/>
      <c r="Y415" s="236"/>
      <c r="Z415" s="60"/>
      <c r="AA415" s="60"/>
      <c r="AB415" s="236"/>
      <c r="AC415" s="60"/>
      <c r="AD415" s="60"/>
      <c r="AE415" s="236"/>
      <c r="AF415" s="236"/>
      <c r="AG415" s="60"/>
      <c r="AH415" s="60"/>
      <c r="AI415" s="236"/>
      <c r="AJ415" s="236"/>
    </row>
    <row r="416">
      <c r="A416" s="61"/>
      <c r="B416" s="60"/>
      <c r="C416" s="236"/>
      <c r="D416" s="236"/>
      <c r="E416" s="60"/>
      <c r="F416" s="60"/>
      <c r="G416" s="236"/>
      <c r="H416" s="60"/>
      <c r="I416" s="60"/>
      <c r="J416" s="236"/>
      <c r="K416" s="236"/>
      <c r="L416" s="60"/>
      <c r="M416" s="60"/>
      <c r="N416" s="236"/>
      <c r="O416" s="60"/>
      <c r="P416" s="60"/>
      <c r="Q416" s="236"/>
      <c r="R416" s="236"/>
      <c r="S416" s="60"/>
      <c r="T416" s="60"/>
      <c r="U416" s="236"/>
      <c r="V416" s="60"/>
      <c r="W416" s="60"/>
      <c r="X416" s="236"/>
      <c r="Y416" s="236"/>
      <c r="Z416" s="60"/>
      <c r="AA416" s="60"/>
      <c r="AB416" s="236"/>
      <c r="AC416" s="60"/>
      <c r="AD416" s="60"/>
      <c r="AE416" s="236"/>
      <c r="AF416" s="236"/>
      <c r="AG416" s="60"/>
      <c r="AH416" s="60"/>
      <c r="AI416" s="236"/>
      <c r="AJ416" s="236"/>
    </row>
    <row r="417">
      <c r="A417" s="61"/>
      <c r="B417" s="60"/>
      <c r="C417" s="236"/>
      <c r="D417" s="236"/>
      <c r="E417" s="60"/>
      <c r="F417" s="60"/>
      <c r="G417" s="236"/>
      <c r="H417" s="60"/>
      <c r="I417" s="60"/>
      <c r="J417" s="236"/>
      <c r="K417" s="236"/>
      <c r="L417" s="60"/>
      <c r="M417" s="60"/>
      <c r="N417" s="236"/>
      <c r="O417" s="60"/>
      <c r="P417" s="60"/>
      <c r="Q417" s="236"/>
      <c r="R417" s="236"/>
      <c r="S417" s="60"/>
      <c r="T417" s="60"/>
      <c r="U417" s="236"/>
      <c r="V417" s="60"/>
      <c r="W417" s="60"/>
      <c r="X417" s="236"/>
      <c r="Y417" s="236"/>
      <c r="Z417" s="60"/>
      <c r="AA417" s="60"/>
      <c r="AB417" s="236"/>
      <c r="AC417" s="60"/>
      <c r="AD417" s="60"/>
      <c r="AE417" s="236"/>
      <c r="AF417" s="236"/>
      <c r="AG417" s="60"/>
      <c r="AH417" s="60"/>
      <c r="AI417" s="236"/>
      <c r="AJ417" s="236"/>
    </row>
    <row r="418">
      <c r="A418" s="61"/>
      <c r="B418" s="60"/>
      <c r="C418" s="236"/>
      <c r="D418" s="236"/>
      <c r="E418" s="60"/>
      <c r="F418" s="60"/>
      <c r="G418" s="236"/>
      <c r="H418" s="60"/>
      <c r="I418" s="60"/>
      <c r="J418" s="236"/>
      <c r="K418" s="236"/>
      <c r="L418" s="60"/>
      <c r="M418" s="60"/>
      <c r="N418" s="236"/>
      <c r="O418" s="60"/>
      <c r="P418" s="60"/>
      <c r="Q418" s="236"/>
      <c r="R418" s="236"/>
      <c r="S418" s="60"/>
      <c r="T418" s="60"/>
      <c r="U418" s="236"/>
      <c r="V418" s="60"/>
      <c r="W418" s="60"/>
      <c r="X418" s="236"/>
      <c r="Y418" s="236"/>
      <c r="Z418" s="60"/>
      <c r="AA418" s="60"/>
      <c r="AB418" s="236"/>
      <c r="AC418" s="60"/>
      <c r="AD418" s="60"/>
      <c r="AE418" s="236"/>
      <c r="AF418" s="236"/>
      <c r="AG418" s="60"/>
      <c r="AH418" s="60"/>
      <c r="AI418" s="236"/>
      <c r="AJ418" s="236"/>
    </row>
    <row r="419">
      <c r="A419" s="61"/>
      <c r="B419" s="60"/>
      <c r="C419" s="236"/>
      <c r="D419" s="236"/>
      <c r="E419" s="60"/>
      <c r="F419" s="60"/>
      <c r="G419" s="236"/>
      <c r="H419" s="60"/>
      <c r="I419" s="60"/>
      <c r="J419" s="236"/>
      <c r="K419" s="236"/>
      <c r="L419" s="60"/>
      <c r="M419" s="60"/>
      <c r="N419" s="236"/>
      <c r="O419" s="60"/>
      <c r="P419" s="60"/>
      <c r="Q419" s="236"/>
      <c r="R419" s="236"/>
      <c r="S419" s="60"/>
      <c r="T419" s="60"/>
      <c r="U419" s="236"/>
      <c r="V419" s="60"/>
      <c r="W419" s="60"/>
      <c r="X419" s="236"/>
      <c r="Y419" s="236"/>
      <c r="Z419" s="60"/>
      <c r="AA419" s="60"/>
      <c r="AB419" s="236"/>
      <c r="AC419" s="60"/>
      <c r="AD419" s="60"/>
      <c r="AE419" s="236"/>
      <c r="AF419" s="236"/>
      <c r="AG419" s="60"/>
      <c r="AH419" s="60"/>
      <c r="AI419" s="236"/>
      <c r="AJ419" s="236"/>
    </row>
    <row r="420">
      <c r="A420" s="61"/>
      <c r="B420" s="60"/>
      <c r="C420" s="236"/>
      <c r="D420" s="236"/>
      <c r="E420" s="60"/>
      <c r="F420" s="60"/>
      <c r="G420" s="236"/>
      <c r="H420" s="60"/>
      <c r="I420" s="60"/>
      <c r="J420" s="236"/>
      <c r="K420" s="236"/>
      <c r="L420" s="60"/>
      <c r="M420" s="60"/>
      <c r="N420" s="236"/>
      <c r="O420" s="60"/>
      <c r="P420" s="60"/>
      <c r="Q420" s="236"/>
      <c r="R420" s="236"/>
      <c r="S420" s="60"/>
      <c r="T420" s="60"/>
      <c r="U420" s="236"/>
      <c r="V420" s="60"/>
      <c r="W420" s="60"/>
      <c r="X420" s="236"/>
      <c r="Y420" s="236"/>
      <c r="Z420" s="60"/>
      <c r="AA420" s="60"/>
      <c r="AB420" s="236"/>
      <c r="AC420" s="60"/>
      <c r="AD420" s="60"/>
      <c r="AE420" s="236"/>
      <c r="AF420" s="236"/>
      <c r="AG420" s="60"/>
      <c r="AH420" s="60"/>
      <c r="AI420" s="236"/>
      <c r="AJ420" s="236"/>
    </row>
    <row r="421">
      <c r="A421" s="61"/>
      <c r="B421" s="60"/>
      <c r="C421" s="236"/>
      <c r="D421" s="236"/>
      <c r="E421" s="60"/>
      <c r="F421" s="60"/>
      <c r="G421" s="236"/>
      <c r="H421" s="60"/>
      <c r="I421" s="60"/>
      <c r="J421" s="236"/>
      <c r="K421" s="236"/>
      <c r="L421" s="60"/>
      <c r="M421" s="60"/>
      <c r="N421" s="236"/>
      <c r="O421" s="60"/>
      <c r="P421" s="60"/>
      <c r="Q421" s="236"/>
      <c r="R421" s="236"/>
      <c r="S421" s="60"/>
      <c r="T421" s="60"/>
      <c r="U421" s="236"/>
      <c r="V421" s="60"/>
      <c r="W421" s="60"/>
      <c r="X421" s="236"/>
      <c r="Y421" s="236"/>
      <c r="Z421" s="60"/>
      <c r="AA421" s="60"/>
      <c r="AB421" s="236"/>
      <c r="AC421" s="60"/>
      <c r="AD421" s="60"/>
      <c r="AE421" s="236"/>
      <c r="AF421" s="236"/>
      <c r="AG421" s="60"/>
      <c r="AH421" s="60"/>
      <c r="AI421" s="236"/>
      <c r="AJ421" s="236"/>
    </row>
    <row r="422">
      <c r="A422" s="61"/>
      <c r="B422" s="60"/>
      <c r="C422" s="236"/>
      <c r="D422" s="236"/>
      <c r="E422" s="60"/>
      <c r="F422" s="60"/>
      <c r="G422" s="236"/>
      <c r="H422" s="60"/>
      <c r="I422" s="60"/>
      <c r="J422" s="236"/>
      <c r="K422" s="236"/>
      <c r="L422" s="60"/>
      <c r="M422" s="60"/>
      <c r="N422" s="236"/>
      <c r="O422" s="60"/>
      <c r="P422" s="60"/>
      <c r="Q422" s="236"/>
      <c r="R422" s="236"/>
      <c r="S422" s="60"/>
      <c r="T422" s="60"/>
      <c r="U422" s="236"/>
      <c r="V422" s="60"/>
      <c r="W422" s="60"/>
      <c r="X422" s="236"/>
      <c r="Y422" s="236"/>
      <c r="Z422" s="60"/>
      <c r="AA422" s="60"/>
      <c r="AB422" s="236"/>
      <c r="AC422" s="60"/>
      <c r="AD422" s="60"/>
      <c r="AE422" s="236"/>
      <c r="AF422" s="236"/>
      <c r="AG422" s="60"/>
      <c r="AH422" s="60"/>
      <c r="AI422" s="236"/>
      <c r="AJ422" s="236"/>
    </row>
    <row r="423">
      <c r="A423" s="61"/>
      <c r="B423" s="60"/>
      <c r="C423" s="236"/>
      <c r="D423" s="236"/>
      <c r="E423" s="60"/>
      <c r="F423" s="60"/>
      <c r="G423" s="236"/>
      <c r="H423" s="60"/>
      <c r="I423" s="60"/>
      <c r="J423" s="236"/>
      <c r="K423" s="236"/>
      <c r="L423" s="60"/>
      <c r="M423" s="60"/>
      <c r="N423" s="236"/>
      <c r="O423" s="60"/>
      <c r="P423" s="60"/>
      <c r="Q423" s="236"/>
      <c r="R423" s="236"/>
      <c r="S423" s="60"/>
      <c r="T423" s="60"/>
      <c r="U423" s="236"/>
      <c r="V423" s="60"/>
      <c r="W423" s="60"/>
      <c r="X423" s="236"/>
      <c r="Y423" s="236"/>
      <c r="Z423" s="60"/>
      <c r="AA423" s="60"/>
      <c r="AB423" s="236"/>
      <c r="AC423" s="60"/>
      <c r="AD423" s="60"/>
      <c r="AE423" s="236"/>
      <c r="AF423" s="236"/>
      <c r="AG423" s="60"/>
      <c r="AH423" s="60"/>
      <c r="AI423" s="236"/>
      <c r="AJ423" s="236"/>
    </row>
    <row r="424">
      <c r="A424" s="61"/>
      <c r="B424" s="60"/>
      <c r="C424" s="236"/>
      <c r="D424" s="236"/>
      <c r="E424" s="60"/>
      <c r="F424" s="60"/>
      <c r="G424" s="236"/>
      <c r="H424" s="60"/>
      <c r="I424" s="60"/>
      <c r="J424" s="236"/>
      <c r="K424" s="236"/>
      <c r="L424" s="60"/>
      <c r="M424" s="60"/>
      <c r="N424" s="236"/>
      <c r="O424" s="60"/>
      <c r="P424" s="60"/>
      <c r="Q424" s="236"/>
      <c r="R424" s="236"/>
      <c r="S424" s="60"/>
      <c r="T424" s="60"/>
      <c r="U424" s="236"/>
      <c r="V424" s="60"/>
      <c r="W424" s="60"/>
      <c r="X424" s="236"/>
      <c r="Y424" s="236"/>
      <c r="Z424" s="60"/>
      <c r="AA424" s="60"/>
      <c r="AB424" s="236"/>
      <c r="AC424" s="60"/>
      <c r="AD424" s="60"/>
      <c r="AE424" s="236"/>
      <c r="AF424" s="236"/>
      <c r="AG424" s="60"/>
      <c r="AH424" s="60"/>
      <c r="AI424" s="236"/>
      <c r="AJ424" s="236"/>
    </row>
    <row r="425">
      <c r="A425" s="61"/>
      <c r="B425" s="60"/>
      <c r="C425" s="236"/>
      <c r="D425" s="236"/>
      <c r="E425" s="60"/>
      <c r="F425" s="60"/>
      <c r="G425" s="236"/>
      <c r="H425" s="60"/>
      <c r="I425" s="60"/>
      <c r="J425" s="236"/>
      <c r="K425" s="236"/>
      <c r="L425" s="60"/>
      <c r="M425" s="60"/>
      <c r="N425" s="236"/>
      <c r="O425" s="60"/>
      <c r="P425" s="60"/>
      <c r="Q425" s="236"/>
      <c r="R425" s="236"/>
      <c r="S425" s="60"/>
      <c r="T425" s="60"/>
      <c r="U425" s="236"/>
      <c r="V425" s="60"/>
      <c r="W425" s="60"/>
      <c r="X425" s="236"/>
      <c r="Y425" s="236"/>
      <c r="Z425" s="60"/>
      <c r="AA425" s="60"/>
      <c r="AB425" s="236"/>
      <c r="AC425" s="60"/>
      <c r="AD425" s="60"/>
      <c r="AE425" s="236"/>
      <c r="AF425" s="236"/>
      <c r="AG425" s="60"/>
      <c r="AH425" s="60"/>
      <c r="AI425" s="236"/>
      <c r="AJ425" s="236"/>
    </row>
    <row r="426">
      <c r="A426" s="61"/>
      <c r="B426" s="60"/>
      <c r="C426" s="236"/>
      <c r="D426" s="236"/>
      <c r="E426" s="60"/>
      <c r="F426" s="60"/>
      <c r="G426" s="236"/>
      <c r="H426" s="60"/>
      <c r="I426" s="60"/>
      <c r="J426" s="236"/>
      <c r="K426" s="236"/>
      <c r="L426" s="60"/>
      <c r="M426" s="60"/>
      <c r="N426" s="236"/>
      <c r="O426" s="60"/>
      <c r="P426" s="60"/>
      <c r="Q426" s="236"/>
      <c r="R426" s="236"/>
      <c r="S426" s="60"/>
      <c r="T426" s="60"/>
      <c r="U426" s="236"/>
      <c r="V426" s="60"/>
      <c r="W426" s="60"/>
      <c r="X426" s="236"/>
      <c r="Y426" s="236"/>
      <c r="Z426" s="60"/>
      <c r="AA426" s="60"/>
      <c r="AB426" s="236"/>
      <c r="AC426" s="60"/>
      <c r="AD426" s="60"/>
      <c r="AE426" s="236"/>
      <c r="AF426" s="236"/>
      <c r="AG426" s="60"/>
      <c r="AH426" s="60"/>
      <c r="AI426" s="236"/>
      <c r="AJ426" s="236"/>
    </row>
    <row r="427">
      <c r="A427" s="61"/>
      <c r="B427" s="60"/>
      <c r="C427" s="236"/>
      <c r="D427" s="236"/>
      <c r="E427" s="60"/>
      <c r="F427" s="60"/>
      <c r="G427" s="236"/>
      <c r="H427" s="60"/>
      <c r="I427" s="60"/>
      <c r="J427" s="236"/>
      <c r="K427" s="236"/>
      <c r="L427" s="60"/>
      <c r="M427" s="60"/>
      <c r="N427" s="236"/>
      <c r="O427" s="60"/>
      <c r="P427" s="60"/>
      <c r="Q427" s="236"/>
      <c r="R427" s="236"/>
      <c r="S427" s="60"/>
      <c r="T427" s="60"/>
      <c r="U427" s="236"/>
      <c r="V427" s="60"/>
      <c r="W427" s="60"/>
      <c r="X427" s="236"/>
      <c r="Y427" s="236"/>
      <c r="Z427" s="60"/>
      <c r="AA427" s="60"/>
      <c r="AB427" s="236"/>
      <c r="AC427" s="60"/>
      <c r="AD427" s="60"/>
      <c r="AE427" s="236"/>
      <c r="AF427" s="236"/>
      <c r="AG427" s="60"/>
      <c r="AH427" s="60"/>
      <c r="AI427" s="236"/>
      <c r="AJ427" s="236"/>
    </row>
    <row r="428">
      <c r="A428" s="61"/>
      <c r="B428" s="60"/>
      <c r="C428" s="236"/>
      <c r="D428" s="236"/>
      <c r="E428" s="60"/>
      <c r="F428" s="60"/>
      <c r="G428" s="236"/>
      <c r="H428" s="60"/>
      <c r="I428" s="60"/>
      <c r="J428" s="236"/>
      <c r="K428" s="236"/>
      <c r="L428" s="60"/>
      <c r="M428" s="60"/>
      <c r="N428" s="236"/>
      <c r="O428" s="60"/>
      <c r="P428" s="60"/>
      <c r="Q428" s="236"/>
      <c r="R428" s="236"/>
      <c r="S428" s="60"/>
      <c r="T428" s="60"/>
      <c r="U428" s="236"/>
      <c r="V428" s="60"/>
      <c r="W428" s="60"/>
      <c r="X428" s="236"/>
      <c r="Y428" s="236"/>
      <c r="Z428" s="60"/>
      <c r="AA428" s="60"/>
      <c r="AB428" s="236"/>
      <c r="AC428" s="60"/>
      <c r="AD428" s="60"/>
      <c r="AE428" s="236"/>
      <c r="AF428" s="236"/>
      <c r="AG428" s="60"/>
      <c r="AH428" s="60"/>
      <c r="AI428" s="236"/>
      <c r="AJ428" s="236"/>
    </row>
    <row r="429">
      <c r="A429" s="61"/>
      <c r="B429" s="60"/>
      <c r="C429" s="236"/>
      <c r="D429" s="236"/>
      <c r="E429" s="60"/>
      <c r="F429" s="60"/>
      <c r="G429" s="236"/>
      <c r="H429" s="60"/>
      <c r="I429" s="60"/>
      <c r="J429" s="236"/>
      <c r="K429" s="236"/>
      <c r="L429" s="60"/>
      <c r="M429" s="60"/>
      <c r="N429" s="236"/>
      <c r="O429" s="60"/>
      <c r="P429" s="60"/>
      <c r="Q429" s="236"/>
      <c r="R429" s="236"/>
      <c r="S429" s="60"/>
      <c r="T429" s="60"/>
      <c r="U429" s="236"/>
      <c r="V429" s="60"/>
      <c r="W429" s="60"/>
      <c r="X429" s="236"/>
      <c r="Y429" s="236"/>
      <c r="Z429" s="60"/>
      <c r="AA429" s="60"/>
      <c r="AB429" s="236"/>
      <c r="AC429" s="60"/>
      <c r="AD429" s="60"/>
      <c r="AE429" s="236"/>
      <c r="AF429" s="236"/>
      <c r="AG429" s="60"/>
      <c r="AH429" s="60"/>
      <c r="AI429" s="236"/>
      <c r="AJ429" s="236"/>
    </row>
    <row r="430">
      <c r="A430" s="61"/>
      <c r="B430" s="60"/>
      <c r="C430" s="236"/>
      <c r="D430" s="236"/>
      <c r="E430" s="60"/>
      <c r="F430" s="60"/>
      <c r="G430" s="236"/>
      <c r="H430" s="60"/>
      <c r="I430" s="60"/>
      <c r="J430" s="236"/>
      <c r="K430" s="236"/>
      <c r="L430" s="60"/>
      <c r="M430" s="60"/>
      <c r="N430" s="236"/>
      <c r="O430" s="60"/>
      <c r="P430" s="60"/>
      <c r="Q430" s="236"/>
      <c r="R430" s="236"/>
      <c r="S430" s="60"/>
      <c r="T430" s="60"/>
      <c r="U430" s="236"/>
      <c r="V430" s="60"/>
      <c r="W430" s="60"/>
      <c r="X430" s="236"/>
      <c r="Y430" s="236"/>
      <c r="Z430" s="60"/>
      <c r="AA430" s="60"/>
      <c r="AB430" s="236"/>
      <c r="AC430" s="60"/>
      <c r="AD430" s="60"/>
      <c r="AE430" s="236"/>
      <c r="AF430" s="236"/>
      <c r="AG430" s="60"/>
      <c r="AH430" s="60"/>
      <c r="AI430" s="236"/>
      <c r="AJ430" s="236"/>
    </row>
    <row r="431">
      <c r="A431" s="61"/>
      <c r="B431" s="60"/>
      <c r="C431" s="236"/>
      <c r="D431" s="236"/>
      <c r="E431" s="60"/>
      <c r="F431" s="60"/>
      <c r="G431" s="236"/>
      <c r="H431" s="60"/>
      <c r="I431" s="60"/>
      <c r="J431" s="236"/>
      <c r="K431" s="236"/>
      <c r="L431" s="60"/>
      <c r="M431" s="60"/>
      <c r="N431" s="236"/>
      <c r="O431" s="60"/>
      <c r="P431" s="60"/>
      <c r="Q431" s="236"/>
      <c r="R431" s="236"/>
      <c r="S431" s="60"/>
      <c r="T431" s="60"/>
      <c r="U431" s="236"/>
      <c r="V431" s="60"/>
      <c r="W431" s="60"/>
      <c r="X431" s="236"/>
      <c r="Y431" s="236"/>
      <c r="Z431" s="60"/>
      <c r="AA431" s="60"/>
      <c r="AB431" s="236"/>
      <c r="AC431" s="60"/>
      <c r="AD431" s="60"/>
      <c r="AE431" s="236"/>
      <c r="AF431" s="236"/>
      <c r="AG431" s="60"/>
      <c r="AH431" s="60"/>
      <c r="AI431" s="236"/>
      <c r="AJ431" s="236"/>
    </row>
    <row r="432">
      <c r="A432" s="61"/>
      <c r="B432" s="60"/>
      <c r="C432" s="236"/>
      <c r="D432" s="236"/>
      <c r="E432" s="60"/>
      <c r="F432" s="60"/>
      <c r="G432" s="236"/>
      <c r="H432" s="60"/>
      <c r="I432" s="60"/>
      <c r="J432" s="236"/>
      <c r="K432" s="236"/>
      <c r="L432" s="60"/>
      <c r="M432" s="60"/>
      <c r="N432" s="236"/>
      <c r="O432" s="60"/>
      <c r="P432" s="60"/>
      <c r="Q432" s="236"/>
      <c r="R432" s="236"/>
      <c r="S432" s="60"/>
      <c r="T432" s="60"/>
      <c r="U432" s="236"/>
      <c r="V432" s="60"/>
      <c r="W432" s="60"/>
      <c r="X432" s="236"/>
      <c r="Y432" s="236"/>
      <c r="Z432" s="60"/>
      <c r="AA432" s="60"/>
      <c r="AB432" s="236"/>
      <c r="AC432" s="60"/>
      <c r="AD432" s="60"/>
      <c r="AE432" s="236"/>
      <c r="AF432" s="236"/>
      <c r="AG432" s="60"/>
      <c r="AH432" s="60"/>
      <c r="AI432" s="236"/>
      <c r="AJ432" s="236"/>
    </row>
    <row r="433">
      <c r="A433" s="61"/>
      <c r="B433" s="60"/>
      <c r="C433" s="236"/>
      <c r="D433" s="236"/>
      <c r="E433" s="60"/>
      <c r="F433" s="60"/>
      <c r="G433" s="236"/>
      <c r="H433" s="60"/>
      <c r="I433" s="60"/>
      <c r="J433" s="236"/>
      <c r="K433" s="236"/>
      <c r="L433" s="60"/>
      <c r="M433" s="60"/>
      <c r="N433" s="236"/>
      <c r="O433" s="60"/>
      <c r="P433" s="60"/>
      <c r="Q433" s="236"/>
      <c r="R433" s="236"/>
      <c r="S433" s="60"/>
      <c r="T433" s="60"/>
      <c r="U433" s="236"/>
      <c r="V433" s="60"/>
      <c r="W433" s="60"/>
      <c r="X433" s="236"/>
      <c r="Y433" s="236"/>
      <c r="Z433" s="60"/>
      <c r="AA433" s="60"/>
      <c r="AB433" s="236"/>
      <c r="AC433" s="60"/>
      <c r="AD433" s="60"/>
      <c r="AE433" s="236"/>
      <c r="AF433" s="236"/>
      <c r="AG433" s="60"/>
      <c r="AH433" s="60"/>
      <c r="AI433" s="236"/>
      <c r="AJ433" s="236"/>
    </row>
    <row r="434">
      <c r="A434" s="61"/>
      <c r="B434" s="60"/>
      <c r="C434" s="236"/>
      <c r="D434" s="236"/>
      <c r="E434" s="60"/>
      <c r="F434" s="60"/>
      <c r="G434" s="236"/>
      <c r="H434" s="60"/>
      <c r="I434" s="60"/>
      <c r="J434" s="236"/>
      <c r="K434" s="236"/>
      <c r="L434" s="60"/>
      <c r="M434" s="60"/>
      <c r="N434" s="236"/>
      <c r="O434" s="60"/>
      <c r="P434" s="60"/>
      <c r="Q434" s="236"/>
      <c r="R434" s="236"/>
      <c r="S434" s="60"/>
      <c r="T434" s="60"/>
      <c r="U434" s="236"/>
      <c r="V434" s="60"/>
      <c r="W434" s="60"/>
      <c r="X434" s="236"/>
      <c r="Y434" s="236"/>
      <c r="Z434" s="60"/>
      <c r="AA434" s="60"/>
      <c r="AB434" s="236"/>
      <c r="AC434" s="60"/>
      <c r="AD434" s="60"/>
      <c r="AE434" s="236"/>
      <c r="AF434" s="236"/>
      <c r="AG434" s="60"/>
      <c r="AH434" s="60"/>
      <c r="AI434" s="236"/>
      <c r="AJ434" s="236"/>
    </row>
    <row r="435">
      <c r="A435" s="61"/>
      <c r="B435" s="60"/>
      <c r="C435" s="236"/>
      <c r="D435" s="236"/>
      <c r="E435" s="60"/>
      <c r="F435" s="60"/>
      <c r="G435" s="236"/>
      <c r="H435" s="60"/>
      <c r="I435" s="60"/>
      <c r="J435" s="236"/>
      <c r="K435" s="236"/>
      <c r="L435" s="60"/>
      <c r="M435" s="60"/>
      <c r="N435" s="236"/>
      <c r="O435" s="60"/>
      <c r="P435" s="60"/>
      <c r="Q435" s="236"/>
      <c r="R435" s="236"/>
      <c r="S435" s="60"/>
      <c r="T435" s="60"/>
      <c r="U435" s="236"/>
      <c r="V435" s="60"/>
      <c r="W435" s="60"/>
      <c r="X435" s="236"/>
      <c r="Y435" s="236"/>
      <c r="Z435" s="60"/>
      <c r="AA435" s="60"/>
      <c r="AB435" s="236"/>
      <c r="AC435" s="60"/>
      <c r="AD435" s="60"/>
      <c r="AE435" s="236"/>
      <c r="AF435" s="236"/>
      <c r="AG435" s="60"/>
      <c r="AH435" s="60"/>
      <c r="AI435" s="236"/>
      <c r="AJ435" s="236"/>
    </row>
    <row r="436">
      <c r="A436" s="61"/>
      <c r="B436" s="60"/>
      <c r="C436" s="236"/>
      <c r="D436" s="236"/>
      <c r="E436" s="60"/>
      <c r="F436" s="60"/>
      <c r="G436" s="236"/>
      <c r="H436" s="60"/>
      <c r="I436" s="60"/>
      <c r="J436" s="236"/>
      <c r="K436" s="236"/>
      <c r="L436" s="60"/>
      <c r="M436" s="60"/>
      <c r="N436" s="236"/>
      <c r="O436" s="60"/>
      <c r="P436" s="60"/>
      <c r="Q436" s="236"/>
      <c r="R436" s="236"/>
      <c r="S436" s="60"/>
      <c r="T436" s="60"/>
      <c r="U436" s="236"/>
      <c r="V436" s="60"/>
      <c r="W436" s="60"/>
      <c r="X436" s="236"/>
      <c r="Y436" s="236"/>
      <c r="Z436" s="60"/>
      <c r="AA436" s="60"/>
      <c r="AB436" s="236"/>
      <c r="AC436" s="60"/>
      <c r="AD436" s="60"/>
      <c r="AE436" s="236"/>
      <c r="AF436" s="236"/>
      <c r="AG436" s="60"/>
      <c r="AH436" s="60"/>
      <c r="AI436" s="236"/>
      <c r="AJ436" s="236"/>
    </row>
    <row r="437">
      <c r="A437" s="61"/>
      <c r="B437" s="60"/>
      <c r="C437" s="236"/>
      <c r="D437" s="236"/>
      <c r="E437" s="60"/>
      <c r="F437" s="60"/>
      <c r="G437" s="236"/>
      <c r="H437" s="60"/>
      <c r="I437" s="60"/>
      <c r="J437" s="236"/>
      <c r="K437" s="236"/>
      <c r="L437" s="60"/>
      <c r="M437" s="60"/>
      <c r="N437" s="236"/>
      <c r="O437" s="60"/>
      <c r="P437" s="60"/>
      <c r="Q437" s="236"/>
      <c r="R437" s="236"/>
      <c r="S437" s="60"/>
      <c r="T437" s="60"/>
      <c r="U437" s="236"/>
      <c r="V437" s="60"/>
      <c r="W437" s="60"/>
      <c r="X437" s="236"/>
      <c r="Y437" s="236"/>
      <c r="Z437" s="60"/>
      <c r="AA437" s="60"/>
      <c r="AB437" s="236"/>
      <c r="AC437" s="60"/>
      <c r="AD437" s="60"/>
      <c r="AE437" s="236"/>
      <c r="AF437" s="236"/>
      <c r="AG437" s="60"/>
      <c r="AH437" s="60"/>
      <c r="AI437" s="236"/>
      <c r="AJ437" s="236"/>
    </row>
    <row r="438">
      <c r="A438" s="61"/>
      <c r="B438" s="60"/>
      <c r="C438" s="236"/>
      <c r="D438" s="236"/>
      <c r="E438" s="60"/>
      <c r="F438" s="60"/>
      <c r="G438" s="236"/>
      <c r="H438" s="60"/>
      <c r="I438" s="60"/>
      <c r="J438" s="236"/>
      <c r="K438" s="236"/>
      <c r="L438" s="60"/>
      <c r="M438" s="60"/>
      <c r="N438" s="236"/>
      <c r="O438" s="60"/>
      <c r="P438" s="60"/>
      <c r="Q438" s="236"/>
      <c r="R438" s="236"/>
      <c r="S438" s="60"/>
      <c r="T438" s="60"/>
      <c r="U438" s="236"/>
      <c r="V438" s="60"/>
      <c r="W438" s="60"/>
      <c r="X438" s="236"/>
      <c r="Y438" s="236"/>
      <c r="Z438" s="60"/>
      <c r="AA438" s="60"/>
      <c r="AB438" s="236"/>
      <c r="AC438" s="60"/>
      <c r="AD438" s="60"/>
      <c r="AE438" s="236"/>
      <c r="AF438" s="236"/>
      <c r="AG438" s="60"/>
      <c r="AH438" s="60"/>
      <c r="AI438" s="236"/>
      <c r="AJ438" s="236"/>
    </row>
    <row r="439">
      <c r="A439" s="61"/>
      <c r="B439" s="60"/>
      <c r="C439" s="236"/>
      <c r="D439" s="236"/>
      <c r="E439" s="60"/>
      <c r="F439" s="60"/>
      <c r="G439" s="236"/>
      <c r="H439" s="60"/>
      <c r="I439" s="60"/>
      <c r="J439" s="236"/>
      <c r="K439" s="236"/>
      <c r="L439" s="60"/>
      <c r="M439" s="60"/>
      <c r="N439" s="236"/>
      <c r="O439" s="60"/>
      <c r="P439" s="60"/>
      <c r="Q439" s="236"/>
      <c r="R439" s="236"/>
      <c r="S439" s="60"/>
      <c r="T439" s="60"/>
      <c r="U439" s="236"/>
      <c r="V439" s="60"/>
      <c r="W439" s="60"/>
      <c r="X439" s="236"/>
      <c r="Y439" s="236"/>
      <c r="Z439" s="60"/>
      <c r="AA439" s="60"/>
      <c r="AB439" s="236"/>
      <c r="AC439" s="60"/>
      <c r="AD439" s="60"/>
      <c r="AE439" s="236"/>
      <c r="AF439" s="236"/>
      <c r="AG439" s="60"/>
      <c r="AH439" s="60"/>
      <c r="AI439" s="236"/>
      <c r="AJ439" s="236"/>
    </row>
    <row r="440">
      <c r="A440" s="61"/>
      <c r="B440" s="60"/>
      <c r="C440" s="236"/>
      <c r="D440" s="236"/>
      <c r="E440" s="60"/>
      <c r="F440" s="60"/>
      <c r="G440" s="236"/>
      <c r="H440" s="60"/>
      <c r="I440" s="60"/>
      <c r="J440" s="236"/>
      <c r="K440" s="236"/>
      <c r="L440" s="60"/>
      <c r="M440" s="60"/>
      <c r="N440" s="236"/>
      <c r="O440" s="60"/>
      <c r="P440" s="60"/>
      <c r="Q440" s="236"/>
      <c r="R440" s="236"/>
      <c r="S440" s="60"/>
      <c r="T440" s="60"/>
      <c r="U440" s="236"/>
      <c r="V440" s="60"/>
      <c r="W440" s="60"/>
      <c r="X440" s="236"/>
      <c r="Y440" s="236"/>
      <c r="Z440" s="60"/>
      <c r="AA440" s="60"/>
      <c r="AB440" s="236"/>
      <c r="AC440" s="60"/>
      <c r="AD440" s="60"/>
      <c r="AE440" s="236"/>
      <c r="AF440" s="236"/>
      <c r="AG440" s="60"/>
      <c r="AH440" s="60"/>
      <c r="AI440" s="236"/>
      <c r="AJ440" s="236"/>
    </row>
    <row r="441">
      <c r="A441" s="61"/>
      <c r="B441" s="60"/>
      <c r="C441" s="236"/>
      <c r="D441" s="236"/>
      <c r="E441" s="60"/>
      <c r="F441" s="60"/>
      <c r="G441" s="236"/>
      <c r="H441" s="60"/>
      <c r="I441" s="60"/>
      <c r="J441" s="236"/>
      <c r="K441" s="236"/>
      <c r="L441" s="60"/>
      <c r="M441" s="60"/>
      <c r="N441" s="236"/>
      <c r="O441" s="60"/>
      <c r="P441" s="60"/>
      <c r="Q441" s="236"/>
      <c r="R441" s="236"/>
      <c r="S441" s="60"/>
      <c r="T441" s="60"/>
      <c r="U441" s="236"/>
      <c r="V441" s="60"/>
      <c r="W441" s="60"/>
      <c r="X441" s="236"/>
      <c r="Y441" s="236"/>
      <c r="Z441" s="60"/>
      <c r="AA441" s="60"/>
      <c r="AB441" s="236"/>
      <c r="AC441" s="60"/>
      <c r="AD441" s="60"/>
      <c r="AE441" s="236"/>
      <c r="AF441" s="236"/>
      <c r="AG441" s="60"/>
      <c r="AH441" s="60"/>
      <c r="AI441" s="236"/>
      <c r="AJ441" s="236"/>
    </row>
    <row r="442">
      <c r="A442" s="61"/>
      <c r="B442" s="60"/>
      <c r="C442" s="236"/>
      <c r="D442" s="236"/>
      <c r="E442" s="60"/>
      <c r="F442" s="60"/>
      <c r="G442" s="236"/>
      <c r="H442" s="60"/>
      <c r="I442" s="60"/>
      <c r="J442" s="236"/>
      <c r="K442" s="236"/>
      <c r="L442" s="60"/>
      <c r="M442" s="60"/>
      <c r="N442" s="236"/>
      <c r="O442" s="60"/>
      <c r="P442" s="60"/>
      <c r="Q442" s="236"/>
      <c r="R442" s="236"/>
      <c r="S442" s="60"/>
      <c r="T442" s="60"/>
      <c r="U442" s="236"/>
      <c r="V442" s="60"/>
      <c r="W442" s="60"/>
      <c r="X442" s="236"/>
      <c r="Y442" s="236"/>
      <c r="Z442" s="60"/>
      <c r="AA442" s="60"/>
      <c r="AB442" s="236"/>
      <c r="AC442" s="60"/>
      <c r="AD442" s="60"/>
      <c r="AE442" s="236"/>
      <c r="AF442" s="236"/>
      <c r="AG442" s="60"/>
      <c r="AH442" s="60"/>
      <c r="AI442" s="236"/>
      <c r="AJ442" s="236"/>
    </row>
    <row r="443">
      <c r="A443" s="61"/>
      <c r="B443" s="60"/>
      <c r="C443" s="236"/>
      <c r="D443" s="236"/>
      <c r="E443" s="60"/>
      <c r="F443" s="60"/>
      <c r="G443" s="236"/>
      <c r="H443" s="60"/>
      <c r="I443" s="60"/>
      <c r="J443" s="236"/>
      <c r="K443" s="236"/>
      <c r="L443" s="60"/>
      <c r="M443" s="60"/>
      <c r="N443" s="236"/>
      <c r="O443" s="60"/>
      <c r="P443" s="60"/>
      <c r="Q443" s="236"/>
      <c r="R443" s="236"/>
      <c r="S443" s="60"/>
      <c r="T443" s="60"/>
      <c r="U443" s="236"/>
      <c r="V443" s="60"/>
      <c r="W443" s="60"/>
      <c r="X443" s="236"/>
      <c r="Y443" s="236"/>
      <c r="Z443" s="60"/>
      <c r="AA443" s="60"/>
      <c r="AB443" s="236"/>
      <c r="AC443" s="60"/>
      <c r="AD443" s="60"/>
      <c r="AE443" s="236"/>
      <c r="AF443" s="236"/>
      <c r="AG443" s="60"/>
      <c r="AH443" s="60"/>
      <c r="AI443" s="236"/>
      <c r="AJ443" s="236"/>
    </row>
    <row r="444">
      <c r="A444" s="61"/>
      <c r="B444" s="60"/>
      <c r="C444" s="236"/>
      <c r="D444" s="236"/>
      <c r="E444" s="60"/>
      <c r="F444" s="60"/>
      <c r="G444" s="236"/>
      <c r="H444" s="60"/>
      <c r="I444" s="60"/>
      <c r="J444" s="236"/>
      <c r="K444" s="236"/>
      <c r="L444" s="60"/>
      <c r="M444" s="60"/>
      <c r="N444" s="236"/>
      <c r="O444" s="60"/>
      <c r="P444" s="60"/>
      <c r="Q444" s="236"/>
      <c r="R444" s="236"/>
      <c r="S444" s="60"/>
      <c r="T444" s="60"/>
      <c r="U444" s="236"/>
      <c r="V444" s="60"/>
      <c r="W444" s="60"/>
      <c r="X444" s="236"/>
      <c r="Y444" s="236"/>
      <c r="Z444" s="60"/>
      <c r="AA444" s="60"/>
      <c r="AB444" s="236"/>
      <c r="AC444" s="60"/>
      <c r="AD444" s="60"/>
      <c r="AE444" s="236"/>
      <c r="AF444" s="236"/>
      <c r="AG444" s="60"/>
      <c r="AH444" s="60"/>
      <c r="AI444" s="236"/>
      <c r="AJ444" s="236"/>
    </row>
    <row r="445">
      <c r="A445" s="61"/>
      <c r="B445" s="60"/>
      <c r="C445" s="236"/>
      <c r="D445" s="236"/>
      <c r="E445" s="60"/>
      <c r="F445" s="60"/>
      <c r="G445" s="236"/>
      <c r="H445" s="60"/>
      <c r="I445" s="60"/>
      <c r="J445" s="236"/>
      <c r="K445" s="236"/>
      <c r="L445" s="60"/>
      <c r="M445" s="60"/>
      <c r="N445" s="236"/>
      <c r="O445" s="60"/>
      <c r="P445" s="60"/>
      <c r="Q445" s="236"/>
      <c r="R445" s="236"/>
      <c r="S445" s="60"/>
      <c r="T445" s="60"/>
      <c r="U445" s="236"/>
      <c r="V445" s="60"/>
      <c r="W445" s="60"/>
      <c r="X445" s="236"/>
      <c r="Y445" s="236"/>
      <c r="Z445" s="60"/>
      <c r="AA445" s="60"/>
      <c r="AB445" s="236"/>
      <c r="AC445" s="60"/>
      <c r="AD445" s="60"/>
      <c r="AE445" s="236"/>
      <c r="AF445" s="236"/>
      <c r="AG445" s="60"/>
      <c r="AH445" s="60"/>
      <c r="AI445" s="236"/>
      <c r="AJ445" s="236"/>
    </row>
    <row r="446">
      <c r="A446" s="61"/>
      <c r="B446" s="60"/>
      <c r="C446" s="236"/>
      <c r="D446" s="236"/>
      <c r="E446" s="60"/>
      <c r="F446" s="60"/>
      <c r="G446" s="236"/>
      <c r="H446" s="60"/>
      <c r="I446" s="60"/>
      <c r="J446" s="236"/>
      <c r="K446" s="236"/>
      <c r="L446" s="60"/>
      <c r="M446" s="60"/>
      <c r="N446" s="236"/>
      <c r="O446" s="60"/>
      <c r="P446" s="60"/>
      <c r="Q446" s="236"/>
      <c r="R446" s="236"/>
      <c r="S446" s="60"/>
      <c r="T446" s="60"/>
      <c r="U446" s="236"/>
      <c r="V446" s="60"/>
      <c r="W446" s="60"/>
      <c r="X446" s="236"/>
      <c r="Y446" s="236"/>
      <c r="Z446" s="60"/>
      <c r="AA446" s="60"/>
      <c r="AB446" s="236"/>
      <c r="AC446" s="60"/>
      <c r="AD446" s="60"/>
      <c r="AE446" s="236"/>
      <c r="AF446" s="236"/>
      <c r="AG446" s="60"/>
      <c r="AH446" s="60"/>
      <c r="AI446" s="236"/>
      <c r="AJ446" s="236"/>
    </row>
    <row r="447">
      <c r="A447" s="61"/>
      <c r="B447" s="60"/>
      <c r="C447" s="236"/>
      <c r="D447" s="236"/>
      <c r="E447" s="60"/>
      <c r="F447" s="60"/>
      <c r="G447" s="236"/>
      <c r="H447" s="60"/>
      <c r="I447" s="60"/>
      <c r="J447" s="236"/>
      <c r="K447" s="236"/>
      <c r="L447" s="60"/>
      <c r="M447" s="60"/>
      <c r="N447" s="236"/>
      <c r="O447" s="60"/>
      <c r="P447" s="60"/>
      <c r="Q447" s="236"/>
      <c r="R447" s="236"/>
      <c r="S447" s="60"/>
      <c r="T447" s="60"/>
      <c r="U447" s="236"/>
      <c r="V447" s="60"/>
      <c r="W447" s="60"/>
      <c r="X447" s="236"/>
      <c r="Y447" s="236"/>
      <c r="Z447" s="60"/>
      <c r="AA447" s="60"/>
      <c r="AB447" s="236"/>
      <c r="AC447" s="60"/>
      <c r="AD447" s="60"/>
      <c r="AE447" s="236"/>
      <c r="AF447" s="236"/>
      <c r="AG447" s="60"/>
      <c r="AH447" s="60"/>
      <c r="AI447" s="236"/>
      <c r="AJ447" s="236"/>
    </row>
    <row r="448">
      <c r="A448" s="61"/>
      <c r="B448" s="60"/>
      <c r="C448" s="236"/>
      <c r="D448" s="236"/>
      <c r="E448" s="60"/>
      <c r="F448" s="60"/>
      <c r="G448" s="236"/>
      <c r="H448" s="60"/>
      <c r="I448" s="60"/>
      <c r="J448" s="236"/>
      <c r="K448" s="236"/>
      <c r="L448" s="60"/>
      <c r="M448" s="60"/>
      <c r="N448" s="236"/>
      <c r="O448" s="60"/>
      <c r="P448" s="60"/>
      <c r="Q448" s="236"/>
      <c r="R448" s="236"/>
      <c r="S448" s="60"/>
      <c r="T448" s="60"/>
      <c r="U448" s="236"/>
      <c r="V448" s="60"/>
      <c r="W448" s="60"/>
      <c r="X448" s="236"/>
      <c r="Y448" s="236"/>
      <c r="Z448" s="60"/>
      <c r="AA448" s="60"/>
      <c r="AB448" s="236"/>
      <c r="AC448" s="60"/>
      <c r="AD448" s="60"/>
      <c r="AE448" s="236"/>
      <c r="AF448" s="236"/>
      <c r="AG448" s="60"/>
      <c r="AH448" s="60"/>
      <c r="AI448" s="236"/>
      <c r="AJ448" s="236"/>
    </row>
    <row r="449">
      <c r="A449" s="61"/>
      <c r="B449" s="60"/>
      <c r="C449" s="236"/>
      <c r="D449" s="236"/>
      <c r="E449" s="60"/>
      <c r="F449" s="60"/>
      <c r="G449" s="236"/>
      <c r="H449" s="60"/>
      <c r="I449" s="60"/>
      <c r="J449" s="236"/>
      <c r="K449" s="236"/>
      <c r="L449" s="60"/>
      <c r="M449" s="60"/>
      <c r="N449" s="236"/>
      <c r="O449" s="60"/>
      <c r="P449" s="60"/>
      <c r="Q449" s="236"/>
      <c r="R449" s="236"/>
      <c r="S449" s="60"/>
      <c r="T449" s="60"/>
      <c r="U449" s="236"/>
      <c r="V449" s="60"/>
      <c r="W449" s="60"/>
      <c r="X449" s="236"/>
      <c r="Y449" s="236"/>
      <c r="Z449" s="60"/>
      <c r="AA449" s="60"/>
      <c r="AB449" s="236"/>
      <c r="AC449" s="60"/>
      <c r="AD449" s="60"/>
      <c r="AE449" s="236"/>
      <c r="AF449" s="236"/>
      <c r="AG449" s="60"/>
      <c r="AH449" s="60"/>
      <c r="AI449" s="236"/>
      <c r="AJ449" s="236"/>
    </row>
    <row r="450">
      <c r="A450" s="61"/>
      <c r="B450" s="60"/>
      <c r="C450" s="236"/>
      <c r="D450" s="236"/>
      <c r="E450" s="60"/>
      <c r="F450" s="60"/>
      <c r="G450" s="236"/>
      <c r="H450" s="60"/>
      <c r="I450" s="60"/>
      <c r="J450" s="236"/>
      <c r="K450" s="236"/>
      <c r="L450" s="60"/>
      <c r="M450" s="60"/>
      <c r="N450" s="236"/>
      <c r="O450" s="60"/>
      <c r="P450" s="60"/>
      <c r="Q450" s="236"/>
      <c r="R450" s="236"/>
      <c r="S450" s="60"/>
      <c r="T450" s="60"/>
      <c r="U450" s="236"/>
      <c r="V450" s="60"/>
      <c r="W450" s="60"/>
      <c r="X450" s="236"/>
      <c r="Y450" s="236"/>
      <c r="Z450" s="60"/>
      <c r="AA450" s="60"/>
      <c r="AB450" s="236"/>
      <c r="AC450" s="60"/>
      <c r="AD450" s="60"/>
      <c r="AE450" s="236"/>
      <c r="AF450" s="236"/>
      <c r="AG450" s="60"/>
      <c r="AH450" s="60"/>
      <c r="AI450" s="236"/>
      <c r="AJ450" s="236"/>
    </row>
    <row r="451">
      <c r="A451" s="61"/>
      <c r="B451" s="60"/>
      <c r="C451" s="236"/>
      <c r="D451" s="236"/>
      <c r="E451" s="60"/>
      <c r="F451" s="60"/>
      <c r="G451" s="236"/>
      <c r="H451" s="60"/>
      <c r="I451" s="60"/>
      <c r="J451" s="236"/>
      <c r="K451" s="236"/>
      <c r="L451" s="60"/>
      <c r="M451" s="60"/>
      <c r="N451" s="236"/>
      <c r="O451" s="60"/>
      <c r="P451" s="60"/>
      <c r="Q451" s="236"/>
      <c r="R451" s="236"/>
      <c r="S451" s="60"/>
      <c r="T451" s="60"/>
      <c r="U451" s="236"/>
      <c r="V451" s="60"/>
      <c r="W451" s="60"/>
      <c r="X451" s="236"/>
      <c r="Y451" s="236"/>
      <c r="Z451" s="60"/>
      <c r="AA451" s="60"/>
      <c r="AB451" s="236"/>
      <c r="AC451" s="60"/>
      <c r="AD451" s="60"/>
      <c r="AE451" s="236"/>
      <c r="AF451" s="236"/>
      <c r="AG451" s="60"/>
      <c r="AH451" s="60"/>
      <c r="AI451" s="236"/>
      <c r="AJ451" s="236"/>
    </row>
    <row r="452">
      <c r="A452" s="61"/>
      <c r="B452" s="60"/>
      <c r="C452" s="236"/>
      <c r="D452" s="236"/>
      <c r="E452" s="60"/>
      <c r="F452" s="60"/>
      <c r="G452" s="236"/>
      <c r="H452" s="60"/>
      <c r="I452" s="60"/>
      <c r="J452" s="236"/>
      <c r="K452" s="236"/>
      <c r="L452" s="60"/>
      <c r="M452" s="60"/>
      <c r="N452" s="236"/>
      <c r="O452" s="60"/>
      <c r="P452" s="60"/>
      <c r="Q452" s="236"/>
      <c r="R452" s="236"/>
      <c r="S452" s="60"/>
      <c r="T452" s="60"/>
      <c r="U452" s="236"/>
      <c r="V452" s="60"/>
      <c r="W452" s="60"/>
      <c r="X452" s="236"/>
      <c r="Y452" s="236"/>
      <c r="Z452" s="60"/>
      <c r="AA452" s="60"/>
      <c r="AB452" s="236"/>
      <c r="AC452" s="60"/>
      <c r="AD452" s="60"/>
      <c r="AE452" s="236"/>
      <c r="AF452" s="236"/>
      <c r="AG452" s="60"/>
      <c r="AH452" s="60"/>
      <c r="AI452" s="236"/>
      <c r="AJ452" s="236"/>
    </row>
    <row r="453">
      <c r="A453" s="61"/>
      <c r="B453" s="60"/>
      <c r="C453" s="236"/>
      <c r="D453" s="236"/>
      <c r="E453" s="60"/>
      <c r="F453" s="60"/>
      <c r="G453" s="236"/>
      <c r="H453" s="60"/>
      <c r="I453" s="60"/>
      <c r="J453" s="236"/>
      <c r="K453" s="236"/>
      <c r="L453" s="60"/>
      <c r="M453" s="60"/>
      <c r="N453" s="236"/>
      <c r="O453" s="60"/>
      <c r="P453" s="60"/>
      <c r="Q453" s="236"/>
      <c r="R453" s="236"/>
      <c r="S453" s="60"/>
      <c r="T453" s="60"/>
      <c r="U453" s="236"/>
      <c r="V453" s="60"/>
      <c r="W453" s="60"/>
      <c r="X453" s="236"/>
      <c r="Y453" s="236"/>
      <c r="Z453" s="60"/>
      <c r="AA453" s="60"/>
      <c r="AB453" s="236"/>
      <c r="AC453" s="60"/>
      <c r="AD453" s="60"/>
      <c r="AE453" s="236"/>
      <c r="AF453" s="236"/>
      <c r="AG453" s="60"/>
      <c r="AH453" s="60"/>
      <c r="AI453" s="236"/>
      <c r="AJ453" s="236"/>
    </row>
    <row r="454">
      <c r="A454" s="61"/>
      <c r="B454" s="60"/>
      <c r="C454" s="236"/>
      <c r="D454" s="236"/>
      <c r="E454" s="60"/>
      <c r="F454" s="60"/>
      <c r="G454" s="236"/>
      <c r="H454" s="60"/>
      <c r="I454" s="60"/>
      <c r="J454" s="236"/>
      <c r="K454" s="236"/>
      <c r="L454" s="60"/>
      <c r="M454" s="60"/>
      <c r="N454" s="236"/>
      <c r="O454" s="60"/>
      <c r="P454" s="60"/>
      <c r="Q454" s="236"/>
      <c r="R454" s="236"/>
      <c r="S454" s="60"/>
      <c r="T454" s="60"/>
      <c r="U454" s="236"/>
      <c r="V454" s="60"/>
      <c r="W454" s="60"/>
      <c r="X454" s="236"/>
      <c r="Y454" s="236"/>
      <c r="Z454" s="60"/>
      <c r="AA454" s="60"/>
      <c r="AB454" s="236"/>
      <c r="AC454" s="60"/>
      <c r="AD454" s="60"/>
      <c r="AE454" s="236"/>
      <c r="AF454" s="236"/>
      <c r="AG454" s="60"/>
      <c r="AH454" s="60"/>
      <c r="AI454" s="236"/>
      <c r="AJ454" s="236"/>
    </row>
    <row r="455">
      <c r="A455" s="61"/>
      <c r="B455" s="60"/>
      <c r="C455" s="236"/>
      <c r="D455" s="236"/>
      <c r="E455" s="60"/>
      <c r="F455" s="60"/>
      <c r="G455" s="236"/>
      <c r="H455" s="60"/>
      <c r="I455" s="60"/>
      <c r="J455" s="236"/>
      <c r="K455" s="236"/>
      <c r="L455" s="60"/>
      <c r="M455" s="60"/>
      <c r="N455" s="236"/>
      <c r="O455" s="60"/>
      <c r="P455" s="60"/>
      <c r="Q455" s="236"/>
      <c r="R455" s="236"/>
      <c r="S455" s="60"/>
      <c r="T455" s="60"/>
      <c r="U455" s="236"/>
      <c r="V455" s="60"/>
      <c r="W455" s="60"/>
      <c r="X455" s="236"/>
      <c r="Y455" s="236"/>
      <c r="Z455" s="60"/>
      <c r="AA455" s="60"/>
      <c r="AB455" s="236"/>
      <c r="AC455" s="60"/>
      <c r="AD455" s="60"/>
      <c r="AE455" s="236"/>
      <c r="AF455" s="236"/>
      <c r="AG455" s="60"/>
      <c r="AH455" s="60"/>
      <c r="AI455" s="236"/>
      <c r="AJ455" s="236"/>
    </row>
    <row r="456">
      <c r="A456" s="61"/>
      <c r="B456" s="60"/>
      <c r="C456" s="236"/>
      <c r="D456" s="236"/>
      <c r="E456" s="60"/>
      <c r="F456" s="60"/>
      <c r="G456" s="236"/>
      <c r="H456" s="60"/>
      <c r="I456" s="60"/>
      <c r="J456" s="236"/>
      <c r="K456" s="236"/>
      <c r="L456" s="60"/>
      <c r="M456" s="60"/>
      <c r="N456" s="236"/>
      <c r="O456" s="60"/>
      <c r="P456" s="60"/>
      <c r="Q456" s="236"/>
      <c r="R456" s="236"/>
      <c r="S456" s="60"/>
      <c r="T456" s="60"/>
      <c r="U456" s="236"/>
      <c r="V456" s="60"/>
      <c r="W456" s="60"/>
      <c r="X456" s="236"/>
      <c r="Y456" s="236"/>
      <c r="Z456" s="60"/>
      <c r="AA456" s="60"/>
      <c r="AB456" s="236"/>
      <c r="AC456" s="60"/>
      <c r="AD456" s="60"/>
      <c r="AE456" s="236"/>
      <c r="AF456" s="236"/>
      <c r="AG456" s="60"/>
      <c r="AH456" s="60"/>
      <c r="AI456" s="236"/>
      <c r="AJ456" s="236"/>
    </row>
    <row r="457">
      <c r="A457" s="61"/>
      <c r="B457" s="60"/>
      <c r="C457" s="236"/>
      <c r="D457" s="236"/>
      <c r="E457" s="60"/>
      <c r="F457" s="60"/>
      <c r="G457" s="236"/>
      <c r="H457" s="60"/>
      <c r="I457" s="60"/>
      <c r="J457" s="236"/>
      <c r="K457" s="236"/>
      <c r="L457" s="60"/>
      <c r="M457" s="60"/>
      <c r="N457" s="236"/>
      <c r="O457" s="60"/>
      <c r="P457" s="60"/>
      <c r="Q457" s="236"/>
      <c r="R457" s="236"/>
      <c r="S457" s="60"/>
      <c r="T457" s="60"/>
      <c r="U457" s="236"/>
      <c r="V457" s="60"/>
      <c r="W457" s="60"/>
      <c r="X457" s="236"/>
      <c r="Y457" s="236"/>
      <c r="Z457" s="60"/>
      <c r="AA457" s="60"/>
      <c r="AB457" s="236"/>
      <c r="AC457" s="60"/>
      <c r="AD457" s="60"/>
      <c r="AE457" s="236"/>
      <c r="AF457" s="236"/>
      <c r="AG457" s="60"/>
      <c r="AH457" s="60"/>
      <c r="AI457" s="236"/>
      <c r="AJ457" s="236"/>
    </row>
    <row r="458">
      <c r="A458" s="61"/>
      <c r="B458" s="60"/>
      <c r="C458" s="236"/>
      <c r="D458" s="236"/>
      <c r="E458" s="60"/>
      <c r="F458" s="60"/>
      <c r="G458" s="236"/>
      <c r="H458" s="60"/>
      <c r="I458" s="60"/>
      <c r="J458" s="236"/>
      <c r="K458" s="236"/>
      <c r="L458" s="60"/>
      <c r="M458" s="60"/>
      <c r="N458" s="236"/>
      <c r="O458" s="60"/>
      <c r="P458" s="60"/>
      <c r="Q458" s="236"/>
      <c r="R458" s="236"/>
      <c r="S458" s="60"/>
      <c r="T458" s="60"/>
      <c r="U458" s="236"/>
      <c r="V458" s="60"/>
      <c r="W458" s="60"/>
      <c r="X458" s="236"/>
      <c r="Y458" s="236"/>
      <c r="Z458" s="60"/>
      <c r="AA458" s="60"/>
      <c r="AB458" s="236"/>
      <c r="AC458" s="60"/>
      <c r="AD458" s="60"/>
      <c r="AE458" s="236"/>
      <c r="AF458" s="236"/>
      <c r="AG458" s="60"/>
      <c r="AH458" s="60"/>
      <c r="AI458" s="236"/>
      <c r="AJ458" s="236"/>
    </row>
    <row r="459">
      <c r="A459" s="61"/>
      <c r="B459" s="60"/>
      <c r="C459" s="236"/>
      <c r="D459" s="236"/>
      <c r="E459" s="60"/>
      <c r="F459" s="60"/>
      <c r="G459" s="236"/>
      <c r="H459" s="60"/>
      <c r="I459" s="60"/>
      <c r="J459" s="236"/>
      <c r="K459" s="236"/>
      <c r="L459" s="60"/>
      <c r="M459" s="60"/>
      <c r="N459" s="236"/>
      <c r="O459" s="60"/>
      <c r="P459" s="60"/>
      <c r="Q459" s="236"/>
      <c r="R459" s="236"/>
      <c r="S459" s="60"/>
      <c r="T459" s="60"/>
      <c r="U459" s="236"/>
      <c r="V459" s="60"/>
      <c r="W459" s="60"/>
      <c r="X459" s="236"/>
      <c r="Y459" s="236"/>
      <c r="Z459" s="60"/>
      <c r="AA459" s="60"/>
      <c r="AB459" s="236"/>
      <c r="AC459" s="60"/>
      <c r="AD459" s="60"/>
      <c r="AE459" s="236"/>
      <c r="AF459" s="236"/>
      <c r="AG459" s="60"/>
      <c r="AH459" s="60"/>
      <c r="AI459" s="236"/>
      <c r="AJ459" s="236"/>
    </row>
    <row r="460">
      <c r="A460" s="61"/>
      <c r="B460" s="60"/>
      <c r="C460" s="236"/>
      <c r="D460" s="236"/>
      <c r="E460" s="60"/>
      <c r="F460" s="60"/>
      <c r="G460" s="236"/>
      <c r="H460" s="60"/>
      <c r="I460" s="60"/>
      <c r="J460" s="236"/>
      <c r="K460" s="236"/>
      <c r="L460" s="60"/>
      <c r="M460" s="60"/>
      <c r="N460" s="236"/>
      <c r="O460" s="60"/>
      <c r="P460" s="60"/>
      <c r="Q460" s="236"/>
      <c r="R460" s="236"/>
      <c r="S460" s="60"/>
      <c r="T460" s="60"/>
      <c r="U460" s="236"/>
      <c r="V460" s="60"/>
      <c r="W460" s="60"/>
      <c r="X460" s="236"/>
      <c r="Y460" s="236"/>
      <c r="Z460" s="60"/>
      <c r="AA460" s="60"/>
      <c r="AB460" s="236"/>
      <c r="AC460" s="60"/>
      <c r="AD460" s="60"/>
      <c r="AE460" s="236"/>
      <c r="AF460" s="236"/>
      <c r="AG460" s="60"/>
      <c r="AH460" s="60"/>
      <c r="AI460" s="236"/>
      <c r="AJ460" s="236"/>
    </row>
    <row r="461">
      <c r="A461" s="61"/>
      <c r="B461" s="60"/>
      <c r="C461" s="236"/>
      <c r="D461" s="236"/>
      <c r="E461" s="60"/>
      <c r="F461" s="60"/>
      <c r="G461" s="236"/>
      <c r="H461" s="60"/>
      <c r="I461" s="60"/>
      <c r="J461" s="236"/>
      <c r="K461" s="236"/>
      <c r="L461" s="60"/>
      <c r="M461" s="60"/>
      <c r="N461" s="236"/>
      <c r="O461" s="60"/>
      <c r="P461" s="60"/>
      <c r="Q461" s="236"/>
      <c r="R461" s="236"/>
      <c r="S461" s="60"/>
      <c r="T461" s="60"/>
      <c r="U461" s="236"/>
      <c r="V461" s="60"/>
      <c r="W461" s="60"/>
      <c r="X461" s="236"/>
      <c r="Y461" s="236"/>
      <c r="Z461" s="60"/>
      <c r="AA461" s="60"/>
      <c r="AB461" s="236"/>
      <c r="AC461" s="60"/>
      <c r="AD461" s="60"/>
      <c r="AE461" s="236"/>
      <c r="AF461" s="236"/>
      <c r="AG461" s="60"/>
      <c r="AH461" s="60"/>
      <c r="AI461" s="236"/>
      <c r="AJ461" s="236"/>
    </row>
    <row r="462">
      <c r="A462" s="61"/>
      <c r="B462" s="60"/>
      <c r="C462" s="236"/>
      <c r="D462" s="236"/>
      <c r="E462" s="60"/>
      <c r="F462" s="60"/>
      <c r="G462" s="236"/>
      <c r="H462" s="60"/>
      <c r="I462" s="60"/>
      <c r="J462" s="236"/>
      <c r="K462" s="236"/>
      <c r="L462" s="60"/>
      <c r="M462" s="60"/>
      <c r="N462" s="236"/>
      <c r="O462" s="60"/>
      <c r="P462" s="60"/>
      <c r="Q462" s="236"/>
      <c r="R462" s="236"/>
      <c r="S462" s="60"/>
      <c r="T462" s="60"/>
      <c r="U462" s="236"/>
      <c r="V462" s="60"/>
      <c r="W462" s="60"/>
      <c r="X462" s="236"/>
      <c r="Y462" s="236"/>
      <c r="Z462" s="60"/>
      <c r="AA462" s="60"/>
      <c r="AB462" s="236"/>
      <c r="AC462" s="60"/>
      <c r="AD462" s="60"/>
      <c r="AE462" s="236"/>
      <c r="AF462" s="236"/>
      <c r="AG462" s="60"/>
      <c r="AH462" s="60"/>
      <c r="AI462" s="236"/>
      <c r="AJ462" s="236"/>
    </row>
    <row r="463">
      <c r="A463" s="61"/>
      <c r="B463" s="60"/>
      <c r="C463" s="236"/>
      <c r="D463" s="236"/>
      <c r="E463" s="60"/>
      <c r="F463" s="60"/>
      <c r="G463" s="236"/>
      <c r="H463" s="60"/>
      <c r="I463" s="60"/>
      <c r="J463" s="236"/>
      <c r="K463" s="236"/>
      <c r="L463" s="60"/>
      <c r="M463" s="60"/>
      <c r="N463" s="236"/>
      <c r="O463" s="60"/>
      <c r="P463" s="60"/>
      <c r="Q463" s="236"/>
      <c r="R463" s="236"/>
      <c r="S463" s="60"/>
      <c r="T463" s="60"/>
      <c r="U463" s="236"/>
      <c r="V463" s="60"/>
      <c r="W463" s="60"/>
      <c r="X463" s="236"/>
      <c r="Y463" s="236"/>
      <c r="Z463" s="60"/>
      <c r="AA463" s="60"/>
      <c r="AB463" s="236"/>
      <c r="AC463" s="60"/>
      <c r="AD463" s="60"/>
      <c r="AE463" s="236"/>
      <c r="AF463" s="236"/>
      <c r="AG463" s="60"/>
      <c r="AH463" s="60"/>
      <c r="AI463" s="236"/>
      <c r="AJ463" s="236"/>
    </row>
    <row r="464">
      <c r="A464" s="61"/>
      <c r="B464" s="60"/>
      <c r="C464" s="236"/>
      <c r="D464" s="236"/>
      <c r="E464" s="60"/>
      <c r="F464" s="60"/>
      <c r="G464" s="236"/>
      <c r="H464" s="60"/>
      <c r="I464" s="60"/>
      <c r="J464" s="236"/>
      <c r="K464" s="236"/>
      <c r="L464" s="60"/>
      <c r="M464" s="60"/>
      <c r="N464" s="236"/>
      <c r="O464" s="60"/>
      <c r="P464" s="60"/>
      <c r="Q464" s="236"/>
      <c r="R464" s="236"/>
      <c r="S464" s="60"/>
      <c r="T464" s="60"/>
      <c r="U464" s="236"/>
      <c r="V464" s="60"/>
      <c r="W464" s="60"/>
      <c r="X464" s="236"/>
      <c r="Y464" s="236"/>
      <c r="Z464" s="60"/>
      <c r="AA464" s="60"/>
      <c r="AB464" s="236"/>
      <c r="AC464" s="60"/>
      <c r="AD464" s="60"/>
      <c r="AE464" s="236"/>
      <c r="AF464" s="236"/>
      <c r="AG464" s="60"/>
      <c r="AH464" s="60"/>
      <c r="AI464" s="236"/>
      <c r="AJ464" s="236"/>
    </row>
    <row r="465">
      <c r="A465" s="61"/>
      <c r="B465" s="60"/>
      <c r="C465" s="236"/>
      <c r="D465" s="236"/>
      <c r="E465" s="60"/>
      <c r="F465" s="60"/>
      <c r="G465" s="236"/>
      <c r="H465" s="60"/>
      <c r="I465" s="60"/>
      <c r="J465" s="236"/>
      <c r="K465" s="236"/>
      <c r="L465" s="60"/>
      <c r="M465" s="60"/>
      <c r="N465" s="236"/>
      <c r="O465" s="60"/>
      <c r="P465" s="60"/>
      <c r="Q465" s="236"/>
      <c r="R465" s="236"/>
      <c r="S465" s="60"/>
      <c r="T465" s="60"/>
      <c r="U465" s="236"/>
      <c r="V465" s="60"/>
      <c r="W465" s="60"/>
      <c r="X465" s="236"/>
      <c r="Y465" s="236"/>
      <c r="Z465" s="60"/>
      <c r="AA465" s="60"/>
      <c r="AB465" s="236"/>
      <c r="AC465" s="60"/>
      <c r="AD465" s="60"/>
      <c r="AE465" s="236"/>
      <c r="AF465" s="236"/>
      <c r="AG465" s="60"/>
      <c r="AH465" s="60"/>
      <c r="AI465" s="236"/>
      <c r="AJ465" s="236"/>
    </row>
    <row r="466">
      <c r="A466" s="61"/>
      <c r="B466" s="60"/>
      <c r="C466" s="236"/>
      <c r="D466" s="236"/>
      <c r="E466" s="60"/>
      <c r="F466" s="60"/>
      <c r="G466" s="236"/>
      <c r="H466" s="60"/>
      <c r="I466" s="60"/>
      <c r="J466" s="236"/>
      <c r="K466" s="236"/>
      <c r="L466" s="60"/>
      <c r="M466" s="60"/>
      <c r="N466" s="236"/>
      <c r="O466" s="60"/>
      <c r="P466" s="60"/>
      <c r="Q466" s="236"/>
      <c r="R466" s="236"/>
      <c r="S466" s="60"/>
      <c r="T466" s="60"/>
      <c r="U466" s="236"/>
      <c r="V466" s="60"/>
      <c r="W466" s="60"/>
      <c r="X466" s="236"/>
      <c r="Y466" s="236"/>
      <c r="Z466" s="60"/>
      <c r="AA466" s="60"/>
      <c r="AB466" s="236"/>
      <c r="AC466" s="60"/>
      <c r="AD466" s="60"/>
      <c r="AE466" s="236"/>
      <c r="AF466" s="236"/>
      <c r="AG466" s="60"/>
      <c r="AH466" s="60"/>
      <c r="AI466" s="236"/>
      <c r="AJ466" s="236"/>
    </row>
    <row r="467">
      <c r="A467" s="61"/>
      <c r="B467" s="60"/>
      <c r="C467" s="236"/>
      <c r="D467" s="236"/>
      <c r="E467" s="60"/>
      <c r="F467" s="60"/>
      <c r="G467" s="236"/>
      <c r="H467" s="60"/>
      <c r="I467" s="60"/>
      <c r="J467" s="236"/>
      <c r="K467" s="236"/>
      <c r="L467" s="60"/>
      <c r="M467" s="60"/>
      <c r="N467" s="236"/>
      <c r="O467" s="60"/>
      <c r="P467" s="60"/>
      <c r="Q467" s="236"/>
      <c r="R467" s="236"/>
      <c r="S467" s="60"/>
      <c r="T467" s="60"/>
      <c r="U467" s="236"/>
      <c r="V467" s="60"/>
      <c r="W467" s="60"/>
      <c r="X467" s="236"/>
      <c r="Y467" s="236"/>
      <c r="Z467" s="60"/>
      <c r="AA467" s="60"/>
      <c r="AB467" s="236"/>
      <c r="AC467" s="60"/>
      <c r="AD467" s="60"/>
      <c r="AE467" s="236"/>
      <c r="AF467" s="236"/>
      <c r="AG467" s="60"/>
      <c r="AH467" s="60"/>
      <c r="AI467" s="236"/>
      <c r="AJ467" s="236"/>
    </row>
    <row r="468">
      <c r="A468" s="61"/>
      <c r="B468" s="60"/>
      <c r="C468" s="236"/>
      <c r="D468" s="236"/>
      <c r="E468" s="60"/>
      <c r="F468" s="60"/>
      <c r="G468" s="236"/>
      <c r="H468" s="60"/>
      <c r="I468" s="60"/>
      <c r="J468" s="236"/>
      <c r="K468" s="236"/>
      <c r="L468" s="60"/>
      <c r="M468" s="60"/>
      <c r="N468" s="236"/>
      <c r="O468" s="60"/>
      <c r="P468" s="60"/>
      <c r="Q468" s="236"/>
      <c r="R468" s="236"/>
      <c r="S468" s="60"/>
      <c r="T468" s="60"/>
      <c r="U468" s="236"/>
      <c r="V468" s="60"/>
      <c r="W468" s="60"/>
      <c r="X468" s="236"/>
      <c r="Y468" s="236"/>
      <c r="Z468" s="60"/>
      <c r="AA468" s="60"/>
      <c r="AB468" s="236"/>
      <c r="AC468" s="60"/>
      <c r="AD468" s="60"/>
      <c r="AE468" s="236"/>
      <c r="AF468" s="236"/>
      <c r="AG468" s="60"/>
      <c r="AH468" s="60"/>
      <c r="AI468" s="236"/>
      <c r="AJ468" s="236"/>
    </row>
    <row r="469">
      <c r="A469" s="61"/>
      <c r="B469" s="60"/>
      <c r="C469" s="236"/>
      <c r="D469" s="236"/>
      <c r="E469" s="60"/>
      <c r="F469" s="60"/>
      <c r="G469" s="236"/>
      <c r="H469" s="60"/>
      <c r="I469" s="60"/>
      <c r="J469" s="236"/>
      <c r="K469" s="236"/>
      <c r="L469" s="60"/>
      <c r="M469" s="60"/>
      <c r="N469" s="236"/>
      <c r="O469" s="60"/>
      <c r="P469" s="60"/>
      <c r="Q469" s="236"/>
      <c r="R469" s="236"/>
      <c r="S469" s="60"/>
      <c r="T469" s="60"/>
      <c r="U469" s="236"/>
      <c r="V469" s="60"/>
      <c r="W469" s="60"/>
      <c r="X469" s="236"/>
      <c r="Y469" s="236"/>
      <c r="Z469" s="60"/>
      <c r="AA469" s="60"/>
      <c r="AB469" s="236"/>
      <c r="AC469" s="60"/>
      <c r="AD469" s="60"/>
      <c r="AE469" s="236"/>
      <c r="AF469" s="236"/>
      <c r="AG469" s="60"/>
      <c r="AH469" s="60"/>
      <c r="AI469" s="236"/>
      <c r="AJ469" s="236"/>
    </row>
    <row r="470">
      <c r="A470" s="61"/>
      <c r="B470" s="60"/>
      <c r="C470" s="236"/>
      <c r="D470" s="236"/>
      <c r="E470" s="60"/>
      <c r="F470" s="60"/>
      <c r="G470" s="236"/>
      <c r="H470" s="60"/>
      <c r="I470" s="60"/>
      <c r="J470" s="236"/>
      <c r="K470" s="236"/>
      <c r="L470" s="60"/>
      <c r="M470" s="60"/>
      <c r="N470" s="236"/>
      <c r="O470" s="60"/>
      <c r="P470" s="60"/>
      <c r="Q470" s="236"/>
      <c r="R470" s="236"/>
      <c r="S470" s="60"/>
      <c r="T470" s="60"/>
      <c r="U470" s="236"/>
      <c r="V470" s="60"/>
      <c r="W470" s="60"/>
      <c r="X470" s="236"/>
      <c r="Y470" s="236"/>
      <c r="Z470" s="60"/>
      <c r="AA470" s="60"/>
      <c r="AB470" s="236"/>
      <c r="AC470" s="60"/>
      <c r="AD470" s="60"/>
      <c r="AE470" s="236"/>
      <c r="AF470" s="236"/>
      <c r="AG470" s="60"/>
      <c r="AH470" s="60"/>
      <c r="AI470" s="236"/>
      <c r="AJ470" s="236"/>
    </row>
    <row r="471">
      <c r="A471" s="61"/>
      <c r="B471" s="60"/>
      <c r="C471" s="236"/>
      <c r="D471" s="236"/>
      <c r="E471" s="60"/>
      <c r="F471" s="60"/>
      <c r="G471" s="236"/>
      <c r="H471" s="60"/>
      <c r="I471" s="60"/>
      <c r="J471" s="236"/>
      <c r="K471" s="236"/>
      <c r="L471" s="60"/>
      <c r="M471" s="60"/>
      <c r="N471" s="236"/>
      <c r="O471" s="60"/>
      <c r="P471" s="60"/>
      <c r="Q471" s="236"/>
      <c r="R471" s="236"/>
      <c r="S471" s="60"/>
      <c r="T471" s="60"/>
      <c r="U471" s="236"/>
      <c r="V471" s="60"/>
      <c r="W471" s="60"/>
      <c r="X471" s="236"/>
      <c r="Y471" s="236"/>
      <c r="Z471" s="60"/>
      <c r="AA471" s="60"/>
      <c r="AB471" s="236"/>
      <c r="AC471" s="60"/>
      <c r="AD471" s="60"/>
      <c r="AE471" s="236"/>
      <c r="AF471" s="236"/>
      <c r="AG471" s="60"/>
      <c r="AH471" s="60"/>
      <c r="AI471" s="236"/>
      <c r="AJ471" s="236"/>
    </row>
    <row r="472">
      <c r="A472" s="61"/>
      <c r="B472" s="60"/>
      <c r="C472" s="236"/>
      <c r="D472" s="236"/>
      <c r="E472" s="60"/>
      <c r="F472" s="60"/>
      <c r="G472" s="236"/>
      <c r="H472" s="60"/>
      <c r="I472" s="60"/>
      <c r="J472" s="236"/>
      <c r="K472" s="236"/>
      <c r="L472" s="60"/>
      <c r="M472" s="60"/>
      <c r="N472" s="236"/>
      <c r="O472" s="60"/>
      <c r="P472" s="60"/>
      <c r="Q472" s="236"/>
      <c r="R472" s="236"/>
      <c r="S472" s="60"/>
      <c r="T472" s="60"/>
      <c r="U472" s="236"/>
      <c r="V472" s="60"/>
      <c r="W472" s="60"/>
      <c r="X472" s="236"/>
      <c r="Y472" s="236"/>
      <c r="Z472" s="60"/>
      <c r="AA472" s="60"/>
      <c r="AB472" s="236"/>
      <c r="AC472" s="60"/>
      <c r="AD472" s="60"/>
      <c r="AE472" s="236"/>
      <c r="AF472" s="236"/>
      <c r="AG472" s="60"/>
      <c r="AH472" s="60"/>
      <c r="AI472" s="236"/>
      <c r="AJ472" s="236"/>
    </row>
    <row r="473">
      <c r="A473" s="61"/>
      <c r="B473" s="60"/>
      <c r="C473" s="236"/>
      <c r="D473" s="236"/>
      <c r="E473" s="60"/>
      <c r="F473" s="60"/>
      <c r="G473" s="236"/>
      <c r="H473" s="60"/>
      <c r="I473" s="60"/>
      <c r="J473" s="236"/>
      <c r="K473" s="236"/>
      <c r="L473" s="60"/>
      <c r="M473" s="60"/>
      <c r="N473" s="236"/>
      <c r="O473" s="60"/>
      <c r="P473" s="60"/>
      <c r="Q473" s="236"/>
      <c r="R473" s="236"/>
      <c r="S473" s="60"/>
      <c r="T473" s="60"/>
      <c r="U473" s="236"/>
      <c r="V473" s="60"/>
      <c r="W473" s="60"/>
      <c r="X473" s="236"/>
      <c r="Y473" s="236"/>
      <c r="Z473" s="60"/>
      <c r="AA473" s="60"/>
      <c r="AB473" s="236"/>
      <c r="AC473" s="60"/>
      <c r="AD473" s="60"/>
      <c r="AE473" s="236"/>
      <c r="AF473" s="236"/>
      <c r="AG473" s="60"/>
      <c r="AH473" s="60"/>
      <c r="AI473" s="236"/>
      <c r="AJ473" s="236"/>
    </row>
    <row r="474">
      <c r="A474" s="61"/>
      <c r="B474" s="60"/>
      <c r="C474" s="236"/>
      <c r="D474" s="236"/>
      <c r="E474" s="60"/>
      <c r="F474" s="60"/>
      <c r="G474" s="236"/>
      <c r="H474" s="60"/>
      <c r="I474" s="60"/>
      <c r="J474" s="236"/>
      <c r="K474" s="236"/>
      <c r="L474" s="60"/>
      <c r="M474" s="60"/>
      <c r="N474" s="236"/>
      <c r="O474" s="60"/>
      <c r="P474" s="60"/>
      <c r="Q474" s="236"/>
      <c r="R474" s="236"/>
      <c r="S474" s="60"/>
      <c r="T474" s="60"/>
      <c r="U474" s="236"/>
      <c r="V474" s="60"/>
      <c r="W474" s="60"/>
      <c r="X474" s="236"/>
      <c r="Y474" s="236"/>
      <c r="Z474" s="60"/>
      <c r="AA474" s="60"/>
      <c r="AB474" s="236"/>
      <c r="AC474" s="60"/>
      <c r="AD474" s="60"/>
      <c r="AE474" s="236"/>
      <c r="AF474" s="236"/>
      <c r="AG474" s="60"/>
      <c r="AH474" s="60"/>
      <c r="AI474" s="236"/>
      <c r="AJ474" s="236"/>
    </row>
    <row r="475">
      <c r="A475" s="61"/>
      <c r="B475" s="60"/>
      <c r="C475" s="236"/>
      <c r="D475" s="236"/>
      <c r="E475" s="60"/>
      <c r="F475" s="60"/>
      <c r="G475" s="236"/>
      <c r="H475" s="60"/>
      <c r="I475" s="60"/>
      <c r="J475" s="236"/>
      <c r="K475" s="236"/>
      <c r="L475" s="60"/>
      <c r="M475" s="60"/>
      <c r="N475" s="236"/>
      <c r="O475" s="60"/>
      <c r="P475" s="60"/>
      <c r="Q475" s="236"/>
      <c r="R475" s="236"/>
      <c r="S475" s="60"/>
      <c r="T475" s="60"/>
      <c r="U475" s="236"/>
      <c r="V475" s="60"/>
      <c r="W475" s="60"/>
      <c r="X475" s="236"/>
      <c r="Y475" s="236"/>
      <c r="Z475" s="60"/>
      <c r="AA475" s="60"/>
      <c r="AB475" s="236"/>
      <c r="AC475" s="60"/>
      <c r="AD475" s="60"/>
      <c r="AE475" s="236"/>
      <c r="AF475" s="236"/>
      <c r="AG475" s="60"/>
      <c r="AH475" s="60"/>
      <c r="AI475" s="236"/>
      <c r="AJ475" s="236"/>
    </row>
    <row r="476">
      <c r="A476" s="61"/>
      <c r="B476" s="60"/>
      <c r="C476" s="236"/>
      <c r="D476" s="236"/>
      <c r="E476" s="60"/>
      <c r="F476" s="60"/>
      <c r="G476" s="236"/>
      <c r="H476" s="60"/>
      <c r="I476" s="60"/>
      <c r="J476" s="236"/>
      <c r="K476" s="236"/>
      <c r="L476" s="60"/>
      <c r="M476" s="60"/>
      <c r="N476" s="236"/>
      <c r="O476" s="60"/>
      <c r="P476" s="60"/>
      <c r="Q476" s="236"/>
      <c r="R476" s="236"/>
      <c r="S476" s="60"/>
      <c r="T476" s="60"/>
      <c r="U476" s="236"/>
      <c r="V476" s="60"/>
      <c r="W476" s="60"/>
      <c r="X476" s="236"/>
      <c r="Y476" s="236"/>
      <c r="Z476" s="60"/>
      <c r="AA476" s="60"/>
      <c r="AB476" s="236"/>
      <c r="AC476" s="60"/>
      <c r="AD476" s="60"/>
      <c r="AE476" s="236"/>
      <c r="AF476" s="236"/>
      <c r="AG476" s="60"/>
      <c r="AH476" s="60"/>
      <c r="AI476" s="236"/>
      <c r="AJ476" s="236"/>
    </row>
    <row r="477">
      <c r="A477" s="61"/>
      <c r="B477" s="60"/>
      <c r="C477" s="236"/>
      <c r="D477" s="236"/>
      <c r="E477" s="60"/>
      <c r="F477" s="60"/>
      <c r="G477" s="236"/>
      <c r="H477" s="60"/>
      <c r="I477" s="60"/>
      <c r="J477" s="236"/>
      <c r="K477" s="236"/>
      <c r="L477" s="60"/>
      <c r="M477" s="60"/>
      <c r="N477" s="236"/>
      <c r="O477" s="60"/>
      <c r="P477" s="60"/>
      <c r="Q477" s="236"/>
      <c r="R477" s="236"/>
      <c r="S477" s="60"/>
      <c r="T477" s="60"/>
      <c r="U477" s="236"/>
      <c r="V477" s="60"/>
      <c r="W477" s="60"/>
      <c r="X477" s="236"/>
      <c r="Y477" s="236"/>
      <c r="Z477" s="60"/>
      <c r="AA477" s="60"/>
      <c r="AB477" s="236"/>
      <c r="AC477" s="60"/>
      <c r="AD477" s="60"/>
      <c r="AE477" s="236"/>
      <c r="AF477" s="236"/>
      <c r="AG477" s="60"/>
      <c r="AH477" s="60"/>
      <c r="AI477" s="236"/>
      <c r="AJ477" s="236"/>
    </row>
    <row r="478">
      <c r="A478" s="61"/>
      <c r="B478" s="60"/>
      <c r="C478" s="236"/>
      <c r="D478" s="236"/>
      <c r="E478" s="60"/>
      <c r="F478" s="60"/>
      <c r="G478" s="236"/>
      <c r="H478" s="60"/>
      <c r="I478" s="60"/>
      <c r="J478" s="236"/>
      <c r="K478" s="236"/>
      <c r="L478" s="60"/>
      <c r="M478" s="60"/>
      <c r="N478" s="236"/>
      <c r="O478" s="60"/>
      <c r="P478" s="60"/>
      <c r="Q478" s="236"/>
      <c r="R478" s="236"/>
      <c r="S478" s="60"/>
      <c r="T478" s="60"/>
      <c r="U478" s="236"/>
      <c r="V478" s="60"/>
      <c r="W478" s="60"/>
      <c r="X478" s="236"/>
      <c r="Y478" s="236"/>
      <c r="Z478" s="60"/>
      <c r="AA478" s="60"/>
      <c r="AB478" s="236"/>
      <c r="AC478" s="60"/>
      <c r="AD478" s="60"/>
      <c r="AE478" s="236"/>
      <c r="AF478" s="236"/>
      <c r="AG478" s="60"/>
      <c r="AH478" s="60"/>
      <c r="AI478" s="236"/>
      <c r="AJ478" s="236"/>
    </row>
    <row r="479">
      <c r="A479" s="61"/>
      <c r="B479" s="60"/>
      <c r="C479" s="236"/>
      <c r="D479" s="236"/>
      <c r="E479" s="60"/>
      <c r="F479" s="60"/>
      <c r="G479" s="236"/>
      <c r="H479" s="60"/>
      <c r="I479" s="60"/>
      <c r="J479" s="236"/>
      <c r="K479" s="236"/>
      <c r="L479" s="60"/>
      <c r="M479" s="60"/>
      <c r="N479" s="236"/>
      <c r="O479" s="60"/>
      <c r="P479" s="60"/>
      <c r="Q479" s="236"/>
      <c r="R479" s="236"/>
      <c r="S479" s="60"/>
      <c r="T479" s="60"/>
      <c r="U479" s="236"/>
      <c r="V479" s="60"/>
      <c r="W479" s="60"/>
      <c r="X479" s="236"/>
      <c r="Y479" s="236"/>
      <c r="Z479" s="60"/>
      <c r="AA479" s="60"/>
      <c r="AB479" s="236"/>
      <c r="AC479" s="60"/>
      <c r="AD479" s="60"/>
      <c r="AE479" s="236"/>
      <c r="AF479" s="236"/>
      <c r="AG479" s="60"/>
      <c r="AH479" s="60"/>
      <c r="AI479" s="236"/>
      <c r="AJ479" s="236"/>
    </row>
    <row r="480">
      <c r="A480" s="61"/>
      <c r="B480" s="60"/>
      <c r="C480" s="236"/>
      <c r="D480" s="236"/>
      <c r="E480" s="60"/>
      <c r="F480" s="60"/>
      <c r="G480" s="236"/>
      <c r="H480" s="60"/>
      <c r="I480" s="60"/>
      <c r="J480" s="236"/>
      <c r="K480" s="236"/>
      <c r="L480" s="60"/>
      <c r="M480" s="60"/>
      <c r="N480" s="236"/>
      <c r="O480" s="60"/>
      <c r="P480" s="60"/>
      <c r="Q480" s="236"/>
      <c r="R480" s="236"/>
      <c r="S480" s="60"/>
      <c r="T480" s="60"/>
      <c r="U480" s="236"/>
      <c r="V480" s="60"/>
      <c r="W480" s="60"/>
      <c r="X480" s="236"/>
      <c r="Y480" s="236"/>
      <c r="Z480" s="60"/>
      <c r="AA480" s="60"/>
      <c r="AB480" s="236"/>
      <c r="AC480" s="60"/>
      <c r="AD480" s="60"/>
      <c r="AE480" s="236"/>
      <c r="AF480" s="236"/>
      <c r="AG480" s="60"/>
      <c r="AH480" s="60"/>
      <c r="AI480" s="236"/>
      <c r="AJ480" s="236"/>
    </row>
    <row r="481">
      <c r="A481" s="61"/>
      <c r="B481" s="60"/>
      <c r="C481" s="236"/>
      <c r="D481" s="236"/>
      <c r="E481" s="60"/>
      <c r="F481" s="60"/>
      <c r="G481" s="236"/>
      <c r="H481" s="60"/>
      <c r="I481" s="60"/>
      <c r="J481" s="236"/>
      <c r="K481" s="236"/>
      <c r="L481" s="60"/>
      <c r="M481" s="60"/>
      <c r="N481" s="236"/>
      <c r="O481" s="60"/>
      <c r="P481" s="60"/>
      <c r="Q481" s="236"/>
      <c r="R481" s="236"/>
      <c r="S481" s="60"/>
      <c r="T481" s="60"/>
      <c r="U481" s="236"/>
      <c r="V481" s="60"/>
      <c r="W481" s="60"/>
      <c r="X481" s="236"/>
      <c r="Y481" s="236"/>
      <c r="Z481" s="60"/>
      <c r="AA481" s="60"/>
      <c r="AB481" s="236"/>
      <c r="AC481" s="60"/>
      <c r="AD481" s="60"/>
      <c r="AE481" s="236"/>
      <c r="AF481" s="236"/>
      <c r="AG481" s="60"/>
      <c r="AH481" s="60"/>
      <c r="AI481" s="236"/>
      <c r="AJ481" s="236"/>
    </row>
    <row r="482">
      <c r="A482" s="61"/>
      <c r="B482" s="60"/>
      <c r="C482" s="236"/>
      <c r="D482" s="236"/>
      <c r="E482" s="60"/>
      <c r="F482" s="60"/>
      <c r="G482" s="236"/>
      <c r="H482" s="60"/>
      <c r="I482" s="60"/>
      <c r="J482" s="236"/>
      <c r="K482" s="236"/>
      <c r="L482" s="60"/>
      <c r="M482" s="60"/>
      <c r="N482" s="236"/>
      <c r="O482" s="60"/>
      <c r="P482" s="60"/>
      <c r="Q482" s="236"/>
      <c r="R482" s="236"/>
      <c r="S482" s="60"/>
      <c r="T482" s="60"/>
      <c r="U482" s="236"/>
      <c r="V482" s="60"/>
      <c r="W482" s="60"/>
      <c r="X482" s="236"/>
      <c r="Y482" s="236"/>
      <c r="Z482" s="60"/>
      <c r="AA482" s="60"/>
      <c r="AB482" s="236"/>
      <c r="AC482" s="60"/>
      <c r="AD482" s="60"/>
      <c r="AE482" s="236"/>
      <c r="AF482" s="236"/>
      <c r="AG482" s="60"/>
      <c r="AH482" s="60"/>
      <c r="AI482" s="236"/>
      <c r="AJ482" s="236"/>
    </row>
    <row r="483">
      <c r="A483" s="61"/>
      <c r="B483" s="60"/>
      <c r="C483" s="236"/>
      <c r="D483" s="236"/>
      <c r="E483" s="60"/>
      <c r="F483" s="60"/>
      <c r="G483" s="236"/>
      <c r="H483" s="60"/>
      <c r="I483" s="60"/>
      <c r="J483" s="236"/>
      <c r="K483" s="236"/>
      <c r="L483" s="60"/>
      <c r="M483" s="60"/>
      <c r="N483" s="236"/>
      <c r="O483" s="60"/>
      <c r="P483" s="60"/>
      <c r="Q483" s="236"/>
      <c r="R483" s="236"/>
      <c r="S483" s="60"/>
      <c r="T483" s="60"/>
      <c r="U483" s="236"/>
      <c r="V483" s="60"/>
      <c r="W483" s="60"/>
      <c r="X483" s="236"/>
      <c r="Y483" s="236"/>
      <c r="Z483" s="60"/>
      <c r="AA483" s="60"/>
      <c r="AB483" s="236"/>
      <c r="AC483" s="60"/>
      <c r="AD483" s="60"/>
      <c r="AE483" s="236"/>
      <c r="AF483" s="236"/>
      <c r="AG483" s="60"/>
      <c r="AH483" s="60"/>
      <c r="AI483" s="236"/>
      <c r="AJ483" s="236"/>
    </row>
    <row r="484">
      <c r="A484" s="61"/>
      <c r="B484" s="60"/>
      <c r="C484" s="236"/>
      <c r="D484" s="236"/>
      <c r="E484" s="60"/>
      <c r="F484" s="60"/>
      <c r="G484" s="236"/>
      <c r="H484" s="60"/>
      <c r="I484" s="60"/>
      <c r="J484" s="236"/>
      <c r="K484" s="236"/>
      <c r="L484" s="60"/>
      <c r="M484" s="60"/>
      <c r="N484" s="236"/>
      <c r="O484" s="60"/>
      <c r="P484" s="60"/>
      <c r="Q484" s="236"/>
      <c r="R484" s="236"/>
      <c r="S484" s="60"/>
      <c r="T484" s="60"/>
      <c r="U484" s="236"/>
      <c r="V484" s="60"/>
      <c r="W484" s="60"/>
      <c r="X484" s="236"/>
      <c r="Y484" s="236"/>
      <c r="Z484" s="60"/>
      <c r="AA484" s="60"/>
      <c r="AB484" s="236"/>
      <c r="AC484" s="60"/>
      <c r="AD484" s="60"/>
      <c r="AE484" s="236"/>
      <c r="AF484" s="236"/>
      <c r="AG484" s="60"/>
      <c r="AH484" s="60"/>
      <c r="AI484" s="236"/>
      <c r="AJ484" s="236"/>
    </row>
    <row r="485">
      <c r="A485" s="61"/>
      <c r="B485" s="60"/>
      <c r="C485" s="236"/>
      <c r="D485" s="236"/>
      <c r="E485" s="60"/>
      <c r="F485" s="60"/>
      <c r="G485" s="236"/>
      <c r="H485" s="60"/>
      <c r="I485" s="60"/>
      <c r="J485" s="236"/>
      <c r="K485" s="236"/>
      <c r="L485" s="60"/>
      <c r="M485" s="60"/>
      <c r="N485" s="236"/>
      <c r="O485" s="60"/>
      <c r="P485" s="60"/>
      <c r="Q485" s="236"/>
      <c r="R485" s="236"/>
      <c r="S485" s="60"/>
      <c r="T485" s="60"/>
      <c r="U485" s="236"/>
      <c r="V485" s="60"/>
      <c r="W485" s="60"/>
      <c r="X485" s="236"/>
      <c r="Y485" s="236"/>
      <c r="Z485" s="60"/>
      <c r="AA485" s="60"/>
      <c r="AB485" s="236"/>
      <c r="AC485" s="60"/>
      <c r="AD485" s="60"/>
      <c r="AE485" s="236"/>
      <c r="AF485" s="236"/>
      <c r="AG485" s="60"/>
      <c r="AH485" s="60"/>
      <c r="AI485" s="236"/>
      <c r="AJ485" s="236"/>
    </row>
    <row r="486">
      <c r="A486" s="61"/>
      <c r="B486" s="60"/>
      <c r="C486" s="236"/>
      <c r="D486" s="236"/>
      <c r="E486" s="60"/>
      <c r="F486" s="60"/>
      <c r="G486" s="236"/>
      <c r="H486" s="60"/>
      <c r="I486" s="60"/>
      <c r="J486" s="236"/>
      <c r="K486" s="236"/>
      <c r="L486" s="60"/>
      <c r="M486" s="60"/>
      <c r="N486" s="236"/>
      <c r="O486" s="60"/>
      <c r="P486" s="60"/>
      <c r="Q486" s="236"/>
      <c r="R486" s="236"/>
      <c r="S486" s="60"/>
      <c r="T486" s="60"/>
      <c r="U486" s="236"/>
      <c r="V486" s="60"/>
      <c r="W486" s="60"/>
      <c r="X486" s="236"/>
      <c r="Y486" s="236"/>
      <c r="Z486" s="60"/>
      <c r="AA486" s="60"/>
      <c r="AB486" s="236"/>
      <c r="AC486" s="60"/>
      <c r="AD486" s="60"/>
      <c r="AE486" s="236"/>
      <c r="AF486" s="236"/>
      <c r="AG486" s="60"/>
      <c r="AH486" s="60"/>
      <c r="AI486" s="236"/>
      <c r="AJ486" s="236"/>
    </row>
    <row r="487">
      <c r="A487" s="61"/>
      <c r="B487" s="60"/>
      <c r="C487" s="236"/>
      <c r="D487" s="236"/>
      <c r="E487" s="60"/>
      <c r="F487" s="60"/>
      <c r="G487" s="236"/>
      <c r="H487" s="60"/>
      <c r="I487" s="60"/>
      <c r="J487" s="236"/>
      <c r="K487" s="236"/>
      <c r="L487" s="60"/>
      <c r="M487" s="60"/>
      <c r="N487" s="236"/>
      <c r="O487" s="60"/>
      <c r="P487" s="60"/>
      <c r="Q487" s="236"/>
      <c r="R487" s="236"/>
      <c r="S487" s="60"/>
      <c r="T487" s="60"/>
      <c r="U487" s="236"/>
      <c r="V487" s="60"/>
      <c r="W487" s="60"/>
      <c r="X487" s="236"/>
      <c r="Y487" s="236"/>
      <c r="Z487" s="60"/>
      <c r="AA487" s="60"/>
      <c r="AB487" s="236"/>
      <c r="AC487" s="60"/>
      <c r="AD487" s="60"/>
      <c r="AE487" s="236"/>
      <c r="AF487" s="236"/>
      <c r="AG487" s="60"/>
      <c r="AH487" s="60"/>
      <c r="AI487" s="236"/>
      <c r="AJ487" s="236"/>
    </row>
    <row r="488">
      <c r="A488" s="61"/>
      <c r="B488" s="60"/>
      <c r="C488" s="236"/>
      <c r="D488" s="236"/>
      <c r="E488" s="60"/>
      <c r="F488" s="60"/>
      <c r="G488" s="236"/>
      <c r="H488" s="60"/>
      <c r="I488" s="60"/>
      <c r="J488" s="236"/>
      <c r="K488" s="236"/>
      <c r="L488" s="60"/>
      <c r="M488" s="60"/>
      <c r="N488" s="236"/>
      <c r="O488" s="60"/>
      <c r="P488" s="60"/>
      <c r="Q488" s="236"/>
      <c r="R488" s="236"/>
      <c r="S488" s="60"/>
      <c r="T488" s="60"/>
      <c r="U488" s="236"/>
      <c r="V488" s="60"/>
      <c r="W488" s="60"/>
      <c r="X488" s="236"/>
      <c r="Y488" s="236"/>
      <c r="Z488" s="60"/>
      <c r="AA488" s="60"/>
      <c r="AB488" s="236"/>
      <c r="AC488" s="60"/>
      <c r="AD488" s="60"/>
      <c r="AE488" s="236"/>
      <c r="AF488" s="236"/>
      <c r="AG488" s="60"/>
      <c r="AH488" s="60"/>
      <c r="AI488" s="236"/>
      <c r="AJ488" s="236"/>
    </row>
    <row r="489">
      <c r="A489" s="61"/>
      <c r="B489" s="60"/>
      <c r="C489" s="236"/>
      <c r="D489" s="236"/>
      <c r="E489" s="60"/>
      <c r="F489" s="60"/>
      <c r="G489" s="236"/>
      <c r="H489" s="60"/>
      <c r="I489" s="60"/>
      <c r="J489" s="236"/>
      <c r="K489" s="236"/>
      <c r="L489" s="60"/>
      <c r="M489" s="60"/>
      <c r="N489" s="236"/>
      <c r="O489" s="60"/>
      <c r="P489" s="60"/>
      <c r="Q489" s="236"/>
      <c r="R489" s="236"/>
      <c r="S489" s="60"/>
      <c r="T489" s="60"/>
      <c r="U489" s="236"/>
      <c r="V489" s="60"/>
      <c r="W489" s="60"/>
      <c r="X489" s="236"/>
      <c r="Y489" s="236"/>
      <c r="Z489" s="60"/>
      <c r="AA489" s="60"/>
      <c r="AB489" s="236"/>
      <c r="AC489" s="60"/>
      <c r="AD489" s="60"/>
      <c r="AE489" s="236"/>
      <c r="AF489" s="236"/>
      <c r="AG489" s="60"/>
      <c r="AH489" s="60"/>
      <c r="AI489" s="236"/>
      <c r="AJ489" s="236"/>
    </row>
    <row r="490">
      <c r="A490" s="61"/>
      <c r="B490" s="60"/>
      <c r="C490" s="236"/>
      <c r="D490" s="236"/>
      <c r="E490" s="60"/>
      <c r="F490" s="60"/>
      <c r="G490" s="236"/>
      <c r="H490" s="60"/>
      <c r="I490" s="60"/>
      <c r="J490" s="236"/>
      <c r="K490" s="236"/>
      <c r="L490" s="60"/>
      <c r="M490" s="60"/>
      <c r="N490" s="236"/>
      <c r="O490" s="60"/>
      <c r="P490" s="60"/>
      <c r="Q490" s="236"/>
      <c r="R490" s="236"/>
      <c r="S490" s="60"/>
      <c r="T490" s="60"/>
      <c r="U490" s="236"/>
      <c r="V490" s="60"/>
      <c r="W490" s="60"/>
      <c r="X490" s="236"/>
      <c r="Y490" s="236"/>
      <c r="Z490" s="60"/>
      <c r="AA490" s="60"/>
      <c r="AB490" s="236"/>
      <c r="AC490" s="60"/>
      <c r="AD490" s="60"/>
      <c r="AE490" s="236"/>
      <c r="AF490" s="236"/>
      <c r="AG490" s="60"/>
      <c r="AH490" s="60"/>
      <c r="AI490" s="236"/>
      <c r="AJ490" s="236"/>
    </row>
    <row r="491">
      <c r="A491" s="61"/>
      <c r="B491" s="60"/>
      <c r="C491" s="236"/>
      <c r="D491" s="236"/>
      <c r="E491" s="60"/>
      <c r="F491" s="60"/>
      <c r="G491" s="236"/>
      <c r="H491" s="60"/>
      <c r="I491" s="60"/>
      <c r="J491" s="236"/>
      <c r="K491" s="236"/>
      <c r="L491" s="60"/>
      <c r="M491" s="60"/>
      <c r="N491" s="236"/>
      <c r="O491" s="60"/>
      <c r="P491" s="60"/>
      <c r="Q491" s="236"/>
      <c r="R491" s="236"/>
      <c r="S491" s="60"/>
      <c r="T491" s="60"/>
      <c r="U491" s="236"/>
      <c r="V491" s="60"/>
      <c r="W491" s="60"/>
      <c r="X491" s="236"/>
      <c r="Y491" s="236"/>
      <c r="Z491" s="60"/>
      <c r="AA491" s="60"/>
      <c r="AB491" s="236"/>
      <c r="AC491" s="60"/>
      <c r="AD491" s="60"/>
      <c r="AE491" s="236"/>
      <c r="AF491" s="236"/>
      <c r="AG491" s="60"/>
      <c r="AH491" s="60"/>
      <c r="AI491" s="236"/>
      <c r="AJ491" s="236"/>
    </row>
    <row r="492">
      <c r="A492" s="61"/>
      <c r="B492" s="60"/>
      <c r="C492" s="236"/>
      <c r="D492" s="236"/>
      <c r="E492" s="60"/>
      <c r="F492" s="60"/>
      <c r="G492" s="236"/>
      <c r="H492" s="60"/>
      <c r="I492" s="60"/>
      <c r="J492" s="236"/>
      <c r="K492" s="236"/>
      <c r="L492" s="60"/>
      <c r="M492" s="60"/>
      <c r="N492" s="236"/>
      <c r="O492" s="60"/>
      <c r="P492" s="60"/>
      <c r="Q492" s="236"/>
      <c r="R492" s="236"/>
      <c r="S492" s="60"/>
      <c r="T492" s="60"/>
      <c r="U492" s="236"/>
      <c r="V492" s="60"/>
      <c r="W492" s="60"/>
      <c r="X492" s="236"/>
      <c r="Y492" s="236"/>
      <c r="Z492" s="60"/>
      <c r="AA492" s="60"/>
      <c r="AB492" s="236"/>
      <c r="AC492" s="60"/>
      <c r="AD492" s="60"/>
      <c r="AE492" s="236"/>
      <c r="AF492" s="236"/>
      <c r="AG492" s="60"/>
      <c r="AH492" s="60"/>
      <c r="AI492" s="236"/>
      <c r="AJ492" s="236"/>
    </row>
    <row r="493">
      <c r="A493" s="61"/>
      <c r="B493" s="60"/>
      <c r="C493" s="236"/>
      <c r="D493" s="236"/>
      <c r="E493" s="60"/>
      <c r="F493" s="60"/>
      <c r="G493" s="236"/>
      <c r="H493" s="60"/>
      <c r="I493" s="60"/>
      <c r="J493" s="236"/>
      <c r="K493" s="236"/>
      <c r="L493" s="60"/>
      <c r="M493" s="60"/>
      <c r="N493" s="236"/>
      <c r="O493" s="60"/>
      <c r="P493" s="60"/>
      <c r="Q493" s="236"/>
      <c r="R493" s="236"/>
      <c r="S493" s="60"/>
      <c r="T493" s="60"/>
      <c r="U493" s="236"/>
      <c r="V493" s="60"/>
      <c r="W493" s="60"/>
      <c r="X493" s="236"/>
      <c r="Y493" s="236"/>
      <c r="Z493" s="60"/>
      <c r="AA493" s="60"/>
      <c r="AB493" s="236"/>
      <c r="AC493" s="60"/>
      <c r="AD493" s="60"/>
      <c r="AE493" s="236"/>
      <c r="AF493" s="236"/>
      <c r="AG493" s="60"/>
      <c r="AH493" s="60"/>
      <c r="AI493" s="236"/>
      <c r="AJ493" s="236"/>
    </row>
    <row r="494">
      <c r="A494" s="61"/>
      <c r="B494" s="60"/>
      <c r="C494" s="236"/>
      <c r="D494" s="236"/>
      <c r="E494" s="60"/>
      <c r="F494" s="60"/>
      <c r="G494" s="236"/>
      <c r="H494" s="60"/>
      <c r="I494" s="60"/>
      <c r="J494" s="236"/>
      <c r="K494" s="236"/>
      <c r="L494" s="60"/>
      <c r="M494" s="60"/>
      <c r="N494" s="236"/>
      <c r="O494" s="60"/>
      <c r="P494" s="60"/>
      <c r="Q494" s="236"/>
      <c r="R494" s="236"/>
      <c r="S494" s="60"/>
      <c r="T494" s="60"/>
      <c r="U494" s="236"/>
      <c r="V494" s="60"/>
      <c r="W494" s="60"/>
      <c r="X494" s="236"/>
      <c r="Y494" s="236"/>
      <c r="Z494" s="60"/>
      <c r="AA494" s="60"/>
      <c r="AB494" s="236"/>
      <c r="AC494" s="60"/>
      <c r="AD494" s="60"/>
      <c r="AE494" s="236"/>
      <c r="AF494" s="236"/>
      <c r="AG494" s="60"/>
      <c r="AH494" s="60"/>
      <c r="AI494" s="236"/>
      <c r="AJ494" s="236"/>
    </row>
    <row r="495">
      <c r="A495" s="61"/>
      <c r="B495" s="60"/>
      <c r="C495" s="236"/>
      <c r="D495" s="236"/>
      <c r="E495" s="60"/>
      <c r="F495" s="60"/>
      <c r="G495" s="236"/>
      <c r="H495" s="60"/>
      <c r="I495" s="60"/>
      <c r="J495" s="236"/>
      <c r="K495" s="236"/>
      <c r="L495" s="60"/>
      <c r="M495" s="60"/>
      <c r="N495" s="236"/>
      <c r="O495" s="60"/>
      <c r="P495" s="60"/>
      <c r="Q495" s="236"/>
      <c r="R495" s="236"/>
      <c r="S495" s="60"/>
      <c r="T495" s="60"/>
      <c r="U495" s="236"/>
      <c r="V495" s="60"/>
      <c r="W495" s="60"/>
      <c r="X495" s="236"/>
      <c r="Y495" s="236"/>
      <c r="Z495" s="60"/>
      <c r="AA495" s="60"/>
      <c r="AB495" s="236"/>
      <c r="AC495" s="60"/>
      <c r="AD495" s="60"/>
      <c r="AE495" s="236"/>
      <c r="AF495" s="236"/>
      <c r="AG495" s="60"/>
      <c r="AH495" s="60"/>
      <c r="AI495" s="236"/>
      <c r="AJ495" s="236"/>
    </row>
    <row r="496">
      <c r="A496" s="61"/>
      <c r="B496" s="60"/>
      <c r="C496" s="236"/>
      <c r="D496" s="236"/>
      <c r="E496" s="60"/>
      <c r="F496" s="60"/>
      <c r="G496" s="236"/>
      <c r="H496" s="60"/>
      <c r="I496" s="60"/>
      <c r="J496" s="236"/>
      <c r="K496" s="236"/>
      <c r="L496" s="60"/>
      <c r="M496" s="60"/>
      <c r="N496" s="236"/>
      <c r="O496" s="60"/>
      <c r="P496" s="60"/>
      <c r="Q496" s="236"/>
      <c r="R496" s="236"/>
      <c r="S496" s="60"/>
      <c r="T496" s="60"/>
      <c r="U496" s="236"/>
      <c r="V496" s="60"/>
      <c r="W496" s="60"/>
      <c r="X496" s="236"/>
      <c r="Y496" s="236"/>
      <c r="Z496" s="60"/>
      <c r="AA496" s="60"/>
      <c r="AB496" s="236"/>
      <c r="AC496" s="60"/>
      <c r="AD496" s="60"/>
      <c r="AE496" s="236"/>
      <c r="AF496" s="236"/>
      <c r="AG496" s="60"/>
      <c r="AH496" s="60"/>
      <c r="AI496" s="236"/>
      <c r="AJ496" s="236"/>
    </row>
    <row r="497">
      <c r="A497" s="61"/>
      <c r="B497" s="60"/>
      <c r="C497" s="236"/>
      <c r="D497" s="236"/>
      <c r="E497" s="60"/>
      <c r="F497" s="60"/>
      <c r="G497" s="236"/>
      <c r="H497" s="60"/>
      <c r="I497" s="60"/>
      <c r="J497" s="236"/>
      <c r="K497" s="236"/>
      <c r="L497" s="60"/>
      <c r="M497" s="60"/>
      <c r="N497" s="236"/>
      <c r="O497" s="60"/>
      <c r="P497" s="60"/>
      <c r="Q497" s="236"/>
      <c r="R497" s="236"/>
      <c r="S497" s="60"/>
      <c r="T497" s="60"/>
      <c r="U497" s="236"/>
      <c r="V497" s="60"/>
      <c r="W497" s="60"/>
      <c r="X497" s="236"/>
      <c r="Y497" s="236"/>
      <c r="Z497" s="60"/>
      <c r="AA497" s="60"/>
      <c r="AB497" s="236"/>
      <c r="AC497" s="60"/>
      <c r="AD497" s="60"/>
      <c r="AE497" s="236"/>
      <c r="AF497" s="236"/>
      <c r="AG497" s="60"/>
      <c r="AH497" s="60"/>
      <c r="AI497" s="236"/>
      <c r="AJ497" s="236"/>
    </row>
    <row r="498">
      <c r="A498" s="61"/>
      <c r="B498" s="60"/>
      <c r="C498" s="236"/>
      <c r="D498" s="236"/>
      <c r="E498" s="60"/>
      <c r="F498" s="60"/>
      <c r="G498" s="236"/>
      <c r="H498" s="60"/>
      <c r="I498" s="60"/>
      <c r="J498" s="236"/>
      <c r="K498" s="236"/>
      <c r="L498" s="60"/>
      <c r="M498" s="60"/>
      <c r="N498" s="236"/>
      <c r="O498" s="60"/>
      <c r="P498" s="60"/>
      <c r="Q498" s="236"/>
      <c r="R498" s="236"/>
      <c r="S498" s="60"/>
      <c r="T498" s="60"/>
      <c r="U498" s="236"/>
      <c r="V498" s="60"/>
      <c r="W498" s="60"/>
      <c r="X498" s="236"/>
      <c r="Y498" s="236"/>
      <c r="Z498" s="60"/>
      <c r="AA498" s="60"/>
      <c r="AB498" s="236"/>
      <c r="AC498" s="60"/>
      <c r="AD498" s="60"/>
      <c r="AE498" s="236"/>
      <c r="AF498" s="236"/>
      <c r="AG498" s="60"/>
      <c r="AH498" s="60"/>
      <c r="AI498" s="236"/>
      <c r="AJ498" s="236"/>
    </row>
    <row r="499">
      <c r="A499" s="61"/>
      <c r="B499" s="60"/>
      <c r="C499" s="236"/>
      <c r="D499" s="236"/>
      <c r="E499" s="60"/>
      <c r="F499" s="60"/>
      <c r="G499" s="236"/>
      <c r="H499" s="60"/>
      <c r="I499" s="60"/>
      <c r="J499" s="236"/>
      <c r="K499" s="236"/>
      <c r="L499" s="60"/>
      <c r="M499" s="60"/>
      <c r="N499" s="236"/>
      <c r="O499" s="60"/>
      <c r="P499" s="60"/>
      <c r="Q499" s="236"/>
      <c r="R499" s="236"/>
      <c r="S499" s="60"/>
      <c r="T499" s="60"/>
      <c r="U499" s="236"/>
      <c r="V499" s="60"/>
      <c r="W499" s="60"/>
      <c r="X499" s="236"/>
      <c r="Y499" s="236"/>
      <c r="Z499" s="60"/>
      <c r="AA499" s="60"/>
      <c r="AB499" s="236"/>
      <c r="AC499" s="60"/>
      <c r="AD499" s="60"/>
      <c r="AE499" s="236"/>
      <c r="AF499" s="236"/>
      <c r="AG499" s="60"/>
      <c r="AH499" s="60"/>
      <c r="AI499" s="236"/>
      <c r="AJ499" s="236"/>
    </row>
    <row r="500">
      <c r="A500" s="61"/>
      <c r="B500" s="60"/>
      <c r="C500" s="236"/>
      <c r="D500" s="236"/>
      <c r="E500" s="60"/>
      <c r="F500" s="60"/>
      <c r="G500" s="236"/>
      <c r="H500" s="60"/>
      <c r="I500" s="60"/>
      <c r="J500" s="236"/>
      <c r="K500" s="236"/>
      <c r="L500" s="60"/>
      <c r="M500" s="60"/>
      <c r="N500" s="236"/>
      <c r="O500" s="60"/>
      <c r="P500" s="60"/>
      <c r="Q500" s="236"/>
      <c r="R500" s="236"/>
      <c r="S500" s="60"/>
      <c r="T500" s="60"/>
      <c r="U500" s="236"/>
      <c r="V500" s="60"/>
      <c r="W500" s="60"/>
      <c r="X500" s="236"/>
      <c r="Y500" s="236"/>
      <c r="Z500" s="60"/>
      <c r="AA500" s="60"/>
      <c r="AB500" s="236"/>
      <c r="AC500" s="60"/>
      <c r="AD500" s="60"/>
      <c r="AE500" s="236"/>
      <c r="AF500" s="236"/>
      <c r="AG500" s="60"/>
      <c r="AH500" s="60"/>
      <c r="AI500" s="236"/>
      <c r="AJ500" s="236"/>
    </row>
    <row r="501">
      <c r="A501" s="61"/>
      <c r="B501" s="60"/>
      <c r="C501" s="236"/>
      <c r="D501" s="236"/>
      <c r="E501" s="60"/>
      <c r="F501" s="60"/>
      <c r="G501" s="236"/>
      <c r="H501" s="60"/>
      <c r="I501" s="60"/>
      <c r="J501" s="236"/>
      <c r="K501" s="236"/>
      <c r="L501" s="60"/>
      <c r="M501" s="60"/>
      <c r="N501" s="236"/>
      <c r="O501" s="60"/>
      <c r="P501" s="60"/>
      <c r="Q501" s="236"/>
      <c r="R501" s="236"/>
      <c r="S501" s="60"/>
      <c r="T501" s="60"/>
      <c r="U501" s="236"/>
      <c r="V501" s="60"/>
      <c r="W501" s="60"/>
      <c r="X501" s="236"/>
      <c r="Y501" s="236"/>
      <c r="Z501" s="60"/>
      <c r="AA501" s="60"/>
      <c r="AB501" s="236"/>
      <c r="AC501" s="60"/>
      <c r="AD501" s="60"/>
      <c r="AE501" s="236"/>
      <c r="AF501" s="236"/>
      <c r="AG501" s="60"/>
      <c r="AH501" s="60"/>
      <c r="AI501" s="236"/>
      <c r="AJ501" s="236"/>
    </row>
    <row r="502">
      <c r="A502" s="61"/>
      <c r="B502" s="60"/>
      <c r="C502" s="236"/>
      <c r="D502" s="236"/>
      <c r="E502" s="60"/>
      <c r="F502" s="60"/>
      <c r="G502" s="236"/>
      <c r="H502" s="60"/>
      <c r="I502" s="60"/>
      <c r="J502" s="236"/>
      <c r="K502" s="236"/>
      <c r="L502" s="60"/>
      <c r="M502" s="60"/>
      <c r="N502" s="236"/>
      <c r="O502" s="60"/>
      <c r="P502" s="60"/>
      <c r="Q502" s="236"/>
      <c r="R502" s="236"/>
      <c r="S502" s="60"/>
      <c r="T502" s="60"/>
      <c r="U502" s="236"/>
      <c r="V502" s="60"/>
      <c r="W502" s="60"/>
      <c r="X502" s="236"/>
      <c r="Y502" s="236"/>
      <c r="Z502" s="60"/>
      <c r="AA502" s="60"/>
      <c r="AB502" s="236"/>
      <c r="AC502" s="60"/>
      <c r="AD502" s="60"/>
      <c r="AE502" s="236"/>
      <c r="AF502" s="236"/>
      <c r="AG502" s="60"/>
      <c r="AH502" s="60"/>
      <c r="AI502" s="236"/>
      <c r="AJ502" s="236"/>
    </row>
    <row r="503">
      <c r="A503" s="61"/>
      <c r="B503" s="60"/>
      <c r="C503" s="236"/>
      <c r="D503" s="236"/>
      <c r="E503" s="60"/>
      <c r="F503" s="60"/>
      <c r="G503" s="236"/>
      <c r="H503" s="60"/>
      <c r="I503" s="60"/>
      <c r="J503" s="236"/>
      <c r="K503" s="236"/>
      <c r="L503" s="60"/>
      <c r="M503" s="60"/>
      <c r="N503" s="236"/>
      <c r="O503" s="60"/>
      <c r="P503" s="60"/>
      <c r="Q503" s="236"/>
      <c r="R503" s="236"/>
      <c r="S503" s="60"/>
      <c r="T503" s="60"/>
      <c r="U503" s="236"/>
      <c r="V503" s="60"/>
      <c r="W503" s="60"/>
      <c r="X503" s="236"/>
      <c r="Y503" s="236"/>
      <c r="Z503" s="60"/>
      <c r="AA503" s="60"/>
      <c r="AB503" s="236"/>
      <c r="AC503" s="60"/>
      <c r="AD503" s="60"/>
      <c r="AE503" s="236"/>
      <c r="AF503" s="236"/>
      <c r="AG503" s="60"/>
      <c r="AH503" s="60"/>
      <c r="AI503" s="236"/>
      <c r="AJ503" s="236"/>
    </row>
    <row r="504">
      <c r="A504" s="61"/>
      <c r="B504" s="60"/>
      <c r="C504" s="236"/>
      <c r="D504" s="236"/>
      <c r="E504" s="60"/>
      <c r="F504" s="60"/>
      <c r="G504" s="236"/>
      <c r="H504" s="60"/>
      <c r="I504" s="60"/>
      <c r="J504" s="236"/>
      <c r="K504" s="236"/>
      <c r="L504" s="60"/>
      <c r="M504" s="60"/>
      <c r="N504" s="236"/>
      <c r="O504" s="60"/>
      <c r="P504" s="60"/>
      <c r="Q504" s="236"/>
      <c r="R504" s="236"/>
      <c r="S504" s="60"/>
      <c r="T504" s="60"/>
      <c r="U504" s="236"/>
      <c r="V504" s="60"/>
      <c r="W504" s="60"/>
      <c r="X504" s="236"/>
      <c r="Y504" s="236"/>
      <c r="Z504" s="60"/>
      <c r="AA504" s="60"/>
      <c r="AB504" s="236"/>
      <c r="AC504" s="60"/>
      <c r="AD504" s="60"/>
      <c r="AE504" s="236"/>
      <c r="AF504" s="236"/>
      <c r="AG504" s="60"/>
      <c r="AH504" s="60"/>
      <c r="AI504" s="236"/>
      <c r="AJ504" s="236"/>
    </row>
    <row r="505">
      <c r="A505" s="61"/>
      <c r="B505" s="60"/>
      <c r="C505" s="236"/>
      <c r="D505" s="236"/>
      <c r="E505" s="60"/>
      <c r="F505" s="60"/>
      <c r="G505" s="236"/>
      <c r="H505" s="60"/>
      <c r="I505" s="60"/>
      <c r="J505" s="236"/>
      <c r="K505" s="236"/>
      <c r="L505" s="60"/>
      <c r="M505" s="60"/>
      <c r="N505" s="236"/>
      <c r="O505" s="60"/>
      <c r="P505" s="60"/>
      <c r="Q505" s="236"/>
      <c r="R505" s="236"/>
      <c r="S505" s="60"/>
      <c r="T505" s="60"/>
      <c r="U505" s="236"/>
      <c r="V505" s="60"/>
      <c r="W505" s="60"/>
      <c r="X505" s="236"/>
      <c r="Y505" s="236"/>
      <c r="Z505" s="60"/>
      <c r="AA505" s="60"/>
      <c r="AB505" s="236"/>
      <c r="AC505" s="60"/>
      <c r="AD505" s="60"/>
      <c r="AE505" s="236"/>
      <c r="AF505" s="236"/>
      <c r="AG505" s="60"/>
      <c r="AH505" s="60"/>
      <c r="AI505" s="236"/>
      <c r="AJ505" s="236"/>
    </row>
    <row r="506">
      <c r="A506" s="61"/>
      <c r="B506" s="60"/>
      <c r="C506" s="236"/>
      <c r="D506" s="236"/>
      <c r="E506" s="60"/>
      <c r="F506" s="60"/>
      <c r="G506" s="236"/>
      <c r="H506" s="60"/>
      <c r="I506" s="60"/>
      <c r="J506" s="236"/>
      <c r="K506" s="236"/>
      <c r="L506" s="60"/>
      <c r="M506" s="60"/>
      <c r="N506" s="236"/>
      <c r="O506" s="60"/>
      <c r="P506" s="60"/>
      <c r="Q506" s="236"/>
      <c r="R506" s="236"/>
      <c r="S506" s="60"/>
      <c r="T506" s="60"/>
      <c r="U506" s="236"/>
      <c r="V506" s="60"/>
      <c r="W506" s="60"/>
      <c r="X506" s="236"/>
      <c r="Y506" s="236"/>
      <c r="Z506" s="60"/>
      <c r="AA506" s="60"/>
      <c r="AB506" s="236"/>
      <c r="AC506" s="60"/>
      <c r="AD506" s="60"/>
      <c r="AE506" s="236"/>
      <c r="AF506" s="236"/>
      <c r="AG506" s="60"/>
      <c r="AH506" s="60"/>
      <c r="AI506" s="236"/>
      <c r="AJ506" s="236"/>
    </row>
    <row r="507">
      <c r="A507" s="61"/>
      <c r="B507" s="60"/>
      <c r="C507" s="236"/>
      <c r="D507" s="236"/>
      <c r="E507" s="60"/>
      <c r="F507" s="60"/>
      <c r="G507" s="236"/>
      <c r="H507" s="60"/>
      <c r="I507" s="60"/>
      <c r="J507" s="236"/>
      <c r="K507" s="236"/>
      <c r="L507" s="60"/>
      <c r="M507" s="60"/>
      <c r="N507" s="236"/>
      <c r="O507" s="60"/>
      <c r="P507" s="60"/>
      <c r="Q507" s="236"/>
      <c r="R507" s="236"/>
      <c r="S507" s="60"/>
      <c r="T507" s="60"/>
      <c r="U507" s="236"/>
      <c r="V507" s="60"/>
      <c r="W507" s="60"/>
      <c r="X507" s="236"/>
      <c r="Y507" s="236"/>
      <c r="Z507" s="60"/>
      <c r="AA507" s="60"/>
      <c r="AB507" s="236"/>
      <c r="AC507" s="60"/>
      <c r="AD507" s="60"/>
      <c r="AE507" s="236"/>
      <c r="AF507" s="236"/>
      <c r="AG507" s="60"/>
      <c r="AH507" s="60"/>
      <c r="AI507" s="236"/>
      <c r="AJ507" s="236"/>
    </row>
    <row r="508">
      <c r="A508" s="61"/>
      <c r="B508" s="60"/>
      <c r="C508" s="236"/>
      <c r="D508" s="236"/>
      <c r="E508" s="60"/>
      <c r="F508" s="60"/>
      <c r="G508" s="236"/>
      <c r="H508" s="60"/>
      <c r="I508" s="60"/>
      <c r="J508" s="236"/>
      <c r="K508" s="236"/>
      <c r="L508" s="60"/>
      <c r="M508" s="60"/>
      <c r="N508" s="236"/>
      <c r="O508" s="60"/>
      <c r="P508" s="60"/>
      <c r="Q508" s="236"/>
      <c r="R508" s="236"/>
      <c r="S508" s="60"/>
      <c r="T508" s="60"/>
      <c r="U508" s="236"/>
      <c r="V508" s="60"/>
      <c r="W508" s="60"/>
      <c r="X508" s="236"/>
      <c r="Y508" s="236"/>
      <c r="Z508" s="60"/>
      <c r="AA508" s="60"/>
      <c r="AB508" s="236"/>
      <c r="AC508" s="60"/>
      <c r="AD508" s="60"/>
      <c r="AE508" s="236"/>
      <c r="AF508" s="236"/>
      <c r="AG508" s="60"/>
      <c r="AH508" s="60"/>
      <c r="AI508" s="236"/>
      <c r="AJ508" s="236"/>
    </row>
    <row r="509">
      <c r="A509" s="61"/>
      <c r="B509" s="60"/>
      <c r="C509" s="236"/>
      <c r="D509" s="236"/>
      <c r="E509" s="60"/>
      <c r="F509" s="60"/>
      <c r="G509" s="236"/>
      <c r="H509" s="60"/>
      <c r="I509" s="60"/>
      <c r="J509" s="236"/>
      <c r="K509" s="236"/>
      <c r="L509" s="60"/>
      <c r="M509" s="60"/>
      <c r="N509" s="236"/>
      <c r="O509" s="60"/>
      <c r="P509" s="60"/>
      <c r="Q509" s="236"/>
      <c r="R509" s="236"/>
      <c r="S509" s="60"/>
      <c r="T509" s="60"/>
      <c r="U509" s="236"/>
      <c r="V509" s="60"/>
      <c r="W509" s="60"/>
      <c r="X509" s="236"/>
      <c r="Y509" s="236"/>
      <c r="Z509" s="60"/>
      <c r="AA509" s="60"/>
      <c r="AB509" s="236"/>
      <c r="AC509" s="60"/>
      <c r="AD509" s="60"/>
      <c r="AE509" s="236"/>
      <c r="AF509" s="236"/>
      <c r="AG509" s="60"/>
      <c r="AH509" s="60"/>
      <c r="AI509" s="236"/>
      <c r="AJ509" s="236"/>
    </row>
    <row r="510">
      <c r="A510" s="61"/>
      <c r="B510" s="60"/>
      <c r="C510" s="236"/>
      <c r="D510" s="236"/>
      <c r="E510" s="60"/>
      <c r="F510" s="60"/>
      <c r="G510" s="236"/>
      <c r="H510" s="60"/>
      <c r="I510" s="60"/>
      <c r="J510" s="236"/>
      <c r="K510" s="236"/>
      <c r="L510" s="60"/>
      <c r="M510" s="60"/>
      <c r="N510" s="236"/>
      <c r="O510" s="60"/>
      <c r="P510" s="60"/>
      <c r="Q510" s="236"/>
      <c r="R510" s="236"/>
      <c r="S510" s="60"/>
      <c r="T510" s="60"/>
      <c r="U510" s="236"/>
      <c r="V510" s="60"/>
      <c r="W510" s="60"/>
      <c r="X510" s="236"/>
      <c r="Y510" s="236"/>
      <c r="Z510" s="60"/>
      <c r="AA510" s="60"/>
      <c r="AB510" s="236"/>
      <c r="AC510" s="60"/>
      <c r="AD510" s="60"/>
      <c r="AE510" s="236"/>
      <c r="AF510" s="236"/>
      <c r="AG510" s="60"/>
      <c r="AH510" s="60"/>
      <c r="AI510" s="236"/>
      <c r="AJ510" s="236"/>
    </row>
    <row r="511">
      <c r="A511" s="61"/>
      <c r="B511" s="60"/>
      <c r="C511" s="236"/>
      <c r="D511" s="236"/>
      <c r="E511" s="60"/>
      <c r="F511" s="60"/>
      <c r="G511" s="236"/>
      <c r="H511" s="60"/>
      <c r="I511" s="60"/>
      <c r="J511" s="236"/>
      <c r="K511" s="236"/>
      <c r="L511" s="60"/>
      <c r="M511" s="60"/>
      <c r="N511" s="236"/>
      <c r="O511" s="60"/>
      <c r="P511" s="60"/>
      <c r="Q511" s="236"/>
      <c r="R511" s="236"/>
      <c r="S511" s="60"/>
      <c r="T511" s="60"/>
      <c r="U511" s="236"/>
      <c r="V511" s="60"/>
      <c r="W511" s="60"/>
      <c r="X511" s="236"/>
      <c r="Y511" s="236"/>
      <c r="Z511" s="60"/>
      <c r="AA511" s="60"/>
      <c r="AB511" s="236"/>
      <c r="AC511" s="60"/>
      <c r="AD511" s="60"/>
      <c r="AE511" s="236"/>
      <c r="AF511" s="236"/>
      <c r="AG511" s="60"/>
      <c r="AH511" s="60"/>
      <c r="AI511" s="236"/>
      <c r="AJ511" s="236"/>
    </row>
    <row r="512">
      <c r="A512" s="61"/>
      <c r="B512" s="60"/>
      <c r="C512" s="236"/>
      <c r="D512" s="236"/>
      <c r="E512" s="60"/>
      <c r="F512" s="60"/>
      <c r="G512" s="236"/>
      <c r="H512" s="60"/>
      <c r="I512" s="60"/>
      <c r="J512" s="236"/>
      <c r="K512" s="236"/>
      <c r="L512" s="60"/>
      <c r="M512" s="60"/>
      <c r="N512" s="236"/>
      <c r="O512" s="60"/>
      <c r="P512" s="60"/>
      <c r="Q512" s="236"/>
      <c r="R512" s="236"/>
      <c r="S512" s="60"/>
      <c r="T512" s="60"/>
      <c r="U512" s="236"/>
      <c r="V512" s="60"/>
      <c r="W512" s="60"/>
      <c r="X512" s="236"/>
      <c r="Y512" s="236"/>
      <c r="Z512" s="60"/>
      <c r="AA512" s="60"/>
      <c r="AB512" s="236"/>
      <c r="AC512" s="60"/>
      <c r="AD512" s="60"/>
      <c r="AE512" s="236"/>
      <c r="AF512" s="236"/>
      <c r="AG512" s="60"/>
      <c r="AH512" s="60"/>
      <c r="AI512" s="236"/>
      <c r="AJ512" s="236"/>
    </row>
    <row r="513">
      <c r="A513" s="61"/>
      <c r="B513" s="60"/>
      <c r="C513" s="236"/>
      <c r="D513" s="236"/>
      <c r="E513" s="60"/>
      <c r="F513" s="60"/>
      <c r="G513" s="236"/>
      <c r="H513" s="60"/>
      <c r="I513" s="60"/>
      <c r="J513" s="236"/>
      <c r="K513" s="236"/>
      <c r="L513" s="60"/>
      <c r="M513" s="60"/>
      <c r="N513" s="236"/>
      <c r="O513" s="60"/>
      <c r="P513" s="60"/>
      <c r="Q513" s="236"/>
      <c r="R513" s="236"/>
      <c r="S513" s="60"/>
      <c r="T513" s="60"/>
      <c r="U513" s="236"/>
      <c r="V513" s="60"/>
      <c r="W513" s="60"/>
      <c r="X513" s="236"/>
      <c r="Y513" s="236"/>
      <c r="Z513" s="60"/>
      <c r="AA513" s="60"/>
      <c r="AB513" s="236"/>
      <c r="AC513" s="60"/>
      <c r="AD513" s="60"/>
      <c r="AE513" s="236"/>
      <c r="AF513" s="236"/>
      <c r="AG513" s="60"/>
      <c r="AH513" s="60"/>
      <c r="AI513" s="236"/>
      <c r="AJ513" s="236"/>
    </row>
    <row r="514">
      <c r="A514" s="61"/>
      <c r="B514" s="60"/>
      <c r="C514" s="236"/>
      <c r="D514" s="236"/>
      <c r="E514" s="60"/>
      <c r="F514" s="60"/>
      <c r="G514" s="236"/>
      <c r="H514" s="60"/>
      <c r="I514" s="60"/>
      <c r="J514" s="236"/>
      <c r="K514" s="236"/>
      <c r="L514" s="60"/>
      <c r="M514" s="60"/>
      <c r="N514" s="236"/>
      <c r="O514" s="60"/>
      <c r="P514" s="60"/>
      <c r="Q514" s="236"/>
      <c r="R514" s="236"/>
      <c r="S514" s="60"/>
      <c r="T514" s="60"/>
      <c r="U514" s="236"/>
      <c r="V514" s="60"/>
      <c r="W514" s="60"/>
      <c r="X514" s="236"/>
      <c r="Y514" s="236"/>
      <c r="Z514" s="60"/>
      <c r="AA514" s="60"/>
      <c r="AB514" s="236"/>
      <c r="AC514" s="60"/>
      <c r="AD514" s="60"/>
      <c r="AE514" s="236"/>
      <c r="AF514" s="236"/>
      <c r="AG514" s="60"/>
      <c r="AH514" s="60"/>
      <c r="AI514" s="236"/>
      <c r="AJ514" s="236"/>
    </row>
    <row r="515">
      <c r="A515" s="61"/>
      <c r="B515" s="60"/>
      <c r="C515" s="236"/>
      <c r="D515" s="236"/>
      <c r="E515" s="60"/>
      <c r="F515" s="60"/>
      <c r="G515" s="236"/>
      <c r="H515" s="60"/>
      <c r="I515" s="60"/>
      <c r="J515" s="236"/>
      <c r="K515" s="236"/>
      <c r="L515" s="60"/>
      <c r="M515" s="60"/>
      <c r="N515" s="236"/>
      <c r="O515" s="60"/>
      <c r="P515" s="60"/>
      <c r="Q515" s="236"/>
      <c r="R515" s="236"/>
      <c r="S515" s="60"/>
      <c r="T515" s="60"/>
      <c r="U515" s="236"/>
      <c r="V515" s="60"/>
      <c r="W515" s="60"/>
      <c r="X515" s="236"/>
      <c r="Y515" s="236"/>
      <c r="Z515" s="60"/>
      <c r="AA515" s="60"/>
      <c r="AB515" s="236"/>
      <c r="AC515" s="60"/>
      <c r="AD515" s="60"/>
      <c r="AE515" s="236"/>
      <c r="AF515" s="236"/>
      <c r="AG515" s="60"/>
      <c r="AH515" s="60"/>
      <c r="AI515" s="236"/>
      <c r="AJ515" s="236"/>
    </row>
    <row r="516">
      <c r="A516" s="61"/>
      <c r="B516" s="60"/>
      <c r="C516" s="236"/>
      <c r="D516" s="236"/>
      <c r="E516" s="60"/>
      <c r="F516" s="60"/>
      <c r="G516" s="236"/>
      <c r="H516" s="60"/>
      <c r="I516" s="60"/>
      <c r="J516" s="236"/>
      <c r="K516" s="236"/>
      <c r="L516" s="60"/>
      <c r="M516" s="60"/>
      <c r="N516" s="236"/>
      <c r="O516" s="60"/>
      <c r="P516" s="60"/>
      <c r="Q516" s="236"/>
      <c r="R516" s="236"/>
      <c r="S516" s="60"/>
      <c r="T516" s="60"/>
      <c r="U516" s="236"/>
      <c r="V516" s="60"/>
      <c r="W516" s="60"/>
      <c r="X516" s="236"/>
      <c r="Y516" s="236"/>
      <c r="Z516" s="60"/>
      <c r="AA516" s="60"/>
      <c r="AB516" s="236"/>
      <c r="AC516" s="60"/>
      <c r="AD516" s="60"/>
      <c r="AE516" s="236"/>
      <c r="AF516" s="236"/>
      <c r="AG516" s="60"/>
      <c r="AH516" s="60"/>
      <c r="AI516" s="236"/>
      <c r="AJ516" s="236"/>
    </row>
    <row r="517">
      <c r="A517" s="61"/>
      <c r="B517" s="60"/>
      <c r="C517" s="236"/>
      <c r="D517" s="236"/>
      <c r="E517" s="60"/>
      <c r="F517" s="60"/>
      <c r="G517" s="236"/>
      <c r="H517" s="60"/>
      <c r="I517" s="60"/>
      <c r="J517" s="236"/>
      <c r="K517" s="236"/>
      <c r="L517" s="60"/>
      <c r="M517" s="60"/>
      <c r="N517" s="236"/>
      <c r="O517" s="60"/>
      <c r="P517" s="60"/>
      <c r="Q517" s="236"/>
      <c r="R517" s="236"/>
      <c r="S517" s="60"/>
      <c r="T517" s="60"/>
      <c r="U517" s="236"/>
      <c r="V517" s="60"/>
      <c r="W517" s="60"/>
      <c r="X517" s="236"/>
      <c r="Y517" s="236"/>
      <c r="Z517" s="60"/>
      <c r="AA517" s="60"/>
      <c r="AB517" s="236"/>
      <c r="AC517" s="60"/>
      <c r="AD517" s="60"/>
      <c r="AE517" s="236"/>
      <c r="AF517" s="236"/>
      <c r="AG517" s="60"/>
      <c r="AH517" s="60"/>
      <c r="AI517" s="236"/>
      <c r="AJ517" s="236"/>
    </row>
    <row r="518">
      <c r="A518" s="61"/>
      <c r="B518" s="60"/>
      <c r="C518" s="236"/>
      <c r="D518" s="236"/>
      <c r="E518" s="60"/>
      <c r="F518" s="60"/>
      <c r="G518" s="236"/>
      <c r="H518" s="60"/>
      <c r="I518" s="60"/>
      <c r="J518" s="236"/>
      <c r="K518" s="236"/>
      <c r="L518" s="60"/>
      <c r="M518" s="60"/>
      <c r="N518" s="236"/>
      <c r="O518" s="60"/>
      <c r="P518" s="60"/>
      <c r="Q518" s="236"/>
      <c r="R518" s="236"/>
      <c r="S518" s="60"/>
      <c r="T518" s="60"/>
      <c r="U518" s="236"/>
      <c r="V518" s="60"/>
      <c r="W518" s="60"/>
      <c r="X518" s="236"/>
      <c r="Y518" s="236"/>
      <c r="Z518" s="60"/>
      <c r="AA518" s="60"/>
      <c r="AB518" s="236"/>
      <c r="AC518" s="60"/>
      <c r="AD518" s="60"/>
      <c r="AE518" s="236"/>
      <c r="AF518" s="236"/>
      <c r="AG518" s="60"/>
      <c r="AH518" s="60"/>
      <c r="AI518" s="236"/>
      <c r="AJ518" s="236"/>
    </row>
    <row r="519">
      <c r="A519" s="61"/>
      <c r="B519" s="60"/>
      <c r="C519" s="236"/>
      <c r="D519" s="236"/>
      <c r="E519" s="60"/>
      <c r="F519" s="60"/>
      <c r="G519" s="236"/>
      <c r="H519" s="60"/>
      <c r="I519" s="60"/>
      <c r="J519" s="236"/>
      <c r="K519" s="236"/>
      <c r="L519" s="60"/>
      <c r="M519" s="60"/>
      <c r="N519" s="236"/>
      <c r="O519" s="60"/>
      <c r="P519" s="60"/>
      <c r="Q519" s="236"/>
      <c r="R519" s="236"/>
      <c r="S519" s="60"/>
      <c r="T519" s="60"/>
      <c r="U519" s="236"/>
      <c r="V519" s="60"/>
      <c r="W519" s="60"/>
      <c r="X519" s="236"/>
      <c r="Y519" s="236"/>
      <c r="Z519" s="60"/>
      <c r="AA519" s="60"/>
      <c r="AB519" s="236"/>
      <c r="AC519" s="60"/>
      <c r="AD519" s="60"/>
      <c r="AE519" s="236"/>
      <c r="AF519" s="236"/>
      <c r="AG519" s="60"/>
      <c r="AH519" s="60"/>
      <c r="AI519" s="236"/>
      <c r="AJ519" s="236"/>
    </row>
    <row r="520">
      <c r="A520" s="61"/>
      <c r="B520" s="60"/>
      <c r="C520" s="236"/>
      <c r="D520" s="236"/>
      <c r="E520" s="60"/>
      <c r="F520" s="60"/>
      <c r="G520" s="236"/>
      <c r="H520" s="60"/>
      <c r="I520" s="60"/>
      <c r="J520" s="236"/>
      <c r="K520" s="236"/>
      <c r="L520" s="60"/>
      <c r="M520" s="60"/>
      <c r="N520" s="236"/>
      <c r="O520" s="60"/>
      <c r="P520" s="60"/>
      <c r="Q520" s="236"/>
      <c r="R520" s="236"/>
      <c r="S520" s="60"/>
      <c r="T520" s="60"/>
      <c r="U520" s="236"/>
      <c r="V520" s="60"/>
      <c r="W520" s="60"/>
      <c r="X520" s="236"/>
      <c r="Y520" s="236"/>
      <c r="Z520" s="60"/>
      <c r="AA520" s="60"/>
      <c r="AB520" s="236"/>
      <c r="AC520" s="60"/>
      <c r="AD520" s="60"/>
      <c r="AE520" s="236"/>
      <c r="AF520" s="236"/>
      <c r="AG520" s="60"/>
      <c r="AH520" s="60"/>
      <c r="AI520" s="236"/>
      <c r="AJ520" s="236"/>
    </row>
    <row r="521">
      <c r="A521" s="61"/>
      <c r="B521" s="60"/>
      <c r="C521" s="236"/>
      <c r="D521" s="236"/>
      <c r="E521" s="60"/>
      <c r="F521" s="60"/>
      <c r="G521" s="236"/>
      <c r="H521" s="60"/>
      <c r="I521" s="60"/>
      <c r="J521" s="236"/>
      <c r="K521" s="236"/>
      <c r="L521" s="60"/>
      <c r="M521" s="60"/>
      <c r="N521" s="236"/>
      <c r="O521" s="60"/>
      <c r="P521" s="60"/>
      <c r="Q521" s="236"/>
      <c r="R521" s="236"/>
      <c r="S521" s="60"/>
      <c r="T521" s="60"/>
      <c r="U521" s="236"/>
      <c r="V521" s="60"/>
      <c r="W521" s="60"/>
      <c r="X521" s="236"/>
      <c r="Y521" s="236"/>
      <c r="Z521" s="60"/>
      <c r="AA521" s="60"/>
      <c r="AB521" s="236"/>
      <c r="AC521" s="60"/>
      <c r="AD521" s="60"/>
      <c r="AE521" s="236"/>
      <c r="AF521" s="236"/>
      <c r="AG521" s="60"/>
      <c r="AH521" s="60"/>
      <c r="AI521" s="236"/>
      <c r="AJ521" s="236"/>
    </row>
    <row r="522">
      <c r="A522" s="61"/>
      <c r="B522" s="60"/>
      <c r="C522" s="236"/>
      <c r="D522" s="236"/>
      <c r="E522" s="60"/>
      <c r="F522" s="60"/>
      <c r="G522" s="236"/>
      <c r="H522" s="60"/>
      <c r="I522" s="60"/>
      <c r="J522" s="236"/>
      <c r="K522" s="236"/>
      <c r="L522" s="60"/>
      <c r="M522" s="60"/>
      <c r="N522" s="236"/>
      <c r="O522" s="60"/>
      <c r="P522" s="60"/>
      <c r="Q522" s="236"/>
      <c r="R522" s="236"/>
      <c r="S522" s="60"/>
      <c r="T522" s="60"/>
      <c r="U522" s="236"/>
      <c r="V522" s="60"/>
      <c r="W522" s="60"/>
      <c r="X522" s="236"/>
      <c r="Y522" s="236"/>
      <c r="Z522" s="60"/>
      <c r="AA522" s="60"/>
      <c r="AB522" s="236"/>
      <c r="AC522" s="60"/>
      <c r="AD522" s="60"/>
      <c r="AE522" s="236"/>
      <c r="AF522" s="236"/>
      <c r="AG522" s="60"/>
      <c r="AH522" s="60"/>
      <c r="AI522" s="236"/>
      <c r="AJ522" s="236"/>
    </row>
    <row r="523">
      <c r="A523" s="61"/>
      <c r="B523" s="60"/>
      <c r="C523" s="236"/>
      <c r="D523" s="236"/>
      <c r="E523" s="60"/>
      <c r="F523" s="60"/>
      <c r="G523" s="236"/>
      <c r="H523" s="60"/>
      <c r="I523" s="60"/>
      <c r="J523" s="236"/>
      <c r="K523" s="236"/>
      <c r="L523" s="60"/>
      <c r="M523" s="60"/>
      <c r="N523" s="236"/>
      <c r="O523" s="60"/>
      <c r="P523" s="60"/>
      <c r="Q523" s="236"/>
      <c r="R523" s="236"/>
      <c r="S523" s="60"/>
      <c r="T523" s="60"/>
      <c r="U523" s="236"/>
      <c r="V523" s="60"/>
      <c r="W523" s="60"/>
      <c r="X523" s="236"/>
      <c r="Y523" s="236"/>
      <c r="Z523" s="60"/>
      <c r="AA523" s="60"/>
      <c r="AB523" s="236"/>
      <c r="AC523" s="60"/>
      <c r="AD523" s="60"/>
      <c r="AE523" s="236"/>
      <c r="AF523" s="236"/>
      <c r="AG523" s="60"/>
      <c r="AH523" s="60"/>
      <c r="AI523" s="236"/>
      <c r="AJ523" s="236"/>
    </row>
    <row r="524">
      <c r="A524" s="61"/>
      <c r="B524" s="60"/>
      <c r="C524" s="236"/>
      <c r="D524" s="236"/>
      <c r="E524" s="60"/>
      <c r="F524" s="60"/>
      <c r="G524" s="236"/>
      <c r="H524" s="60"/>
      <c r="I524" s="60"/>
      <c r="J524" s="236"/>
      <c r="K524" s="236"/>
      <c r="L524" s="60"/>
      <c r="M524" s="60"/>
      <c r="N524" s="236"/>
      <c r="O524" s="60"/>
      <c r="P524" s="60"/>
      <c r="Q524" s="236"/>
      <c r="R524" s="236"/>
      <c r="S524" s="60"/>
      <c r="T524" s="60"/>
      <c r="U524" s="236"/>
      <c r="V524" s="60"/>
      <c r="W524" s="60"/>
      <c r="X524" s="236"/>
      <c r="Y524" s="236"/>
      <c r="Z524" s="60"/>
      <c r="AA524" s="60"/>
      <c r="AB524" s="236"/>
      <c r="AC524" s="60"/>
      <c r="AD524" s="60"/>
      <c r="AE524" s="236"/>
      <c r="AF524" s="236"/>
      <c r="AG524" s="60"/>
      <c r="AH524" s="60"/>
      <c r="AI524" s="236"/>
      <c r="AJ524" s="236"/>
    </row>
    <row r="525">
      <c r="A525" s="61"/>
      <c r="B525" s="60"/>
      <c r="C525" s="236"/>
      <c r="D525" s="236"/>
      <c r="E525" s="60"/>
      <c r="F525" s="60"/>
      <c r="G525" s="236"/>
      <c r="H525" s="60"/>
      <c r="I525" s="60"/>
      <c r="J525" s="236"/>
      <c r="K525" s="236"/>
      <c r="L525" s="60"/>
      <c r="M525" s="60"/>
      <c r="N525" s="236"/>
      <c r="O525" s="60"/>
      <c r="P525" s="60"/>
      <c r="Q525" s="236"/>
      <c r="R525" s="236"/>
      <c r="S525" s="60"/>
      <c r="T525" s="60"/>
      <c r="U525" s="236"/>
      <c r="V525" s="60"/>
      <c r="W525" s="60"/>
      <c r="X525" s="236"/>
      <c r="Y525" s="236"/>
      <c r="Z525" s="60"/>
      <c r="AA525" s="60"/>
      <c r="AB525" s="236"/>
      <c r="AC525" s="60"/>
      <c r="AD525" s="60"/>
      <c r="AE525" s="236"/>
      <c r="AF525" s="236"/>
      <c r="AG525" s="60"/>
      <c r="AH525" s="60"/>
      <c r="AI525" s="236"/>
      <c r="AJ525" s="236"/>
    </row>
    <row r="526">
      <c r="A526" s="61"/>
      <c r="B526" s="60"/>
      <c r="C526" s="236"/>
      <c r="D526" s="236"/>
      <c r="E526" s="60"/>
      <c r="F526" s="60"/>
      <c r="G526" s="236"/>
      <c r="H526" s="60"/>
      <c r="I526" s="60"/>
      <c r="J526" s="236"/>
      <c r="K526" s="236"/>
      <c r="L526" s="60"/>
      <c r="M526" s="60"/>
      <c r="N526" s="236"/>
      <c r="O526" s="60"/>
      <c r="P526" s="60"/>
      <c r="Q526" s="236"/>
      <c r="R526" s="236"/>
      <c r="S526" s="60"/>
      <c r="T526" s="60"/>
      <c r="U526" s="236"/>
      <c r="V526" s="60"/>
      <c r="W526" s="60"/>
      <c r="X526" s="236"/>
      <c r="Y526" s="236"/>
      <c r="Z526" s="60"/>
      <c r="AA526" s="60"/>
      <c r="AB526" s="236"/>
      <c r="AC526" s="60"/>
      <c r="AD526" s="60"/>
      <c r="AE526" s="236"/>
      <c r="AF526" s="236"/>
      <c r="AG526" s="60"/>
      <c r="AH526" s="60"/>
      <c r="AI526" s="236"/>
      <c r="AJ526" s="236"/>
    </row>
    <row r="527">
      <c r="A527" s="61"/>
      <c r="B527" s="60"/>
      <c r="C527" s="236"/>
      <c r="D527" s="236"/>
      <c r="E527" s="60"/>
      <c r="F527" s="60"/>
      <c r="G527" s="236"/>
      <c r="H527" s="60"/>
      <c r="I527" s="60"/>
      <c r="J527" s="236"/>
      <c r="K527" s="236"/>
      <c r="L527" s="60"/>
      <c r="M527" s="60"/>
      <c r="N527" s="236"/>
      <c r="O527" s="60"/>
      <c r="P527" s="60"/>
      <c r="Q527" s="236"/>
      <c r="R527" s="236"/>
      <c r="S527" s="60"/>
      <c r="T527" s="60"/>
      <c r="U527" s="236"/>
      <c r="V527" s="60"/>
      <c r="W527" s="60"/>
      <c r="X527" s="236"/>
      <c r="Y527" s="236"/>
      <c r="Z527" s="60"/>
      <c r="AA527" s="60"/>
      <c r="AB527" s="236"/>
      <c r="AC527" s="60"/>
      <c r="AD527" s="60"/>
      <c r="AE527" s="236"/>
      <c r="AF527" s="236"/>
      <c r="AG527" s="60"/>
      <c r="AH527" s="60"/>
      <c r="AI527" s="236"/>
      <c r="AJ527" s="236"/>
    </row>
    <row r="528">
      <c r="A528" s="61"/>
      <c r="B528" s="60"/>
      <c r="C528" s="236"/>
      <c r="D528" s="236"/>
      <c r="E528" s="60"/>
      <c r="F528" s="60"/>
      <c r="G528" s="236"/>
      <c r="H528" s="60"/>
      <c r="I528" s="60"/>
      <c r="J528" s="236"/>
      <c r="K528" s="236"/>
      <c r="L528" s="60"/>
      <c r="M528" s="60"/>
      <c r="N528" s="236"/>
      <c r="O528" s="60"/>
      <c r="P528" s="60"/>
      <c r="Q528" s="236"/>
      <c r="R528" s="236"/>
      <c r="S528" s="60"/>
      <c r="T528" s="60"/>
      <c r="U528" s="236"/>
      <c r="V528" s="60"/>
      <c r="W528" s="60"/>
      <c r="X528" s="236"/>
      <c r="Y528" s="236"/>
      <c r="Z528" s="60"/>
      <c r="AA528" s="60"/>
      <c r="AB528" s="236"/>
      <c r="AC528" s="60"/>
      <c r="AD528" s="60"/>
      <c r="AE528" s="236"/>
      <c r="AF528" s="236"/>
      <c r="AG528" s="60"/>
      <c r="AH528" s="60"/>
      <c r="AI528" s="236"/>
      <c r="AJ528" s="236"/>
    </row>
    <row r="529">
      <c r="A529" s="61"/>
      <c r="B529" s="60"/>
      <c r="C529" s="236"/>
      <c r="D529" s="236"/>
      <c r="E529" s="60"/>
      <c r="F529" s="60"/>
      <c r="G529" s="236"/>
      <c r="H529" s="60"/>
      <c r="I529" s="60"/>
      <c r="J529" s="236"/>
      <c r="K529" s="236"/>
      <c r="L529" s="60"/>
      <c r="M529" s="60"/>
      <c r="N529" s="236"/>
      <c r="O529" s="60"/>
      <c r="P529" s="60"/>
      <c r="Q529" s="236"/>
      <c r="R529" s="236"/>
      <c r="S529" s="60"/>
      <c r="T529" s="60"/>
      <c r="U529" s="236"/>
      <c r="V529" s="60"/>
      <c r="W529" s="60"/>
      <c r="X529" s="236"/>
      <c r="Y529" s="236"/>
      <c r="Z529" s="60"/>
      <c r="AA529" s="60"/>
      <c r="AB529" s="236"/>
      <c r="AC529" s="60"/>
      <c r="AD529" s="60"/>
      <c r="AE529" s="236"/>
      <c r="AF529" s="236"/>
      <c r="AG529" s="60"/>
      <c r="AH529" s="60"/>
      <c r="AI529" s="236"/>
      <c r="AJ529" s="236"/>
    </row>
    <row r="530">
      <c r="A530" s="61"/>
      <c r="B530" s="60"/>
      <c r="C530" s="236"/>
      <c r="D530" s="236"/>
      <c r="E530" s="60"/>
      <c r="F530" s="60"/>
      <c r="G530" s="236"/>
      <c r="H530" s="60"/>
      <c r="I530" s="60"/>
      <c r="J530" s="236"/>
      <c r="K530" s="236"/>
      <c r="L530" s="60"/>
      <c r="M530" s="60"/>
      <c r="N530" s="236"/>
      <c r="O530" s="60"/>
      <c r="P530" s="60"/>
      <c r="Q530" s="236"/>
      <c r="R530" s="236"/>
      <c r="S530" s="60"/>
      <c r="T530" s="60"/>
      <c r="U530" s="236"/>
      <c r="V530" s="60"/>
      <c r="W530" s="60"/>
      <c r="X530" s="236"/>
      <c r="Y530" s="236"/>
      <c r="Z530" s="60"/>
      <c r="AA530" s="60"/>
      <c r="AB530" s="236"/>
      <c r="AC530" s="60"/>
      <c r="AD530" s="60"/>
      <c r="AE530" s="236"/>
      <c r="AF530" s="236"/>
      <c r="AG530" s="60"/>
      <c r="AH530" s="60"/>
      <c r="AI530" s="236"/>
      <c r="AJ530" s="236"/>
    </row>
    <row r="531">
      <c r="A531" s="61"/>
      <c r="B531" s="60"/>
      <c r="C531" s="236"/>
      <c r="D531" s="236"/>
      <c r="E531" s="60"/>
      <c r="F531" s="60"/>
      <c r="G531" s="236"/>
      <c r="H531" s="60"/>
      <c r="I531" s="60"/>
      <c r="J531" s="236"/>
      <c r="K531" s="236"/>
      <c r="L531" s="60"/>
      <c r="M531" s="60"/>
      <c r="N531" s="236"/>
      <c r="O531" s="60"/>
      <c r="P531" s="60"/>
      <c r="Q531" s="236"/>
      <c r="R531" s="236"/>
      <c r="S531" s="60"/>
      <c r="T531" s="60"/>
      <c r="U531" s="236"/>
      <c r="V531" s="60"/>
      <c r="W531" s="60"/>
      <c r="X531" s="236"/>
      <c r="Y531" s="236"/>
      <c r="Z531" s="60"/>
      <c r="AA531" s="60"/>
      <c r="AB531" s="236"/>
      <c r="AC531" s="60"/>
      <c r="AD531" s="60"/>
      <c r="AE531" s="236"/>
      <c r="AF531" s="236"/>
      <c r="AG531" s="60"/>
      <c r="AH531" s="60"/>
      <c r="AI531" s="236"/>
      <c r="AJ531" s="236"/>
    </row>
    <row r="532">
      <c r="A532" s="61"/>
      <c r="B532" s="60"/>
      <c r="C532" s="236"/>
      <c r="D532" s="236"/>
      <c r="E532" s="60"/>
      <c r="F532" s="60"/>
      <c r="G532" s="236"/>
      <c r="H532" s="60"/>
      <c r="I532" s="60"/>
      <c r="J532" s="236"/>
      <c r="K532" s="236"/>
      <c r="L532" s="60"/>
      <c r="M532" s="60"/>
      <c r="N532" s="236"/>
      <c r="O532" s="60"/>
      <c r="P532" s="60"/>
      <c r="Q532" s="236"/>
      <c r="R532" s="236"/>
      <c r="S532" s="60"/>
      <c r="T532" s="60"/>
      <c r="U532" s="236"/>
      <c r="V532" s="60"/>
      <c r="W532" s="60"/>
      <c r="X532" s="236"/>
      <c r="Y532" s="236"/>
      <c r="Z532" s="60"/>
      <c r="AA532" s="60"/>
      <c r="AB532" s="236"/>
      <c r="AC532" s="60"/>
      <c r="AD532" s="60"/>
      <c r="AE532" s="236"/>
      <c r="AF532" s="236"/>
      <c r="AG532" s="60"/>
      <c r="AH532" s="60"/>
      <c r="AI532" s="236"/>
      <c r="AJ532" s="236"/>
    </row>
    <row r="533">
      <c r="A533" s="61"/>
      <c r="B533" s="60"/>
      <c r="C533" s="236"/>
      <c r="D533" s="236"/>
      <c r="E533" s="60"/>
      <c r="F533" s="60"/>
      <c r="G533" s="236"/>
      <c r="H533" s="60"/>
      <c r="I533" s="60"/>
      <c r="J533" s="236"/>
      <c r="K533" s="236"/>
      <c r="L533" s="60"/>
      <c r="M533" s="60"/>
      <c r="N533" s="236"/>
      <c r="O533" s="60"/>
      <c r="P533" s="60"/>
      <c r="Q533" s="236"/>
      <c r="R533" s="236"/>
      <c r="S533" s="60"/>
      <c r="T533" s="60"/>
      <c r="U533" s="236"/>
      <c r="V533" s="60"/>
      <c r="W533" s="60"/>
      <c r="X533" s="236"/>
      <c r="Y533" s="236"/>
      <c r="Z533" s="60"/>
      <c r="AA533" s="60"/>
      <c r="AB533" s="236"/>
      <c r="AC533" s="60"/>
      <c r="AD533" s="60"/>
      <c r="AE533" s="236"/>
      <c r="AF533" s="236"/>
      <c r="AG533" s="60"/>
      <c r="AH533" s="60"/>
      <c r="AI533" s="236"/>
      <c r="AJ533" s="236"/>
    </row>
    <row r="534">
      <c r="A534" s="61"/>
      <c r="B534" s="60"/>
      <c r="C534" s="236"/>
      <c r="D534" s="236"/>
      <c r="E534" s="60"/>
      <c r="F534" s="60"/>
      <c r="G534" s="236"/>
      <c r="H534" s="60"/>
      <c r="I534" s="60"/>
      <c r="J534" s="236"/>
      <c r="K534" s="236"/>
      <c r="L534" s="60"/>
      <c r="M534" s="60"/>
      <c r="N534" s="236"/>
      <c r="O534" s="60"/>
      <c r="P534" s="60"/>
      <c r="Q534" s="236"/>
      <c r="R534" s="236"/>
      <c r="S534" s="60"/>
      <c r="T534" s="60"/>
      <c r="U534" s="236"/>
      <c r="V534" s="60"/>
      <c r="W534" s="60"/>
      <c r="X534" s="236"/>
      <c r="Y534" s="236"/>
      <c r="Z534" s="60"/>
      <c r="AA534" s="60"/>
      <c r="AB534" s="236"/>
      <c r="AC534" s="60"/>
      <c r="AD534" s="60"/>
      <c r="AE534" s="236"/>
      <c r="AF534" s="236"/>
      <c r="AG534" s="60"/>
      <c r="AH534" s="60"/>
      <c r="AI534" s="236"/>
      <c r="AJ534" s="236"/>
    </row>
    <row r="535">
      <c r="A535" s="61"/>
      <c r="B535" s="60"/>
      <c r="C535" s="236"/>
      <c r="D535" s="236"/>
      <c r="E535" s="60"/>
      <c r="F535" s="60"/>
      <c r="G535" s="236"/>
      <c r="H535" s="60"/>
      <c r="I535" s="60"/>
      <c r="J535" s="236"/>
      <c r="K535" s="236"/>
      <c r="L535" s="60"/>
      <c r="M535" s="60"/>
      <c r="N535" s="236"/>
      <c r="O535" s="60"/>
      <c r="P535" s="60"/>
      <c r="Q535" s="236"/>
      <c r="R535" s="236"/>
      <c r="S535" s="60"/>
      <c r="T535" s="60"/>
      <c r="U535" s="236"/>
      <c r="V535" s="60"/>
      <c r="W535" s="60"/>
      <c r="X535" s="236"/>
      <c r="Y535" s="236"/>
      <c r="Z535" s="60"/>
      <c r="AA535" s="60"/>
      <c r="AB535" s="236"/>
      <c r="AC535" s="60"/>
      <c r="AD535" s="60"/>
      <c r="AE535" s="236"/>
      <c r="AF535" s="236"/>
      <c r="AG535" s="60"/>
      <c r="AH535" s="60"/>
      <c r="AI535" s="236"/>
      <c r="AJ535" s="236"/>
    </row>
    <row r="536">
      <c r="A536" s="61"/>
      <c r="B536" s="60"/>
      <c r="C536" s="236"/>
      <c r="D536" s="236"/>
      <c r="E536" s="60"/>
      <c r="F536" s="60"/>
      <c r="G536" s="236"/>
      <c r="H536" s="60"/>
      <c r="I536" s="60"/>
      <c r="J536" s="236"/>
      <c r="K536" s="236"/>
      <c r="L536" s="60"/>
      <c r="M536" s="60"/>
      <c r="N536" s="236"/>
      <c r="O536" s="60"/>
      <c r="P536" s="60"/>
      <c r="Q536" s="236"/>
      <c r="R536" s="236"/>
      <c r="S536" s="60"/>
      <c r="T536" s="60"/>
      <c r="U536" s="236"/>
      <c r="V536" s="60"/>
      <c r="W536" s="60"/>
      <c r="X536" s="236"/>
      <c r="Y536" s="236"/>
      <c r="Z536" s="60"/>
      <c r="AA536" s="60"/>
      <c r="AB536" s="236"/>
      <c r="AC536" s="60"/>
      <c r="AD536" s="60"/>
      <c r="AE536" s="236"/>
      <c r="AF536" s="236"/>
      <c r="AG536" s="60"/>
      <c r="AH536" s="60"/>
      <c r="AI536" s="236"/>
      <c r="AJ536" s="236"/>
    </row>
    <row r="537">
      <c r="A537" s="61"/>
      <c r="B537" s="60"/>
      <c r="C537" s="236"/>
      <c r="D537" s="236"/>
      <c r="E537" s="60"/>
      <c r="F537" s="60"/>
      <c r="G537" s="236"/>
      <c r="H537" s="60"/>
      <c r="I537" s="60"/>
      <c r="J537" s="236"/>
      <c r="K537" s="236"/>
      <c r="L537" s="60"/>
      <c r="M537" s="60"/>
      <c r="N537" s="236"/>
      <c r="O537" s="60"/>
      <c r="P537" s="60"/>
      <c r="Q537" s="236"/>
      <c r="R537" s="236"/>
      <c r="S537" s="60"/>
      <c r="T537" s="60"/>
      <c r="U537" s="236"/>
      <c r="V537" s="60"/>
      <c r="W537" s="60"/>
      <c r="X537" s="236"/>
      <c r="Y537" s="236"/>
      <c r="Z537" s="60"/>
      <c r="AA537" s="60"/>
      <c r="AB537" s="236"/>
      <c r="AC537" s="60"/>
      <c r="AD537" s="60"/>
      <c r="AE537" s="236"/>
      <c r="AF537" s="236"/>
      <c r="AG537" s="60"/>
      <c r="AH537" s="60"/>
      <c r="AI537" s="236"/>
      <c r="AJ537" s="236"/>
    </row>
    <row r="538">
      <c r="A538" s="61"/>
      <c r="B538" s="60"/>
      <c r="C538" s="236"/>
      <c r="D538" s="236"/>
      <c r="E538" s="60"/>
      <c r="F538" s="60"/>
      <c r="G538" s="236"/>
      <c r="H538" s="60"/>
      <c r="I538" s="60"/>
      <c r="J538" s="236"/>
      <c r="K538" s="236"/>
      <c r="L538" s="60"/>
      <c r="M538" s="60"/>
      <c r="N538" s="236"/>
      <c r="O538" s="60"/>
      <c r="P538" s="60"/>
      <c r="Q538" s="236"/>
      <c r="R538" s="236"/>
      <c r="S538" s="60"/>
      <c r="T538" s="60"/>
      <c r="U538" s="236"/>
      <c r="V538" s="60"/>
      <c r="W538" s="60"/>
      <c r="X538" s="236"/>
      <c r="Y538" s="236"/>
      <c r="Z538" s="60"/>
      <c r="AA538" s="60"/>
      <c r="AB538" s="236"/>
      <c r="AC538" s="60"/>
      <c r="AD538" s="60"/>
      <c r="AE538" s="236"/>
      <c r="AF538" s="236"/>
      <c r="AG538" s="60"/>
      <c r="AH538" s="60"/>
      <c r="AI538" s="236"/>
      <c r="AJ538" s="236"/>
    </row>
    <row r="539">
      <c r="A539" s="61"/>
      <c r="B539" s="60"/>
      <c r="C539" s="236"/>
      <c r="D539" s="236"/>
      <c r="E539" s="60"/>
      <c r="F539" s="60"/>
      <c r="G539" s="236"/>
      <c r="H539" s="60"/>
      <c r="I539" s="60"/>
      <c r="J539" s="236"/>
      <c r="K539" s="236"/>
      <c r="L539" s="60"/>
      <c r="M539" s="60"/>
      <c r="N539" s="236"/>
      <c r="O539" s="60"/>
      <c r="P539" s="60"/>
      <c r="Q539" s="236"/>
      <c r="R539" s="236"/>
      <c r="S539" s="60"/>
      <c r="T539" s="60"/>
      <c r="U539" s="236"/>
      <c r="V539" s="60"/>
      <c r="W539" s="60"/>
      <c r="X539" s="236"/>
      <c r="Y539" s="236"/>
      <c r="Z539" s="60"/>
      <c r="AA539" s="60"/>
      <c r="AB539" s="236"/>
      <c r="AC539" s="60"/>
      <c r="AD539" s="60"/>
      <c r="AE539" s="236"/>
      <c r="AF539" s="236"/>
      <c r="AG539" s="60"/>
      <c r="AH539" s="60"/>
      <c r="AI539" s="236"/>
      <c r="AJ539" s="236"/>
    </row>
    <row r="540">
      <c r="A540" s="61"/>
      <c r="B540" s="60"/>
      <c r="C540" s="236"/>
      <c r="D540" s="236"/>
      <c r="E540" s="60"/>
      <c r="F540" s="60"/>
      <c r="G540" s="236"/>
      <c r="H540" s="60"/>
      <c r="I540" s="60"/>
      <c r="J540" s="236"/>
      <c r="K540" s="236"/>
      <c r="L540" s="60"/>
      <c r="M540" s="60"/>
      <c r="N540" s="236"/>
      <c r="O540" s="60"/>
      <c r="P540" s="60"/>
      <c r="Q540" s="236"/>
      <c r="R540" s="236"/>
      <c r="S540" s="60"/>
      <c r="T540" s="60"/>
      <c r="U540" s="236"/>
      <c r="V540" s="60"/>
      <c r="W540" s="60"/>
      <c r="X540" s="236"/>
      <c r="Y540" s="236"/>
      <c r="Z540" s="60"/>
      <c r="AA540" s="60"/>
      <c r="AB540" s="236"/>
      <c r="AC540" s="60"/>
      <c r="AD540" s="60"/>
      <c r="AE540" s="236"/>
      <c r="AF540" s="236"/>
      <c r="AG540" s="60"/>
      <c r="AH540" s="60"/>
      <c r="AI540" s="236"/>
      <c r="AJ540" s="236"/>
    </row>
    <row r="541">
      <c r="A541" s="61"/>
      <c r="B541" s="60"/>
      <c r="C541" s="236"/>
      <c r="D541" s="236"/>
      <c r="E541" s="60"/>
      <c r="F541" s="60"/>
      <c r="G541" s="236"/>
      <c r="H541" s="60"/>
      <c r="I541" s="60"/>
      <c r="J541" s="236"/>
      <c r="K541" s="236"/>
      <c r="L541" s="60"/>
      <c r="M541" s="60"/>
      <c r="N541" s="236"/>
      <c r="O541" s="60"/>
      <c r="P541" s="60"/>
      <c r="Q541" s="236"/>
      <c r="R541" s="236"/>
      <c r="S541" s="60"/>
      <c r="T541" s="60"/>
      <c r="U541" s="236"/>
      <c r="V541" s="60"/>
      <c r="W541" s="60"/>
      <c r="X541" s="236"/>
      <c r="Y541" s="236"/>
      <c r="Z541" s="60"/>
      <c r="AA541" s="60"/>
      <c r="AB541" s="236"/>
      <c r="AC541" s="60"/>
      <c r="AD541" s="60"/>
      <c r="AE541" s="236"/>
      <c r="AF541" s="236"/>
      <c r="AG541" s="60"/>
      <c r="AH541" s="60"/>
      <c r="AI541" s="236"/>
      <c r="AJ541" s="236"/>
    </row>
    <row r="542">
      <c r="A542" s="61"/>
      <c r="B542" s="60"/>
      <c r="C542" s="236"/>
      <c r="D542" s="236"/>
      <c r="E542" s="60"/>
      <c r="F542" s="60"/>
      <c r="G542" s="236"/>
      <c r="H542" s="60"/>
      <c r="I542" s="60"/>
      <c r="J542" s="236"/>
      <c r="K542" s="236"/>
      <c r="L542" s="60"/>
      <c r="M542" s="60"/>
      <c r="N542" s="236"/>
      <c r="O542" s="60"/>
      <c r="P542" s="60"/>
      <c r="Q542" s="236"/>
      <c r="R542" s="236"/>
      <c r="S542" s="60"/>
      <c r="T542" s="60"/>
      <c r="U542" s="236"/>
      <c r="V542" s="60"/>
      <c r="W542" s="60"/>
      <c r="X542" s="236"/>
      <c r="Y542" s="236"/>
      <c r="Z542" s="60"/>
      <c r="AA542" s="60"/>
      <c r="AB542" s="236"/>
      <c r="AC542" s="60"/>
      <c r="AD542" s="60"/>
      <c r="AE542" s="236"/>
      <c r="AF542" s="236"/>
      <c r="AG542" s="60"/>
      <c r="AH542" s="60"/>
      <c r="AI542" s="236"/>
      <c r="AJ542" s="236"/>
    </row>
    <row r="543">
      <c r="A543" s="61"/>
      <c r="B543" s="60"/>
      <c r="C543" s="236"/>
      <c r="D543" s="236"/>
      <c r="E543" s="60"/>
      <c r="F543" s="60"/>
      <c r="G543" s="236"/>
      <c r="H543" s="60"/>
      <c r="I543" s="60"/>
      <c r="J543" s="236"/>
      <c r="K543" s="236"/>
      <c r="L543" s="60"/>
      <c r="M543" s="60"/>
      <c r="N543" s="236"/>
      <c r="O543" s="60"/>
      <c r="P543" s="60"/>
      <c r="Q543" s="236"/>
      <c r="R543" s="236"/>
      <c r="S543" s="60"/>
      <c r="T543" s="60"/>
      <c r="U543" s="236"/>
      <c r="V543" s="60"/>
      <c r="W543" s="60"/>
      <c r="X543" s="236"/>
      <c r="Y543" s="236"/>
      <c r="Z543" s="60"/>
      <c r="AA543" s="60"/>
      <c r="AB543" s="236"/>
      <c r="AC543" s="60"/>
      <c r="AD543" s="60"/>
      <c r="AE543" s="236"/>
      <c r="AF543" s="236"/>
      <c r="AG543" s="60"/>
      <c r="AH543" s="60"/>
      <c r="AI543" s="236"/>
      <c r="AJ543" s="236"/>
    </row>
    <row r="544">
      <c r="A544" s="61"/>
      <c r="B544" s="60"/>
      <c r="C544" s="236"/>
      <c r="D544" s="236"/>
      <c r="E544" s="60"/>
      <c r="F544" s="60"/>
      <c r="G544" s="236"/>
      <c r="H544" s="60"/>
      <c r="I544" s="60"/>
      <c r="J544" s="236"/>
      <c r="K544" s="236"/>
      <c r="L544" s="60"/>
      <c r="M544" s="60"/>
      <c r="N544" s="236"/>
      <c r="O544" s="60"/>
      <c r="P544" s="60"/>
      <c r="Q544" s="236"/>
      <c r="R544" s="236"/>
      <c r="S544" s="60"/>
      <c r="T544" s="60"/>
      <c r="U544" s="236"/>
      <c r="V544" s="60"/>
      <c r="W544" s="60"/>
      <c r="X544" s="236"/>
      <c r="Y544" s="236"/>
      <c r="Z544" s="60"/>
      <c r="AA544" s="60"/>
      <c r="AB544" s="236"/>
      <c r="AC544" s="60"/>
      <c r="AD544" s="60"/>
      <c r="AE544" s="236"/>
      <c r="AF544" s="236"/>
      <c r="AG544" s="60"/>
      <c r="AH544" s="60"/>
      <c r="AI544" s="236"/>
      <c r="AJ544" s="236"/>
    </row>
    <row r="545">
      <c r="A545" s="61"/>
      <c r="B545" s="60"/>
      <c r="C545" s="236"/>
      <c r="D545" s="236"/>
      <c r="E545" s="60"/>
      <c r="F545" s="60"/>
      <c r="G545" s="236"/>
      <c r="H545" s="60"/>
      <c r="I545" s="60"/>
      <c r="J545" s="236"/>
      <c r="K545" s="236"/>
      <c r="L545" s="60"/>
      <c r="M545" s="60"/>
      <c r="N545" s="236"/>
      <c r="O545" s="60"/>
      <c r="P545" s="60"/>
      <c r="Q545" s="236"/>
      <c r="R545" s="236"/>
      <c r="S545" s="60"/>
      <c r="T545" s="60"/>
      <c r="U545" s="236"/>
      <c r="V545" s="60"/>
      <c r="W545" s="60"/>
      <c r="X545" s="236"/>
      <c r="Y545" s="236"/>
      <c r="Z545" s="60"/>
      <c r="AA545" s="60"/>
      <c r="AB545" s="236"/>
      <c r="AC545" s="60"/>
      <c r="AD545" s="60"/>
      <c r="AE545" s="236"/>
      <c r="AF545" s="236"/>
      <c r="AG545" s="60"/>
      <c r="AH545" s="60"/>
      <c r="AI545" s="236"/>
      <c r="AJ545" s="236"/>
    </row>
    <row r="546">
      <c r="A546" s="61"/>
      <c r="B546" s="60"/>
      <c r="C546" s="236"/>
      <c r="D546" s="236"/>
      <c r="E546" s="60"/>
      <c r="F546" s="60"/>
      <c r="G546" s="236"/>
      <c r="H546" s="60"/>
      <c r="I546" s="60"/>
      <c r="J546" s="236"/>
      <c r="K546" s="236"/>
      <c r="L546" s="60"/>
      <c r="M546" s="60"/>
      <c r="N546" s="236"/>
      <c r="O546" s="60"/>
      <c r="P546" s="60"/>
      <c r="Q546" s="236"/>
      <c r="R546" s="236"/>
      <c r="S546" s="60"/>
      <c r="T546" s="60"/>
      <c r="U546" s="236"/>
      <c r="V546" s="60"/>
      <c r="W546" s="60"/>
      <c r="X546" s="236"/>
      <c r="Y546" s="236"/>
      <c r="Z546" s="60"/>
      <c r="AA546" s="60"/>
      <c r="AB546" s="236"/>
      <c r="AC546" s="60"/>
      <c r="AD546" s="60"/>
      <c r="AE546" s="236"/>
      <c r="AF546" s="236"/>
      <c r="AG546" s="60"/>
      <c r="AH546" s="60"/>
      <c r="AI546" s="236"/>
      <c r="AJ546" s="236"/>
    </row>
    <row r="547">
      <c r="A547" s="61"/>
      <c r="B547" s="60"/>
      <c r="C547" s="236"/>
      <c r="D547" s="236"/>
      <c r="E547" s="60"/>
      <c r="F547" s="60"/>
      <c r="G547" s="236"/>
      <c r="H547" s="60"/>
      <c r="I547" s="60"/>
      <c r="J547" s="236"/>
      <c r="K547" s="236"/>
      <c r="L547" s="60"/>
      <c r="M547" s="60"/>
      <c r="N547" s="236"/>
      <c r="O547" s="60"/>
      <c r="P547" s="60"/>
      <c r="Q547" s="236"/>
      <c r="R547" s="236"/>
      <c r="S547" s="60"/>
      <c r="T547" s="60"/>
      <c r="U547" s="236"/>
      <c r="V547" s="60"/>
      <c r="W547" s="60"/>
      <c r="X547" s="236"/>
      <c r="Y547" s="236"/>
      <c r="Z547" s="60"/>
      <c r="AA547" s="60"/>
      <c r="AB547" s="236"/>
      <c r="AC547" s="60"/>
      <c r="AD547" s="60"/>
      <c r="AE547" s="236"/>
      <c r="AF547" s="236"/>
      <c r="AG547" s="60"/>
      <c r="AH547" s="60"/>
      <c r="AI547" s="236"/>
      <c r="AJ547" s="236"/>
    </row>
    <row r="548">
      <c r="A548" s="61"/>
      <c r="B548" s="60"/>
      <c r="C548" s="236"/>
      <c r="D548" s="236"/>
      <c r="E548" s="60"/>
      <c r="F548" s="60"/>
      <c r="G548" s="236"/>
      <c r="H548" s="60"/>
      <c r="I548" s="60"/>
      <c r="J548" s="236"/>
      <c r="K548" s="236"/>
      <c r="L548" s="60"/>
      <c r="M548" s="60"/>
      <c r="N548" s="236"/>
      <c r="O548" s="60"/>
      <c r="P548" s="60"/>
      <c r="Q548" s="236"/>
      <c r="R548" s="236"/>
      <c r="S548" s="60"/>
      <c r="T548" s="60"/>
      <c r="U548" s="236"/>
      <c r="V548" s="60"/>
      <c r="W548" s="60"/>
      <c r="X548" s="236"/>
      <c r="Y548" s="236"/>
      <c r="Z548" s="60"/>
      <c r="AA548" s="60"/>
      <c r="AB548" s="236"/>
      <c r="AC548" s="60"/>
      <c r="AD548" s="60"/>
      <c r="AE548" s="236"/>
      <c r="AF548" s="236"/>
      <c r="AG548" s="60"/>
      <c r="AH548" s="60"/>
      <c r="AI548" s="236"/>
      <c r="AJ548" s="236"/>
    </row>
    <row r="549">
      <c r="A549" s="61"/>
      <c r="B549" s="60"/>
      <c r="C549" s="236"/>
      <c r="D549" s="236"/>
      <c r="E549" s="60"/>
      <c r="F549" s="60"/>
      <c r="G549" s="236"/>
      <c r="H549" s="60"/>
      <c r="I549" s="60"/>
      <c r="J549" s="236"/>
      <c r="K549" s="236"/>
      <c r="L549" s="60"/>
      <c r="M549" s="60"/>
      <c r="N549" s="236"/>
      <c r="O549" s="60"/>
      <c r="P549" s="60"/>
      <c r="Q549" s="236"/>
      <c r="R549" s="236"/>
      <c r="S549" s="60"/>
      <c r="T549" s="60"/>
      <c r="U549" s="236"/>
      <c r="V549" s="60"/>
      <c r="W549" s="60"/>
      <c r="X549" s="236"/>
      <c r="Y549" s="236"/>
      <c r="Z549" s="60"/>
      <c r="AA549" s="60"/>
      <c r="AB549" s="236"/>
      <c r="AC549" s="60"/>
      <c r="AD549" s="60"/>
      <c r="AE549" s="236"/>
      <c r="AF549" s="236"/>
      <c r="AG549" s="60"/>
      <c r="AH549" s="60"/>
      <c r="AI549" s="236"/>
      <c r="AJ549" s="236"/>
    </row>
    <row r="550">
      <c r="A550" s="61"/>
      <c r="B550" s="60"/>
      <c r="C550" s="236"/>
      <c r="D550" s="236"/>
      <c r="E550" s="60"/>
      <c r="F550" s="60"/>
      <c r="G550" s="236"/>
      <c r="H550" s="60"/>
      <c r="I550" s="60"/>
      <c r="J550" s="236"/>
      <c r="K550" s="236"/>
      <c r="L550" s="60"/>
      <c r="M550" s="60"/>
      <c r="N550" s="236"/>
      <c r="O550" s="60"/>
      <c r="P550" s="60"/>
      <c r="Q550" s="236"/>
      <c r="R550" s="236"/>
      <c r="S550" s="60"/>
      <c r="T550" s="60"/>
      <c r="U550" s="236"/>
      <c r="V550" s="60"/>
      <c r="W550" s="60"/>
      <c r="X550" s="236"/>
      <c r="Y550" s="236"/>
      <c r="Z550" s="60"/>
      <c r="AA550" s="60"/>
      <c r="AB550" s="236"/>
      <c r="AC550" s="60"/>
      <c r="AD550" s="60"/>
      <c r="AE550" s="236"/>
      <c r="AF550" s="236"/>
      <c r="AG550" s="60"/>
      <c r="AH550" s="60"/>
      <c r="AI550" s="236"/>
      <c r="AJ550" s="236"/>
    </row>
    <row r="551">
      <c r="A551" s="61"/>
      <c r="B551" s="60"/>
      <c r="C551" s="236"/>
      <c r="D551" s="236"/>
      <c r="E551" s="60"/>
      <c r="F551" s="60"/>
      <c r="G551" s="236"/>
      <c r="H551" s="60"/>
      <c r="I551" s="60"/>
      <c r="J551" s="236"/>
      <c r="K551" s="236"/>
      <c r="L551" s="60"/>
      <c r="M551" s="60"/>
      <c r="N551" s="236"/>
      <c r="O551" s="60"/>
      <c r="P551" s="60"/>
      <c r="Q551" s="236"/>
      <c r="R551" s="236"/>
      <c r="S551" s="60"/>
      <c r="T551" s="60"/>
      <c r="U551" s="236"/>
      <c r="V551" s="60"/>
      <c r="W551" s="60"/>
      <c r="X551" s="236"/>
      <c r="Y551" s="236"/>
      <c r="Z551" s="60"/>
      <c r="AA551" s="60"/>
      <c r="AB551" s="236"/>
      <c r="AC551" s="60"/>
      <c r="AD551" s="60"/>
      <c r="AE551" s="236"/>
      <c r="AF551" s="236"/>
      <c r="AG551" s="60"/>
      <c r="AH551" s="60"/>
      <c r="AI551" s="236"/>
      <c r="AJ551" s="236"/>
    </row>
    <row r="552">
      <c r="A552" s="61"/>
      <c r="B552" s="60"/>
      <c r="C552" s="236"/>
      <c r="D552" s="236"/>
      <c r="E552" s="60"/>
      <c r="F552" s="60"/>
      <c r="G552" s="236"/>
      <c r="H552" s="60"/>
      <c r="I552" s="60"/>
      <c r="J552" s="236"/>
      <c r="K552" s="236"/>
      <c r="L552" s="60"/>
      <c r="M552" s="60"/>
      <c r="N552" s="236"/>
      <c r="O552" s="60"/>
      <c r="P552" s="60"/>
      <c r="Q552" s="236"/>
      <c r="R552" s="236"/>
      <c r="S552" s="60"/>
      <c r="T552" s="60"/>
      <c r="U552" s="236"/>
      <c r="V552" s="60"/>
      <c r="W552" s="60"/>
      <c r="X552" s="236"/>
      <c r="Y552" s="236"/>
      <c r="Z552" s="60"/>
      <c r="AA552" s="60"/>
      <c r="AB552" s="236"/>
      <c r="AC552" s="60"/>
      <c r="AD552" s="60"/>
      <c r="AE552" s="236"/>
      <c r="AF552" s="236"/>
      <c r="AG552" s="60"/>
      <c r="AH552" s="60"/>
      <c r="AI552" s="236"/>
      <c r="AJ552" s="236"/>
    </row>
    <row r="553">
      <c r="A553" s="61"/>
      <c r="B553" s="60"/>
      <c r="C553" s="236"/>
      <c r="D553" s="236"/>
      <c r="E553" s="60"/>
      <c r="F553" s="60"/>
      <c r="G553" s="236"/>
      <c r="H553" s="60"/>
      <c r="I553" s="60"/>
      <c r="J553" s="236"/>
      <c r="K553" s="236"/>
      <c r="L553" s="60"/>
      <c r="M553" s="60"/>
      <c r="N553" s="236"/>
      <c r="O553" s="60"/>
      <c r="P553" s="60"/>
      <c r="Q553" s="236"/>
      <c r="R553" s="236"/>
      <c r="S553" s="60"/>
      <c r="T553" s="60"/>
      <c r="U553" s="236"/>
      <c r="V553" s="60"/>
      <c r="W553" s="60"/>
      <c r="X553" s="236"/>
      <c r="Y553" s="236"/>
      <c r="Z553" s="60"/>
      <c r="AA553" s="60"/>
      <c r="AB553" s="236"/>
      <c r="AC553" s="60"/>
      <c r="AD553" s="60"/>
      <c r="AE553" s="236"/>
      <c r="AF553" s="236"/>
      <c r="AG553" s="60"/>
      <c r="AH553" s="60"/>
      <c r="AI553" s="236"/>
      <c r="AJ553" s="236"/>
    </row>
    <row r="554">
      <c r="A554" s="61"/>
      <c r="B554" s="60"/>
      <c r="C554" s="236"/>
      <c r="D554" s="236"/>
      <c r="E554" s="60"/>
      <c r="F554" s="60"/>
      <c r="G554" s="236"/>
      <c r="H554" s="60"/>
      <c r="I554" s="60"/>
      <c r="J554" s="236"/>
      <c r="K554" s="236"/>
      <c r="L554" s="60"/>
      <c r="M554" s="60"/>
      <c r="N554" s="236"/>
      <c r="O554" s="60"/>
      <c r="P554" s="60"/>
      <c r="Q554" s="236"/>
      <c r="R554" s="236"/>
      <c r="S554" s="60"/>
      <c r="T554" s="60"/>
      <c r="U554" s="236"/>
      <c r="V554" s="60"/>
      <c r="W554" s="60"/>
      <c r="X554" s="236"/>
      <c r="Y554" s="236"/>
      <c r="Z554" s="60"/>
      <c r="AA554" s="60"/>
      <c r="AB554" s="236"/>
      <c r="AC554" s="60"/>
      <c r="AD554" s="60"/>
      <c r="AE554" s="236"/>
      <c r="AF554" s="236"/>
      <c r="AG554" s="60"/>
      <c r="AH554" s="60"/>
      <c r="AI554" s="236"/>
      <c r="AJ554" s="236"/>
    </row>
    <row r="555">
      <c r="A555" s="61"/>
      <c r="B555" s="60"/>
      <c r="C555" s="236"/>
      <c r="D555" s="236"/>
      <c r="E555" s="60"/>
      <c r="F555" s="60"/>
      <c r="G555" s="236"/>
      <c r="H555" s="60"/>
      <c r="I555" s="60"/>
      <c r="J555" s="236"/>
      <c r="K555" s="236"/>
      <c r="L555" s="60"/>
      <c r="M555" s="60"/>
      <c r="N555" s="236"/>
      <c r="O555" s="60"/>
      <c r="P555" s="60"/>
      <c r="Q555" s="236"/>
      <c r="R555" s="236"/>
      <c r="S555" s="60"/>
      <c r="T555" s="60"/>
      <c r="U555" s="236"/>
      <c r="V555" s="60"/>
      <c r="W555" s="60"/>
      <c r="X555" s="236"/>
      <c r="Y555" s="236"/>
      <c r="Z555" s="60"/>
      <c r="AA555" s="60"/>
      <c r="AB555" s="236"/>
      <c r="AC555" s="60"/>
      <c r="AD555" s="60"/>
      <c r="AE555" s="236"/>
      <c r="AF555" s="236"/>
      <c r="AG555" s="60"/>
      <c r="AH555" s="60"/>
      <c r="AI555" s="236"/>
      <c r="AJ555" s="236"/>
    </row>
    <row r="556">
      <c r="A556" s="61"/>
      <c r="B556" s="60"/>
      <c r="C556" s="236"/>
      <c r="D556" s="236"/>
      <c r="E556" s="60"/>
      <c r="F556" s="60"/>
      <c r="G556" s="236"/>
      <c r="H556" s="60"/>
      <c r="I556" s="60"/>
      <c r="J556" s="236"/>
      <c r="K556" s="236"/>
      <c r="L556" s="60"/>
      <c r="M556" s="60"/>
      <c r="N556" s="236"/>
      <c r="O556" s="60"/>
      <c r="P556" s="60"/>
      <c r="Q556" s="236"/>
      <c r="R556" s="236"/>
      <c r="S556" s="60"/>
      <c r="T556" s="60"/>
      <c r="U556" s="236"/>
      <c r="V556" s="60"/>
      <c r="W556" s="60"/>
      <c r="X556" s="236"/>
      <c r="Y556" s="236"/>
      <c r="Z556" s="60"/>
      <c r="AA556" s="60"/>
      <c r="AB556" s="236"/>
      <c r="AC556" s="60"/>
      <c r="AD556" s="60"/>
      <c r="AE556" s="236"/>
      <c r="AF556" s="236"/>
      <c r="AG556" s="60"/>
      <c r="AH556" s="60"/>
      <c r="AI556" s="236"/>
      <c r="AJ556" s="236"/>
    </row>
    <row r="557">
      <c r="A557" s="61"/>
      <c r="B557" s="60"/>
      <c r="C557" s="236"/>
      <c r="D557" s="236"/>
      <c r="E557" s="60"/>
      <c r="F557" s="60"/>
      <c r="G557" s="236"/>
      <c r="H557" s="60"/>
      <c r="I557" s="60"/>
      <c r="J557" s="236"/>
      <c r="K557" s="236"/>
      <c r="L557" s="60"/>
      <c r="M557" s="60"/>
      <c r="N557" s="236"/>
      <c r="O557" s="60"/>
      <c r="P557" s="60"/>
      <c r="Q557" s="236"/>
      <c r="R557" s="236"/>
      <c r="S557" s="60"/>
      <c r="T557" s="60"/>
      <c r="U557" s="236"/>
      <c r="V557" s="60"/>
      <c r="W557" s="60"/>
      <c r="X557" s="236"/>
      <c r="Y557" s="236"/>
      <c r="Z557" s="60"/>
      <c r="AA557" s="60"/>
      <c r="AB557" s="236"/>
      <c r="AC557" s="60"/>
      <c r="AD557" s="60"/>
      <c r="AE557" s="236"/>
      <c r="AF557" s="236"/>
      <c r="AG557" s="60"/>
      <c r="AH557" s="60"/>
      <c r="AI557" s="236"/>
      <c r="AJ557" s="236"/>
    </row>
    <row r="558">
      <c r="A558" s="61"/>
      <c r="B558" s="60"/>
      <c r="C558" s="236"/>
      <c r="D558" s="236"/>
      <c r="E558" s="60"/>
      <c r="F558" s="60"/>
      <c r="G558" s="236"/>
      <c r="H558" s="60"/>
      <c r="I558" s="60"/>
      <c r="J558" s="236"/>
      <c r="K558" s="236"/>
      <c r="L558" s="60"/>
      <c r="M558" s="60"/>
      <c r="N558" s="236"/>
      <c r="O558" s="60"/>
      <c r="P558" s="60"/>
      <c r="Q558" s="236"/>
      <c r="R558" s="236"/>
      <c r="S558" s="60"/>
      <c r="T558" s="60"/>
      <c r="U558" s="236"/>
      <c r="V558" s="60"/>
      <c r="W558" s="60"/>
      <c r="X558" s="236"/>
      <c r="Y558" s="236"/>
      <c r="Z558" s="60"/>
      <c r="AA558" s="60"/>
      <c r="AB558" s="236"/>
      <c r="AC558" s="60"/>
      <c r="AD558" s="60"/>
      <c r="AE558" s="236"/>
      <c r="AF558" s="236"/>
      <c r="AG558" s="60"/>
      <c r="AH558" s="60"/>
      <c r="AI558" s="236"/>
      <c r="AJ558" s="236"/>
    </row>
    <row r="559">
      <c r="A559" s="61"/>
      <c r="B559" s="60"/>
      <c r="C559" s="236"/>
      <c r="D559" s="236"/>
      <c r="E559" s="60"/>
      <c r="F559" s="60"/>
      <c r="G559" s="236"/>
      <c r="H559" s="60"/>
      <c r="I559" s="60"/>
      <c r="J559" s="236"/>
      <c r="K559" s="236"/>
      <c r="L559" s="60"/>
      <c r="M559" s="60"/>
      <c r="N559" s="236"/>
      <c r="O559" s="60"/>
      <c r="P559" s="60"/>
      <c r="Q559" s="236"/>
      <c r="R559" s="236"/>
      <c r="S559" s="60"/>
      <c r="T559" s="60"/>
      <c r="U559" s="236"/>
      <c r="V559" s="60"/>
      <c r="W559" s="60"/>
      <c r="X559" s="236"/>
      <c r="Y559" s="236"/>
      <c r="Z559" s="60"/>
      <c r="AA559" s="60"/>
      <c r="AB559" s="236"/>
      <c r="AC559" s="60"/>
      <c r="AD559" s="60"/>
      <c r="AE559" s="236"/>
      <c r="AF559" s="236"/>
      <c r="AG559" s="60"/>
      <c r="AH559" s="60"/>
      <c r="AI559" s="236"/>
      <c r="AJ559" s="236"/>
    </row>
    <row r="560">
      <c r="A560" s="61"/>
      <c r="B560" s="60"/>
      <c r="C560" s="236"/>
      <c r="D560" s="236"/>
      <c r="E560" s="60"/>
      <c r="F560" s="60"/>
      <c r="G560" s="236"/>
      <c r="H560" s="60"/>
      <c r="I560" s="60"/>
      <c r="J560" s="236"/>
      <c r="K560" s="236"/>
      <c r="L560" s="60"/>
      <c r="M560" s="60"/>
      <c r="N560" s="236"/>
      <c r="O560" s="60"/>
      <c r="P560" s="60"/>
      <c r="Q560" s="236"/>
      <c r="R560" s="236"/>
      <c r="S560" s="60"/>
      <c r="T560" s="60"/>
      <c r="U560" s="236"/>
      <c r="V560" s="60"/>
      <c r="W560" s="60"/>
      <c r="X560" s="236"/>
      <c r="Y560" s="236"/>
      <c r="Z560" s="60"/>
      <c r="AA560" s="60"/>
      <c r="AB560" s="236"/>
      <c r="AC560" s="60"/>
      <c r="AD560" s="60"/>
      <c r="AE560" s="236"/>
      <c r="AF560" s="236"/>
      <c r="AG560" s="60"/>
      <c r="AH560" s="60"/>
      <c r="AI560" s="236"/>
      <c r="AJ560" s="236"/>
    </row>
    <row r="561">
      <c r="A561" s="61"/>
      <c r="B561" s="60"/>
      <c r="C561" s="236"/>
      <c r="D561" s="236"/>
      <c r="E561" s="60"/>
      <c r="F561" s="60"/>
      <c r="G561" s="236"/>
      <c r="H561" s="60"/>
      <c r="I561" s="60"/>
      <c r="J561" s="236"/>
      <c r="K561" s="236"/>
      <c r="L561" s="60"/>
      <c r="M561" s="60"/>
      <c r="N561" s="236"/>
      <c r="O561" s="60"/>
      <c r="P561" s="60"/>
      <c r="Q561" s="236"/>
      <c r="R561" s="236"/>
      <c r="S561" s="60"/>
      <c r="T561" s="60"/>
      <c r="U561" s="236"/>
      <c r="V561" s="60"/>
      <c r="W561" s="60"/>
      <c r="X561" s="236"/>
      <c r="Y561" s="236"/>
      <c r="Z561" s="60"/>
      <c r="AA561" s="60"/>
      <c r="AB561" s="236"/>
      <c r="AC561" s="60"/>
      <c r="AD561" s="60"/>
      <c r="AE561" s="236"/>
      <c r="AF561" s="236"/>
      <c r="AG561" s="60"/>
      <c r="AH561" s="60"/>
      <c r="AI561" s="236"/>
      <c r="AJ561" s="236"/>
    </row>
    <row r="562">
      <c r="A562" s="61"/>
      <c r="B562" s="60"/>
      <c r="C562" s="236"/>
      <c r="D562" s="236"/>
      <c r="E562" s="60"/>
      <c r="F562" s="60"/>
      <c r="G562" s="236"/>
      <c r="H562" s="60"/>
      <c r="I562" s="60"/>
      <c r="J562" s="236"/>
      <c r="K562" s="236"/>
      <c r="L562" s="60"/>
      <c r="M562" s="60"/>
      <c r="N562" s="236"/>
      <c r="O562" s="60"/>
      <c r="P562" s="60"/>
      <c r="Q562" s="236"/>
      <c r="R562" s="236"/>
      <c r="S562" s="60"/>
      <c r="T562" s="60"/>
      <c r="U562" s="236"/>
      <c r="V562" s="60"/>
      <c r="W562" s="60"/>
      <c r="X562" s="236"/>
      <c r="Y562" s="236"/>
      <c r="Z562" s="60"/>
      <c r="AA562" s="60"/>
      <c r="AB562" s="236"/>
      <c r="AC562" s="60"/>
      <c r="AD562" s="60"/>
      <c r="AE562" s="236"/>
      <c r="AF562" s="236"/>
      <c r="AG562" s="60"/>
      <c r="AH562" s="60"/>
      <c r="AI562" s="236"/>
      <c r="AJ562" s="236"/>
    </row>
    <row r="563">
      <c r="A563" s="61"/>
      <c r="B563" s="60"/>
      <c r="C563" s="236"/>
      <c r="D563" s="236"/>
      <c r="E563" s="60"/>
      <c r="F563" s="60"/>
      <c r="G563" s="236"/>
      <c r="H563" s="60"/>
      <c r="I563" s="60"/>
      <c r="J563" s="236"/>
      <c r="K563" s="236"/>
      <c r="L563" s="60"/>
      <c r="M563" s="60"/>
      <c r="N563" s="236"/>
      <c r="O563" s="60"/>
      <c r="P563" s="60"/>
      <c r="Q563" s="236"/>
      <c r="R563" s="236"/>
      <c r="S563" s="60"/>
      <c r="T563" s="60"/>
      <c r="U563" s="236"/>
      <c r="V563" s="60"/>
      <c r="W563" s="60"/>
      <c r="X563" s="236"/>
      <c r="Y563" s="236"/>
      <c r="Z563" s="60"/>
      <c r="AA563" s="60"/>
      <c r="AB563" s="236"/>
      <c r="AC563" s="60"/>
      <c r="AD563" s="60"/>
      <c r="AE563" s="236"/>
      <c r="AF563" s="236"/>
      <c r="AG563" s="60"/>
      <c r="AH563" s="60"/>
      <c r="AI563" s="236"/>
      <c r="AJ563" s="236"/>
    </row>
    <row r="564">
      <c r="A564" s="61"/>
      <c r="B564" s="60"/>
      <c r="C564" s="236"/>
      <c r="D564" s="236"/>
      <c r="E564" s="60"/>
      <c r="F564" s="60"/>
      <c r="G564" s="236"/>
      <c r="H564" s="60"/>
      <c r="I564" s="60"/>
      <c r="J564" s="236"/>
      <c r="K564" s="236"/>
      <c r="L564" s="60"/>
      <c r="M564" s="60"/>
      <c r="N564" s="236"/>
      <c r="O564" s="60"/>
      <c r="P564" s="60"/>
      <c r="Q564" s="236"/>
      <c r="R564" s="236"/>
      <c r="S564" s="60"/>
      <c r="T564" s="60"/>
      <c r="U564" s="236"/>
      <c r="V564" s="60"/>
      <c r="W564" s="60"/>
      <c r="X564" s="236"/>
      <c r="Y564" s="236"/>
      <c r="Z564" s="60"/>
      <c r="AA564" s="60"/>
      <c r="AB564" s="236"/>
      <c r="AC564" s="60"/>
      <c r="AD564" s="60"/>
      <c r="AE564" s="236"/>
      <c r="AF564" s="236"/>
      <c r="AG564" s="60"/>
      <c r="AH564" s="60"/>
      <c r="AI564" s="236"/>
      <c r="AJ564" s="236"/>
    </row>
    <row r="565">
      <c r="A565" s="61"/>
      <c r="B565" s="60"/>
      <c r="C565" s="236"/>
      <c r="D565" s="236"/>
      <c r="E565" s="60"/>
      <c r="F565" s="60"/>
      <c r="G565" s="236"/>
      <c r="H565" s="60"/>
      <c r="I565" s="60"/>
      <c r="J565" s="236"/>
      <c r="K565" s="236"/>
      <c r="L565" s="60"/>
      <c r="M565" s="60"/>
      <c r="N565" s="236"/>
      <c r="O565" s="60"/>
      <c r="P565" s="60"/>
      <c r="Q565" s="236"/>
      <c r="R565" s="236"/>
      <c r="S565" s="60"/>
      <c r="T565" s="60"/>
      <c r="U565" s="236"/>
      <c r="V565" s="60"/>
      <c r="W565" s="60"/>
      <c r="X565" s="236"/>
      <c r="Y565" s="236"/>
      <c r="Z565" s="60"/>
      <c r="AA565" s="60"/>
      <c r="AB565" s="236"/>
      <c r="AC565" s="60"/>
      <c r="AD565" s="60"/>
      <c r="AE565" s="236"/>
      <c r="AF565" s="236"/>
      <c r="AG565" s="60"/>
      <c r="AH565" s="60"/>
      <c r="AI565" s="236"/>
      <c r="AJ565" s="236"/>
    </row>
    <row r="566">
      <c r="A566" s="61"/>
      <c r="B566" s="60"/>
      <c r="C566" s="236"/>
      <c r="D566" s="236"/>
      <c r="E566" s="60"/>
      <c r="F566" s="60"/>
      <c r="G566" s="236"/>
      <c r="H566" s="60"/>
      <c r="I566" s="60"/>
      <c r="J566" s="236"/>
      <c r="K566" s="236"/>
      <c r="L566" s="60"/>
      <c r="M566" s="60"/>
      <c r="N566" s="236"/>
      <c r="O566" s="60"/>
      <c r="P566" s="60"/>
      <c r="Q566" s="236"/>
      <c r="R566" s="236"/>
      <c r="S566" s="60"/>
      <c r="T566" s="60"/>
      <c r="U566" s="236"/>
      <c r="V566" s="60"/>
      <c r="W566" s="60"/>
      <c r="X566" s="236"/>
      <c r="Y566" s="236"/>
      <c r="Z566" s="60"/>
      <c r="AA566" s="60"/>
      <c r="AB566" s="236"/>
      <c r="AC566" s="60"/>
      <c r="AD566" s="60"/>
      <c r="AE566" s="236"/>
      <c r="AF566" s="236"/>
      <c r="AG566" s="60"/>
      <c r="AH566" s="60"/>
      <c r="AI566" s="236"/>
      <c r="AJ566" s="236"/>
    </row>
    <row r="567">
      <c r="A567" s="61"/>
      <c r="B567" s="60"/>
      <c r="C567" s="236"/>
      <c r="D567" s="236"/>
      <c r="E567" s="60"/>
      <c r="F567" s="60"/>
      <c r="G567" s="236"/>
      <c r="H567" s="60"/>
      <c r="I567" s="60"/>
      <c r="J567" s="236"/>
      <c r="K567" s="236"/>
      <c r="L567" s="60"/>
      <c r="M567" s="60"/>
      <c r="N567" s="236"/>
      <c r="O567" s="60"/>
      <c r="P567" s="60"/>
      <c r="Q567" s="236"/>
      <c r="R567" s="236"/>
      <c r="S567" s="60"/>
      <c r="T567" s="60"/>
      <c r="U567" s="236"/>
      <c r="V567" s="60"/>
      <c r="W567" s="60"/>
      <c r="X567" s="236"/>
      <c r="Y567" s="236"/>
      <c r="Z567" s="60"/>
      <c r="AA567" s="60"/>
      <c r="AB567" s="236"/>
      <c r="AC567" s="60"/>
      <c r="AD567" s="60"/>
      <c r="AE567" s="236"/>
      <c r="AF567" s="236"/>
      <c r="AG567" s="60"/>
      <c r="AH567" s="60"/>
      <c r="AI567" s="236"/>
      <c r="AJ567" s="236"/>
    </row>
    <row r="568">
      <c r="A568" s="61"/>
      <c r="B568" s="60"/>
      <c r="C568" s="236"/>
      <c r="D568" s="236"/>
      <c r="E568" s="60"/>
      <c r="F568" s="60"/>
      <c r="G568" s="236"/>
      <c r="H568" s="60"/>
      <c r="I568" s="60"/>
      <c r="J568" s="236"/>
      <c r="K568" s="236"/>
      <c r="L568" s="60"/>
      <c r="M568" s="60"/>
      <c r="N568" s="236"/>
      <c r="O568" s="60"/>
      <c r="P568" s="60"/>
      <c r="Q568" s="236"/>
      <c r="R568" s="236"/>
      <c r="S568" s="60"/>
      <c r="T568" s="60"/>
      <c r="U568" s="236"/>
      <c r="V568" s="60"/>
      <c r="W568" s="60"/>
      <c r="X568" s="236"/>
      <c r="Y568" s="236"/>
      <c r="Z568" s="60"/>
      <c r="AA568" s="60"/>
      <c r="AB568" s="236"/>
      <c r="AC568" s="60"/>
      <c r="AD568" s="60"/>
      <c r="AE568" s="236"/>
      <c r="AF568" s="236"/>
      <c r="AG568" s="60"/>
      <c r="AH568" s="60"/>
      <c r="AI568" s="236"/>
      <c r="AJ568" s="236"/>
    </row>
    <row r="569">
      <c r="A569" s="61"/>
      <c r="B569" s="60"/>
      <c r="C569" s="236"/>
      <c r="D569" s="236"/>
      <c r="E569" s="60"/>
      <c r="F569" s="60"/>
      <c r="G569" s="236"/>
      <c r="H569" s="60"/>
      <c r="I569" s="60"/>
      <c r="J569" s="236"/>
      <c r="K569" s="236"/>
      <c r="L569" s="60"/>
      <c r="M569" s="60"/>
      <c r="N569" s="236"/>
      <c r="O569" s="60"/>
      <c r="P569" s="60"/>
      <c r="Q569" s="236"/>
      <c r="R569" s="236"/>
      <c r="S569" s="60"/>
      <c r="T569" s="60"/>
      <c r="U569" s="236"/>
      <c r="V569" s="60"/>
      <c r="W569" s="60"/>
      <c r="X569" s="236"/>
      <c r="Y569" s="236"/>
      <c r="Z569" s="60"/>
      <c r="AA569" s="60"/>
      <c r="AB569" s="236"/>
      <c r="AC569" s="60"/>
      <c r="AD569" s="60"/>
      <c r="AE569" s="236"/>
      <c r="AF569" s="236"/>
      <c r="AG569" s="60"/>
      <c r="AH569" s="60"/>
      <c r="AI569" s="236"/>
      <c r="AJ569" s="236"/>
    </row>
    <row r="570">
      <c r="A570" s="61"/>
      <c r="B570" s="60"/>
      <c r="C570" s="236"/>
      <c r="D570" s="236"/>
      <c r="E570" s="60"/>
      <c r="F570" s="60"/>
      <c r="G570" s="236"/>
      <c r="H570" s="60"/>
      <c r="I570" s="60"/>
      <c r="J570" s="236"/>
      <c r="K570" s="236"/>
      <c r="L570" s="60"/>
      <c r="M570" s="60"/>
      <c r="N570" s="236"/>
      <c r="O570" s="60"/>
      <c r="P570" s="60"/>
      <c r="Q570" s="236"/>
      <c r="R570" s="236"/>
      <c r="S570" s="60"/>
      <c r="T570" s="60"/>
      <c r="U570" s="236"/>
      <c r="V570" s="60"/>
      <c r="W570" s="60"/>
      <c r="X570" s="236"/>
      <c r="Y570" s="236"/>
      <c r="Z570" s="60"/>
      <c r="AA570" s="60"/>
      <c r="AB570" s="236"/>
      <c r="AC570" s="60"/>
      <c r="AD570" s="60"/>
      <c r="AE570" s="236"/>
      <c r="AF570" s="236"/>
      <c r="AG570" s="60"/>
      <c r="AH570" s="60"/>
      <c r="AI570" s="236"/>
      <c r="AJ570" s="236"/>
    </row>
    <row r="571">
      <c r="A571" s="61"/>
      <c r="B571" s="60"/>
      <c r="C571" s="236"/>
      <c r="D571" s="236"/>
      <c r="E571" s="60"/>
      <c r="F571" s="60"/>
      <c r="G571" s="236"/>
      <c r="H571" s="60"/>
      <c r="I571" s="60"/>
      <c r="J571" s="236"/>
      <c r="K571" s="236"/>
      <c r="L571" s="60"/>
      <c r="M571" s="60"/>
      <c r="N571" s="236"/>
      <c r="O571" s="60"/>
      <c r="P571" s="60"/>
      <c r="Q571" s="236"/>
      <c r="R571" s="236"/>
      <c r="S571" s="60"/>
      <c r="T571" s="60"/>
      <c r="U571" s="236"/>
      <c r="V571" s="60"/>
      <c r="W571" s="60"/>
      <c r="X571" s="236"/>
      <c r="Y571" s="236"/>
      <c r="Z571" s="60"/>
      <c r="AA571" s="60"/>
      <c r="AB571" s="236"/>
      <c r="AC571" s="60"/>
      <c r="AD571" s="60"/>
      <c r="AE571" s="236"/>
      <c r="AF571" s="236"/>
      <c r="AG571" s="60"/>
      <c r="AH571" s="60"/>
      <c r="AI571" s="236"/>
      <c r="AJ571" s="236"/>
    </row>
    <row r="572">
      <c r="A572" s="61"/>
      <c r="B572" s="60"/>
      <c r="C572" s="236"/>
      <c r="D572" s="236"/>
      <c r="E572" s="60"/>
      <c r="F572" s="60"/>
      <c r="G572" s="236"/>
      <c r="H572" s="60"/>
      <c r="I572" s="60"/>
      <c r="J572" s="236"/>
      <c r="K572" s="236"/>
      <c r="L572" s="60"/>
      <c r="M572" s="60"/>
      <c r="N572" s="236"/>
      <c r="O572" s="60"/>
      <c r="P572" s="60"/>
      <c r="Q572" s="236"/>
      <c r="R572" s="236"/>
      <c r="S572" s="60"/>
      <c r="T572" s="60"/>
      <c r="U572" s="236"/>
      <c r="V572" s="60"/>
      <c r="W572" s="60"/>
      <c r="X572" s="236"/>
      <c r="Y572" s="236"/>
      <c r="Z572" s="60"/>
      <c r="AA572" s="60"/>
      <c r="AB572" s="236"/>
      <c r="AC572" s="60"/>
      <c r="AD572" s="60"/>
      <c r="AE572" s="236"/>
      <c r="AF572" s="236"/>
      <c r="AG572" s="60"/>
      <c r="AH572" s="60"/>
      <c r="AI572" s="236"/>
      <c r="AJ572" s="236"/>
    </row>
    <row r="573">
      <c r="A573" s="61"/>
      <c r="B573" s="60"/>
      <c r="C573" s="236"/>
      <c r="D573" s="236"/>
      <c r="E573" s="60"/>
      <c r="F573" s="60"/>
      <c r="G573" s="236"/>
      <c r="H573" s="60"/>
      <c r="I573" s="60"/>
      <c r="J573" s="236"/>
      <c r="K573" s="236"/>
      <c r="L573" s="60"/>
      <c r="M573" s="60"/>
      <c r="N573" s="236"/>
      <c r="O573" s="60"/>
      <c r="P573" s="60"/>
      <c r="Q573" s="236"/>
      <c r="R573" s="236"/>
      <c r="S573" s="60"/>
      <c r="T573" s="60"/>
      <c r="U573" s="236"/>
      <c r="V573" s="60"/>
      <c r="W573" s="60"/>
      <c r="X573" s="236"/>
      <c r="Y573" s="236"/>
      <c r="Z573" s="60"/>
      <c r="AA573" s="60"/>
      <c r="AB573" s="236"/>
      <c r="AC573" s="60"/>
      <c r="AD573" s="60"/>
      <c r="AE573" s="236"/>
      <c r="AF573" s="236"/>
      <c r="AG573" s="60"/>
      <c r="AH573" s="60"/>
      <c r="AI573" s="236"/>
      <c r="AJ573" s="236"/>
    </row>
    <row r="574">
      <c r="A574" s="61"/>
      <c r="B574" s="60"/>
      <c r="C574" s="236"/>
      <c r="D574" s="236"/>
      <c r="E574" s="60"/>
      <c r="F574" s="60"/>
      <c r="G574" s="236"/>
      <c r="H574" s="60"/>
      <c r="I574" s="60"/>
      <c r="J574" s="236"/>
      <c r="K574" s="236"/>
      <c r="L574" s="60"/>
      <c r="M574" s="60"/>
      <c r="N574" s="236"/>
      <c r="O574" s="60"/>
      <c r="P574" s="60"/>
      <c r="Q574" s="236"/>
      <c r="R574" s="236"/>
      <c r="S574" s="60"/>
      <c r="T574" s="60"/>
      <c r="U574" s="236"/>
      <c r="V574" s="60"/>
      <c r="W574" s="60"/>
      <c r="X574" s="236"/>
      <c r="Y574" s="236"/>
      <c r="Z574" s="60"/>
      <c r="AA574" s="60"/>
      <c r="AB574" s="236"/>
      <c r="AC574" s="60"/>
      <c r="AD574" s="60"/>
      <c r="AE574" s="236"/>
      <c r="AF574" s="236"/>
      <c r="AG574" s="60"/>
      <c r="AH574" s="60"/>
      <c r="AI574" s="236"/>
      <c r="AJ574" s="236"/>
    </row>
    <row r="575">
      <c r="A575" s="61"/>
      <c r="B575" s="60"/>
      <c r="C575" s="236"/>
      <c r="D575" s="236"/>
      <c r="E575" s="60"/>
      <c r="F575" s="60"/>
      <c r="G575" s="236"/>
      <c r="H575" s="60"/>
      <c r="I575" s="60"/>
      <c r="J575" s="236"/>
      <c r="K575" s="236"/>
      <c r="L575" s="60"/>
      <c r="M575" s="60"/>
      <c r="N575" s="236"/>
      <c r="O575" s="60"/>
      <c r="P575" s="60"/>
      <c r="Q575" s="236"/>
      <c r="R575" s="236"/>
      <c r="S575" s="60"/>
      <c r="T575" s="60"/>
      <c r="U575" s="236"/>
      <c r="V575" s="60"/>
      <c r="W575" s="60"/>
      <c r="X575" s="236"/>
      <c r="Y575" s="236"/>
      <c r="Z575" s="60"/>
      <c r="AA575" s="60"/>
      <c r="AB575" s="236"/>
      <c r="AC575" s="60"/>
      <c r="AD575" s="60"/>
      <c r="AE575" s="236"/>
      <c r="AF575" s="236"/>
      <c r="AG575" s="60"/>
      <c r="AH575" s="60"/>
      <c r="AI575" s="236"/>
      <c r="AJ575" s="236"/>
    </row>
    <row r="576">
      <c r="A576" s="61"/>
      <c r="B576" s="60"/>
      <c r="C576" s="236"/>
      <c r="D576" s="236"/>
      <c r="E576" s="60"/>
      <c r="F576" s="60"/>
      <c r="G576" s="236"/>
      <c r="H576" s="60"/>
      <c r="I576" s="60"/>
      <c r="J576" s="236"/>
      <c r="K576" s="236"/>
      <c r="L576" s="60"/>
      <c r="M576" s="60"/>
      <c r="N576" s="236"/>
      <c r="O576" s="60"/>
      <c r="P576" s="60"/>
      <c r="Q576" s="236"/>
      <c r="R576" s="236"/>
      <c r="S576" s="60"/>
      <c r="T576" s="60"/>
      <c r="U576" s="236"/>
      <c r="V576" s="60"/>
      <c r="W576" s="60"/>
      <c r="X576" s="236"/>
      <c r="Y576" s="236"/>
      <c r="Z576" s="60"/>
      <c r="AA576" s="60"/>
      <c r="AB576" s="236"/>
      <c r="AC576" s="60"/>
      <c r="AD576" s="60"/>
      <c r="AE576" s="236"/>
      <c r="AF576" s="236"/>
      <c r="AG576" s="60"/>
      <c r="AH576" s="60"/>
      <c r="AI576" s="236"/>
      <c r="AJ576" s="236"/>
    </row>
    <row r="577">
      <c r="A577" s="61"/>
      <c r="B577" s="60"/>
      <c r="C577" s="236"/>
      <c r="D577" s="236"/>
      <c r="E577" s="60"/>
      <c r="F577" s="60"/>
      <c r="G577" s="236"/>
      <c r="H577" s="60"/>
      <c r="I577" s="60"/>
      <c r="J577" s="236"/>
      <c r="K577" s="236"/>
      <c r="L577" s="60"/>
      <c r="M577" s="60"/>
      <c r="N577" s="236"/>
      <c r="O577" s="60"/>
      <c r="P577" s="60"/>
      <c r="Q577" s="236"/>
      <c r="R577" s="236"/>
      <c r="S577" s="60"/>
      <c r="T577" s="60"/>
      <c r="U577" s="236"/>
      <c r="V577" s="60"/>
      <c r="W577" s="60"/>
      <c r="X577" s="236"/>
      <c r="Y577" s="236"/>
      <c r="Z577" s="60"/>
      <c r="AA577" s="60"/>
      <c r="AB577" s="236"/>
      <c r="AC577" s="60"/>
      <c r="AD577" s="60"/>
      <c r="AE577" s="236"/>
      <c r="AF577" s="236"/>
      <c r="AG577" s="60"/>
      <c r="AH577" s="60"/>
      <c r="AI577" s="236"/>
      <c r="AJ577" s="236"/>
    </row>
    <row r="578">
      <c r="A578" s="61"/>
      <c r="B578" s="60"/>
      <c r="C578" s="236"/>
      <c r="D578" s="236"/>
      <c r="E578" s="60"/>
      <c r="F578" s="60"/>
      <c r="G578" s="236"/>
      <c r="H578" s="60"/>
      <c r="I578" s="60"/>
      <c r="J578" s="236"/>
      <c r="K578" s="236"/>
      <c r="L578" s="60"/>
      <c r="M578" s="60"/>
      <c r="N578" s="236"/>
      <c r="O578" s="60"/>
      <c r="P578" s="60"/>
      <c r="Q578" s="236"/>
      <c r="R578" s="236"/>
      <c r="S578" s="60"/>
      <c r="T578" s="60"/>
      <c r="U578" s="236"/>
      <c r="V578" s="60"/>
      <c r="W578" s="60"/>
      <c r="X578" s="236"/>
      <c r="Y578" s="236"/>
      <c r="Z578" s="60"/>
      <c r="AA578" s="60"/>
      <c r="AB578" s="236"/>
      <c r="AC578" s="60"/>
      <c r="AD578" s="60"/>
      <c r="AE578" s="236"/>
      <c r="AF578" s="236"/>
      <c r="AG578" s="60"/>
      <c r="AH578" s="60"/>
      <c r="AI578" s="236"/>
      <c r="AJ578" s="236"/>
    </row>
    <row r="579">
      <c r="A579" s="61"/>
      <c r="B579" s="60"/>
      <c r="C579" s="236"/>
      <c r="D579" s="236"/>
      <c r="E579" s="60"/>
      <c r="F579" s="60"/>
      <c r="G579" s="236"/>
      <c r="H579" s="60"/>
      <c r="I579" s="60"/>
      <c r="J579" s="236"/>
      <c r="K579" s="236"/>
      <c r="L579" s="60"/>
      <c r="M579" s="60"/>
      <c r="N579" s="236"/>
      <c r="O579" s="60"/>
      <c r="P579" s="60"/>
      <c r="Q579" s="236"/>
      <c r="R579" s="236"/>
      <c r="S579" s="60"/>
      <c r="T579" s="60"/>
      <c r="U579" s="236"/>
      <c r="V579" s="60"/>
      <c r="W579" s="60"/>
      <c r="X579" s="236"/>
      <c r="Y579" s="236"/>
      <c r="Z579" s="60"/>
      <c r="AA579" s="60"/>
      <c r="AB579" s="236"/>
      <c r="AC579" s="60"/>
      <c r="AD579" s="60"/>
      <c r="AE579" s="236"/>
      <c r="AF579" s="236"/>
      <c r="AG579" s="60"/>
      <c r="AH579" s="60"/>
      <c r="AI579" s="236"/>
      <c r="AJ579" s="236"/>
    </row>
    <row r="580">
      <c r="A580" s="61"/>
      <c r="B580" s="60"/>
      <c r="C580" s="236"/>
      <c r="D580" s="236"/>
      <c r="E580" s="60"/>
      <c r="F580" s="60"/>
      <c r="G580" s="236"/>
      <c r="H580" s="60"/>
      <c r="I580" s="60"/>
      <c r="J580" s="236"/>
      <c r="K580" s="236"/>
      <c r="L580" s="60"/>
      <c r="M580" s="60"/>
      <c r="N580" s="236"/>
      <c r="O580" s="60"/>
      <c r="P580" s="60"/>
      <c r="Q580" s="236"/>
      <c r="R580" s="236"/>
      <c r="S580" s="60"/>
      <c r="T580" s="60"/>
      <c r="U580" s="236"/>
      <c r="V580" s="60"/>
      <c r="W580" s="60"/>
      <c r="X580" s="236"/>
      <c r="Y580" s="236"/>
      <c r="Z580" s="60"/>
      <c r="AA580" s="60"/>
      <c r="AB580" s="236"/>
      <c r="AC580" s="60"/>
      <c r="AD580" s="60"/>
      <c r="AE580" s="236"/>
      <c r="AF580" s="236"/>
      <c r="AG580" s="60"/>
      <c r="AH580" s="60"/>
      <c r="AI580" s="236"/>
      <c r="AJ580" s="236"/>
    </row>
    <row r="581">
      <c r="A581" s="61"/>
      <c r="B581" s="60"/>
      <c r="C581" s="236"/>
      <c r="D581" s="236"/>
      <c r="E581" s="60"/>
      <c r="F581" s="60"/>
      <c r="G581" s="236"/>
      <c r="H581" s="60"/>
      <c r="I581" s="60"/>
      <c r="J581" s="236"/>
      <c r="K581" s="236"/>
      <c r="L581" s="60"/>
      <c r="M581" s="60"/>
      <c r="N581" s="236"/>
      <c r="O581" s="60"/>
      <c r="P581" s="60"/>
      <c r="Q581" s="236"/>
      <c r="R581" s="236"/>
      <c r="S581" s="60"/>
      <c r="T581" s="60"/>
      <c r="U581" s="236"/>
      <c r="V581" s="60"/>
      <c r="W581" s="60"/>
      <c r="X581" s="236"/>
      <c r="Y581" s="236"/>
      <c r="Z581" s="60"/>
      <c r="AA581" s="60"/>
      <c r="AB581" s="236"/>
      <c r="AC581" s="60"/>
      <c r="AD581" s="60"/>
      <c r="AE581" s="236"/>
      <c r="AF581" s="236"/>
      <c r="AG581" s="60"/>
      <c r="AH581" s="60"/>
      <c r="AI581" s="236"/>
      <c r="AJ581" s="236"/>
    </row>
    <row r="582">
      <c r="A582" s="61"/>
      <c r="B582" s="60"/>
      <c r="C582" s="236"/>
      <c r="D582" s="236"/>
      <c r="E582" s="60"/>
      <c r="F582" s="60"/>
      <c r="G582" s="236"/>
      <c r="H582" s="60"/>
      <c r="I582" s="60"/>
      <c r="J582" s="236"/>
      <c r="K582" s="236"/>
      <c r="L582" s="60"/>
      <c r="M582" s="60"/>
      <c r="N582" s="236"/>
      <c r="O582" s="60"/>
      <c r="P582" s="60"/>
      <c r="Q582" s="236"/>
      <c r="R582" s="236"/>
      <c r="S582" s="60"/>
      <c r="T582" s="60"/>
      <c r="U582" s="236"/>
      <c r="V582" s="60"/>
      <c r="W582" s="60"/>
      <c r="X582" s="236"/>
      <c r="Y582" s="236"/>
      <c r="Z582" s="60"/>
      <c r="AA582" s="60"/>
      <c r="AB582" s="236"/>
      <c r="AC582" s="60"/>
      <c r="AD582" s="60"/>
      <c r="AE582" s="236"/>
      <c r="AF582" s="236"/>
      <c r="AG582" s="60"/>
      <c r="AH582" s="60"/>
      <c r="AI582" s="236"/>
      <c r="AJ582" s="236"/>
    </row>
    <row r="583">
      <c r="A583" s="61"/>
      <c r="B583" s="60"/>
      <c r="C583" s="236"/>
      <c r="D583" s="236"/>
      <c r="E583" s="60"/>
      <c r="F583" s="60"/>
      <c r="G583" s="236"/>
      <c r="H583" s="60"/>
      <c r="I583" s="60"/>
      <c r="J583" s="236"/>
      <c r="K583" s="236"/>
      <c r="L583" s="60"/>
      <c r="M583" s="60"/>
      <c r="N583" s="236"/>
      <c r="O583" s="60"/>
      <c r="P583" s="60"/>
      <c r="Q583" s="236"/>
      <c r="R583" s="236"/>
      <c r="S583" s="60"/>
      <c r="T583" s="60"/>
      <c r="U583" s="236"/>
      <c r="V583" s="60"/>
      <c r="W583" s="60"/>
      <c r="X583" s="236"/>
      <c r="Y583" s="236"/>
      <c r="Z583" s="60"/>
      <c r="AA583" s="60"/>
      <c r="AB583" s="236"/>
      <c r="AC583" s="60"/>
      <c r="AD583" s="60"/>
      <c r="AE583" s="236"/>
      <c r="AF583" s="236"/>
      <c r="AG583" s="60"/>
      <c r="AH583" s="60"/>
      <c r="AI583" s="236"/>
      <c r="AJ583" s="236"/>
    </row>
    <row r="584">
      <c r="A584" s="61"/>
      <c r="B584" s="60"/>
      <c r="C584" s="236"/>
      <c r="D584" s="236"/>
      <c r="E584" s="60"/>
      <c r="F584" s="60"/>
      <c r="G584" s="236"/>
      <c r="H584" s="60"/>
      <c r="I584" s="60"/>
      <c r="J584" s="236"/>
      <c r="K584" s="236"/>
      <c r="L584" s="60"/>
      <c r="M584" s="60"/>
      <c r="N584" s="236"/>
      <c r="O584" s="60"/>
      <c r="P584" s="60"/>
      <c r="Q584" s="236"/>
      <c r="R584" s="236"/>
      <c r="S584" s="60"/>
      <c r="T584" s="60"/>
      <c r="U584" s="236"/>
      <c r="V584" s="60"/>
      <c r="W584" s="60"/>
      <c r="X584" s="236"/>
      <c r="Y584" s="236"/>
      <c r="Z584" s="60"/>
      <c r="AA584" s="60"/>
      <c r="AB584" s="236"/>
      <c r="AC584" s="60"/>
      <c r="AD584" s="60"/>
      <c r="AE584" s="236"/>
      <c r="AF584" s="236"/>
      <c r="AG584" s="60"/>
      <c r="AH584" s="60"/>
      <c r="AI584" s="236"/>
      <c r="AJ584" s="236"/>
    </row>
    <row r="585">
      <c r="A585" s="61"/>
      <c r="B585" s="60"/>
      <c r="C585" s="236"/>
      <c r="D585" s="236"/>
      <c r="E585" s="60"/>
      <c r="F585" s="60"/>
      <c r="G585" s="236"/>
      <c r="H585" s="60"/>
      <c r="I585" s="60"/>
      <c r="J585" s="236"/>
      <c r="K585" s="236"/>
      <c r="L585" s="60"/>
      <c r="M585" s="60"/>
      <c r="N585" s="236"/>
      <c r="O585" s="60"/>
      <c r="P585" s="60"/>
      <c r="Q585" s="236"/>
      <c r="R585" s="236"/>
      <c r="S585" s="60"/>
      <c r="T585" s="60"/>
      <c r="U585" s="236"/>
      <c r="V585" s="60"/>
      <c r="W585" s="60"/>
      <c r="X585" s="236"/>
      <c r="Y585" s="236"/>
      <c r="Z585" s="60"/>
      <c r="AA585" s="60"/>
      <c r="AB585" s="236"/>
      <c r="AC585" s="60"/>
      <c r="AD585" s="60"/>
      <c r="AE585" s="236"/>
      <c r="AF585" s="236"/>
      <c r="AG585" s="60"/>
      <c r="AH585" s="60"/>
      <c r="AI585" s="236"/>
      <c r="AJ585" s="236"/>
    </row>
    <row r="586">
      <c r="A586" s="61"/>
      <c r="B586" s="60"/>
      <c r="C586" s="236"/>
      <c r="D586" s="236"/>
      <c r="E586" s="60"/>
      <c r="F586" s="60"/>
      <c r="G586" s="236"/>
      <c r="H586" s="60"/>
      <c r="I586" s="60"/>
      <c r="J586" s="236"/>
      <c r="K586" s="236"/>
      <c r="L586" s="60"/>
      <c r="M586" s="60"/>
      <c r="N586" s="236"/>
      <c r="O586" s="60"/>
      <c r="P586" s="60"/>
      <c r="Q586" s="236"/>
      <c r="R586" s="236"/>
      <c r="S586" s="60"/>
      <c r="T586" s="60"/>
      <c r="U586" s="236"/>
      <c r="V586" s="60"/>
      <c r="W586" s="60"/>
      <c r="X586" s="236"/>
      <c r="Y586" s="236"/>
      <c r="Z586" s="60"/>
      <c r="AA586" s="60"/>
      <c r="AB586" s="236"/>
      <c r="AC586" s="60"/>
      <c r="AD586" s="60"/>
      <c r="AE586" s="236"/>
      <c r="AF586" s="236"/>
      <c r="AG586" s="60"/>
      <c r="AH586" s="60"/>
      <c r="AI586" s="236"/>
      <c r="AJ586" s="236"/>
    </row>
    <row r="587">
      <c r="A587" s="61"/>
      <c r="B587" s="60"/>
      <c r="C587" s="236"/>
      <c r="D587" s="236"/>
      <c r="E587" s="60"/>
      <c r="F587" s="60"/>
      <c r="G587" s="236"/>
      <c r="H587" s="60"/>
      <c r="I587" s="60"/>
      <c r="J587" s="236"/>
      <c r="K587" s="236"/>
      <c r="L587" s="60"/>
      <c r="M587" s="60"/>
      <c r="N587" s="236"/>
      <c r="O587" s="60"/>
      <c r="P587" s="60"/>
      <c r="Q587" s="236"/>
      <c r="R587" s="236"/>
      <c r="S587" s="60"/>
      <c r="T587" s="60"/>
      <c r="U587" s="236"/>
      <c r="V587" s="60"/>
      <c r="W587" s="60"/>
      <c r="X587" s="236"/>
      <c r="Y587" s="236"/>
      <c r="Z587" s="60"/>
      <c r="AA587" s="60"/>
      <c r="AB587" s="236"/>
      <c r="AC587" s="60"/>
      <c r="AD587" s="60"/>
      <c r="AE587" s="236"/>
      <c r="AF587" s="236"/>
      <c r="AG587" s="60"/>
      <c r="AH587" s="60"/>
      <c r="AI587" s="236"/>
      <c r="AJ587" s="236"/>
    </row>
    <row r="588">
      <c r="A588" s="61"/>
      <c r="B588" s="60"/>
      <c r="C588" s="236"/>
      <c r="D588" s="236"/>
      <c r="E588" s="60"/>
      <c r="F588" s="60"/>
      <c r="G588" s="236"/>
      <c r="H588" s="60"/>
      <c r="I588" s="60"/>
      <c r="J588" s="236"/>
      <c r="K588" s="236"/>
      <c r="L588" s="60"/>
      <c r="M588" s="60"/>
      <c r="N588" s="236"/>
      <c r="O588" s="60"/>
      <c r="P588" s="60"/>
      <c r="Q588" s="236"/>
      <c r="R588" s="236"/>
      <c r="S588" s="60"/>
      <c r="T588" s="60"/>
      <c r="U588" s="236"/>
      <c r="V588" s="60"/>
      <c r="W588" s="60"/>
      <c r="X588" s="236"/>
      <c r="Y588" s="236"/>
      <c r="Z588" s="60"/>
      <c r="AA588" s="60"/>
      <c r="AB588" s="236"/>
      <c r="AC588" s="60"/>
      <c r="AD588" s="60"/>
      <c r="AE588" s="236"/>
      <c r="AF588" s="236"/>
      <c r="AG588" s="60"/>
      <c r="AH588" s="60"/>
      <c r="AI588" s="236"/>
      <c r="AJ588" s="236"/>
    </row>
    <row r="589">
      <c r="A589" s="61"/>
      <c r="B589" s="60"/>
      <c r="C589" s="236"/>
      <c r="D589" s="236"/>
      <c r="E589" s="60"/>
      <c r="F589" s="60"/>
      <c r="G589" s="236"/>
      <c r="H589" s="60"/>
      <c r="I589" s="60"/>
      <c r="J589" s="236"/>
      <c r="K589" s="236"/>
      <c r="L589" s="60"/>
      <c r="M589" s="60"/>
      <c r="N589" s="236"/>
      <c r="O589" s="60"/>
      <c r="P589" s="60"/>
      <c r="Q589" s="236"/>
      <c r="R589" s="236"/>
      <c r="S589" s="60"/>
      <c r="T589" s="60"/>
      <c r="U589" s="236"/>
      <c r="V589" s="60"/>
      <c r="W589" s="60"/>
      <c r="X589" s="236"/>
      <c r="Y589" s="236"/>
      <c r="Z589" s="60"/>
      <c r="AA589" s="60"/>
      <c r="AB589" s="236"/>
      <c r="AC589" s="60"/>
      <c r="AD589" s="60"/>
      <c r="AE589" s="236"/>
      <c r="AF589" s="236"/>
      <c r="AG589" s="60"/>
      <c r="AH589" s="60"/>
      <c r="AI589" s="236"/>
      <c r="AJ589" s="236"/>
    </row>
    <row r="590">
      <c r="A590" s="61"/>
      <c r="B590" s="60"/>
      <c r="C590" s="236"/>
      <c r="D590" s="236"/>
      <c r="E590" s="60"/>
      <c r="F590" s="60"/>
      <c r="G590" s="236"/>
      <c r="H590" s="60"/>
      <c r="I590" s="60"/>
      <c r="J590" s="236"/>
      <c r="K590" s="236"/>
      <c r="L590" s="60"/>
      <c r="M590" s="60"/>
      <c r="N590" s="236"/>
      <c r="O590" s="60"/>
      <c r="P590" s="60"/>
      <c r="Q590" s="236"/>
      <c r="R590" s="236"/>
      <c r="S590" s="60"/>
      <c r="T590" s="60"/>
      <c r="U590" s="236"/>
      <c r="V590" s="60"/>
      <c r="W590" s="60"/>
      <c r="X590" s="236"/>
      <c r="Y590" s="236"/>
      <c r="Z590" s="60"/>
      <c r="AA590" s="60"/>
      <c r="AB590" s="236"/>
      <c r="AC590" s="60"/>
      <c r="AD590" s="60"/>
      <c r="AE590" s="236"/>
      <c r="AF590" s="236"/>
      <c r="AG590" s="60"/>
      <c r="AH590" s="60"/>
      <c r="AI590" s="236"/>
      <c r="AJ590" s="236"/>
    </row>
    <row r="591">
      <c r="A591" s="61"/>
      <c r="B591" s="60"/>
      <c r="C591" s="236"/>
      <c r="D591" s="236"/>
      <c r="E591" s="60"/>
      <c r="F591" s="60"/>
      <c r="G591" s="236"/>
      <c r="H591" s="60"/>
      <c r="I591" s="60"/>
      <c r="J591" s="236"/>
      <c r="K591" s="236"/>
      <c r="L591" s="60"/>
      <c r="M591" s="60"/>
      <c r="N591" s="236"/>
      <c r="O591" s="60"/>
      <c r="P591" s="60"/>
      <c r="Q591" s="236"/>
      <c r="R591" s="236"/>
      <c r="S591" s="60"/>
      <c r="T591" s="60"/>
      <c r="U591" s="236"/>
      <c r="V591" s="60"/>
      <c r="W591" s="60"/>
      <c r="X591" s="236"/>
      <c r="Y591" s="236"/>
      <c r="Z591" s="60"/>
      <c r="AA591" s="60"/>
      <c r="AB591" s="236"/>
      <c r="AC591" s="60"/>
      <c r="AD591" s="60"/>
      <c r="AE591" s="236"/>
      <c r="AF591" s="236"/>
      <c r="AG591" s="60"/>
      <c r="AH591" s="60"/>
      <c r="AI591" s="236"/>
      <c r="AJ591" s="236"/>
    </row>
    <row r="592">
      <c r="A592" s="61"/>
      <c r="B592" s="60"/>
      <c r="C592" s="236"/>
      <c r="D592" s="236"/>
      <c r="E592" s="60"/>
      <c r="F592" s="60"/>
      <c r="G592" s="236"/>
      <c r="H592" s="60"/>
      <c r="I592" s="60"/>
      <c r="J592" s="236"/>
      <c r="K592" s="236"/>
      <c r="L592" s="60"/>
      <c r="M592" s="60"/>
      <c r="N592" s="236"/>
      <c r="O592" s="60"/>
      <c r="P592" s="60"/>
      <c r="Q592" s="236"/>
      <c r="R592" s="236"/>
      <c r="S592" s="60"/>
      <c r="T592" s="60"/>
      <c r="U592" s="236"/>
      <c r="V592" s="60"/>
      <c r="W592" s="60"/>
      <c r="X592" s="236"/>
      <c r="Y592" s="236"/>
      <c r="Z592" s="60"/>
      <c r="AA592" s="60"/>
      <c r="AB592" s="236"/>
      <c r="AC592" s="60"/>
      <c r="AD592" s="60"/>
      <c r="AE592" s="236"/>
      <c r="AF592" s="236"/>
      <c r="AG592" s="60"/>
      <c r="AH592" s="60"/>
      <c r="AI592" s="236"/>
      <c r="AJ592" s="236"/>
    </row>
    <row r="593">
      <c r="A593" s="61"/>
      <c r="B593" s="60"/>
      <c r="C593" s="236"/>
      <c r="D593" s="236"/>
      <c r="E593" s="60"/>
      <c r="F593" s="60"/>
      <c r="G593" s="236"/>
      <c r="H593" s="60"/>
      <c r="I593" s="60"/>
      <c r="J593" s="236"/>
      <c r="K593" s="236"/>
      <c r="L593" s="60"/>
      <c r="M593" s="60"/>
      <c r="N593" s="236"/>
      <c r="O593" s="60"/>
      <c r="P593" s="60"/>
      <c r="Q593" s="236"/>
      <c r="R593" s="236"/>
      <c r="S593" s="60"/>
      <c r="T593" s="60"/>
      <c r="U593" s="236"/>
      <c r="V593" s="60"/>
      <c r="W593" s="60"/>
      <c r="X593" s="236"/>
      <c r="Y593" s="236"/>
      <c r="Z593" s="60"/>
      <c r="AA593" s="60"/>
      <c r="AB593" s="236"/>
      <c r="AC593" s="60"/>
      <c r="AD593" s="60"/>
      <c r="AE593" s="236"/>
      <c r="AF593" s="236"/>
      <c r="AG593" s="60"/>
      <c r="AH593" s="60"/>
      <c r="AI593" s="236"/>
      <c r="AJ593" s="236"/>
    </row>
    <row r="594">
      <c r="A594" s="61"/>
      <c r="B594" s="60"/>
      <c r="C594" s="236"/>
      <c r="D594" s="236"/>
      <c r="E594" s="60"/>
      <c r="F594" s="60"/>
      <c r="G594" s="236"/>
      <c r="H594" s="60"/>
      <c r="I594" s="60"/>
      <c r="J594" s="236"/>
      <c r="K594" s="236"/>
      <c r="L594" s="60"/>
      <c r="M594" s="60"/>
      <c r="N594" s="236"/>
      <c r="O594" s="60"/>
      <c r="P594" s="60"/>
      <c r="Q594" s="236"/>
      <c r="R594" s="236"/>
      <c r="S594" s="60"/>
      <c r="T594" s="60"/>
      <c r="U594" s="236"/>
      <c r="V594" s="60"/>
      <c r="W594" s="60"/>
      <c r="X594" s="236"/>
      <c r="Y594" s="236"/>
      <c r="Z594" s="60"/>
      <c r="AA594" s="60"/>
      <c r="AB594" s="236"/>
      <c r="AC594" s="60"/>
      <c r="AD594" s="60"/>
      <c r="AE594" s="236"/>
      <c r="AF594" s="236"/>
      <c r="AG594" s="60"/>
      <c r="AH594" s="60"/>
      <c r="AI594" s="236"/>
      <c r="AJ594" s="236"/>
    </row>
    <row r="595">
      <c r="A595" s="61"/>
      <c r="B595" s="60"/>
      <c r="C595" s="236"/>
      <c r="D595" s="236"/>
      <c r="E595" s="60"/>
      <c r="F595" s="60"/>
      <c r="G595" s="236"/>
      <c r="H595" s="60"/>
      <c r="I595" s="60"/>
      <c r="J595" s="236"/>
      <c r="K595" s="236"/>
      <c r="L595" s="60"/>
      <c r="M595" s="60"/>
      <c r="N595" s="236"/>
      <c r="O595" s="60"/>
      <c r="P595" s="60"/>
      <c r="Q595" s="236"/>
      <c r="R595" s="236"/>
      <c r="S595" s="60"/>
      <c r="T595" s="60"/>
      <c r="U595" s="236"/>
      <c r="V595" s="60"/>
      <c r="W595" s="60"/>
      <c r="X595" s="236"/>
      <c r="Y595" s="236"/>
      <c r="Z595" s="60"/>
      <c r="AA595" s="60"/>
      <c r="AB595" s="236"/>
      <c r="AC595" s="60"/>
      <c r="AD595" s="60"/>
      <c r="AE595" s="236"/>
      <c r="AF595" s="236"/>
      <c r="AG595" s="60"/>
      <c r="AH595" s="60"/>
      <c r="AI595" s="236"/>
      <c r="AJ595" s="236"/>
    </row>
    <row r="596">
      <c r="A596" s="61"/>
      <c r="B596" s="60"/>
      <c r="C596" s="236"/>
      <c r="D596" s="236"/>
      <c r="E596" s="60"/>
      <c r="F596" s="60"/>
      <c r="G596" s="236"/>
      <c r="H596" s="60"/>
      <c r="I596" s="60"/>
      <c r="J596" s="236"/>
      <c r="K596" s="236"/>
      <c r="L596" s="60"/>
      <c r="M596" s="60"/>
      <c r="N596" s="236"/>
      <c r="O596" s="60"/>
      <c r="P596" s="60"/>
      <c r="Q596" s="236"/>
      <c r="R596" s="236"/>
      <c r="S596" s="60"/>
      <c r="T596" s="60"/>
      <c r="U596" s="236"/>
      <c r="V596" s="60"/>
      <c r="W596" s="60"/>
      <c r="X596" s="236"/>
      <c r="Y596" s="236"/>
      <c r="Z596" s="60"/>
      <c r="AA596" s="60"/>
      <c r="AB596" s="236"/>
      <c r="AC596" s="60"/>
      <c r="AD596" s="60"/>
      <c r="AE596" s="236"/>
      <c r="AF596" s="236"/>
      <c r="AG596" s="60"/>
      <c r="AH596" s="60"/>
      <c r="AI596" s="236"/>
      <c r="AJ596" s="236"/>
    </row>
    <row r="597">
      <c r="A597" s="61"/>
      <c r="B597" s="60"/>
      <c r="C597" s="236"/>
      <c r="D597" s="236"/>
      <c r="E597" s="60"/>
      <c r="F597" s="60"/>
      <c r="G597" s="236"/>
      <c r="H597" s="60"/>
      <c r="I597" s="60"/>
      <c r="J597" s="236"/>
      <c r="K597" s="236"/>
      <c r="L597" s="60"/>
      <c r="M597" s="60"/>
      <c r="N597" s="236"/>
      <c r="O597" s="60"/>
      <c r="P597" s="60"/>
      <c r="Q597" s="236"/>
      <c r="R597" s="236"/>
      <c r="S597" s="60"/>
      <c r="T597" s="60"/>
      <c r="U597" s="236"/>
      <c r="V597" s="60"/>
      <c r="W597" s="60"/>
      <c r="X597" s="236"/>
      <c r="Y597" s="236"/>
      <c r="Z597" s="60"/>
      <c r="AA597" s="60"/>
      <c r="AB597" s="236"/>
      <c r="AC597" s="60"/>
      <c r="AD597" s="60"/>
      <c r="AE597" s="236"/>
      <c r="AF597" s="236"/>
      <c r="AG597" s="60"/>
      <c r="AH597" s="60"/>
      <c r="AI597" s="236"/>
      <c r="AJ597" s="236"/>
    </row>
    <row r="598">
      <c r="A598" s="61"/>
      <c r="B598" s="60"/>
      <c r="C598" s="236"/>
      <c r="D598" s="236"/>
      <c r="E598" s="60"/>
      <c r="F598" s="60"/>
      <c r="G598" s="236"/>
      <c r="H598" s="60"/>
      <c r="I598" s="60"/>
      <c r="J598" s="236"/>
      <c r="K598" s="236"/>
      <c r="L598" s="60"/>
      <c r="M598" s="60"/>
      <c r="N598" s="236"/>
      <c r="O598" s="60"/>
      <c r="P598" s="60"/>
      <c r="Q598" s="236"/>
      <c r="R598" s="236"/>
      <c r="S598" s="60"/>
      <c r="T598" s="60"/>
      <c r="U598" s="236"/>
      <c r="V598" s="60"/>
      <c r="W598" s="60"/>
      <c r="X598" s="236"/>
      <c r="Y598" s="236"/>
      <c r="Z598" s="60"/>
      <c r="AA598" s="60"/>
      <c r="AB598" s="236"/>
      <c r="AC598" s="60"/>
      <c r="AD598" s="60"/>
      <c r="AE598" s="236"/>
      <c r="AF598" s="236"/>
      <c r="AG598" s="60"/>
      <c r="AH598" s="60"/>
      <c r="AI598" s="236"/>
      <c r="AJ598" s="236"/>
    </row>
    <row r="599">
      <c r="A599" s="61"/>
      <c r="B599" s="60"/>
      <c r="C599" s="236"/>
      <c r="D599" s="236"/>
      <c r="E599" s="60"/>
      <c r="F599" s="60"/>
      <c r="G599" s="236"/>
      <c r="H599" s="60"/>
      <c r="I599" s="60"/>
      <c r="J599" s="236"/>
      <c r="K599" s="236"/>
      <c r="L599" s="60"/>
      <c r="M599" s="60"/>
      <c r="N599" s="236"/>
      <c r="O599" s="60"/>
      <c r="P599" s="60"/>
      <c r="Q599" s="236"/>
      <c r="R599" s="236"/>
      <c r="S599" s="60"/>
      <c r="T599" s="60"/>
      <c r="U599" s="236"/>
      <c r="V599" s="60"/>
      <c r="W599" s="60"/>
      <c r="X599" s="236"/>
      <c r="Y599" s="236"/>
      <c r="Z599" s="60"/>
      <c r="AA599" s="60"/>
      <c r="AB599" s="236"/>
      <c r="AC599" s="60"/>
      <c r="AD599" s="60"/>
      <c r="AE599" s="236"/>
      <c r="AF599" s="236"/>
      <c r="AG599" s="60"/>
      <c r="AH599" s="60"/>
      <c r="AI599" s="236"/>
      <c r="AJ599" s="236"/>
    </row>
    <row r="600">
      <c r="A600" s="61"/>
      <c r="B600" s="60"/>
      <c r="C600" s="236"/>
      <c r="D600" s="236"/>
      <c r="E600" s="60"/>
      <c r="F600" s="60"/>
      <c r="G600" s="236"/>
      <c r="H600" s="60"/>
      <c r="I600" s="60"/>
      <c r="J600" s="236"/>
      <c r="K600" s="236"/>
      <c r="L600" s="60"/>
      <c r="M600" s="60"/>
      <c r="N600" s="236"/>
      <c r="O600" s="60"/>
      <c r="P600" s="60"/>
      <c r="Q600" s="236"/>
      <c r="R600" s="236"/>
      <c r="S600" s="60"/>
      <c r="T600" s="60"/>
      <c r="U600" s="236"/>
      <c r="V600" s="60"/>
      <c r="W600" s="60"/>
      <c r="X600" s="236"/>
      <c r="Y600" s="236"/>
      <c r="Z600" s="60"/>
      <c r="AA600" s="60"/>
      <c r="AB600" s="236"/>
      <c r="AC600" s="60"/>
      <c r="AD600" s="60"/>
      <c r="AE600" s="236"/>
      <c r="AF600" s="236"/>
      <c r="AG600" s="60"/>
      <c r="AH600" s="60"/>
      <c r="AI600" s="236"/>
      <c r="AJ600" s="236"/>
    </row>
    <row r="601">
      <c r="A601" s="61"/>
      <c r="B601" s="60"/>
      <c r="C601" s="236"/>
      <c r="D601" s="236"/>
      <c r="E601" s="60"/>
      <c r="F601" s="60"/>
      <c r="G601" s="236"/>
      <c r="H601" s="60"/>
      <c r="I601" s="60"/>
      <c r="J601" s="236"/>
      <c r="K601" s="236"/>
      <c r="L601" s="60"/>
      <c r="M601" s="60"/>
      <c r="N601" s="236"/>
      <c r="O601" s="60"/>
      <c r="P601" s="60"/>
      <c r="Q601" s="236"/>
      <c r="R601" s="236"/>
      <c r="S601" s="60"/>
      <c r="T601" s="60"/>
      <c r="U601" s="236"/>
      <c r="V601" s="60"/>
      <c r="W601" s="60"/>
      <c r="X601" s="236"/>
      <c r="Y601" s="236"/>
      <c r="Z601" s="60"/>
      <c r="AA601" s="60"/>
      <c r="AB601" s="236"/>
      <c r="AC601" s="60"/>
      <c r="AD601" s="60"/>
      <c r="AE601" s="236"/>
      <c r="AF601" s="236"/>
      <c r="AG601" s="60"/>
      <c r="AH601" s="60"/>
      <c r="AI601" s="236"/>
      <c r="AJ601" s="236"/>
    </row>
    <row r="602">
      <c r="A602" s="61"/>
      <c r="B602" s="60"/>
      <c r="C602" s="236"/>
      <c r="D602" s="236"/>
      <c r="E602" s="60"/>
      <c r="F602" s="60"/>
      <c r="G602" s="236"/>
      <c r="H602" s="60"/>
      <c r="I602" s="60"/>
      <c r="J602" s="236"/>
      <c r="K602" s="236"/>
      <c r="L602" s="60"/>
      <c r="M602" s="60"/>
      <c r="N602" s="236"/>
      <c r="O602" s="60"/>
      <c r="P602" s="60"/>
      <c r="Q602" s="236"/>
      <c r="R602" s="236"/>
      <c r="S602" s="60"/>
      <c r="T602" s="60"/>
      <c r="U602" s="236"/>
      <c r="V602" s="60"/>
      <c r="W602" s="60"/>
      <c r="X602" s="236"/>
      <c r="Y602" s="236"/>
      <c r="Z602" s="60"/>
      <c r="AA602" s="60"/>
      <c r="AB602" s="236"/>
      <c r="AC602" s="60"/>
      <c r="AD602" s="60"/>
      <c r="AE602" s="236"/>
      <c r="AF602" s="236"/>
      <c r="AG602" s="60"/>
      <c r="AH602" s="60"/>
      <c r="AI602" s="236"/>
      <c r="AJ602" s="236"/>
    </row>
    <row r="603">
      <c r="A603" s="61"/>
      <c r="B603" s="60"/>
      <c r="C603" s="236"/>
      <c r="D603" s="236"/>
      <c r="E603" s="60"/>
      <c r="F603" s="60"/>
      <c r="G603" s="236"/>
      <c r="H603" s="60"/>
      <c r="I603" s="60"/>
      <c r="J603" s="236"/>
      <c r="K603" s="236"/>
      <c r="L603" s="60"/>
      <c r="M603" s="60"/>
      <c r="N603" s="236"/>
      <c r="O603" s="60"/>
      <c r="P603" s="60"/>
      <c r="Q603" s="236"/>
      <c r="R603" s="236"/>
      <c r="S603" s="60"/>
      <c r="T603" s="60"/>
      <c r="U603" s="236"/>
      <c r="V603" s="60"/>
      <c r="W603" s="60"/>
      <c r="X603" s="236"/>
      <c r="Y603" s="236"/>
      <c r="Z603" s="60"/>
      <c r="AA603" s="60"/>
      <c r="AB603" s="236"/>
      <c r="AC603" s="60"/>
      <c r="AD603" s="60"/>
      <c r="AE603" s="236"/>
      <c r="AF603" s="236"/>
      <c r="AG603" s="60"/>
      <c r="AH603" s="60"/>
      <c r="AI603" s="236"/>
      <c r="AJ603" s="236"/>
    </row>
    <row r="604">
      <c r="A604" s="61"/>
      <c r="B604" s="60"/>
      <c r="C604" s="236"/>
      <c r="D604" s="236"/>
      <c r="E604" s="60"/>
      <c r="F604" s="60"/>
      <c r="G604" s="236"/>
      <c r="H604" s="60"/>
      <c r="I604" s="60"/>
      <c r="J604" s="236"/>
      <c r="K604" s="236"/>
      <c r="L604" s="60"/>
      <c r="M604" s="60"/>
      <c r="N604" s="236"/>
      <c r="O604" s="60"/>
      <c r="P604" s="60"/>
      <c r="Q604" s="236"/>
      <c r="R604" s="236"/>
      <c r="S604" s="60"/>
      <c r="T604" s="60"/>
      <c r="U604" s="236"/>
      <c r="V604" s="60"/>
      <c r="W604" s="60"/>
      <c r="X604" s="236"/>
      <c r="Y604" s="236"/>
      <c r="Z604" s="60"/>
      <c r="AA604" s="60"/>
      <c r="AB604" s="236"/>
      <c r="AC604" s="60"/>
      <c r="AD604" s="60"/>
      <c r="AE604" s="236"/>
      <c r="AF604" s="236"/>
      <c r="AG604" s="60"/>
      <c r="AH604" s="60"/>
      <c r="AI604" s="236"/>
      <c r="AJ604" s="236"/>
    </row>
    <row r="605">
      <c r="A605" s="61"/>
      <c r="B605" s="60"/>
      <c r="C605" s="236"/>
      <c r="D605" s="236"/>
      <c r="E605" s="60"/>
      <c r="F605" s="60"/>
      <c r="G605" s="236"/>
      <c r="H605" s="60"/>
      <c r="I605" s="60"/>
      <c r="J605" s="236"/>
      <c r="K605" s="236"/>
      <c r="L605" s="60"/>
      <c r="M605" s="60"/>
      <c r="N605" s="236"/>
      <c r="O605" s="60"/>
      <c r="P605" s="60"/>
      <c r="Q605" s="236"/>
      <c r="R605" s="236"/>
      <c r="S605" s="60"/>
      <c r="T605" s="60"/>
      <c r="U605" s="236"/>
      <c r="V605" s="60"/>
      <c r="W605" s="60"/>
      <c r="X605" s="236"/>
      <c r="Y605" s="236"/>
      <c r="Z605" s="60"/>
      <c r="AA605" s="60"/>
      <c r="AB605" s="236"/>
      <c r="AC605" s="60"/>
      <c r="AD605" s="60"/>
      <c r="AE605" s="236"/>
      <c r="AF605" s="236"/>
      <c r="AG605" s="60"/>
      <c r="AH605" s="60"/>
      <c r="AI605" s="236"/>
      <c r="AJ605" s="236"/>
    </row>
    <row r="606">
      <c r="A606" s="61"/>
      <c r="B606" s="60"/>
      <c r="C606" s="236"/>
      <c r="D606" s="236"/>
      <c r="E606" s="60"/>
      <c r="F606" s="60"/>
      <c r="G606" s="236"/>
      <c r="H606" s="60"/>
      <c r="I606" s="60"/>
      <c r="J606" s="236"/>
      <c r="K606" s="236"/>
      <c r="L606" s="60"/>
      <c r="M606" s="60"/>
      <c r="N606" s="236"/>
      <c r="O606" s="60"/>
      <c r="P606" s="60"/>
      <c r="Q606" s="236"/>
      <c r="R606" s="236"/>
      <c r="S606" s="60"/>
      <c r="T606" s="60"/>
      <c r="U606" s="236"/>
      <c r="V606" s="60"/>
      <c r="W606" s="60"/>
      <c r="X606" s="236"/>
      <c r="Y606" s="236"/>
      <c r="Z606" s="60"/>
      <c r="AA606" s="60"/>
      <c r="AB606" s="236"/>
      <c r="AC606" s="60"/>
      <c r="AD606" s="60"/>
      <c r="AE606" s="236"/>
      <c r="AF606" s="236"/>
      <c r="AG606" s="60"/>
      <c r="AH606" s="60"/>
      <c r="AI606" s="236"/>
      <c r="AJ606" s="236"/>
    </row>
    <row r="607">
      <c r="A607" s="61"/>
      <c r="B607" s="60"/>
      <c r="C607" s="236"/>
      <c r="D607" s="236"/>
      <c r="E607" s="60"/>
      <c r="F607" s="60"/>
      <c r="G607" s="236"/>
      <c r="H607" s="60"/>
      <c r="I607" s="60"/>
      <c r="J607" s="236"/>
      <c r="K607" s="236"/>
      <c r="L607" s="60"/>
      <c r="M607" s="60"/>
      <c r="N607" s="236"/>
      <c r="O607" s="60"/>
      <c r="P607" s="60"/>
      <c r="Q607" s="236"/>
      <c r="R607" s="236"/>
      <c r="S607" s="60"/>
      <c r="T607" s="60"/>
      <c r="U607" s="236"/>
      <c r="V607" s="60"/>
      <c r="W607" s="60"/>
      <c r="X607" s="236"/>
      <c r="Y607" s="236"/>
      <c r="Z607" s="60"/>
      <c r="AA607" s="60"/>
      <c r="AB607" s="236"/>
      <c r="AC607" s="60"/>
      <c r="AD607" s="60"/>
      <c r="AE607" s="236"/>
      <c r="AF607" s="236"/>
      <c r="AG607" s="60"/>
      <c r="AH607" s="60"/>
      <c r="AI607" s="236"/>
      <c r="AJ607" s="236"/>
    </row>
    <row r="608">
      <c r="A608" s="61"/>
      <c r="B608" s="60"/>
      <c r="C608" s="236"/>
      <c r="D608" s="236"/>
      <c r="E608" s="60"/>
      <c r="F608" s="60"/>
      <c r="G608" s="236"/>
      <c r="H608" s="60"/>
      <c r="I608" s="60"/>
      <c r="J608" s="236"/>
      <c r="K608" s="236"/>
      <c r="L608" s="60"/>
      <c r="M608" s="60"/>
      <c r="N608" s="236"/>
      <c r="O608" s="60"/>
      <c r="P608" s="60"/>
      <c r="Q608" s="236"/>
      <c r="R608" s="236"/>
      <c r="S608" s="60"/>
      <c r="T608" s="60"/>
      <c r="U608" s="236"/>
      <c r="V608" s="60"/>
      <c r="W608" s="60"/>
      <c r="X608" s="236"/>
      <c r="Y608" s="236"/>
      <c r="Z608" s="60"/>
      <c r="AA608" s="60"/>
      <c r="AB608" s="236"/>
      <c r="AC608" s="60"/>
      <c r="AD608" s="60"/>
      <c r="AE608" s="236"/>
      <c r="AF608" s="236"/>
      <c r="AG608" s="60"/>
      <c r="AH608" s="60"/>
      <c r="AI608" s="236"/>
      <c r="AJ608" s="236"/>
    </row>
    <row r="609">
      <c r="A609" s="61"/>
      <c r="B609" s="60"/>
      <c r="C609" s="236"/>
      <c r="D609" s="236"/>
      <c r="E609" s="60"/>
      <c r="F609" s="60"/>
      <c r="G609" s="236"/>
      <c r="H609" s="60"/>
      <c r="I609" s="60"/>
      <c r="J609" s="236"/>
      <c r="K609" s="236"/>
      <c r="L609" s="60"/>
      <c r="M609" s="60"/>
      <c r="N609" s="236"/>
      <c r="O609" s="60"/>
      <c r="P609" s="60"/>
      <c r="Q609" s="236"/>
      <c r="R609" s="236"/>
      <c r="S609" s="60"/>
      <c r="T609" s="60"/>
      <c r="U609" s="236"/>
      <c r="V609" s="60"/>
      <c r="W609" s="60"/>
      <c r="X609" s="236"/>
      <c r="Y609" s="236"/>
      <c r="Z609" s="60"/>
      <c r="AA609" s="60"/>
      <c r="AB609" s="236"/>
      <c r="AC609" s="60"/>
      <c r="AD609" s="60"/>
      <c r="AE609" s="236"/>
      <c r="AF609" s="236"/>
      <c r="AG609" s="60"/>
      <c r="AH609" s="60"/>
      <c r="AI609" s="236"/>
      <c r="AJ609" s="236"/>
    </row>
    <row r="610">
      <c r="A610" s="61"/>
      <c r="B610" s="60"/>
      <c r="C610" s="236"/>
      <c r="D610" s="236"/>
      <c r="E610" s="60"/>
      <c r="F610" s="60"/>
      <c r="G610" s="236"/>
      <c r="H610" s="60"/>
      <c r="I610" s="60"/>
      <c r="J610" s="236"/>
      <c r="K610" s="236"/>
      <c r="L610" s="60"/>
      <c r="M610" s="60"/>
      <c r="N610" s="236"/>
      <c r="O610" s="60"/>
      <c r="P610" s="60"/>
      <c r="Q610" s="236"/>
      <c r="R610" s="236"/>
      <c r="S610" s="60"/>
      <c r="T610" s="60"/>
      <c r="U610" s="236"/>
      <c r="V610" s="60"/>
      <c r="W610" s="60"/>
      <c r="X610" s="236"/>
      <c r="Y610" s="236"/>
      <c r="Z610" s="60"/>
      <c r="AA610" s="60"/>
      <c r="AB610" s="236"/>
      <c r="AC610" s="60"/>
      <c r="AD610" s="60"/>
      <c r="AE610" s="236"/>
      <c r="AF610" s="236"/>
      <c r="AG610" s="60"/>
      <c r="AH610" s="60"/>
      <c r="AI610" s="236"/>
      <c r="AJ610" s="236"/>
    </row>
    <row r="611">
      <c r="A611" s="61"/>
      <c r="B611" s="60"/>
      <c r="C611" s="236"/>
      <c r="D611" s="236"/>
      <c r="E611" s="60"/>
      <c r="F611" s="60"/>
      <c r="G611" s="236"/>
      <c r="H611" s="60"/>
      <c r="I611" s="60"/>
      <c r="J611" s="236"/>
      <c r="K611" s="236"/>
      <c r="L611" s="60"/>
      <c r="M611" s="60"/>
      <c r="N611" s="236"/>
      <c r="O611" s="60"/>
      <c r="P611" s="60"/>
      <c r="Q611" s="236"/>
      <c r="R611" s="236"/>
      <c r="S611" s="60"/>
      <c r="T611" s="60"/>
      <c r="U611" s="236"/>
      <c r="V611" s="60"/>
      <c r="W611" s="60"/>
      <c r="X611" s="236"/>
      <c r="Y611" s="236"/>
      <c r="Z611" s="60"/>
      <c r="AA611" s="60"/>
      <c r="AB611" s="236"/>
      <c r="AC611" s="60"/>
      <c r="AD611" s="60"/>
      <c r="AE611" s="236"/>
      <c r="AF611" s="236"/>
      <c r="AG611" s="60"/>
      <c r="AH611" s="60"/>
      <c r="AI611" s="236"/>
      <c r="AJ611" s="236"/>
    </row>
    <row r="612">
      <c r="A612" s="61"/>
      <c r="B612" s="60"/>
      <c r="C612" s="236"/>
      <c r="D612" s="236"/>
      <c r="E612" s="60"/>
      <c r="F612" s="60"/>
      <c r="G612" s="236"/>
      <c r="H612" s="60"/>
      <c r="I612" s="60"/>
      <c r="J612" s="236"/>
      <c r="K612" s="236"/>
      <c r="L612" s="60"/>
      <c r="M612" s="60"/>
      <c r="N612" s="236"/>
      <c r="O612" s="60"/>
      <c r="P612" s="60"/>
      <c r="Q612" s="236"/>
      <c r="R612" s="236"/>
      <c r="S612" s="60"/>
      <c r="T612" s="60"/>
      <c r="U612" s="236"/>
      <c r="V612" s="60"/>
      <c r="W612" s="60"/>
      <c r="X612" s="236"/>
      <c r="Y612" s="236"/>
      <c r="Z612" s="60"/>
      <c r="AA612" s="60"/>
      <c r="AB612" s="236"/>
      <c r="AC612" s="60"/>
      <c r="AD612" s="60"/>
      <c r="AE612" s="236"/>
      <c r="AF612" s="236"/>
      <c r="AG612" s="60"/>
      <c r="AH612" s="60"/>
      <c r="AI612" s="236"/>
      <c r="AJ612" s="236"/>
    </row>
    <row r="613">
      <c r="A613" s="61"/>
      <c r="B613" s="60"/>
      <c r="C613" s="236"/>
      <c r="D613" s="236"/>
      <c r="E613" s="60"/>
      <c r="F613" s="60"/>
      <c r="G613" s="236"/>
      <c r="H613" s="60"/>
      <c r="I613" s="60"/>
      <c r="J613" s="236"/>
      <c r="K613" s="236"/>
      <c r="L613" s="60"/>
      <c r="M613" s="60"/>
      <c r="N613" s="236"/>
      <c r="O613" s="60"/>
      <c r="P613" s="60"/>
      <c r="Q613" s="236"/>
      <c r="R613" s="236"/>
      <c r="S613" s="60"/>
      <c r="T613" s="60"/>
      <c r="U613" s="236"/>
      <c r="V613" s="60"/>
      <c r="W613" s="60"/>
      <c r="X613" s="236"/>
      <c r="Y613" s="236"/>
      <c r="Z613" s="60"/>
      <c r="AA613" s="60"/>
      <c r="AB613" s="236"/>
      <c r="AC613" s="60"/>
      <c r="AD613" s="60"/>
      <c r="AE613" s="236"/>
      <c r="AF613" s="236"/>
      <c r="AG613" s="60"/>
      <c r="AH613" s="60"/>
      <c r="AI613" s="236"/>
      <c r="AJ613" s="236"/>
    </row>
    <row r="614">
      <c r="A614" s="61"/>
      <c r="B614" s="60"/>
      <c r="C614" s="236"/>
      <c r="D614" s="236"/>
      <c r="E614" s="60"/>
      <c r="F614" s="60"/>
      <c r="G614" s="236"/>
      <c r="H614" s="60"/>
      <c r="I614" s="60"/>
      <c r="J614" s="236"/>
      <c r="K614" s="236"/>
      <c r="L614" s="60"/>
      <c r="M614" s="60"/>
      <c r="N614" s="236"/>
      <c r="O614" s="60"/>
      <c r="P614" s="60"/>
      <c r="Q614" s="236"/>
      <c r="R614" s="236"/>
      <c r="S614" s="60"/>
      <c r="T614" s="60"/>
      <c r="U614" s="236"/>
      <c r="V614" s="60"/>
      <c r="W614" s="60"/>
      <c r="X614" s="236"/>
      <c r="Y614" s="236"/>
      <c r="Z614" s="60"/>
      <c r="AA614" s="60"/>
      <c r="AB614" s="236"/>
      <c r="AC614" s="60"/>
      <c r="AD614" s="60"/>
      <c r="AE614" s="236"/>
      <c r="AF614" s="236"/>
      <c r="AG614" s="60"/>
      <c r="AH614" s="60"/>
      <c r="AI614" s="236"/>
      <c r="AJ614" s="236"/>
    </row>
    <row r="615">
      <c r="A615" s="61"/>
      <c r="B615" s="60"/>
      <c r="C615" s="236"/>
      <c r="D615" s="236"/>
      <c r="E615" s="60"/>
      <c r="F615" s="60"/>
      <c r="G615" s="236"/>
      <c r="H615" s="60"/>
      <c r="I615" s="60"/>
      <c r="J615" s="236"/>
      <c r="K615" s="236"/>
      <c r="L615" s="60"/>
      <c r="M615" s="60"/>
      <c r="N615" s="236"/>
      <c r="O615" s="60"/>
      <c r="P615" s="60"/>
      <c r="Q615" s="236"/>
      <c r="R615" s="236"/>
      <c r="S615" s="60"/>
      <c r="T615" s="60"/>
      <c r="U615" s="236"/>
      <c r="V615" s="60"/>
      <c r="W615" s="60"/>
      <c r="X615" s="236"/>
      <c r="Y615" s="236"/>
      <c r="Z615" s="60"/>
      <c r="AA615" s="60"/>
      <c r="AB615" s="236"/>
      <c r="AC615" s="60"/>
      <c r="AD615" s="60"/>
      <c r="AE615" s="236"/>
      <c r="AF615" s="236"/>
      <c r="AG615" s="60"/>
      <c r="AH615" s="60"/>
      <c r="AI615" s="236"/>
      <c r="AJ615" s="236"/>
    </row>
    <row r="616">
      <c r="A616" s="61"/>
      <c r="B616" s="60"/>
      <c r="C616" s="236"/>
      <c r="D616" s="236"/>
      <c r="E616" s="60"/>
      <c r="F616" s="60"/>
      <c r="G616" s="236"/>
      <c r="H616" s="60"/>
      <c r="I616" s="60"/>
      <c r="J616" s="236"/>
      <c r="K616" s="236"/>
      <c r="L616" s="60"/>
      <c r="M616" s="60"/>
      <c r="N616" s="236"/>
      <c r="O616" s="60"/>
      <c r="P616" s="60"/>
      <c r="Q616" s="236"/>
      <c r="R616" s="236"/>
      <c r="S616" s="60"/>
      <c r="T616" s="60"/>
      <c r="U616" s="236"/>
      <c r="V616" s="60"/>
      <c r="W616" s="60"/>
      <c r="X616" s="236"/>
      <c r="Y616" s="236"/>
      <c r="Z616" s="60"/>
      <c r="AA616" s="60"/>
      <c r="AB616" s="236"/>
      <c r="AC616" s="60"/>
      <c r="AD616" s="60"/>
      <c r="AE616" s="236"/>
      <c r="AF616" s="236"/>
      <c r="AG616" s="60"/>
      <c r="AH616" s="60"/>
      <c r="AI616" s="236"/>
      <c r="AJ616" s="236"/>
    </row>
    <row r="617">
      <c r="A617" s="61"/>
      <c r="B617" s="60"/>
      <c r="C617" s="236"/>
      <c r="D617" s="236"/>
      <c r="E617" s="60"/>
      <c r="F617" s="60"/>
      <c r="G617" s="236"/>
      <c r="H617" s="60"/>
      <c r="I617" s="60"/>
      <c r="J617" s="236"/>
      <c r="K617" s="236"/>
      <c r="L617" s="60"/>
      <c r="M617" s="60"/>
      <c r="N617" s="236"/>
      <c r="O617" s="60"/>
      <c r="P617" s="60"/>
      <c r="Q617" s="236"/>
      <c r="R617" s="236"/>
      <c r="S617" s="60"/>
      <c r="T617" s="60"/>
      <c r="U617" s="236"/>
      <c r="V617" s="60"/>
      <c r="W617" s="60"/>
      <c r="X617" s="236"/>
      <c r="Y617" s="236"/>
      <c r="Z617" s="60"/>
      <c r="AA617" s="60"/>
      <c r="AB617" s="236"/>
      <c r="AC617" s="60"/>
      <c r="AD617" s="60"/>
      <c r="AE617" s="236"/>
      <c r="AF617" s="236"/>
      <c r="AG617" s="60"/>
      <c r="AH617" s="60"/>
      <c r="AI617" s="236"/>
      <c r="AJ617" s="236"/>
    </row>
    <row r="618">
      <c r="A618" s="61"/>
      <c r="B618" s="60"/>
      <c r="C618" s="236"/>
      <c r="D618" s="236"/>
      <c r="E618" s="60"/>
      <c r="F618" s="60"/>
      <c r="G618" s="236"/>
      <c r="H618" s="60"/>
      <c r="I618" s="60"/>
      <c r="J618" s="236"/>
      <c r="K618" s="236"/>
      <c r="L618" s="60"/>
      <c r="M618" s="60"/>
      <c r="N618" s="236"/>
      <c r="O618" s="60"/>
      <c r="P618" s="60"/>
      <c r="Q618" s="236"/>
      <c r="R618" s="236"/>
      <c r="S618" s="60"/>
      <c r="T618" s="60"/>
      <c r="U618" s="236"/>
      <c r="V618" s="60"/>
      <c r="W618" s="60"/>
      <c r="X618" s="236"/>
      <c r="Y618" s="236"/>
      <c r="Z618" s="60"/>
      <c r="AA618" s="60"/>
      <c r="AB618" s="236"/>
      <c r="AC618" s="60"/>
      <c r="AD618" s="60"/>
      <c r="AE618" s="236"/>
      <c r="AF618" s="236"/>
      <c r="AG618" s="60"/>
      <c r="AH618" s="60"/>
      <c r="AI618" s="236"/>
      <c r="AJ618" s="236"/>
    </row>
    <row r="619">
      <c r="A619" s="61"/>
      <c r="B619" s="60"/>
      <c r="C619" s="236"/>
      <c r="D619" s="236"/>
      <c r="E619" s="60"/>
      <c r="F619" s="60"/>
      <c r="G619" s="236"/>
      <c r="H619" s="60"/>
      <c r="I619" s="60"/>
      <c r="J619" s="236"/>
      <c r="K619" s="236"/>
      <c r="L619" s="60"/>
      <c r="M619" s="60"/>
      <c r="N619" s="236"/>
      <c r="O619" s="60"/>
      <c r="P619" s="60"/>
      <c r="Q619" s="236"/>
      <c r="R619" s="236"/>
      <c r="S619" s="60"/>
      <c r="T619" s="60"/>
      <c r="U619" s="236"/>
      <c r="V619" s="60"/>
      <c r="W619" s="60"/>
      <c r="X619" s="236"/>
      <c r="Y619" s="236"/>
      <c r="Z619" s="60"/>
      <c r="AA619" s="60"/>
      <c r="AB619" s="236"/>
      <c r="AC619" s="60"/>
      <c r="AD619" s="60"/>
      <c r="AE619" s="236"/>
      <c r="AF619" s="236"/>
      <c r="AG619" s="60"/>
      <c r="AH619" s="60"/>
      <c r="AI619" s="236"/>
      <c r="AJ619" s="236"/>
    </row>
    <row r="620">
      <c r="A620" s="61"/>
      <c r="B620" s="60"/>
      <c r="C620" s="236"/>
      <c r="D620" s="236"/>
      <c r="E620" s="60"/>
      <c r="F620" s="60"/>
      <c r="G620" s="236"/>
      <c r="H620" s="60"/>
      <c r="I620" s="60"/>
      <c r="J620" s="236"/>
      <c r="K620" s="236"/>
      <c r="L620" s="60"/>
      <c r="M620" s="60"/>
      <c r="N620" s="236"/>
      <c r="O620" s="60"/>
      <c r="P620" s="60"/>
      <c r="Q620" s="236"/>
      <c r="R620" s="236"/>
      <c r="S620" s="60"/>
      <c r="T620" s="60"/>
      <c r="U620" s="236"/>
      <c r="V620" s="60"/>
      <c r="W620" s="60"/>
      <c r="X620" s="236"/>
      <c r="Y620" s="236"/>
      <c r="Z620" s="60"/>
      <c r="AA620" s="60"/>
      <c r="AB620" s="236"/>
      <c r="AC620" s="60"/>
      <c r="AD620" s="60"/>
      <c r="AE620" s="236"/>
      <c r="AF620" s="236"/>
      <c r="AG620" s="60"/>
      <c r="AH620" s="60"/>
      <c r="AI620" s="236"/>
      <c r="AJ620" s="236"/>
    </row>
    <row r="621">
      <c r="A621" s="61"/>
      <c r="B621" s="60"/>
      <c r="C621" s="236"/>
      <c r="D621" s="236"/>
      <c r="E621" s="60"/>
      <c r="F621" s="60"/>
      <c r="G621" s="236"/>
      <c r="H621" s="60"/>
      <c r="I621" s="60"/>
      <c r="J621" s="236"/>
      <c r="K621" s="236"/>
      <c r="L621" s="60"/>
      <c r="M621" s="60"/>
      <c r="N621" s="236"/>
      <c r="O621" s="60"/>
      <c r="P621" s="60"/>
      <c r="Q621" s="236"/>
      <c r="R621" s="236"/>
      <c r="S621" s="60"/>
      <c r="T621" s="60"/>
      <c r="U621" s="236"/>
      <c r="V621" s="60"/>
      <c r="W621" s="60"/>
      <c r="X621" s="236"/>
      <c r="Y621" s="236"/>
      <c r="Z621" s="60"/>
      <c r="AA621" s="60"/>
      <c r="AB621" s="236"/>
      <c r="AC621" s="60"/>
      <c r="AD621" s="60"/>
      <c r="AE621" s="236"/>
      <c r="AF621" s="236"/>
      <c r="AG621" s="60"/>
      <c r="AH621" s="60"/>
      <c r="AI621" s="236"/>
      <c r="AJ621" s="236"/>
    </row>
    <row r="622">
      <c r="A622" s="61"/>
      <c r="B622" s="60"/>
      <c r="C622" s="236"/>
      <c r="D622" s="236"/>
      <c r="E622" s="60"/>
      <c r="F622" s="60"/>
      <c r="G622" s="236"/>
      <c r="H622" s="60"/>
      <c r="I622" s="60"/>
      <c r="J622" s="236"/>
      <c r="K622" s="236"/>
      <c r="L622" s="60"/>
      <c r="M622" s="60"/>
      <c r="N622" s="236"/>
      <c r="O622" s="60"/>
      <c r="P622" s="60"/>
      <c r="Q622" s="236"/>
      <c r="R622" s="236"/>
      <c r="S622" s="60"/>
      <c r="T622" s="60"/>
      <c r="U622" s="236"/>
      <c r="V622" s="60"/>
      <c r="W622" s="60"/>
      <c r="X622" s="236"/>
      <c r="Y622" s="236"/>
      <c r="Z622" s="60"/>
      <c r="AA622" s="60"/>
      <c r="AB622" s="236"/>
      <c r="AC622" s="60"/>
      <c r="AD622" s="60"/>
      <c r="AE622" s="236"/>
      <c r="AF622" s="236"/>
      <c r="AG622" s="60"/>
      <c r="AH622" s="60"/>
      <c r="AI622" s="236"/>
      <c r="AJ622" s="236"/>
    </row>
    <row r="623">
      <c r="A623" s="61"/>
      <c r="B623" s="60"/>
      <c r="C623" s="236"/>
      <c r="D623" s="236"/>
      <c r="E623" s="60"/>
      <c r="F623" s="60"/>
      <c r="G623" s="236"/>
      <c r="H623" s="60"/>
      <c r="I623" s="60"/>
      <c r="J623" s="236"/>
      <c r="K623" s="236"/>
      <c r="L623" s="60"/>
      <c r="M623" s="60"/>
      <c r="N623" s="236"/>
      <c r="O623" s="60"/>
      <c r="P623" s="60"/>
      <c r="Q623" s="236"/>
      <c r="R623" s="236"/>
      <c r="S623" s="60"/>
      <c r="T623" s="60"/>
      <c r="U623" s="236"/>
      <c r="V623" s="60"/>
      <c r="W623" s="60"/>
      <c r="X623" s="236"/>
      <c r="Y623" s="236"/>
      <c r="Z623" s="60"/>
      <c r="AA623" s="60"/>
      <c r="AB623" s="236"/>
      <c r="AC623" s="60"/>
      <c r="AD623" s="60"/>
      <c r="AE623" s="236"/>
      <c r="AF623" s="236"/>
      <c r="AG623" s="60"/>
      <c r="AH623" s="60"/>
      <c r="AI623" s="236"/>
      <c r="AJ623" s="236"/>
    </row>
    <row r="624">
      <c r="A624" s="61"/>
      <c r="B624" s="60"/>
      <c r="C624" s="236"/>
      <c r="D624" s="236"/>
      <c r="E624" s="60"/>
      <c r="F624" s="60"/>
      <c r="G624" s="236"/>
      <c r="H624" s="60"/>
      <c r="I624" s="60"/>
      <c r="J624" s="236"/>
      <c r="K624" s="236"/>
      <c r="L624" s="60"/>
      <c r="M624" s="60"/>
      <c r="N624" s="236"/>
      <c r="O624" s="60"/>
      <c r="P624" s="60"/>
      <c r="Q624" s="236"/>
      <c r="R624" s="236"/>
      <c r="S624" s="60"/>
      <c r="T624" s="60"/>
      <c r="U624" s="236"/>
      <c r="V624" s="60"/>
      <c r="W624" s="60"/>
      <c r="X624" s="236"/>
      <c r="Y624" s="236"/>
      <c r="Z624" s="60"/>
      <c r="AA624" s="60"/>
      <c r="AB624" s="236"/>
      <c r="AC624" s="60"/>
      <c r="AD624" s="60"/>
      <c r="AE624" s="236"/>
      <c r="AF624" s="236"/>
      <c r="AG624" s="60"/>
      <c r="AH624" s="60"/>
      <c r="AI624" s="236"/>
      <c r="AJ624" s="236"/>
    </row>
    <row r="625">
      <c r="A625" s="61"/>
      <c r="B625" s="60"/>
      <c r="C625" s="236"/>
      <c r="D625" s="236"/>
      <c r="E625" s="60"/>
      <c r="F625" s="60"/>
      <c r="G625" s="236"/>
      <c r="H625" s="60"/>
      <c r="I625" s="60"/>
      <c r="J625" s="236"/>
      <c r="K625" s="236"/>
      <c r="L625" s="60"/>
      <c r="M625" s="60"/>
      <c r="N625" s="236"/>
      <c r="O625" s="60"/>
      <c r="P625" s="60"/>
      <c r="Q625" s="236"/>
      <c r="R625" s="236"/>
      <c r="S625" s="60"/>
      <c r="T625" s="60"/>
      <c r="U625" s="236"/>
      <c r="V625" s="60"/>
      <c r="W625" s="60"/>
      <c r="X625" s="236"/>
      <c r="Y625" s="236"/>
      <c r="Z625" s="60"/>
      <c r="AA625" s="60"/>
      <c r="AB625" s="236"/>
      <c r="AC625" s="60"/>
      <c r="AD625" s="60"/>
      <c r="AE625" s="236"/>
      <c r="AF625" s="236"/>
      <c r="AG625" s="60"/>
      <c r="AH625" s="60"/>
      <c r="AI625" s="236"/>
      <c r="AJ625" s="236"/>
    </row>
    <row r="626">
      <c r="A626" s="61"/>
      <c r="B626" s="60"/>
      <c r="C626" s="236"/>
      <c r="D626" s="236"/>
      <c r="E626" s="60"/>
      <c r="F626" s="60"/>
      <c r="G626" s="236"/>
      <c r="H626" s="60"/>
      <c r="I626" s="60"/>
      <c r="J626" s="236"/>
      <c r="K626" s="236"/>
      <c r="L626" s="60"/>
      <c r="M626" s="60"/>
      <c r="N626" s="236"/>
      <c r="O626" s="60"/>
      <c r="P626" s="60"/>
      <c r="Q626" s="236"/>
      <c r="R626" s="236"/>
      <c r="S626" s="60"/>
      <c r="T626" s="60"/>
      <c r="U626" s="236"/>
      <c r="V626" s="60"/>
      <c r="W626" s="60"/>
      <c r="X626" s="236"/>
      <c r="Y626" s="236"/>
      <c r="Z626" s="60"/>
      <c r="AA626" s="60"/>
      <c r="AB626" s="236"/>
      <c r="AC626" s="60"/>
      <c r="AD626" s="60"/>
      <c r="AE626" s="236"/>
      <c r="AF626" s="236"/>
      <c r="AG626" s="60"/>
      <c r="AH626" s="60"/>
      <c r="AI626" s="236"/>
      <c r="AJ626" s="236"/>
    </row>
    <row r="627">
      <c r="A627" s="61"/>
      <c r="B627" s="60"/>
      <c r="C627" s="236"/>
      <c r="D627" s="236"/>
      <c r="E627" s="60"/>
      <c r="F627" s="60"/>
      <c r="G627" s="236"/>
      <c r="H627" s="60"/>
      <c r="I627" s="60"/>
      <c r="J627" s="236"/>
      <c r="K627" s="236"/>
      <c r="L627" s="60"/>
      <c r="M627" s="60"/>
      <c r="N627" s="236"/>
      <c r="O627" s="60"/>
      <c r="P627" s="60"/>
      <c r="Q627" s="236"/>
      <c r="R627" s="236"/>
      <c r="S627" s="60"/>
      <c r="T627" s="60"/>
      <c r="U627" s="236"/>
      <c r="V627" s="60"/>
      <c r="W627" s="60"/>
      <c r="X627" s="236"/>
      <c r="Y627" s="236"/>
      <c r="Z627" s="60"/>
      <c r="AA627" s="60"/>
      <c r="AB627" s="236"/>
      <c r="AC627" s="60"/>
      <c r="AD627" s="60"/>
      <c r="AE627" s="236"/>
      <c r="AF627" s="236"/>
      <c r="AG627" s="60"/>
      <c r="AH627" s="60"/>
      <c r="AI627" s="236"/>
      <c r="AJ627" s="236"/>
    </row>
    <row r="628">
      <c r="A628" s="61"/>
      <c r="B628" s="60"/>
      <c r="C628" s="236"/>
      <c r="D628" s="236"/>
      <c r="E628" s="60"/>
      <c r="F628" s="60"/>
      <c r="G628" s="236"/>
      <c r="H628" s="60"/>
      <c r="I628" s="60"/>
      <c r="J628" s="236"/>
      <c r="K628" s="236"/>
      <c r="L628" s="60"/>
      <c r="M628" s="60"/>
      <c r="N628" s="236"/>
      <c r="O628" s="60"/>
      <c r="P628" s="60"/>
      <c r="Q628" s="236"/>
      <c r="R628" s="236"/>
      <c r="S628" s="60"/>
      <c r="T628" s="60"/>
      <c r="U628" s="236"/>
      <c r="V628" s="60"/>
      <c r="W628" s="60"/>
      <c r="X628" s="236"/>
      <c r="Y628" s="236"/>
      <c r="Z628" s="60"/>
      <c r="AA628" s="60"/>
      <c r="AB628" s="236"/>
      <c r="AC628" s="60"/>
      <c r="AD628" s="60"/>
      <c r="AE628" s="236"/>
      <c r="AF628" s="236"/>
      <c r="AG628" s="60"/>
      <c r="AH628" s="60"/>
      <c r="AI628" s="236"/>
      <c r="AJ628" s="236"/>
    </row>
    <row r="629">
      <c r="A629" s="61"/>
      <c r="B629" s="60"/>
      <c r="C629" s="236"/>
      <c r="D629" s="236"/>
      <c r="E629" s="60"/>
      <c r="F629" s="60"/>
      <c r="G629" s="236"/>
      <c r="H629" s="60"/>
      <c r="I629" s="60"/>
      <c r="J629" s="236"/>
      <c r="K629" s="236"/>
      <c r="L629" s="60"/>
      <c r="M629" s="60"/>
      <c r="N629" s="236"/>
      <c r="O629" s="60"/>
      <c r="P629" s="60"/>
      <c r="Q629" s="236"/>
      <c r="R629" s="236"/>
      <c r="S629" s="60"/>
      <c r="T629" s="60"/>
      <c r="U629" s="236"/>
      <c r="V629" s="60"/>
      <c r="W629" s="60"/>
      <c r="X629" s="236"/>
      <c r="Y629" s="236"/>
      <c r="Z629" s="60"/>
      <c r="AA629" s="60"/>
      <c r="AB629" s="236"/>
      <c r="AC629" s="60"/>
      <c r="AD629" s="60"/>
      <c r="AE629" s="236"/>
      <c r="AF629" s="236"/>
      <c r="AG629" s="60"/>
      <c r="AH629" s="60"/>
      <c r="AI629" s="236"/>
      <c r="AJ629" s="236"/>
    </row>
    <row r="630">
      <c r="A630" s="61"/>
      <c r="B630" s="60"/>
      <c r="C630" s="236"/>
      <c r="D630" s="236"/>
      <c r="E630" s="60"/>
      <c r="F630" s="60"/>
      <c r="G630" s="236"/>
      <c r="H630" s="60"/>
      <c r="I630" s="60"/>
      <c r="J630" s="236"/>
      <c r="K630" s="236"/>
      <c r="L630" s="60"/>
      <c r="M630" s="60"/>
      <c r="N630" s="236"/>
      <c r="O630" s="60"/>
      <c r="P630" s="60"/>
      <c r="Q630" s="236"/>
      <c r="R630" s="236"/>
      <c r="S630" s="60"/>
      <c r="T630" s="60"/>
      <c r="U630" s="236"/>
      <c r="V630" s="60"/>
      <c r="W630" s="60"/>
      <c r="X630" s="236"/>
      <c r="Y630" s="236"/>
      <c r="Z630" s="60"/>
      <c r="AA630" s="60"/>
      <c r="AB630" s="236"/>
      <c r="AC630" s="60"/>
      <c r="AD630" s="60"/>
      <c r="AE630" s="236"/>
      <c r="AF630" s="236"/>
      <c r="AG630" s="60"/>
      <c r="AH630" s="60"/>
      <c r="AI630" s="236"/>
      <c r="AJ630" s="236"/>
    </row>
    <row r="631">
      <c r="A631" s="61"/>
      <c r="B631" s="60"/>
      <c r="C631" s="236"/>
      <c r="D631" s="236"/>
      <c r="E631" s="60"/>
      <c r="F631" s="60"/>
      <c r="G631" s="236"/>
      <c r="H631" s="60"/>
      <c r="I631" s="60"/>
      <c r="J631" s="236"/>
      <c r="K631" s="236"/>
      <c r="L631" s="60"/>
      <c r="M631" s="60"/>
      <c r="N631" s="236"/>
      <c r="O631" s="60"/>
      <c r="P631" s="60"/>
      <c r="Q631" s="236"/>
      <c r="R631" s="236"/>
      <c r="S631" s="60"/>
      <c r="T631" s="60"/>
      <c r="U631" s="236"/>
      <c r="V631" s="60"/>
      <c r="W631" s="60"/>
      <c r="X631" s="236"/>
      <c r="Y631" s="236"/>
      <c r="Z631" s="60"/>
      <c r="AA631" s="60"/>
      <c r="AB631" s="236"/>
      <c r="AC631" s="60"/>
      <c r="AD631" s="60"/>
      <c r="AE631" s="236"/>
      <c r="AF631" s="236"/>
      <c r="AG631" s="60"/>
      <c r="AH631" s="60"/>
      <c r="AI631" s="236"/>
      <c r="AJ631" s="236"/>
    </row>
    <row r="632">
      <c r="A632" s="61"/>
      <c r="B632" s="60"/>
      <c r="C632" s="236"/>
      <c r="D632" s="236"/>
      <c r="E632" s="60"/>
      <c r="F632" s="60"/>
      <c r="G632" s="236"/>
      <c r="H632" s="60"/>
      <c r="I632" s="60"/>
      <c r="J632" s="236"/>
      <c r="K632" s="236"/>
      <c r="L632" s="60"/>
      <c r="M632" s="60"/>
      <c r="N632" s="236"/>
      <c r="O632" s="60"/>
      <c r="P632" s="60"/>
      <c r="Q632" s="236"/>
      <c r="R632" s="236"/>
      <c r="S632" s="60"/>
      <c r="T632" s="60"/>
      <c r="U632" s="236"/>
      <c r="V632" s="60"/>
      <c r="W632" s="60"/>
      <c r="X632" s="236"/>
      <c r="Y632" s="236"/>
      <c r="Z632" s="60"/>
      <c r="AA632" s="60"/>
      <c r="AB632" s="236"/>
      <c r="AC632" s="60"/>
      <c r="AD632" s="60"/>
      <c r="AE632" s="236"/>
      <c r="AF632" s="236"/>
      <c r="AG632" s="60"/>
      <c r="AH632" s="60"/>
      <c r="AI632" s="236"/>
      <c r="AJ632" s="236"/>
    </row>
    <row r="633">
      <c r="A633" s="61"/>
      <c r="B633" s="60"/>
      <c r="C633" s="236"/>
      <c r="D633" s="236"/>
      <c r="E633" s="60"/>
      <c r="F633" s="60"/>
      <c r="G633" s="236"/>
      <c r="H633" s="60"/>
      <c r="I633" s="60"/>
      <c r="J633" s="236"/>
      <c r="K633" s="236"/>
      <c r="L633" s="60"/>
      <c r="M633" s="60"/>
      <c r="N633" s="236"/>
      <c r="O633" s="60"/>
      <c r="P633" s="60"/>
      <c r="Q633" s="236"/>
      <c r="R633" s="236"/>
      <c r="S633" s="60"/>
      <c r="T633" s="60"/>
      <c r="U633" s="236"/>
      <c r="V633" s="60"/>
      <c r="W633" s="60"/>
      <c r="X633" s="236"/>
      <c r="Y633" s="236"/>
      <c r="Z633" s="60"/>
      <c r="AA633" s="60"/>
      <c r="AB633" s="236"/>
      <c r="AC633" s="60"/>
      <c r="AD633" s="60"/>
      <c r="AE633" s="236"/>
      <c r="AF633" s="236"/>
      <c r="AG633" s="60"/>
      <c r="AH633" s="60"/>
      <c r="AI633" s="236"/>
      <c r="AJ633" s="236"/>
    </row>
    <row r="634">
      <c r="A634" s="61"/>
      <c r="B634" s="60"/>
      <c r="C634" s="236"/>
      <c r="D634" s="236"/>
      <c r="E634" s="60"/>
      <c r="F634" s="60"/>
      <c r="G634" s="236"/>
      <c r="H634" s="60"/>
      <c r="I634" s="60"/>
      <c r="J634" s="236"/>
      <c r="K634" s="236"/>
      <c r="L634" s="60"/>
      <c r="M634" s="60"/>
      <c r="N634" s="236"/>
      <c r="O634" s="60"/>
      <c r="P634" s="60"/>
      <c r="Q634" s="236"/>
      <c r="R634" s="236"/>
      <c r="S634" s="60"/>
      <c r="T634" s="60"/>
      <c r="U634" s="236"/>
      <c r="V634" s="60"/>
      <c r="W634" s="60"/>
      <c r="X634" s="236"/>
      <c r="Y634" s="236"/>
      <c r="Z634" s="60"/>
      <c r="AA634" s="60"/>
      <c r="AB634" s="236"/>
      <c r="AC634" s="60"/>
      <c r="AD634" s="60"/>
      <c r="AE634" s="236"/>
      <c r="AF634" s="236"/>
      <c r="AG634" s="60"/>
      <c r="AH634" s="60"/>
      <c r="AI634" s="236"/>
      <c r="AJ634" s="236"/>
    </row>
    <row r="635">
      <c r="A635" s="61"/>
      <c r="B635" s="60"/>
      <c r="C635" s="236"/>
      <c r="D635" s="236"/>
      <c r="E635" s="60"/>
      <c r="F635" s="60"/>
      <c r="G635" s="236"/>
      <c r="H635" s="60"/>
      <c r="I635" s="60"/>
      <c r="J635" s="236"/>
      <c r="K635" s="236"/>
      <c r="L635" s="60"/>
      <c r="M635" s="60"/>
      <c r="N635" s="236"/>
      <c r="O635" s="60"/>
      <c r="P635" s="60"/>
      <c r="Q635" s="236"/>
      <c r="R635" s="236"/>
      <c r="S635" s="60"/>
      <c r="T635" s="60"/>
      <c r="U635" s="236"/>
      <c r="V635" s="60"/>
      <c r="W635" s="60"/>
      <c r="X635" s="236"/>
      <c r="Y635" s="236"/>
      <c r="Z635" s="60"/>
      <c r="AA635" s="60"/>
      <c r="AB635" s="236"/>
      <c r="AC635" s="60"/>
      <c r="AD635" s="60"/>
      <c r="AE635" s="236"/>
      <c r="AF635" s="236"/>
      <c r="AG635" s="60"/>
      <c r="AH635" s="60"/>
      <c r="AI635" s="236"/>
      <c r="AJ635" s="236"/>
    </row>
    <row r="636">
      <c r="A636" s="61"/>
      <c r="B636" s="60"/>
      <c r="C636" s="236"/>
      <c r="D636" s="236"/>
      <c r="E636" s="60"/>
      <c r="F636" s="60"/>
      <c r="G636" s="236"/>
      <c r="H636" s="60"/>
      <c r="I636" s="60"/>
      <c r="J636" s="236"/>
      <c r="K636" s="236"/>
      <c r="L636" s="60"/>
      <c r="M636" s="60"/>
      <c r="N636" s="236"/>
      <c r="O636" s="60"/>
      <c r="P636" s="60"/>
      <c r="Q636" s="236"/>
      <c r="R636" s="236"/>
      <c r="S636" s="60"/>
      <c r="T636" s="60"/>
      <c r="U636" s="236"/>
      <c r="V636" s="60"/>
      <c r="W636" s="60"/>
      <c r="X636" s="236"/>
      <c r="Y636" s="236"/>
      <c r="Z636" s="60"/>
      <c r="AA636" s="60"/>
      <c r="AB636" s="236"/>
      <c r="AC636" s="60"/>
      <c r="AD636" s="60"/>
      <c r="AE636" s="236"/>
      <c r="AF636" s="236"/>
      <c r="AG636" s="60"/>
      <c r="AH636" s="60"/>
      <c r="AI636" s="236"/>
      <c r="AJ636" s="236"/>
    </row>
    <row r="637">
      <c r="A637" s="61"/>
      <c r="B637" s="60"/>
      <c r="C637" s="236"/>
      <c r="D637" s="236"/>
      <c r="E637" s="60"/>
      <c r="F637" s="60"/>
      <c r="G637" s="236"/>
      <c r="H637" s="60"/>
      <c r="I637" s="60"/>
      <c r="J637" s="236"/>
      <c r="K637" s="236"/>
      <c r="L637" s="60"/>
      <c r="M637" s="60"/>
      <c r="N637" s="236"/>
      <c r="O637" s="60"/>
      <c r="P637" s="60"/>
      <c r="Q637" s="236"/>
      <c r="R637" s="236"/>
      <c r="S637" s="60"/>
      <c r="T637" s="60"/>
      <c r="U637" s="236"/>
      <c r="V637" s="60"/>
      <c r="W637" s="60"/>
      <c r="X637" s="236"/>
      <c r="Y637" s="236"/>
      <c r="Z637" s="60"/>
      <c r="AA637" s="60"/>
      <c r="AB637" s="236"/>
      <c r="AC637" s="60"/>
      <c r="AD637" s="60"/>
      <c r="AE637" s="236"/>
      <c r="AF637" s="236"/>
      <c r="AG637" s="60"/>
      <c r="AH637" s="60"/>
      <c r="AI637" s="236"/>
      <c r="AJ637" s="236"/>
    </row>
    <row r="638">
      <c r="A638" s="61"/>
      <c r="B638" s="60"/>
      <c r="C638" s="236"/>
      <c r="D638" s="236"/>
      <c r="E638" s="60"/>
      <c r="F638" s="60"/>
      <c r="G638" s="236"/>
      <c r="H638" s="60"/>
      <c r="I638" s="60"/>
      <c r="J638" s="236"/>
      <c r="K638" s="236"/>
      <c r="L638" s="60"/>
      <c r="M638" s="60"/>
      <c r="N638" s="236"/>
      <c r="O638" s="60"/>
      <c r="P638" s="60"/>
      <c r="Q638" s="236"/>
      <c r="R638" s="236"/>
      <c r="S638" s="60"/>
      <c r="T638" s="60"/>
      <c r="U638" s="236"/>
      <c r="V638" s="60"/>
      <c r="W638" s="60"/>
      <c r="X638" s="236"/>
      <c r="Y638" s="236"/>
      <c r="Z638" s="60"/>
      <c r="AA638" s="60"/>
      <c r="AB638" s="236"/>
      <c r="AC638" s="60"/>
      <c r="AD638" s="60"/>
      <c r="AE638" s="236"/>
      <c r="AF638" s="236"/>
      <c r="AG638" s="60"/>
      <c r="AH638" s="60"/>
      <c r="AI638" s="236"/>
      <c r="AJ638" s="236"/>
    </row>
    <row r="639">
      <c r="A639" s="61"/>
      <c r="B639" s="60"/>
      <c r="C639" s="236"/>
      <c r="D639" s="236"/>
      <c r="E639" s="60"/>
      <c r="F639" s="60"/>
      <c r="G639" s="236"/>
      <c r="H639" s="60"/>
      <c r="I639" s="60"/>
      <c r="J639" s="236"/>
      <c r="K639" s="236"/>
      <c r="L639" s="60"/>
      <c r="M639" s="60"/>
      <c r="N639" s="236"/>
      <c r="O639" s="60"/>
      <c r="P639" s="60"/>
      <c r="Q639" s="236"/>
      <c r="R639" s="236"/>
      <c r="S639" s="60"/>
      <c r="T639" s="60"/>
      <c r="U639" s="236"/>
      <c r="V639" s="60"/>
      <c r="W639" s="60"/>
      <c r="X639" s="236"/>
      <c r="Y639" s="236"/>
      <c r="Z639" s="60"/>
      <c r="AA639" s="60"/>
      <c r="AB639" s="236"/>
      <c r="AC639" s="60"/>
      <c r="AD639" s="60"/>
      <c r="AE639" s="236"/>
      <c r="AF639" s="236"/>
      <c r="AG639" s="60"/>
      <c r="AH639" s="60"/>
      <c r="AI639" s="236"/>
      <c r="AJ639" s="236"/>
    </row>
    <row r="640">
      <c r="A640" s="61"/>
      <c r="B640" s="60"/>
      <c r="C640" s="236"/>
      <c r="D640" s="236"/>
      <c r="E640" s="60"/>
      <c r="F640" s="60"/>
      <c r="G640" s="236"/>
      <c r="H640" s="60"/>
      <c r="I640" s="60"/>
      <c r="J640" s="236"/>
      <c r="K640" s="236"/>
      <c r="L640" s="60"/>
      <c r="M640" s="60"/>
      <c r="N640" s="236"/>
      <c r="O640" s="60"/>
      <c r="P640" s="60"/>
      <c r="Q640" s="236"/>
      <c r="R640" s="236"/>
      <c r="S640" s="60"/>
      <c r="T640" s="60"/>
      <c r="U640" s="236"/>
      <c r="V640" s="60"/>
      <c r="W640" s="60"/>
      <c r="X640" s="236"/>
      <c r="Y640" s="236"/>
      <c r="Z640" s="60"/>
      <c r="AA640" s="60"/>
      <c r="AB640" s="236"/>
      <c r="AC640" s="60"/>
      <c r="AD640" s="60"/>
      <c r="AE640" s="236"/>
      <c r="AF640" s="236"/>
      <c r="AG640" s="60"/>
      <c r="AH640" s="60"/>
      <c r="AI640" s="236"/>
      <c r="AJ640" s="236"/>
    </row>
    <row r="641">
      <c r="A641" s="61"/>
      <c r="B641" s="60"/>
      <c r="C641" s="236"/>
      <c r="D641" s="236"/>
      <c r="E641" s="60"/>
      <c r="F641" s="60"/>
      <c r="G641" s="236"/>
      <c r="H641" s="60"/>
      <c r="I641" s="60"/>
      <c r="J641" s="236"/>
      <c r="K641" s="236"/>
      <c r="L641" s="60"/>
      <c r="M641" s="60"/>
      <c r="N641" s="236"/>
      <c r="O641" s="60"/>
      <c r="P641" s="60"/>
      <c r="Q641" s="236"/>
      <c r="R641" s="236"/>
      <c r="S641" s="60"/>
      <c r="T641" s="60"/>
      <c r="U641" s="236"/>
      <c r="V641" s="60"/>
      <c r="W641" s="60"/>
      <c r="X641" s="236"/>
      <c r="Y641" s="236"/>
      <c r="Z641" s="60"/>
      <c r="AA641" s="60"/>
      <c r="AB641" s="236"/>
      <c r="AC641" s="60"/>
      <c r="AD641" s="60"/>
      <c r="AE641" s="236"/>
      <c r="AF641" s="236"/>
      <c r="AG641" s="60"/>
      <c r="AH641" s="60"/>
      <c r="AI641" s="236"/>
      <c r="AJ641" s="236"/>
    </row>
    <row r="642">
      <c r="A642" s="61"/>
      <c r="B642" s="60"/>
      <c r="C642" s="236"/>
      <c r="D642" s="236"/>
      <c r="E642" s="60"/>
      <c r="F642" s="60"/>
      <c r="G642" s="236"/>
      <c r="H642" s="60"/>
      <c r="I642" s="60"/>
      <c r="J642" s="236"/>
      <c r="K642" s="236"/>
      <c r="L642" s="60"/>
      <c r="M642" s="60"/>
      <c r="N642" s="236"/>
      <c r="O642" s="60"/>
      <c r="P642" s="60"/>
      <c r="Q642" s="236"/>
      <c r="R642" s="236"/>
      <c r="S642" s="60"/>
      <c r="T642" s="60"/>
      <c r="U642" s="236"/>
      <c r="V642" s="60"/>
      <c r="W642" s="60"/>
      <c r="X642" s="236"/>
      <c r="Y642" s="236"/>
      <c r="Z642" s="60"/>
      <c r="AA642" s="60"/>
      <c r="AB642" s="236"/>
      <c r="AC642" s="60"/>
      <c r="AD642" s="60"/>
      <c r="AE642" s="236"/>
      <c r="AF642" s="236"/>
      <c r="AG642" s="60"/>
      <c r="AH642" s="60"/>
      <c r="AI642" s="236"/>
      <c r="AJ642" s="236"/>
    </row>
    <row r="643">
      <c r="A643" s="61"/>
      <c r="B643" s="60"/>
      <c r="C643" s="236"/>
      <c r="D643" s="236"/>
      <c r="E643" s="60"/>
      <c r="F643" s="60"/>
      <c r="G643" s="236"/>
      <c r="H643" s="60"/>
      <c r="I643" s="60"/>
      <c r="J643" s="236"/>
      <c r="K643" s="236"/>
      <c r="L643" s="60"/>
      <c r="M643" s="60"/>
      <c r="N643" s="236"/>
      <c r="O643" s="60"/>
      <c r="P643" s="60"/>
      <c r="Q643" s="236"/>
      <c r="R643" s="236"/>
      <c r="S643" s="60"/>
      <c r="T643" s="60"/>
      <c r="U643" s="236"/>
      <c r="V643" s="60"/>
      <c r="W643" s="60"/>
      <c r="X643" s="236"/>
      <c r="Y643" s="236"/>
      <c r="Z643" s="60"/>
      <c r="AA643" s="60"/>
      <c r="AB643" s="236"/>
      <c r="AC643" s="60"/>
      <c r="AD643" s="60"/>
      <c r="AE643" s="236"/>
      <c r="AF643" s="236"/>
      <c r="AG643" s="60"/>
      <c r="AH643" s="60"/>
      <c r="AI643" s="236"/>
      <c r="AJ643" s="236"/>
    </row>
    <row r="644">
      <c r="A644" s="61"/>
      <c r="B644" s="60"/>
      <c r="C644" s="236"/>
      <c r="D644" s="236"/>
      <c r="E644" s="60"/>
      <c r="F644" s="60"/>
      <c r="G644" s="236"/>
      <c r="H644" s="60"/>
      <c r="I644" s="60"/>
      <c r="J644" s="236"/>
      <c r="K644" s="236"/>
      <c r="L644" s="60"/>
      <c r="M644" s="60"/>
      <c r="N644" s="236"/>
      <c r="O644" s="60"/>
      <c r="P644" s="60"/>
      <c r="Q644" s="236"/>
      <c r="R644" s="236"/>
      <c r="S644" s="60"/>
      <c r="T644" s="60"/>
      <c r="U644" s="236"/>
      <c r="V644" s="60"/>
      <c r="W644" s="60"/>
      <c r="X644" s="236"/>
      <c r="Y644" s="236"/>
      <c r="Z644" s="60"/>
      <c r="AA644" s="60"/>
      <c r="AB644" s="236"/>
      <c r="AC644" s="60"/>
      <c r="AD644" s="60"/>
      <c r="AE644" s="236"/>
      <c r="AF644" s="236"/>
      <c r="AG644" s="60"/>
      <c r="AH644" s="60"/>
      <c r="AI644" s="236"/>
      <c r="AJ644" s="236"/>
    </row>
    <row r="645">
      <c r="A645" s="61"/>
      <c r="B645" s="60"/>
      <c r="C645" s="236"/>
      <c r="D645" s="236"/>
      <c r="E645" s="60"/>
      <c r="F645" s="60"/>
      <c r="G645" s="236"/>
      <c r="H645" s="60"/>
      <c r="I645" s="60"/>
      <c r="J645" s="236"/>
      <c r="K645" s="236"/>
      <c r="L645" s="60"/>
      <c r="M645" s="60"/>
      <c r="N645" s="236"/>
      <c r="O645" s="60"/>
      <c r="P645" s="60"/>
      <c r="Q645" s="236"/>
      <c r="R645" s="236"/>
      <c r="S645" s="60"/>
      <c r="T645" s="60"/>
      <c r="U645" s="236"/>
      <c r="V645" s="60"/>
      <c r="W645" s="60"/>
      <c r="X645" s="236"/>
      <c r="Y645" s="236"/>
      <c r="Z645" s="60"/>
      <c r="AA645" s="60"/>
      <c r="AB645" s="236"/>
      <c r="AC645" s="60"/>
      <c r="AD645" s="60"/>
      <c r="AE645" s="236"/>
      <c r="AF645" s="236"/>
      <c r="AG645" s="60"/>
      <c r="AH645" s="60"/>
      <c r="AI645" s="236"/>
      <c r="AJ645" s="236"/>
    </row>
    <row r="646">
      <c r="A646" s="61"/>
      <c r="B646" s="60"/>
      <c r="C646" s="236"/>
      <c r="D646" s="236"/>
      <c r="E646" s="60"/>
      <c r="F646" s="60"/>
      <c r="G646" s="236"/>
      <c r="H646" s="60"/>
      <c r="I646" s="60"/>
      <c r="J646" s="236"/>
      <c r="K646" s="236"/>
      <c r="L646" s="60"/>
      <c r="M646" s="60"/>
      <c r="N646" s="236"/>
      <c r="O646" s="60"/>
      <c r="P646" s="60"/>
      <c r="Q646" s="236"/>
      <c r="R646" s="236"/>
      <c r="S646" s="60"/>
      <c r="T646" s="60"/>
      <c r="U646" s="236"/>
      <c r="V646" s="60"/>
      <c r="W646" s="60"/>
      <c r="X646" s="236"/>
      <c r="Y646" s="236"/>
      <c r="Z646" s="60"/>
      <c r="AA646" s="60"/>
      <c r="AB646" s="236"/>
      <c r="AC646" s="60"/>
      <c r="AD646" s="60"/>
      <c r="AE646" s="236"/>
      <c r="AF646" s="236"/>
      <c r="AG646" s="60"/>
      <c r="AH646" s="60"/>
      <c r="AI646" s="236"/>
      <c r="AJ646" s="236"/>
    </row>
    <row r="647">
      <c r="A647" s="61"/>
      <c r="B647" s="60"/>
      <c r="C647" s="236"/>
      <c r="D647" s="236"/>
      <c r="E647" s="60"/>
      <c r="F647" s="60"/>
      <c r="G647" s="236"/>
      <c r="H647" s="60"/>
      <c r="I647" s="60"/>
      <c r="J647" s="236"/>
      <c r="K647" s="236"/>
      <c r="L647" s="60"/>
      <c r="M647" s="60"/>
      <c r="N647" s="236"/>
      <c r="O647" s="60"/>
      <c r="P647" s="60"/>
      <c r="Q647" s="236"/>
      <c r="R647" s="236"/>
      <c r="S647" s="60"/>
      <c r="T647" s="60"/>
      <c r="U647" s="236"/>
      <c r="V647" s="60"/>
      <c r="W647" s="60"/>
      <c r="X647" s="236"/>
      <c r="Y647" s="236"/>
      <c r="Z647" s="60"/>
      <c r="AA647" s="60"/>
      <c r="AB647" s="236"/>
      <c r="AC647" s="60"/>
      <c r="AD647" s="60"/>
      <c r="AE647" s="236"/>
      <c r="AF647" s="236"/>
      <c r="AG647" s="60"/>
      <c r="AH647" s="60"/>
      <c r="AI647" s="236"/>
      <c r="AJ647" s="236"/>
    </row>
    <row r="648">
      <c r="A648" s="61"/>
      <c r="B648" s="60"/>
      <c r="C648" s="236"/>
      <c r="D648" s="236"/>
      <c r="E648" s="60"/>
      <c r="F648" s="60"/>
      <c r="G648" s="236"/>
      <c r="H648" s="60"/>
      <c r="I648" s="60"/>
      <c r="J648" s="236"/>
      <c r="K648" s="236"/>
      <c r="L648" s="60"/>
      <c r="M648" s="60"/>
      <c r="N648" s="236"/>
      <c r="O648" s="60"/>
      <c r="P648" s="60"/>
      <c r="Q648" s="236"/>
      <c r="R648" s="236"/>
      <c r="S648" s="60"/>
      <c r="T648" s="60"/>
      <c r="U648" s="236"/>
      <c r="V648" s="60"/>
      <c r="W648" s="60"/>
      <c r="X648" s="236"/>
      <c r="Y648" s="236"/>
      <c r="Z648" s="60"/>
      <c r="AA648" s="60"/>
      <c r="AB648" s="236"/>
      <c r="AC648" s="60"/>
      <c r="AD648" s="60"/>
      <c r="AE648" s="236"/>
      <c r="AF648" s="236"/>
      <c r="AG648" s="60"/>
      <c r="AH648" s="60"/>
      <c r="AI648" s="236"/>
      <c r="AJ648" s="236"/>
    </row>
    <row r="649">
      <c r="A649" s="61"/>
      <c r="B649" s="60"/>
      <c r="C649" s="236"/>
      <c r="D649" s="236"/>
      <c r="E649" s="60"/>
      <c r="F649" s="60"/>
      <c r="G649" s="236"/>
      <c r="H649" s="60"/>
      <c r="I649" s="60"/>
      <c r="J649" s="236"/>
      <c r="K649" s="236"/>
      <c r="L649" s="60"/>
      <c r="M649" s="60"/>
      <c r="N649" s="236"/>
      <c r="O649" s="60"/>
      <c r="P649" s="60"/>
      <c r="Q649" s="236"/>
      <c r="R649" s="236"/>
      <c r="S649" s="60"/>
      <c r="T649" s="60"/>
      <c r="U649" s="236"/>
      <c r="V649" s="60"/>
      <c r="W649" s="60"/>
      <c r="X649" s="236"/>
      <c r="Y649" s="236"/>
      <c r="Z649" s="60"/>
      <c r="AA649" s="60"/>
      <c r="AB649" s="236"/>
      <c r="AC649" s="60"/>
      <c r="AD649" s="60"/>
      <c r="AE649" s="236"/>
      <c r="AF649" s="236"/>
      <c r="AG649" s="60"/>
      <c r="AH649" s="60"/>
      <c r="AI649" s="236"/>
      <c r="AJ649" s="236"/>
    </row>
    <row r="650">
      <c r="A650" s="61"/>
      <c r="B650" s="60"/>
      <c r="C650" s="236"/>
      <c r="D650" s="236"/>
      <c r="E650" s="60"/>
      <c r="F650" s="60"/>
      <c r="G650" s="236"/>
      <c r="H650" s="60"/>
      <c r="I650" s="60"/>
      <c r="J650" s="236"/>
      <c r="K650" s="236"/>
      <c r="L650" s="60"/>
      <c r="M650" s="60"/>
      <c r="N650" s="236"/>
      <c r="O650" s="60"/>
      <c r="P650" s="60"/>
      <c r="Q650" s="236"/>
      <c r="R650" s="236"/>
      <c r="S650" s="60"/>
      <c r="T650" s="60"/>
      <c r="U650" s="236"/>
      <c r="V650" s="60"/>
      <c r="W650" s="60"/>
      <c r="X650" s="236"/>
      <c r="Y650" s="236"/>
      <c r="Z650" s="60"/>
      <c r="AA650" s="60"/>
      <c r="AB650" s="236"/>
      <c r="AC650" s="60"/>
      <c r="AD650" s="60"/>
      <c r="AE650" s="236"/>
      <c r="AF650" s="236"/>
      <c r="AG650" s="60"/>
      <c r="AH650" s="60"/>
      <c r="AI650" s="236"/>
      <c r="AJ650" s="236"/>
    </row>
    <row r="651">
      <c r="A651" s="61"/>
      <c r="B651" s="60"/>
      <c r="C651" s="236"/>
      <c r="D651" s="236"/>
      <c r="E651" s="60"/>
      <c r="F651" s="60"/>
      <c r="G651" s="236"/>
      <c r="H651" s="60"/>
      <c r="I651" s="60"/>
      <c r="J651" s="236"/>
      <c r="K651" s="236"/>
      <c r="L651" s="60"/>
      <c r="M651" s="60"/>
      <c r="N651" s="236"/>
      <c r="O651" s="60"/>
      <c r="P651" s="60"/>
      <c r="Q651" s="236"/>
      <c r="R651" s="236"/>
      <c r="S651" s="60"/>
      <c r="T651" s="60"/>
      <c r="U651" s="236"/>
      <c r="V651" s="60"/>
      <c r="W651" s="60"/>
      <c r="X651" s="236"/>
      <c r="Y651" s="236"/>
      <c r="Z651" s="60"/>
      <c r="AA651" s="60"/>
      <c r="AB651" s="236"/>
      <c r="AC651" s="60"/>
      <c r="AD651" s="60"/>
      <c r="AE651" s="236"/>
      <c r="AF651" s="236"/>
      <c r="AG651" s="60"/>
      <c r="AH651" s="60"/>
      <c r="AI651" s="236"/>
      <c r="AJ651" s="236"/>
    </row>
    <row r="652">
      <c r="A652" s="61"/>
      <c r="B652" s="60"/>
      <c r="C652" s="236"/>
      <c r="D652" s="236"/>
      <c r="E652" s="60"/>
      <c r="F652" s="60"/>
      <c r="G652" s="236"/>
      <c r="H652" s="60"/>
      <c r="I652" s="60"/>
      <c r="J652" s="236"/>
      <c r="K652" s="236"/>
      <c r="L652" s="60"/>
      <c r="M652" s="60"/>
      <c r="N652" s="236"/>
      <c r="O652" s="60"/>
      <c r="P652" s="60"/>
      <c r="Q652" s="236"/>
      <c r="R652" s="236"/>
      <c r="S652" s="60"/>
      <c r="T652" s="60"/>
      <c r="U652" s="236"/>
      <c r="V652" s="60"/>
      <c r="W652" s="60"/>
      <c r="X652" s="236"/>
      <c r="Y652" s="236"/>
      <c r="Z652" s="60"/>
      <c r="AA652" s="60"/>
      <c r="AB652" s="236"/>
      <c r="AC652" s="60"/>
      <c r="AD652" s="60"/>
      <c r="AE652" s="236"/>
      <c r="AF652" s="236"/>
      <c r="AG652" s="60"/>
      <c r="AH652" s="60"/>
      <c r="AI652" s="236"/>
      <c r="AJ652" s="236"/>
    </row>
    <row r="653">
      <c r="A653" s="61"/>
      <c r="B653" s="60"/>
      <c r="C653" s="236"/>
      <c r="D653" s="236"/>
      <c r="E653" s="60"/>
      <c r="F653" s="60"/>
      <c r="G653" s="236"/>
      <c r="H653" s="60"/>
      <c r="I653" s="60"/>
      <c r="J653" s="236"/>
      <c r="K653" s="236"/>
      <c r="L653" s="60"/>
      <c r="M653" s="60"/>
      <c r="N653" s="236"/>
      <c r="O653" s="60"/>
      <c r="P653" s="60"/>
      <c r="Q653" s="236"/>
      <c r="R653" s="236"/>
      <c r="S653" s="60"/>
      <c r="T653" s="60"/>
      <c r="U653" s="236"/>
      <c r="V653" s="60"/>
      <c r="W653" s="60"/>
      <c r="X653" s="236"/>
      <c r="Y653" s="236"/>
      <c r="Z653" s="60"/>
      <c r="AA653" s="60"/>
      <c r="AB653" s="236"/>
      <c r="AC653" s="60"/>
      <c r="AD653" s="60"/>
      <c r="AE653" s="236"/>
      <c r="AF653" s="236"/>
      <c r="AG653" s="60"/>
      <c r="AH653" s="60"/>
      <c r="AI653" s="236"/>
      <c r="AJ653" s="236"/>
    </row>
    <row r="654">
      <c r="A654" s="61"/>
      <c r="B654" s="60"/>
      <c r="C654" s="236"/>
      <c r="D654" s="236"/>
      <c r="E654" s="60"/>
      <c r="F654" s="60"/>
      <c r="G654" s="236"/>
      <c r="H654" s="60"/>
      <c r="I654" s="60"/>
      <c r="J654" s="236"/>
      <c r="K654" s="236"/>
      <c r="L654" s="60"/>
      <c r="M654" s="60"/>
      <c r="N654" s="236"/>
      <c r="O654" s="60"/>
      <c r="P654" s="60"/>
      <c r="Q654" s="236"/>
      <c r="R654" s="236"/>
      <c r="S654" s="60"/>
      <c r="T654" s="60"/>
      <c r="U654" s="236"/>
      <c r="V654" s="60"/>
      <c r="W654" s="60"/>
      <c r="X654" s="236"/>
      <c r="Y654" s="236"/>
      <c r="Z654" s="60"/>
      <c r="AA654" s="60"/>
      <c r="AB654" s="236"/>
      <c r="AC654" s="60"/>
      <c r="AD654" s="60"/>
      <c r="AE654" s="236"/>
      <c r="AF654" s="236"/>
      <c r="AG654" s="60"/>
      <c r="AH654" s="60"/>
      <c r="AI654" s="236"/>
      <c r="AJ654" s="236"/>
    </row>
    <row r="655">
      <c r="A655" s="61"/>
      <c r="B655" s="60"/>
      <c r="C655" s="236"/>
      <c r="D655" s="236"/>
      <c r="E655" s="60"/>
      <c r="F655" s="60"/>
      <c r="G655" s="236"/>
      <c r="H655" s="60"/>
      <c r="I655" s="60"/>
      <c r="J655" s="236"/>
      <c r="K655" s="236"/>
      <c r="L655" s="60"/>
      <c r="M655" s="60"/>
      <c r="N655" s="236"/>
      <c r="O655" s="60"/>
      <c r="P655" s="60"/>
      <c r="Q655" s="236"/>
      <c r="R655" s="236"/>
      <c r="S655" s="60"/>
      <c r="T655" s="60"/>
      <c r="U655" s="236"/>
      <c r="V655" s="60"/>
      <c r="W655" s="60"/>
      <c r="X655" s="236"/>
      <c r="Y655" s="236"/>
      <c r="Z655" s="60"/>
      <c r="AA655" s="60"/>
      <c r="AB655" s="236"/>
      <c r="AC655" s="60"/>
      <c r="AD655" s="60"/>
      <c r="AE655" s="236"/>
      <c r="AF655" s="236"/>
      <c r="AG655" s="60"/>
      <c r="AH655" s="60"/>
      <c r="AI655" s="236"/>
      <c r="AJ655" s="236"/>
    </row>
    <row r="656">
      <c r="A656" s="61"/>
      <c r="B656" s="60"/>
      <c r="C656" s="236"/>
      <c r="D656" s="236"/>
      <c r="E656" s="60"/>
      <c r="F656" s="60"/>
      <c r="G656" s="236"/>
      <c r="H656" s="60"/>
      <c r="I656" s="60"/>
      <c r="J656" s="236"/>
      <c r="K656" s="236"/>
      <c r="L656" s="60"/>
      <c r="M656" s="60"/>
      <c r="N656" s="236"/>
      <c r="O656" s="60"/>
      <c r="P656" s="60"/>
      <c r="Q656" s="236"/>
      <c r="R656" s="236"/>
      <c r="S656" s="60"/>
      <c r="T656" s="60"/>
      <c r="U656" s="236"/>
      <c r="V656" s="60"/>
      <c r="W656" s="60"/>
      <c r="X656" s="236"/>
      <c r="Y656" s="236"/>
      <c r="Z656" s="60"/>
      <c r="AA656" s="60"/>
      <c r="AB656" s="236"/>
      <c r="AC656" s="60"/>
      <c r="AD656" s="60"/>
      <c r="AE656" s="236"/>
      <c r="AF656" s="236"/>
      <c r="AG656" s="60"/>
      <c r="AH656" s="60"/>
      <c r="AI656" s="236"/>
      <c r="AJ656" s="236"/>
    </row>
    <row r="657">
      <c r="A657" s="61"/>
      <c r="B657" s="60"/>
      <c r="C657" s="236"/>
      <c r="D657" s="236"/>
      <c r="E657" s="60"/>
      <c r="F657" s="60"/>
      <c r="G657" s="236"/>
      <c r="H657" s="60"/>
      <c r="I657" s="60"/>
      <c r="J657" s="236"/>
      <c r="K657" s="236"/>
      <c r="L657" s="60"/>
      <c r="M657" s="60"/>
      <c r="N657" s="236"/>
      <c r="O657" s="60"/>
      <c r="P657" s="60"/>
      <c r="Q657" s="236"/>
      <c r="R657" s="236"/>
      <c r="S657" s="60"/>
      <c r="T657" s="60"/>
      <c r="U657" s="236"/>
      <c r="V657" s="60"/>
      <c r="W657" s="60"/>
      <c r="X657" s="236"/>
      <c r="Y657" s="236"/>
      <c r="Z657" s="60"/>
      <c r="AA657" s="60"/>
      <c r="AB657" s="236"/>
      <c r="AC657" s="60"/>
      <c r="AD657" s="60"/>
      <c r="AE657" s="236"/>
      <c r="AF657" s="236"/>
      <c r="AG657" s="60"/>
      <c r="AH657" s="60"/>
      <c r="AI657" s="236"/>
      <c r="AJ657" s="236"/>
    </row>
    <row r="658">
      <c r="A658" s="61"/>
      <c r="B658" s="60"/>
      <c r="C658" s="236"/>
      <c r="D658" s="236"/>
      <c r="E658" s="60"/>
      <c r="F658" s="60"/>
      <c r="G658" s="236"/>
      <c r="H658" s="60"/>
      <c r="I658" s="60"/>
      <c r="J658" s="236"/>
      <c r="K658" s="236"/>
      <c r="L658" s="60"/>
      <c r="M658" s="60"/>
      <c r="N658" s="236"/>
      <c r="O658" s="60"/>
      <c r="P658" s="60"/>
      <c r="Q658" s="236"/>
      <c r="R658" s="236"/>
      <c r="S658" s="60"/>
      <c r="T658" s="60"/>
      <c r="U658" s="236"/>
      <c r="V658" s="60"/>
      <c r="W658" s="60"/>
      <c r="X658" s="236"/>
      <c r="Y658" s="236"/>
      <c r="Z658" s="60"/>
      <c r="AA658" s="60"/>
      <c r="AB658" s="236"/>
      <c r="AC658" s="60"/>
      <c r="AD658" s="60"/>
      <c r="AE658" s="236"/>
      <c r="AF658" s="236"/>
      <c r="AG658" s="60"/>
      <c r="AH658" s="60"/>
      <c r="AI658" s="236"/>
      <c r="AJ658" s="236"/>
    </row>
    <row r="659">
      <c r="A659" s="61"/>
      <c r="B659" s="60"/>
      <c r="C659" s="236"/>
      <c r="D659" s="236"/>
      <c r="E659" s="60"/>
      <c r="F659" s="60"/>
      <c r="G659" s="236"/>
      <c r="H659" s="60"/>
      <c r="I659" s="60"/>
      <c r="J659" s="236"/>
      <c r="K659" s="236"/>
      <c r="L659" s="60"/>
      <c r="M659" s="60"/>
      <c r="N659" s="236"/>
      <c r="O659" s="60"/>
      <c r="P659" s="60"/>
      <c r="Q659" s="236"/>
      <c r="R659" s="236"/>
      <c r="S659" s="60"/>
      <c r="T659" s="60"/>
      <c r="U659" s="236"/>
      <c r="V659" s="60"/>
      <c r="W659" s="60"/>
      <c r="X659" s="236"/>
      <c r="Y659" s="236"/>
      <c r="Z659" s="60"/>
      <c r="AA659" s="60"/>
      <c r="AB659" s="236"/>
      <c r="AC659" s="60"/>
      <c r="AD659" s="60"/>
      <c r="AE659" s="236"/>
      <c r="AF659" s="236"/>
      <c r="AG659" s="60"/>
      <c r="AH659" s="60"/>
      <c r="AI659" s="236"/>
      <c r="AJ659" s="236"/>
    </row>
    <row r="660">
      <c r="A660" s="61"/>
      <c r="B660" s="60"/>
      <c r="C660" s="236"/>
      <c r="D660" s="236"/>
      <c r="E660" s="60"/>
      <c r="F660" s="60"/>
      <c r="G660" s="236"/>
      <c r="H660" s="60"/>
      <c r="I660" s="60"/>
      <c r="J660" s="236"/>
      <c r="K660" s="236"/>
      <c r="L660" s="60"/>
      <c r="M660" s="60"/>
      <c r="N660" s="236"/>
      <c r="O660" s="60"/>
      <c r="P660" s="60"/>
      <c r="Q660" s="236"/>
      <c r="R660" s="236"/>
      <c r="S660" s="60"/>
      <c r="T660" s="60"/>
      <c r="U660" s="236"/>
      <c r="V660" s="60"/>
      <c r="W660" s="60"/>
      <c r="X660" s="236"/>
      <c r="Y660" s="236"/>
      <c r="Z660" s="60"/>
      <c r="AA660" s="60"/>
      <c r="AB660" s="236"/>
      <c r="AC660" s="60"/>
      <c r="AD660" s="60"/>
      <c r="AE660" s="236"/>
      <c r="AF660" s="236"/>
      <c r="AG660" s="60"/>
      <c r="AH660" s="60"/>
      <c r="AI660" s="236"/>
      <c r="AJ660" s="236"/>
    </row>
    <row r="661">
      <c r="A661" s="61"/>
      <c r="B661" s="60"/>
      <c r="C661" s="236"/>
      <c r="D661" s="236"/>
      <c r="E661" s="60"/>
      <c r="F661" s="60"/>
      <c r="G661" s="236"/>
      <c r="H661" s="60"/>
      <c r="I661" s="60"/>
      <c r="J661" s="236"/>
      <c r="K661" s="236"/>
      <c r="L661" s="60"/>
      <c r="M661" s="60"/>
      <c r="N661" s="236"/>
      <c r="O661" s="60"/>
      <c r="P661" s="60"/>
      <c r="Q661" s="236"/>
      <c r="R661" s="236"/>
      <c r="S661" s="60"/>
      <c r="T661" s="60"/>
      <c r="U661" s="236"/>
      <c r="V661" s="60"/>
      <c r="W661" s="60"/>
      <c r="X661" s="236"/>
      <c r="Y661" s="236"/>
      <c r="Z661" s="60"/>
      <c r="AA661" s="60"/>
      <c r="AB661" s="236"/>
      <c r="AC661" s="60"/>
      <c r="AD661" s="60"/>
      <c r="AE661" s="236"/>
      <c r="AF661" s="236"/>
      <c r="AG661" s="60"/>
      <c r="AH661" s="60"/>
      <c r="AI661" s="236"/>
      <c r="AJ661" s="236"/>
    </row>
    <row r="662">
      <c r="A662" s="61"/>
      <c r="B662" s="60"/>
      <c r="C662" s="236"/>
      <c r="D662" s="236"/>
      <c r="E662" s="60"/>
      <c r="F662" s="60"/>
      <c r="G662" s="236"/>
      <c r="H662" s="60"/>
      <c r="I662" s="60"/>
      <c r="J662" s="236"/>
      <c r="K662" s="236"/>
      <c r="L662" s="60"/>
      <c r="M662" s="60"/>
      <c r="N662" s="236"/>
      <c r="O662" s="60"/>
      <c r="P662" s="60"/>
      <c r="Q662" s="236"/>
      <c r="R662" s="236"/>
      <c r="S662" s="60"/>
      <c r="T662" s="60"/>
      <c r="U662" s="236"/>
      <c r="V662" s="60"/>
      <c r="W662" s="60"/>
      <c r="X662" s="236"/>
      <c r="Y662" s="236"/>
      <c r="Z662" s="60"/>
      <c r="AA662" s="60"/>
      <c r="AB662" s="236"/>
      <c r="AC662" s="60"/>
      <c r="AD662" s="60"/>
      <c r="AE662" s="236"/>
      <c r="AF662" s="236"/>
      <c r="AG662" s="60"/>
      <c r="AH662" s="60"/>
      <c r="AI662" s="236"/>
      <c r="AJ662" s="236"/>
    </row>
    <row r="663">
      <c r="A663" s="61"/>
      <c r="B663" s="60"/>
      <c r="C663" s="236"/>
      <c r="D663" s="236"/>
      <c r="E663" s="60"/>
      <c r="F663" s="60"/>
      <c r="G663" s="236"/>
      <c r="H663" s="60"/>
      <c r="I663" s="60"/>
      <c r="J663" s="236"/>
      <c r="K663" s="236"/>
      <c r="L663" s="60"/>
      <c r="M663" s="60"/>
      <c r="N663" s="236"/>
      <c r="O663" s="60"/>
      <c r="P663" s="60"/>
      <c r="Q663" s="236"/>
      <c r="R663" s="236"/>
      <c r="S663" s="60"/>
      <c r="T663" s="60"/>
      <c r="U663" s="236"/>
      <c r="V663" s="60"/>
      <c r="W663" s="60"/>
      <c r="X663" s="236"/>
      <c r="Y663" s="236"/>
      <c r="Z663" s="60"/>
      <c r="AA663" s="60"/>
      <c r="AB663" s="236"/>
      <c r="AC663" s="60"/>
      <c r="AD663" s="60"/>
      <c r="AE663" s="236"/>
      <c r="AF663" s="236"/>
      <c r="AG663" s="60"/>
      <c r="AH663" s="60"/>
      <c r="AI663" s="236"/>
      <c r="AJ663" s="236"/>
    </row>
    <row r="664">
      <c r="A664" s="61"/>
      <c r="B664" s="60"/>
      <c r="C664" s="236"/>
      <c r="D664" s="236"/>
      <c r="E664" s="60"/>
      <c r="F664" s="60"/>
      <c r="G664" s="236"/>
      <c r="H664" s="60"/>
      <c r="I664" s="60"/>
      <c r="J664" s="236"/>
      <c r="K664" s="236"/>
      <c r="L664" s="60"/>
      <c r="M664" s="60"/>
      <c r="N664" s="236"/>
      <c r="O664" s="60"/>
      <c r="P664" s="60"/>
      <c r="Q664" s="236"/>
      <c r="R664" s="236"/>
      <c r="S664" s="60"/>
      <c r="T664" s="60"/>
      <c r="U664" s="236"/>
      <c r="V664" s="60"/>
      <c r="W664" s="60"/>
      <c r="X664" s="236"/>
      <c r="Y664" s="236"/>
      <c r="Z664" s="60"/>
      <c r="AA664" s="60"/>
      <c r="AB664" s="236"/>
      <c r="AC664" s="60"/>
      <c r="AD664" s="60"/>
      <c r="AE664" s="236"/>
      <c r="AF664" s="236"/>
      <c r="AG664" s="60"/>
      <c r="AH664" s="60"/>
      <c r="AI664" s="236"/>
      <c r="AJ664" s="236"/>
    </row>
    <row r="665">
      <c r="A665" s="61"/>
      <c r="B665" s="60"/>
      <c r="C665" s="236"/>
      <c r="D665" s="236"/>
      <c r="E665" s="60"/>
      <c r="F665" s="60"/>
      <c r="G665" s="236"/>
      <c r="H665" s="60"/>
      <c r="I665" s="60"/>
      <c r="J665" s="236"/>
      <c r="K665" s="236"/>
      <c r="L665" s="60"/>
      <c r="M665" s="60"/>
      <c r="N665" s="236"/>
      <c r="O665" s="60"/>
      <c r="P665" s="60"/>
      <c r="Q665" s="236"/>
      <c r="R665" s="236"/>
      <c r="S665" s="60"/>
      <c r="T665" s="60"/>
      <c r="U665" s="236"/>
      <c r="V665" s="60"/>
      <c r="W665" s="60"/>
      <c r="X665" s="236"/>
      <c r="Y665" s="236"/>
      <c r="Z665" s="60"/>
      <c r="AA665" s="60"/>
      <c r="AB665" s="236"/>
      <c r="AC665" s="60"/>
      <c r="AD665" s="60"/>
      <c r="AE665" s="236"/>
      <c r="AF665" s="236"/>
      <c r="AG665" s="60"/>
      <c r="AH665" s="60"/>
      <c r="AI665" s="236"/>
      <c r="AJ665" s="236"/>
    </row>
    <row r="666">
      <c r="A666" s="61"/>
      <c r="B666" s="60"/>
      <c r="C666" s="236"/>
      <c r="D666" s="236"/>
      <c r="E666" s="60"/>
      <c r="F666" s="60"/>
      <c r="G666" s="236"/>
      <c r="H666" s="60"/>
      <c r="I666" s="60"/>
      <c r="J666" s="236"/>
      <c r="K666" s="236"/>
      <c r="L666" s="60"/>
      <c r="M666" s="60"/>
      <c r="N666" s="236"/>
      <c r="O666" s="60"/>
      <c r="P666" s="60"/>
      <c r="Q666" s="236"/>
      <c r="R666" s="236"/>
      <c r="S666" s="60"/>
      <c r="T666" s="60"/>
      <c r="U666" s="236"/>
      <c r="V666" s="60"/>
      <c r="W666" s="60"/>
      <c r="X666" s="236"/>
      <c r="Y666" s="236"/>
      <c r="Z666" s="60"/>
      <c r="AA666" s="60"/>
      <c r="AB666" s="236"/>
      <c r="AC666" s="60"/>
      <c r="AD666" s="60"/>
      <c r="AE666" s="236"/>
      <c r="AF666" s="236"/>
      <c r="AG666" s="60"/>
      <c r="AH666" s="60"/>
      <c r="AI666" s="236"/>
      <c r="AJ666" s="236"/>
    </row>
    <row r="667">
      <c r="A667" s="61"/>
      <c r="B667" s="60"/>
      <c r="C667" s="236"/>
      <c r="D667" s="236"/>
      <c r="E667" s="60"/>
      <c r="F667" s="60"/>
      <c r="G667" s="236"/>
      <c r="H667" s="60"/>
      <c r="I667" s="60"/>
      <c r="J667" s="236"/>
      <c r="K667" s="236"/>
      <c r="L667" s="60"/>
      <c r="M667" s="60"/>
      <c r="N667" s="236"/>
      <c r="O667" s="60"/>
      <c r="P667" s="60"/>
      <c r="Q667" s="236"/>
      <c r="R667" s="236"/>
      <c r="S667" s="60"/>
      <c r="T667" s="60"/>
      <c r="U667" s="236"/>
      <c r="V667" s="60"/>
      <c r="W667" s="60"/>
      <c r="X667" s="236"/>
      <c r="Y667" s="236"/>
      <c r="Z667" s="60"/>
      <c r="AA667" s="60"/>
      <c r="AB667" s="236"/>
      <c r="AC667" s="60"/>
      <c r="AD667" s="60"/>
      <c r="AE667" s="236"/>
      <c r="AF667" s="236"/>
      <c r="AG667" s="60"/>
      <c r="AH667" s="60"/>
      <c r="AI667" s="236"/>
      <c r="AJ667" s="236"/>
    </row>
    <row r="668">
      <c r="A668" s="61"/>
      <c r="B668" s="60"/>
      <c r="C668" s="236"/>
      <c r="D668" s="236"/>
      <c r="E668" s="60"/>
      <c r="F668" s="60"/>
      <c r="G668" s="236"/>
      <c r="H668" s="60"/>
      <c r="I668" s="60"/>
      <c r="J668" s="236"/>
      <c r="K668" s="236"/>
      <c r="L668" s="60"/>
      <c r="M668" s="60"/>
      <c r="N668" s="236"/>
      <c r="O668" s="60"/>
      <c r="P668" s="60"/>
      <c r="Q668" s="236"/>
      <c r="R668" s="236"/>
      <c r="S668" s="60"/>
      <c r="T668" s="60"/>
      <c r="U668" s="236"/>
      <c r="V668" s="60"/>
      <c r="W668" s="60"/>
      <c r="X668" s="236"/>
      <c r="Y668" s="236"/>
      <c r="Z668" s="60"/>
      <c r="AA668" s="60"/>
      <c r="AB668" s="236"/>
      <c r="AC668" s="60"/>
      <c r="AD668" s="60"/>
      <c r="AE668" s="236"/>
      <c r="AF668" s="236"/>
      <c r="AG668" s="60"/>
      <c r="AH668" s="60"/>
      <c r="AI668" s="236"/>
      <c r="AJ668" s="236"/>
    </row>
    <row r="669">
      <c r="A669" s="61"/>
      <c r="B669" s="60"/>
      <c r="C669" s="236"/>
      <c r="D669" s="236"/>
      <c r="E669" s="60"/>
      <c r="F669" s="60"/>
      <c r="G669" s="236"/>
      <c r="H669" s="60"/>
      <c r="I669" s="60"/>
      <c r="J669" s="236"/>
      <c r="K669" s="236"/>
      <c r="L669" s="60"/>
      <c r="M669" s="60"/>
      <c r="N669" s="236"/>
      <c r="O669" s="60"/>
      <c r="P669" s="60"/>
      <c r="Q669" s="236"/>
      <c r="R669" s="236"/>
      <c r="S669" s="60"/>
      <c r="T669" s="60"/>
      <c r="U669" s="236"/>
      <c r="V669" s="60"/>
      <c r="W669" s="60"/>
      <c r="X669" s="236"/>
      <c r="Y669" s="236"/>
      <c r="Z669" s="60"/>
      <c r="AA669" s="60"/>
      <c r="AB669" s="236"/>
      <c r="AC669" s="60"/>
      <c r="AD669" s="60"/>
      <c r="AE669" s="236"/>
      <c r="AF669" s="236"/>
      <c r="AG669" s="60"/>
      <c r="AH669" s="60"/>
      <c r="AI669" s="236"/>
      <c r="AJ669" s="236"/>
    </row>
    <row r="670">
      <c r="A670" s="61"/>
      <c r="B670" s="60"/>
      <c r="C670" s="236"/>
      <c r="D670" s="236"/>
      <c r="E670" s="60"/>
      <c r="F670" s="60"/>
      <c r="G670" s="236"/>
      <c r="H670" s="60"/>
      <c r="I670" s="60"/>
      <c r="J670" s="236"/>
      <c r="K670" s="236"/>
      <c r="L670" s="60"/>
      <c r="M670" s="60"/>
      <c r="N670" s="236"/>
      <c r="O670" s="60"/>
      <c r="P670" s="60"/>
      <c r="Q670" s="236"/>
      <c r="R670" s="236"/>
      <c r="S670" s="60"/>
      <c r="T670" s="60"/>
      <c r="U670" s="236"/>
      <c r="V670" s="60"/>
      <c r="W670" s="60"/>
      <c r="X670" s="236"/>
      <c r="Y670" s="236"/>
      <c r="Z670" s="60"/>
      <c r="AA670" s="60"/>
      <c r="AB670" s="236"/>
      <c r="AC670" s="60"/>
      <c r="AD670" s="60"/>
      <c r="AE670" s="236"/>
      <c r="AF670" s="236"/>
      <c r="AG670" s="60"/>
      <c r="AH670" s="60"/>
      <c r="AI670" s="236"/>
      <c r="AJ670" s="236"/>
    </row>
    <row r="671">
      <c r="A671" s="61"/>
      <c r="B671" s="60"/>
      <c r="C671" s="236"/>
      <c r="D671" s="236"/>
      <c r="E671" s="60"/>
      <c r="F671" s="60"/>
      <c r="G671" s="236"/>
      <c r="H671" s="60"/>
      <c r="I671" s="60"/>
      <c r="J671" s="236"/>
      <c r="K671" s="236"/>
      <c r="L671" s="60"/>
      <c r="M671" s="60"/>
      <c r="N671" s="236"/>
      <c r="O671" s="60"/>
      <c r="P671" s="60"/>
      <c r="Q671" s="236"/>
      <c r="R671" s="236"/>
      <c r="S671" s="60"/>
      <c r="T671" s="60"/>
      <c r="U671" s="236"/>
      <c r="V671" s="60"/>
      <c r="W671" s="60"/>
      <c r="X671" s="236"/>
      <c r="Y671" s="236"/>
      <c r="Z671" s="60"/>
      <c r="AA671" s="60"/>
      <c r="AB671" s="236"/>
      <c r="AC671" s="60"/>
      <c r="AD671" s="60"/>
      <c r="AE671" s="236"/>
      <c r="AF671" s="236"/>
      <c r="AG671" s="60"/>
      <c r="AH671" s="60"/>
      <c r="AI671" s="236"/>
      <c r="AJ671" s="236"/>
    </row>
    <row r="672">
      <c r="A672" s="61"/>
      <c r="B672" s="60"/>
      <c r="C672" s="236"/>
      <c r="D672" s="236"/>
      <c r="E672" s="60"/>
      <c r="F672" s="60"/>
      <c r="G672" s="236"/>
      <c r="H672" s="60"/>
      <c r="I672" s="60"/>
      <c r="J672" s="236"/>
      <c r="K672" s="236"/>
      <c r="L672" s="60"/>
      <c r="M672" s="60"/>
      <c r="N672" s="236"/>
      <c r="O672" s="60"/>
      <c r="P672" s="60"/>
      <c r="Q672" s="236"/>
      <c r="R672" s="236"/>
      <c r="S672" s="60"/>
      <c r="T672" s="60"/>
      <c r="U672" s="236"/>
      <c r="V672" s="60"/>
      <c r="W672" s="60"/>
      <c r="X672" s="236"/>
      <c r="Y672" s="236"/>
      <c r="Z672" s="60"/>
      <c r="AA672" s="60"/>
      <c r="AB672" s="236"/>
      <c r="AC672" s="60"/>
      <c r="AD672" s="60"/>
      <c r="AE672" s="236"/>
      <c r="AF672" s="236"/>
      <c r="AG672" s="60"/>
      <c r="AH672" s="60"/>
      <c r="AI672" s="236"/>
      <c r="AJ672" s="236"/>
    </row>
    <row r="673">
      <c r="A673" s="61"/>
      <c r="B673" s="60"/>
      <c r="C673" s="236"/>
      <c r="D673" s="236"/>
      <c r="E673" s="60"/>
      <c r="F673" s="60"/>
      <c r="G673" s="236"/>
      <c r="H673" s="60"/>
      <c r="I673" s="60"/>
      <c r="J673" s="236"/>
      <c r="K673" s="236"/>
      <c r="L673" s="60"/>
      <c r="M673" s="60"/>
      <c r="N673" s="236"/>
      <c r="O673" s="60"/>
      <c r="P673" s="60"/>
      <c r="Q673" s="236"/>
      <c r="R673" s="236"/>
      <c r="S673" s="60"/>
      <c r="T673" s="60"/>
      <c r="U673" s="236"/>
      <c r="V673" s="60"/>
      <c r="W673" s="60"/>
      <c r="X673" s="236"/>
      <c r="Y673" s="236"/>
      <c r="Z673" s="60"/>
      <c r="AA673" s="60"/>
      <c r="AB673" s="236"/>
      <c r="AC673" s="60"/>
      <c r="AD673" s="60"/>
      <c r="AE673" s="236"/>
      <c r="AF673" s="236"/>
      <c r="AG673" s="60"/>
      <c r="AH673" s="60"/>
      <c r="AI673" s="236"/>
      <c r="AJ673" s="236"/>
    </row>
    <row r="674">
      <c r="A674" s="61"/>
      <c r="B674" s="60"/>
      <c r="C674" s="236"/>
      <c r="D674" s="236"/>
      <c r="E674" s="60"/>
      <c r="F674" s="60"/>
      <c r="G674" s="236"/>
      <c r="H674" s="60"/>
      <c r="I674" s="60"/>
      <c r="J674" s="236"/>
      <c r="K674" s="236"/>
      <c r="L674" s="60"/>
      <c r="M674" s="60"/>
      <c r="N674" s="236"/>
      <c r="O674" s="60"/>
      <c r="P674" s="60"/>
      <c r="Q674" s="236"/>
      <c r="R674" s="236"/>
      <c r="S674" s="60"/>
      <c r="T674" s="60"/>
      <c r="U674" s="236"/>
      <c r="V674" s="60"/>
      <c r="W674" s="60"/>
      <c r="X674" s="236"/>
      <c r="Y674" s="236"/>
      <c r="Z674" s="60"/>
      <c r="AA674" s="60"/>
      <c r="AB674" s="236"/>
      <c r="AC674" s="60"/>
      <c r="AD674" s="60"/>
      <c r="AE674" s="236"/>
      <c r="AF674" s="236"/>
      <c r="AG674" s="60"/>
      <c r="AH674" s="60"/>
      <c r="AI674" s="236"/>
      <c r="AJ674" s="236"/>
    </row>
    <row r="675">
      <c r="A675" s="61"/>
      <c r="B675" s="60"/>
      <c r="C675" s="236"/>
      <c r="D675" s="236"/>
      <c r="E675" s="60"/>
      <c r="F675" s="60"/>
      <c r="G675" s="236"/>
      <c r="H675" s="60"/>
      <c r="I675" s="60"/>
      <c r="J675" s="236"/>
      <c r="K675" s="236"/>
      <c r="L675" s="60"/>
      <c r="M675" s="60"/>
      <c r="N675" s="236"/>
      <c r="O675" s="60"/>
      <c r="P675" s="60"/>
      <c r="Q675" s="236"/>
      <c r="R675" s="236"/>
      <c r="S675" s="60"/>
      <c r="T675" s="60"/>
      <c r="U675" s="236"/>
      <c r="V675" s="60"/>
      <c r="W675" s="60"/>
      <c r="X675" s="236"/>
      <c r="Y675" s="236"/>
      <c r="Z675" s="60"/>
      <c r="AA675" s="60"/>
      <c r="AB675" s="236"/>
      <c r="AC675" s="60"/>
      <c r="AD675" s="60"/>
      <c r="AE675" s="236"/>
      <c r="AF675" s="236"/>
      <c r="AG675" s="60"/>
      <c r="AH675" s="60"/>
      <c r="AI675" s="236"/>
      <c r="AJ675" s="236"/>
    </row>
    <row r="676">
      <c r="A676" s="61"/>
      <c r="B676" s="60"/>
      <c r="C676" s="236"/>
      <c r="D676" s="236"/>
      <c r="E676" s="60"/>
      <c r="F676" s="60"/>
      <c r="G676" s="236"/>
      <c r="H676" s="60"/>
      <c r="I676" s="60"/>
      <c r="J676" s="236"/>
      <c r="K676" s="236"/>
      <c r="L676" s="60"/>
      <c r="M676" s="60"/>
      <c r="N676" s="236"/>
      <c r="O676" s="60"/>
      <c r="P676" s="60"/>
      <c r="Q676" s="236"/>
      <c r="R676" s="236"/>
      <c r="S676" s="60"/>
      <c r="T676" s="60"/>
      <c r="U676" s="236"/>
      <c r="V676" s="60"/>
      <c r="W676" s="60"/>
      <c r="X676" s="236"/>
      <c r="Y676" s="236"/>
      <c r="Z676" s="60"/>
      <c r="AA676" s="60"/>
      <c r="AB676" s="236"/>
      <c r="AC676" s="60"/>
      <c r="AD676" s="60"/>
      <c r="AE676" s="236"/>
      <c r="AF676" s="236"/>
      <c r="AG676" s="60"/>
      <c r="AH676" s="60"/>
      <c r="AI676" s="236"/>
      <c r="AJ676" s="236"/>
    </row>
    <row r="677">
      <c r="A677" s="61"/>
      <c r="B677" s="60"/>
      <c r="C677" s="236"/>
      <c r="D677" s="236"/>
      <c r="E677" s="60"/>
      <c r="F677" s="60"/>
      <c r="G677" s="236"/>
      <c r="H677" s="60"/>
      <c r="I677" s="60"/>
      <c r="J677" s="236"/>
      <c r="K677" s="236"/>
      <c r="L677" s="60"/>
      <c r="M677" s="60"/>
      <c r="N677" s="236"/>
      <c r="O677" s="60"/>
      <c r="P677" s="60"/>
      <c r="Q677" s="236"/>
      <c r="R677" s="236"/>
      <c r="S677" s="60"/>
      <c r="T677" s="60"/>
      <c r="U677" s="236"/>
      <c r="V677" s="60"/>
      <c r="W677" s="60"/>
      <c r="X677" s="236"/>
      <c r="Y677" s="236"/>
      <c r="Z677" s="60"/>
      <c r="AA677" s="60"/>
      <c r="AB677" s="236"/>
      <c r="AC677" s="60"/>
      <c r="AD677" s="60"/>
      <c r="AE677" s="236"/>
      <c r="AF677" s="236"/>
      <c r="AG677" s="60"/>
      <c r="AH677" s="60"/>
      <c r="AI677" s="236"/>
      <c r="AJ677" s="236"/>
    </row>
    <row r="678">
      <c r="A678" s="61"/>
      <c r="B678" s="60"/>
      <c r="C678" s="236"/>
      <c r="D678" s="236"/>
      <c r="E678" s="60"/>
      <c r="F678" s="60"/>
      <c r="G678" s="236"/>
      <c r="H678" s="60"/>
      <c r="I678" s="60"/>
      <c r="J678" s="236"/>
      <c r="K678" s="236"/>
      <c r="L678" s="60"/>
      <c r="M678" s="60"/>
      <c r="N678" s="236"/>
      <c r="O678" s="60"/>
      <c r="P678" s="60"/>
      <c r="Q678" s="236"/>
      <c r="R678" s="236"/>
      <c r="S678" s="60"/>
      <c r="T678" s="60"/>
      <c r="U678" s="236"/>
      <c r="V678" s="60"/>
      <c r="W678" s="60"/>
      <c r="X678" s="236"/>
      <c r="Y678" s="236"/>
      <c r="Z678" s="60"/>
      <c r="AA678" s="60"/>
      <c r="AB678" s="236"/>
      <c r="AC678" s="60"/>
      <c r="AD678" s="60"/>
      <c r="AE678" s="236"/>
      <c r="AF678" s="236"/>
      <c r="AG678" s="60"/>
      <c r="AH678" s="60"/>
      <c r="AI678" s="236"/>
      <c r="AJ678" s="236"/>
    </row>
    <row r="679">
      <c r="A679" s="61"/>
      <c r="B679" s="60"/>
      <c r="C679" s="236"/>
      <c r="D679" s="236"/>
      <c r="E679" s="60"/>
      <c r="F679" s="60"/>
      <c r="G679" s="236"/>
      <c r="H679" s="60"/>
      <c r="I679" s="60"/>
      <c r="J679" s="236"/>
      <c r="K679" s="236"/>
      <c r="L679" s="60"/>
      <c r="M679" s="60"/>
      <c r="N679" s="236"/>
      <c r="O679" s="60"/>
      <c r="P679" s="60"/>
      <c r="Q679" s="236"/>
      <c r="R679" s="236"/>
      <c r="S679" s="60"/>
      <c r="T679" s="60"/>
      <c r="U679" s="236"/>
      <c r="V679" s="60"/>
      <c r="W679" s="60"/>
      <c r="X679" s="236"/>
      <c r="Y679" s="236"/>
      <c r="Z679" s="60"/>
      <c r="AA679" s="60"/>
      <c r="AB679" s="236"/>
      <c r="AC679" s="60"/>
      <c r="AD679" s="60"/>
      <c r="AE679" s="236"/>
      <c r="AF679" s="236"/>
      <c r="AG679" s="60"/>
      <c r="AH679" s="60"/>
      <c r="AI679" s="236"/>
      <c r="AJ679" s="236"/>
    </row>
    <row r="680">
      <c r="A680" s="61"/>
      <c r="B680" s="60"/>
      <c r="C680" s="236"/>
      <c r="D680" s="236"/>
      <c r="E680" s="60"/>
      <c r="F680" s="60"/>
      <c r="G680" s="236"/>
      <c r="H680" s="60"/>
      <c r="I680" s="60"/>
      <c r="J680" s="236"/>
      <c r="K680" s="236"/>
      <c r="L680" s="60"/>
      <c r="M680" s="60"/>
      <c r="N680" s="236"/>
      <c r="O680" s="60"/>
      <c r="P680" s="60"/>
      <c r="Q680" s="236"/>
      <c r="R680" s="236"/>
      <c r="S680" s="60"/>
      <c r="T680" s="60"/>
      <c r="U680" s="236"/>
      <c r="V680" s="60"/>
      <c r="W680" s="60"/>
      <c r="X680" s="236"/>
      <c r="Y680" s="236"/>
      <c r="Z680" s="60"/>
      <c r="AA680" s="60"/>
      <c r="AB680" s="236"/>
      <c r="AC680" s="60"/>
      <c r="AD680" s="60"/>
      <c r="AE680" s="236"/>
      <c r="AF680" s="236"/>
      <c r="AG680" s="60"/>
      <c r="AH680" s="60"/>
      <c r="AI680" s="236"/>
      <c r="AJ680" s="236"/>
    </row>
    <row r="681">
      <c r="A681" s="61"/>
      <c r="B681" s="60"/>
      <c r="C681" s="236"/>
      <c r="D681" s="236"/>
      <c r="E681" s="60"/>
      <c r="F681" s="60"/>
      <c r="G681" s="236"/>
      <c r="H681" s="60"/>
      <c r="I681" s="60"/>
      <c r="J681" s="236"/>
      <c r="K681" s="236"/>
      <c r="L681" s="60"/>
      <c r="M681" s="60"/>
      <c r="N681" s="236"/>
      <c r="O681" s="60"/>
      <c r="P681" s="60"/>
      <c r="Q681" s="236"/>
      <c r="R681" s="236"/>
      <c r="S681" s="60"/>
      <c r="T681" s="60"/>
      <c r="U681" s="236"/>
      <c r="V681" s="60"/>
      <c r="W681" s="60"/>
      <c r="X681" s="236"/>
      <c r="Y681" s="236"/>
      <c r="Z681" s="60"/>
      <c r="AA681" s="60"/>
      <c r="AB681" s="236"/>
      <c r="AC681" s="60"/>
      <c r="AD681" s="60"/>
      <c r="AE681" s="236"/>
      <c r="AF681" s="236"/>
      <c r="AG681" s="60"/>
      <c r="AH681" s="60"/>
      <c r="AI681" s="236"/>
      <c r="AJ681" s="236"/>
    </row>
    <row r="682">
      <c r="A682" s="61"/>
      <c r="B682" s="60"/>
      <c r="C682" s="236"/>
      <c r="D682" s="236"/>
      <c r="E682" s="60"/>
      <c r="F682" s="60"/>
      <c r="G682" s="236"/>
      <c r="H682" s="60"/>
      <c r="I682" s="60"/>
      <c r="J682" s="236"/>
      <c r="K682" s="236"/>
      <c r="L682" s="60"/>
      <c r="M682" s="60"/>
      <c r="N682" s="236"/>
      <c r="O682" s="60"/>
      <c r="P682" s="60"/>
      <c r="Q682" s="236"/>
      <c r="R682" s="236"/>
      <c r="S682" s="60"/>
      <c r="T682" s="60"/>
      <c r="U682" s="236"/>
      <c r="V682" s="60"/>
      <c r="W682" s="60"/>
      <c r="X682" s="236"/>
      <c r="Y682" s="236"/>
      <c r="Z682" s="60"/>
      <c r="AA682" s="60"/>
      <c r="AB682" s="236"/>
      <c r="AC682" s="60"/>
      <c r="AD682" s="60"/>
      <c r="AE682" s="236"/>
      <c r="AF682" s="236"/>
      <c r="AG682" s="60"/>
      <c r="AH682" s="60"/>
      <c r="AI682" s="236"/>
      <c r="AJ682" s="236"/>
    </row>
    <row r="683">
      <c r="A683" s="61"/>
      <c r="B683" s="60"/>
      <c r="C683" s="236"/>
      <c r="D683" s="236"/>
      <c r="E683" s="60"/>
      <c r="F683" s="60"/>
      <c r="G683" s="236"/>
      <c r="H683" s="60"/>
      <c r="I683" s="60"/>
      <c r="J683" s="236"/>
      <c r="K683" s="236"/>
      <c r="L683" s="60"/>
      <c r="M683" s="60"/>
      <c r="N683" s="236"/>
      <c r="O683" s="60"/>
      <c r="P683" s="60"/>
      <c r="Q683" s="236"/>
      <c r="R683" s="236"/>
      <c r="S683" s="60"/>
      <c r="T683" s="60"/>
      <c r="U683" s="236"/>
      <c r="V683" s="60"/>
      <c r="W683" s="60"/>
      <c r="X683" s="236"/>
      <c r="Y683" s="236"/>
      <c r="Z683" s="60"/>
      <c r="AA683" s="60"/>
      <c r="AB683" s="236"/>
      <c r="AC683" s="60"/>
      <c r="AD683" s="60"/>
      <c r="AE683" s="236"/>
      <c r="AF683" s="236"/>
      <c r="AG683" s="60"/>
      <c r="AH683" s="60"/>
      <c r="AI683" s="236"/>
      <c r="AJ683" s="236"/>
    </row>
    <row r="684">
      <c r="A684" s="61"/>
      <c r="B684" s="60"/>
      <c r="C684" s="236"/>
      <c r="D684" s="236"/>
      <c r="E684" s="60"/>
      <c r="F684" s="60"/>
      <c r="G684" s="236"/>
      <c r="H684" s="60"/>
      <c r="I684" s="60"/>
      <c r="J684" s="236"/>
      <c r="K684" s="236"/>
      <c r="L684" s="60"/>
      <c r="M684" s="60"/>
      <c r="N684" s="236"/>
      <c r="O684" s="60"/>
      <c r="P684" s="60"/>
      <c r="Q684" s="236"/>
      <c r="R684" s="236"/>
      <c r="S684" s="60"/>
      <c r="T684" s="60"/>
      <c r="U684" s="236"/>
      <c r="V684" s="60"/>
      <c r="W684" s="60"/>
      <c r="X684" s="236"/>
      <c r="Y684" s="236"/>
      <c r="Z684" s="60"/>
      <c r="AA684" s="60"/>
      <c r="AB684" s="236"/>
      <c r="AC684" s="60"/>
      <c r="AD684" s="60"/>
      <c r="AE684" s="236"/>
      <c r="AF684" s="236"/>
      <c r="AG684" s="60"/>
      <c r="AH684" s="60"/>
      <c r="AI684" s="236"/>
      <c r="AJ684" s="236"/>
    </row>
    <row r="685">
      <c r="A685" s="61"/>
      <c r="B685" s="60"/>
      <c r="C685" s="236"/>
      <c r="D685" s="236"/>
      <c r="E685" s="60"/>
      <c r="F685" s="60"/>
      <c r="G685" s="236"/>
      <c r="H685" s="60"/>
      <c r="I685" s="60"/>
      <c r="J685" s="236"/>
      <c r="K685" s="236"/>
      <c r="L685" s="60"/>
      <c r="M685" s="60"/>
      <c r="N685" s="236"/>
      <c r="O685" s="60"/>
      <c r="P685" s="60"/>
      <c r="Q685" s="236"/>
      <c r="R685" s="236"/>
      <c r="S685" s="60"/>
      <c r="T685" s="60"/>
      <c r="U685" s="236"/>
      <c r="V685" s="60"/>
      <c r="W685" s="60"/>
      <c r="X685" s="236"/>
      <c r="Y685" s="236"/>
      <c r="Z685" s="60"/>
      <c r="AA685" s="60"/>
      <c r="AB685" s="236"/>
      <c r="AC685" s="60"/>
      <c r="AD685" s="60"/>
      <c r="AE685" s="236"/>
      <c r="AF685" s="236"/>
      <c r="AG685" s="60"/>
      <c r="AH685" s="60"/>
      <c r="AI685" s="236"/>
      <c r="AJ685" s="236"/>
    </row>
    <row r="686">
      <c r="A686" s="61"/>
      <c r="B686" s="60"/>
      <c r="C686" s="236"/>
      <c r="D686" s="236"/>
      <c r="E686" s="60"/>
      <c r="F686" s="60"/>
      <c r="G686" s="236"/>
      <c r="H686" s="60"/>
      <c r="I686" s="60"/>
      <c r="J686" s="236"/>
      <c r="K686" s="236"/>
      <c r="L686" s="60"/>
      <c r="M686" s="60"/>
      <c r="N686" s="236"/>
      <c r="O686" s="60"/>
      <c r="P686" s="60"/>
      <c r="Q686" s="236"/>
      <c r="R686" s="236"/>
      <c r="S686" s="60"/>
      <c r="T686" s="60"/>
      <c r="U686" s="236"/>
      <c r="V686" s="60"/>
      <c r="W686" s="60"/>
      <c r="X686" s="236"/>
      <c r="Y686" s="236"/>
      <c r="Z686" s="60"/>
      <c r="AA686" s="60"/>
      <c r="AB686" s="236"/>
      <c r="AC686" s="60"/>
      <c r="AD686" s="60"/>
      <c r="AE686" s="236"/>
      <c r="AF686" s="236"/>
      <c r="AG686" s="60"/>
      <c r="AH686" s="60"/>
      <c r="AI686" s="236"/>
      <c r="AJ686" s="236"/>
    </row>
    <row r="687">
      <c r="A687" s="61"/>
      <c r="B687" s="60"/>
      <c r="C687" s="236"/>
      <c r="D687" s="236"/>
      <c r="E687" s="60"/>
      <c r="F687" s="60"/>
      <c r="G687" s="236"/>
      <c r="H687" s="60"/>
      <c r="I687" s="60"/>
      <c r="J687" s="236"/>
      <c r="K687" s="236"/>
      <c r="L687" s="60"/>
      <c r="M687" s="60"/>
      <c r="N687" s="236"/>
      <c r="O687" s="60"/>
      <c r="P687" s="60"/>
      <c r="Q687" s="236"/>
      <c r="R687" s="236"/>
      <c r="S687" s="60"/>
      <c r="T687" s="60"/>
      <c r="U687" s="236"/>
      <c r="V687" s="60"/>
      <c r="W687" s="60"/>
      <c r="X687" s="236"/>
      <c r="Y687" s="236"/>
      <c r="Z687" s="60"/>
      <c r="AA687" s="60"/>
      <c r="AB687" s="236"/>
      <c r="AC687" s="60"/>
      <c r="AD687" s="60"/>
      <c r="AE687" s="236"/>
      <c r="AF687" s="236"/>
      <c r="AG687" s="60"/>
      <c r="AH687" s="60"/>
      <c r="AI687" s="236"/>
      <c r="AJ687" s="236"/>
    </row>
    <row r="688">
      <c r="A688" s="61"/>
      <c r="B688" s="60"/>
      <c r="C688" s="236"/>
      <c r="D688" s="236"/>
      <c r="E688" s="60"/>
      <c r="F688" s="60"/>
      <c r="G688" s="236"/>
      <c r="H688" s="60"/>
      <c r="I688" s="60"/>
      <c r="J688" s="236"/>
      <c r="K688" s="236"/>
      <c r="L688" s="60"/>
      <c r="M688" s="60"/>
      <c r="N688" s="236"/>
      <c r="O688" s="60"/>
      <c r="P688" s="60"/>
      <c r="Q688" s="236"/>
      <c r="R688" s="236"/>
      <c r="S688" s="60"/>
      <c r="T688" s="60"/>
      <c r="U688" s="236"/>
      <c r="V688" s="60"/>
      <c r="W688" s="60"/>
      <c r="X688" s="236"/>
      <c r="Y688" s="236"/>
      <c r="Z688" s="60"/>
      <c r="AA688" s="60"/>
      <c r="AB688" s="236"/>
      <c r="AC688" s="60"/>
      <c r="AD688" s="60"/>
      <c r="AE688" s="236"/>
      <c r="AF688" s="236"/>
      <c r="AG688" s="60"/>
      <c r="AH688" s="60"/>
      <c r="AI688" s="236"/>
      <c r="AJ688" s="236"/>
    </row>
    <row r="689">
      <c r="A689" s="61"/>
      <c r="B689" s="60"/>
      <c r="C689" s="236"/>
      <c r="D689" s="236"/>
      <c r="E689" s="60"/>
      <c r="F689" s="60"/>
      <c r="G689" s="236"/>
      <c r="H689" s="60"/>
      <c r="I689" s="60"/>
      <c r="J689" s="236"/>
      <c r="K689" s="236"/>
      <c r="L689" s="60"/>
      <c r="M689" s="60"/>
      <c r="N689" s="236"/>
      <c r="O689" s="60"/>
      <c r="P689" s="60"/>
      <c r="Q689" s="236"/>
      <c r="R689" s="236"/>
      <c r="S689" s="60"/>
      <c r="T689" s="60"/>
      <c r="U689" s="236"/>
      <c r="V689" s="60"/>
      <c r="W689" s="60"/>
      <c r="X689" s="236"/>
      <c r="Y689" s="236"/>
      <c r="Z689" s="60"/>
      <c r="AA689" s="60"/>
      <c r="AB689" s="236"/>
      <c r="AC689" s="60"/>
      <c r="AD689" s="60"/>
      <c r="AE689" s="236"/>
      <c r="AF689" s="236"/>
      <c r="AG689" s="60"/>
      <c r="AH689" s="60"/>
      <c r="AI689" s="236"/>
      <c r="AJ689" s="236"/>
    </row>
    <row r="690">
      <c r="A690" s="61"/>
      <c r="B690" s="60"/>
      <c r="C690" s="236"/>
      <c r="D690" s="236"/>
      <c r="E690" s="60"/>
      <c r="F690" s="60"/>
      <c r="G690" s="236"/>
      <c r="H690" s="60"/>
      <c r="I690" s="60"/>
      <c r="J690" s="236"/>
      <c r="K690" s="236"/>
      <c r="L690" s="60"/>
      <c r="M690" s="60"/>
      <c r="N690" s="236"/>
      <c r="O690" s="60"/>
      <c r="P690" s="60"/>
      <c r="Q690" s="236"/>
      <c r="R690" s="236"/>
      <c r="S690" s="60"/>
      <c r="T690" s="60"/>
      <c r="U690" s="236"/>
      <c r="V690" s="60"/>
      <c r="W690" s="60"/>
      <c r="X690" s="236"/>
      <c r="Y690" s="236"/>
      <c r="Z690" s="60"/>
      <c r="AA690" s="60"/>
      <c r="AB690" s="236"/>
      <c r="AC690" s="60"/>
      <c r="AD690" s="60"/>
      <c r="AE690" s="236"/>
      <c r="AF690" s="236"/>
      <c r="AG690" s="60"/>
      <c r="AH690" s="60"/>
      <c r="AI690" s="236"/>
      <c r="AJ690" s="236"/>
    </row>
    <row r="691">
      <c r="A691" s="61"/>
      <c r="B691" s="60"/>
      <c r="C691" s="236"/>
      <c r="D691" s="236"/>
      <c r="E691" s="60"/>
      <c r="F691" s="60"/>
      <c r="G691" s="236"/>
      <c r="H691" s="60"/>
      <c r="I691" s="60"/>
      <c r="J691" s="236"/>
      <c r="K691" s="236"/>
      <c r="L691" s="60"/>
      <c r="M691" s="60"/>
      <c r="N691" s="236"/>
      <c r="O691" s="60"/>
      <c r="P691" s="60"/>
      <c r="Q691" s="236"/>
      <c r="R691" s="236"/>
      <c r="S691" s="60"/>
      <c r="T691" s="60"/>
      <c r="U691" s="236"/>
      <c r="V691" s="60"/>
      <c r="W691" s="60"/>
      <c r="X691" s="236"/>
      <c r="Y691" s="236"/>
      <c r="Z691" s="60"/>
      <c r="AA691" s="60"/>
      <c r="AB691" s="236"/>
      <c r="AC691" s="60"/>
      <c r="AD691" s="60"/>
      <c r="AE691" s="236"/>
      <c r="AF691" s="236"/>
      <c r="AG691" s="60"/>
      <c r="AH691" s="60"/>
      <c r="AI691" s="236"/>
      <c r="AJ691" s="236"/>
    </row>
    <row r="692">
      <c r="A692" s="61"/>
      <c r="B692" s="60"/>
      <c r="C692" s="236"/>
      <c r="D692" s="236"/>
      <c r="E692" s="60"/>
      <c r="F692" s="60"/>
      <c r="G692" s="236"/>
      <c r="H692" s="60"/>
      <c r="I692" s="60"/>
      <c r="J692" s="236"/>
      <c r="K692" s="236"/>
      <c r="L692" s="60"/>
      <c r="M692" s="60"/>
      <c r="N692" s="236"/>
      <c r="O692" s="60"/>
      <c r="P692" s="60"/>
      <c r="Q692" s="236"/>
      <c r="R692" s="236"/>
      <c r="S692" s="60"/>
      <c r="T692" s="60"/>
      <c r="U692" s="236"/>
      <c r="V692" s="60"/>
      <c r="W692" s="60"/>
      <c r="X692" s="236"/>
      <c r="Y692" s="236"/>
      <c r="Z692" s="60"/>
      <c r="AA692" s="60"/>
      <c r="AB692" s="236"/>
      <c r="AC692" s="60"/>
      <c r="AD692" s="60"/>
      <c r="AE692" s="236"/>
      <c r="AF692" s="236"/>
      <c r="AG692" s="60"/>
      <c r="AH692" s="60"/>
      <c r="AI692" s="236"/>
      <c r="AJ692" s="236"/>
    </row>
    <row r="693">
      <c r="A693" s="61"/>
      <c r="B693" s="60"/>
      <c r="C693" s="236"/>
      <c r="D693" s="236"/>
      <c r="E693" s="60"/>
      <c r="F693" s="60"/>
      <c r="G693" s="236"/>
      <c r="H693" s="60"/>
      <c r="I693" s="60"/>
      <c r="J693" s="236"/>
      <c r="K693" s="236"/>
      <c r="L693" s="60"/>
      <c r="M693" s="60"/>
      <c r="N693" s="236"/>
      <c r="O693" s="60"/>
      <c r="P693" s="60"/>
      <c r="Q693" s="236"/>
      <c r="R693" s="236"/>
      <c r="S693" s="60"/>
      <c r="T693" s="60"/>
      <c r="U693" s="236"/>
      <c r="V693" s="60"/>
      <c r="W693" s="60"/>
      <c r="X693" s="236"/>
      <c r="Y693" s="236"/>
      <c r="Z693" s="60"/>
      <c r="AA693" s="60"/>
      <c r="AB693" s="236"/>
      <c r="AC693" s="60"/>
      <c r="AD693" s="60"/>
      <c r="AE693" s="236"/>
      <c r="AF693" s="236"/>
      <c r="AG693" s="60"/>
      <c r="AH693" s="60"/>
      <c r="AI693" s="236"/>
      <c r="AJ693" s="236"/>
    </row>
    <row r="694">
      <c r="A694" s="61"/>
      <c r="B694" s="60"/>
      <c r="C694" s="236"/>
      <c r="D694" s="236"/>
      <c r="E694" s="60"/>
      <c r="F694" s="60"/>
      <c r="G694" s="236"/>
      <c r="H694" s="60"/>
      <c r="I694" s="60"/>
      <c r="J694" s="236"/>
      <c r="K694" s="236"/>
      <c r="L694" s="60"/>
      <c r="M694" s="60"/>
      <c r="N694" s="236"/>
      <c r="O694" s="60"/>
      <c r="P694" s="60"/>
      <c r="Q694" s="236"/>
      <c r="R694" s="236"/>
      <c r="S694" s="60"/>
      <c r="T694" s="60"/>
      <c r="U694" s="236"/>
      <c r="V694" s="60"/>
      <c r="W694" s="60"/>
      <c r="X694" s="236"/>
      <c r="Y694" s="236"/>
      <c r="Z694" s="60"/>
      <c r="AA694" s="60"/>
      <c r="AB694" s="236"/>
      <c r="AC694" s="60"/>
      <c r="AD694" s="60"/>
      <c r="AE694" s="236"/>
      <c r="AF694" s="236"/>
      <c r="AG694" s="60"/>
      <c r="AH694" s="60"/>
      <c r="AI694" s="236"/>
      <c r="AJ694" s="236"/>
    </row>
    <row r="695">
      <c r="A695" s="61"/>
      <c r="B695" s="60"/>
      <c r="C695" s="236"/>
      <c r="D695" s="236"/>
      <c r="E695" s="60"/>
      <c r="F695" s="60"/>
      <c r="G695" s="236"/>
      <c r="H695" s="60"/>
      <c r="I695" s="60"/>
      <c r="J695" s="236"/>
      <c r="K695" s="236"/>
      <c r="L695" s="60"/>
      <c r="M695" s="60"/>
      <c r="N695" s="236"/>
      <c r="O695" s="60"/>
      <c r="P695" s="60"/>
      <c r="Q695" s="236"/>
      <c r="R695" s="236"/>
      <c r="S695" s="60"/>
      <c r="T695" s="60"/>
      <c r="U695" s="236"/>
      <c r="V695" s="60"/>
      <c r="W695" s="60"/>
      <c r="X695" s="236"/>
      <c r="Y695" s="236"/>
      <c r="Z695" s="60"/>
      <c r="AA695" s="60"/>
      <c r="AB695" s="236"/>
      <c r="AC695" s="60"/>
      <c r="AD695" s="60"/>
      <c r="AE695" s="236"/>
      <c r="AF695" s="236"/>
      <c r="AG695" s="60"/>
      <c r="AH695" s="60"/>
      <c r="AI695" s="236"/>
      <c r="AJ695" s="236"/>
    </row>
    <row r="696">
      <c r="A696" s="61"/>
      <c r="B696" s="60"/>
      <c r="C696" s="236"/>
      <c r="D696" s="236"/>
      <c r="E696" s="60"/>
      <c r="F696" s="60"/>
      <c r="G696" s="236"/>
      <c r="H696" s="60"/>
      <c r="I696" s="60"/>
      <c r="J696" s="236"/>
      <c r="K696" s="236"/>
      <c r="L696" s="60"/>
      <c r="M696" s="60"/>
      <c r="N696" s="236"/>
      <c r="O696" s="60"/>
      <c r="P696" s="60"/>
      <c r="Q696" s="236"/>
      <c r="R696" s="236"/>
      <c r="S696" s="60"/>
      <c r="T696" s="60"/>
      <c r="U696" s="236"/>
      <c r="V696" s="60"/>
      <c r="W696" s="60"/>
      <c r="X696" s="236"/>
      <c r="Y696" s="236"/>
      <c r="Z696" s="60"/>
      <c r="AA696" s="60"/>
      <c r="AB696" s="236"/>
      <c r="AC696" s="60"/>
      <c r="AD696" s="60"/>
      <c r="AE696" s="236"/>
      <c r="AF696" s="236"/>
      <c r="AG696" s="60"/>
      <c r="AH696" s="60"/>
      <c r="AI696" s="236"/>
      <c r="AJ696" s="236"/>
    </row>
    <row r="697">
      <c r="A697" s="61"/>
      <c r="B697" s="60"/>
      <c r="C697" s="236"/>
      <c r="D697" s="236"/>
      <c r="E697" s="60"/>
      <c r="F697" s="60"/>
      <c r="G697" s="236"/>
      <c r="H697" s="60"/>
      <c r="I697" s="60"/>
      <c r="J697" s="236"/>
      <c r="K697" s="236"/>
      <c r="L697" s="60"/>
      <c r="M697" s="60"/>
      <c r="N697" s="236"/>
      <c r="O697" s="60"/>
      <c r="P697" s="60"/>
      <c r="Q697" s="236"/>
      <c r="R697" s="236"/>
      <c r="S697" s="60"/>
      <c r="T697" s="60"/>
      <c r="U697" s="236"/>
      <c r="V697" s="60"/>
      <c r="W697" s="60"/>
      <c r="X697" s="236"/>
      <c r="Y697" s="236"/>
      <c r="Z697" s="60"/>
      <c r="AA697" s="60"/>
      <c r="AB697" s="236"/>
      <c r="AC697" s="60"/>
      <c r="AD697" s="60"/>
      <c r="AE697" s="236"/>
      <c r="AF697" s="236"/>
      <c r="AG697" s="60"/>
      <c r="AH697" s="60"/>
      <c r="AI697" s="236"/>
      <c r="AJ697" s="236"/>
    </row>
    <row r="698">
      <c r="A698" s="61"/>
      <c r="B698" s="60"/>
      <c r="C698" s="236"/>
      <c r="D698" s="236"/>
      <c r="E698" s="60"/>
      <c r="F698" s="60"/>
      <c r="G698" s="236"/>
      <c r="H698" s="60"/>
      <c r="I698" s="60"/>
      <c r="J698" s="236"/>
      <c r="K698" s="236"/>
      <c r="L698" s="60"/>
      <c r="M698" s="60"/>
      <c r="N698" s="236"/>
      <c r="O698" s="60"/>
      <c r="P698" s="60"/>
      <c r="Q698" s="236"/>
      <c r="R698" s="236"/>
      <c r="S698" s="60"/>
      <c r="T698" s="60"/>
      <c r="U698" s="236"/>
      <c r="V698" s="60"/>
      <c r="W698" s="60"/>
      <c r="X698" s="236"/>
      <c r="Y698" s="236"/>
      <c r="Z698" s="60"/>
      <c r="AA698" s="60"/>
      <c r="AB698" s="236"/>
      <c r="AC698" s="60"/>
      <c r="AD698" s="60"/>
      <c r="AE698" s="236"/>
      <c r="AF698" s="236"/>
      <c r="AG698" s="60"/>
      <c r="AH698" s="60"/>
      <c r="AI698" s="236"/>
      <c r="AJ698" s="236"/>
    </row>
    <row r="699">
      <c r="A699" s="61"/>
      <c r="B699" s="60"/>
      <c r="C699" s="236"/>
      <c r="D699" s="236"/>
      <c r="E699" s="60"/>
      <c r="F699" s="60"/>
      <c r="G699" s="236"/>
      <c r="H699" s="60"/>
      <c r="I699" s="60"/>
      <c r="J699" s="236"/>
      <c r="K699" s="236"/>
      <c r="L699" s="60"/>
      <c r="M699" s="60"/>
      <c r="N699" s="236"/>
      <c r="O699" s="60"/>
      <c r="P699" s="60"/>
      <c r="Q699" s="236"/>
      <c r="R699" s="236"/>
      <c r="S699" s="60"/>
      <c r="T699" s="60"/>
      <c r="U699" s="236"/>
      <c r="V699" s="60"/>
      <c r="W699" s="60"/>
      <c r="X699" s="236"/>
      <c r="Y699" s="236"/>
      <c r="Z699" s="60"/>
      <c r="AA699" s="60"/>
      <c r="AB699" s="236"/>
      <c r="AC699" s="60"/>
      <c r="AD699" s="60"/>
      <c r="AE699" s="236"/>
      <c r="AF699" s="236"/>
      <c r="AG699" s="60"/>
      <c r="AH699" s="60"/>
      <c r="AI699" s="236"/>
      <c r="AJ699" s="236"/>
    </row>
    <row r="700">
      <c r="A700" s="61"/>
      <c r="B700" s="60"/>
      <c r="C700" s="236"/>
      <c r="D700" s="236"/>
      <c r="E700" s="60"/>
      <c r="F700" s="60"/>
      <c r="G700" s="236"/>
      <c r="H700" s="60"/>
      <c r="I700" s="60"/>
      <c r="J700" s="236"/>
      <c r="K700" s="236"/>
      <c r="L700" s="60"/>
      <c r="M700" s="60"/>
      <c r="N700" s="236"/>
      <c r="O700" s="60"/>
      <c r="P700" s="60"/>
      <c r="Q700" s="236"/>
      <c r="R700" s="236"/>
      <c r="S700" s="60"/>
      <c r="T700" s="60"/>
      <c r="U700" s="236"/>
      <c r="V700" s="60"/>
      <c r="W700" s="60"/>
      <c r="X700" s="236"/>
      <c r="Y700" s="236"/>
      <c r="Z700" s="60"/>
      <c r="AA700" s="60"/>
      <c r="AB700" s="236"/>
      <c r="AC700" s="60"/>
      <c r="AD700" s="60"/>
      <c r="AE700" s="236"/>
      <c r="AF700" s="236"/>
      <c r="AG700" s="60"/>
      <c r="AH700" s="60"/>
      <c r="AI700" s="236"/>
      <c r="AJ700" s="236"/>
    </row>
    <row r="701">
      <c r="A701" s="61"/>
      <c r="B701" s="60"/>
      <c r="C701" s="236"/>
      <c r="D701" s="236"/>
      <c r="E701" s="60"/>
      <c r="F701" s="60"/>
      <c r="G701" s="236"/>
      <c r="H701" s="60"/>
      <c r="I701" s="60"/>
      <c r="J701" s="236"/>
      <c r="K701" s="236"/>
      <c r="L701" s="60"/>
      <c r="M701" s="60"/>
      <c r="N701" s="236"/>
      <c r="O701" s="60"/>
      <c r="P701" s="60"/>
      <c r="Q701" s="236"/>
      <c r="R701" s="236"/>
      <c r="S701" s="60"/>
      <c r="T701" s="60"/>
      <c r="U701" s="236"/>
      <c r="V701" s="60"/>
      <c r="W701" s="60"/>
      <c r="X701" s="236"/>
      <c r="Y701" s="236"/>
      <c r="Z701" s="60"/>
      <c r="AA701" s="60"/>
      <c r="AB701" s="236"/>
      <c r="AC701" s="60"/>
      <c r="AD701" s="60"/>
      <c r="AE701" s="236"/>
      <c r="AF701" s="236"/>
      <c r="AG701" s="60"/>
      <c r="AH701" s="60"/>
      <c r="AI701" s="236"/>
      <c r="AJ701" s="236"/>
    </row>
    <row r="702">
      <c r="A702" s="61"/>
      <c r="B702" s="60"/>
      <c r="C702" s="236"/>
      <c r="D702" s="236"/>
      <c r="E702" s="60"/>
      <c r="F702" s="60"/>
      <c r="G702" s="236"/>
      <c r="H702" s="60"/>
      <c r="I702" s="60"/>
      <c r="J702" s="236"/>
      <c r="K702" s="236"/>
      <c r="L702" s="60"/>
      <c r="M702" s="60"/>
      <c r="N702" s="236"/>
      <c r="O702" s="60"/>
      <c r="P702" s="60"/>
      <c r="Q702" s="236"/>
      <c r="R702" s="236"/>
      <c r="S702" s="60"/>
      <c r="T702" s="60"/>
      <c r="U702" s="236"/>
      <c r="V702" s="60"/>
      <c r="W702" s="60"/>
      <c r="X702" s="236"/>
      <c r="Y702" s="236"/>
      <c r="Z702" s="60"/>
      <c r="AA702" s="60"/>
      <c r="AB702" s="236"/>
      <c r="AC702" s="60"/>
      <c r="AD702" s="60"/>
      <c r="AE702" s="236"/>
      <c r="AF702" s="236"/>
      <c r="AG702" s="60"/>
      <c r="AH702" s="60"/>
      <c r="AI702" s="236"/>
      <c r="AJ702" s="236"/>
    </row>
    <row r="703">
      <c r="A703" s="61"/>
      <c r="B703" s="60"/>
      <c r="C703" s="236"/>
      <c r="D703" s="236"/>
      <c r="E703" s="60"/>
      <c r="F703" s="60"/>
      <c r="G703" s="236"/>
      <c r="H703" s="60"/>
      <c r="I703" s="60"/>
      <c r="J703" s="236"/>
      <c r="K703" s="236"/>
      <c r="L703" s="60"/>
      <c r="M703" s="60"/>
      <c r="N703" s="236"/>
      <c r="O703" s="60"/>
      <c r="P703" s="60"/>
      <c r="Q703" s="236"/>
      <c r="R703" s="236"/>
      <c r="S703" s="60"/>
      <c r="T703" s="60"/>
      <c r="U703" s="236"/>
      <c r="V703" s="60"/>
      <c r="W703" s="60"/>
      <c r="X703" s="236"/>
      <c r="Y703" s="236"/>
      <c r="Z703" s="60"/>
      <c r="AA703" s="60"/>
      <c r="AB703" s="236"/>
      <c r="AC703" s="60"/>
      <c r="AD703" s="60"/>
      <c r="AE703" s="236"/>
      <c r="AF703" s="236"/>
      <c r="AG703" s="60"/>
      <c r="AH703" s="60"/>
      <c r="AI703" s="236"/>
      <c r="AJ703" s="236"/>
    </row>
    <row r="704">
      <c r="A704" s="61"/>
      <c r="B704" s="60"/>
      <c r="C704" s="236"/>
      <c r="D704" s="236"/>
      <c r="E704" s="60"/>
      <c r="F704" s="60"/>
      <c r="G704" s="236"/>
      <c r="H704" s="60"/>
      <c r="I704" s="60"/>
      <c r="J704" s="236"/>
      <c r="K704" s="236"/>
      <c r="L704" s="60"/>
      <c r="M704" s="60"/>
      <c r="N704" s="236"/>
      <c r="O704" s="60"/>
      <c r="P704" s="60"/>
      <c r="Q704" s="236"/>
      <c r="R704" s="236"/>
      <c r="S704" s="60"/>
      <c r="T704" s="60"/>
      <c r="U704" s="236"/>
      <c r="V704" s="60"/>
      <c r="W704" s="60"/>
      <c r="X704" s="236"/>
      <c r="Y704" s="236"/>
      <c r="Z704" s="60"/>
      <c r="AA704" s="60"/>
      <c r="AB704" s="236"/>
      <c r="AC704" s="60"/>
      <c r="AD704" s="60"/>
      <c r="AE704" s="236"/>
      <c r="AF704" s="236"/>
      <c r="AG704" s="60"/>
      <c r="AH704" s="60"/>
      <c r="AI704" s="236"/>
      <c r="AJ704" s="236"/>
    </row>
    <row r="705">
      <c r="A705" s="61"/>
      <c r="B705" s="60"/>
      <c r="C705" s="236"/>
      <c r="D705" s="236"/>
      <c r="E705" s="60"/>
      <c r="F705" s="60"/>
      <c r="G705" s="236"/>
      <c r="H705" s="60"/>
      <c r="I705" s="60"/>
      <c r="J705" s="236"/>
      <c r="K705" s="236"/>
      <c r="L705" s="60"/>
      <c r="M705" s="60"/>
      <c r="N705" s="236"/>
      <c r="O705" s="60"/>
      <c r="P705" s="60"/>
      <c r="Q705" s="236"/>
      <c r="R705" s="236"/>
      <c r="S705" s="60"/>
      <c r="T705" s="60"/>
      <c r="U705" s="236"/>
      <c r="V705" s="60"/>
      <c r="W705" s="60"/>
      <c r="X705" s="236"/>
      <c r="Y705" s="236"/>
      <c r="Z705" s="60"/>
      <c r="AA705" s="60"/>
      <c r="AB705" s="236"/>
      <c r="AC705" s="60"/>
      <c r="AD705" s="60"/>
      <c r="AE705" s="236"/>
      <c r="AF705" s="236"/>
      <c r="AG705" s="60"/>
      <c r="AH705" s="60"/>
      <c r="AI705" s="236"/>
      <c r="AJ705" s="236"/>
    </row>
    <row r="706">
      <c r="A706" s="61"/>
      <c r="B706" s="60"/>
      <c r="C706" s="236"/>
      <c r="D706" s="236"/>
      <c r="E706" s="60"/>
      <c r="F706" s="60"/>
      <c r="G706" s="236"/>
      <c r="H706" s="60"/>
      <c r="I706" s="60"/>
      <c r="J706" s="236"/>
      <c r="K706" s="236"/>
      <c r="L706" s="60"/>
      <c r="M706" s="60"/>
      <c r="N706" s="236"/>
      <c r="O706" s="60"/>
      <c r="P706" s="60"/>
      <c r="Q706" s="236"/>
      <c r="R706" s="236"/>
      <c r="S706" s="60"/>
      <c r="T706" s="60"/>
      <c r="U706" s="236"/>
      <c r="V706" s="60"/>
      <c r="W706" s="60"/>
      <c r="X706" s="236"/>
      <c r="Y706" s="236"/>
      <c r="Z706" s="60"/>
      <c r="AA706" s="60"/>
      <c r="AB706" s="236"/>
      <c r="AC706" s="60"/>
      <c r="AD706" s="60"/>
      <c r="AE706" s="236"/>
      <c r="AF706" s="236"/>
      <c r="AG706" s="60"/>
      <c r="AH706" s="60"/>
      <c r="AI706" s="236"/>
      <c r="AJ706" s="236"/>
    </row>
    <row r="707">
      <c r="A707" s="61"/>
      <c r="B707" s="60"/>
      <c r="C707" s="236"/>
      <c r="D707" s="236"/>
      <c r="E707" s="60"/>
      <c r="F707" s="60"/>
      <c r="G707" s="236"/>
      <c r="H707" s="60"/>
      <c r="I707" s="60"/>
      <c r="J707" s="236"/>
      <c r="K707" s="236"/>
      <c r="L707" s="60"/>
      <c r="M707" s="60"/>
      <c r="N707" s="236"/>
      <c r="O707" s="60"/>
      <c r="P707" s="60"/>
      <c r="Q707" s="236"/>
      <c r="R707" s="236"/>
      <c r="S707" s="60"/>
      <c r="T707" s="60"/>
      <c r="U707" s="236"/>
      <c r="V707" s="60"/>
      <c r="W707" s="60"/>
      <c r="X707" s="236"/>
      <c r="Y707" s="236"/>
      <c r="Z707" s="60"/>
      <c r="AA707" s="60"/>
      <c r="AB707" s="236"/>
      <c r="AC707" s="60"/>
      <c r="AD707" s="60"/>
      <c r="AE707" s="236"/>
      <c r="AF707" s="236"/>
      <c r="AG707" s="60"/>
      <c r="AH707" s="60"/>
      <c r="AI707" s="236"/>
      <c r="AJ707" s="236"/>
    </row>
    <row r="708">
      <c r="A708" s="61"/>
      <c r="B708" s="60"/>
      <c r="C708" s="236"/>
      <c r="D708" s="236"/>
      <c r="E708" s="60"/>
      <c r="F708" s="60"/>
      <c r="G708" s="236"/>
      <c r="H708" s="60"/>
      <c r="I708" s="60"/>
      <c r="J708" s="236"/>
      <c r="K708" s="236"/>
      <c r="L708" s="60"/>
      <c r="M708" s="60"/>
      <c r="N708" s="236"/>
      <c r="O708" s="60"/>
      <c r="P708" s="60"/>
      <c r="Q708" s="236"/>
      <c r="R708" s="236"/>
      <c r="S708" s="60"/>
      <c r="T708" s="60"/>
      <c r="U708" s="236"/>
      <c r="V708" s="60"/>
      <c r="W708" s="60"/>
      <c r="X708" s="236"/>
      <c r="Y708" s="236"/>
      <c r="Z708" s="60"/>
      <c r="AA708" s="60"/>
      <c r="AB708" s="236"/>
      <c r="AC708" s="60"/>
      <c r="AD708" s="60"/>
      <c r="AE708" s="236"/>
      <c r="AF708" s="236"/>
      <c r="AG708" s="60"/>
      <c r="AH708" s="60"/>
      <c r="AI708" s="236"/>
      <c r="AJ708" s="236"/>
    </row>
    <row r="709">
      <c r="A709" s="61"/>
      <c r="B709" s="60"/>
      <c r="C709" s="236"/>
      <c r="D709" s="236"/>
      <c r="E709" s="60"/>
      <c r="F709" s="60"/>
      <c r="G709" s="236"/>
      <c r="H709" s="60"/>
      <c r="I709" s="60"/>
      <c r="J709" s="236"/>
      <c r="K709" s="236"/>
      <c r="L709" s="60"/>
      <c r="M709" s="60"/>
      <c r="N709" s="236"/>
      <c r="O709" s="60"/>
      <c r="P709" s="60"/>
      <c r="Q709" s="236"/>
      <c r="R709" s="236"/>
      <c r="S709" s="60"/>
      <c r="T709" s="60"/>
      <c r="U709" s="236"/>
      <c r="V709" s="60"/>
      <c r="W709" s="60"/>
      <c r="X709" s="236"/>
      <c r="Y709" s="236"/>
      <c r="Z709" s="60"/>
      <c r="AA709" s="60"/>
      <c r="AB709" s="236"/>
      <c r="AC709" s="60"/>
      <c r="AD709" s="60"/>
      <c r="AE709" s="236"/>
      <c r="AF709" s="236"/>
      <c r="AG709" s="60"/>
      <c r="AH709" s="60"/>
      <c r="AI709" s="236"/>
      <c r="AJ709" s="236"/>
    </row>
    <row r="710">
      <c r="A710" s="61"/>
      <c r="B710" s="60"/>
      <c r="C710" s="236"/>
      <c r="D710" s="236"/>
      <c r="E710" s="60"/>
      <c r="F710" s="60"/>
      <c r="G710" s="236"/>
      <c r="H710" s="60"/>
      <c r="I710" s="60"/>
      <c r="J710" s="236"/>
      <c r="K710" s="236"/>
      <c r="L710" s="60"/>
      <c r="M710" s="60"/>
      <c r="N710" s="236"/>
      <c r="O710" s="60"/>
      <c r="P710" s="60"/>
      <c r="Q710" s="236"/>
      <c r="R710" s="236"/>
      <c r="S710" s="60"/>
      <c r="T710" s="60"/>
      <c r="U710" s="236"/>
      <c r="V710" s="60"/>
      <c r="W710" s="60"/>
      <c r="X710" s="236"/>
      <c r="Y710" s="236"/>
      <c r="Z710" s="60"/>
      <c r="AA710" s="60"/>
      <c r="AB710" s="236"/>
      <c r="AC710" s="60"/>
      <c r="AD710" s="60"/>
      <c r="AE710" s="236"/>
      <c r="AF710" s="236"/>
      <c r="AG710" s="60"/>
      <c r="AH710" s="60"/>
      <c r="AI710" s="236"/>
      <c r="AJ710" s="236"/>
    </row>
    <row r="711">
      <c r="A711" s="61"/>
      <c r="B711" s="60"/>
      <c r="C711" s="236"/>
      <c r="D711" s="236"/>
      <c r="E711" s="60"/>
      <c r="F711" s="60"/>
      <c r="G711" s="236"/>
      <c r="H711" s="60"/>
      <c r="I711" s="60"/>
      <c r="J711" s="236"/>
      <c r="K711" s="236"/>
      <c r="L711" s="60"/>
      <c r="M711" s="60"/>
      <c r="N711" s="236"/>
      <c r="O711" s="60"/>
      <c r="P711" s="60"/>
      <c r="Q711" s="236"/>
      <c r="R711" s="236"/>
      <c r="S711" s="60"/>
      <c r="T711" s="60"/>
      <c r="U711" s="236"/>
      <c r="V711" s="60"/>
      <c r="W711" s="60"/>
      <c r="X711" s="236"/>
      <c r="Y711" s="236"/>
      <c r="Z711" s="60"/>
      <c r="AA711" s="60"/>
      <c r="AB711" s="236"/>
      <c r="AC711" s="60"/>
      <c r="AD711" s="60"/>
      <c r="AE711" s="236"/>
      <c r="AF711" s="236"/>
      <c r="AG711" s="60"/>
      <c r="AH711" s="60"/>
      <c r="AI711" s="236"/>
      <c r="AJ711" s="236"/>
    </row>
    <row r="712">
      <c r="A712" s="61"/>
      <c r="B712" s="60"/>
      <c r="C712" s="236"/>
      <c r="D712" s="236"/>
      <c r="E712" s="60"/>
      <c r="F712" s="60"/>
      <c r="G712" s="236"/>
      <c r="H712" s="60"/>
      <c r="I712" s="60"/>
      <c r="J712" s="236"/>
      <c r="K712" s="236"/>
      <c r="L712" s="60"/>
      <c r="M712" s="60"/>
      <c r="N712" s="236"/>
      <c r="O712" s="60"/>
      <c r="P712" s="60"/>
      <c r="Q712" s="236"/>
      <c r="R712" s="236"/>
      <c r="S712" s="60"/>
      <c r="T712" s="60"/>
      <c r="U712" s="236"/>
      <c r="V712" s="60"/>
      <c r="W712" s="60"/>
      <c r="X712" s="236"/>
      <c r="Y712" s="236"/>
      <c r="Z712" s="60"/>
      <c r="AA712" s="60"/>
      <c r="AB712" s="236"/>
      <c r="AC712" s="60"/>
      <c r="AD712" s="60"/>
      <c r="AE712" s="236"/>
      <c r="AF712" s="236"/>
      <c r="AG712" s="60"/>
      <c r="AH712" s="60"/>
      <c r="AI712" s="236"/>
      <c r="AJ712" s="236"/>
    </row>
    <row r="713">
      <c r="A713" s="61"/>
      <c r="B713" s="60"/>
      <c r="C713" s="236"/>
      <c r="D713" s="236"/>
      <c r="E713" s="60"/>
      <c r="F713" s="60"/>
      <c r="G713" s="236"/>
      <c r="H713" s="60"/>
      <c r="I713" s="60"/>
      <c r="J713" s="236"/>
      <c r="K713" s="236"/>
      <c r="L713" s="60"/>
      <c r="M713" s="60"/>
      <c r="N713" s="236"/>
      <c r="O713" s="60"/>
      <c r="P713" s="60"/>
      <c r="Q713" s="236"/>
      <c r="R713" s="236"/>
      <c r="S713" s="60"/>
      <c r="T713" s="60"/>
      <c r="U713" s="236"/>
      <c r="V713" s="60"/>
      <c r="W713" s="60"/>
      <c r="X713" s="236"/>
      <c r="Y713" s="236"/>
      <c r="Z713" s="60"/>
      <c r="AA713" s="60"/>
      <c r="AB713" s="236"/>
      <c r="AC713" s="60"/>
      <c r="AD713" s="60"/>
      <c r="AE713" s="236"/>
      <c r="AF713" s="236"/>
      <c r="AG713" s="60"/>
      <c r="AH713" s="60"/>
      <c r="AI713" s="236"/>
      <c r="AJ713" s="236"/>
    </row>
    <row r="714">
      <c r="A714" s="61"/>
      <c r="B714" s="60"/>
      <c r="C714" s="236"/>
      <c r="D714" s="236"/>
      <c r="E714" s="60"/>
      <c r="F714" s="60"/>
      <c r="G714" s="236"/>
      <c r="H714" s="60"/>
      <c r="I714" s="60"/>
      <c r="J714" s="236"/>
      <c r="K714" s="236"/>
      <c r="L714" s="60"/>
      <c r="M714" s="60"/>
      <c r="N714" s="236"/>
      <c r="O714" s="60"/>
      <c r="P714" s="60"/>
      <c r="Q714" s="236"/>
      <c r="R714" s="236"/>
      <c r="S714" s="60"/>
      <c r="T714" s="60"/>
      <c r="U714" s="236"/>
      <c r="V714" s="60"/>
      <c r="W714" s="60"/>
      <c r="X714" s="236"/>
      <c r="Y714" s="236"/>
      <c r="Z714" s="60"/>
      <c r="AA714" s="60"/>
      <c r="AB714" s="236"/>
      <c r="AC714" s="60"/>
      <c r="AD714" s="60"/>
      <c r="AE714" s="236"/>
      <c r="AF714" s="236"/>
      <c r="AG714" s="60"/>
      <c r="AH714" s="60"/>
      <c r="AI714" s="236"/>
      <c r="AJ714" s="236"/>
    </row>
    <row r="715">
      <c r="A715" s="61"/>
      <c r="B715" s="60"/>
      <c r="C715" s="236"/>
      <c r="D715" s="236"/>
      <c r="E715" s="60"/>
      <c r="F715" s="60"/>
      <c r="G715" s="236"/>
      <c r="H715" s="60"/>
      <c r="I715" s="60"/>
      <c r="J715" s="236"/>
      <c r="K715" s="236"/>
      <c r="L715" s="60"/>
      <c r="M715" s="60"/>
      <c r="N715" s="236"/>
      <c r="O715" s="60"/>
      <c r="P715" s="60"/>
      <c r="Q715" s="236"/>
      <c r="R715" s="236"/>
      <c r="S715" s="60"/>
      <c r="T715" s="60"/>
      <c r="U715" s="236"/>
      <c r="V715" s="60"/>
      <c r="W715" s="60"/>
      <c r="X715" s="236"/>
      <c r="Y715" s="236"/>
      <c r="Z715" s="60"/>
      <c r="AA715" s="60"/>
      <c r="AB715" s="236"/>
      <c r="AC715" s="60"/>
      <c r="AD715" s="60"/>
      <c r="AE715" s="236"/>
      <c r="AF715" s="236"/>
      <c r="AG715" s="60"/>
      <c r="AH715" s="60"/>
      <c r="AI715" s="236"/>
      <c r="AJ715" s="236"/>
    </row>
    <row r="716">
      <c r="A716" s="61"/>
      <c r="B716" s="60"/>
      <c r="C716" s="236"/>
      <c r="D716" s="236"/>
      <c r="E716" s="60"/>
      <c r="F716" s="60"/>
      <c r="G716" s="236"/>
      <c r="H716" s="60"/>
      <c r="I716" s="60"/>
      <c r="J716" s="236"/>
      <c r="K716" s="236"/>
      <c r="L716" s="60"/>
      <c r="M716" s="60"/>
      <c r="N716" s="236"/>
      <c r="O716" s="60"/>
      <c r="P716" s="60"/>
      <c r="Q716" s="236"/>
      <c r="R716" s="236"/>
      <c r="S716" s="60"/>
      <c r="T716" s="60"/>
      <c r="U716" s="236"/>
      <c r="V716" s="60"/>
      <c r="W716" s="60"/>
      <c r="X716" s="236"/>
      <c r="Y716" s="236"/>
      <c r="Z716" s="60"/>
      <c r="AA716" s="60"/>
      <c r="AB716" s="236"/>
      <c r="AC716" s="60"/>
      <c r="AD716" s="60"/>
      <c r="AE716" s="236"/>
      <c r="AF716" s="236"/>
      <c r="AG716" s="60"/>
      <c r="AH716" s="60"/>
      <c r="AI716" s="236"/>
      <c r="AJ716" s="236"/>
    </row>
    <row r="717">
      <c r="A717" s="61"/>
      <c r="B717" s="60"/>
      <c r="C717" s="236"/>
      <c r="D717" s="236"/>
      <c r="E717" s="60"/>
      <c r="F717" s="60"/>
      <c r="G717" s="236"/>
      <c r="H717" s="60"/>
      <c r="I717" s="60"/>
      <c r="J717" s="236"/>
      <c r="K717" s="236"/>
      <c r="L717" s="60"/>
      <c r="M717" s="60"/>
      <c r="N717" s="236"/>
      <c r="O717" s="60"/>
      <c r="P717" s="60"/>
      <c r="Q717" s="236"/>
      <c r="R717" s="236"/>
      <c r="S717" s="60"/>
      <c r="T717" s="60"/>
      <c r="U717" s="236"/>
      <c r="V717" s="60"/>
      <c r="W717" s="60"/>
      <c r="X717" s="236"/>
      <c r="Y717" s="236"/>
      <c r="Z717" s="60"/>
      <c r="AA717" s="60"/>
      <c r="AB717" s="236"/>
      <c r="AC717" s="60"/>
      <c r="AD717" s="60"/>
      <c r="AE717" s="236"/>
      <c r="AF717" s="236"/>
      <c r="AG717" s="60"/>
      <c r="AH717" s="60"/>
      <c r="AI717" s="236"/>
      <c r="AJ717" s="236"/>
    </row>
    <row r="718">
      <c r="A718" s="61"/>
      <c r="B718" s="60"/>
      <c r="C718" s="236"/>
      <c r="D718" s="236"/>
      <c r="E718" s="60"/>
      <c r="F718" s="60"/>
      <c r="G718" s="236"/>
      <c r="H718" s="60"/>
      <c r="I718" s="60"/>
      <c r="J718" s="236"/>
      <c r="K718" s="236"/>
      <c r="L718" s="60"/>
      <c r="M718" s="60"/>
      <c r="N718" s="236"/>
      <c r="O718" s="60"/>
      <c r="P718" s="60"/>
      <c r="Q718" s="236"/>
      <c r="R718" s="236"/>
      <c r="S718" s="60"/>
      <c r="T718" s="60"/>
      <c r="U718" s="236"/>
      <c r="V718" s="60"/>
      <c r="W718" s="60"/>
      <c r="X718" s="236"/>
      <c r="Y718" s="236"/>
      <c r="Z718" s="60"/>
      <c r="AA718" s="60"/>
      <c r="AB718" s="236"/>
      <c r="AC718" s="60"/>
      <c r="AD718" s="60"/>
      <c r="AE718" s="236"/>
      <c r="AF718" s="236"/>
      <c r="AG718" s="60"/>
      <c r="AH718" s="60"/>
      <c r="AI718" s="236"/>
      <c r="AJ718" s="236"/>
    </row>
    <row r="719">
      <c r="A719" s="61"/>
      <c r="B719" s="60"/>
      <c r="C719" s="236"/>
      <c r="D719" s="236"/>
      <c r="E719" s="60"/>
      <c r="F719" s="60"/>
      <c r="G719" s="236"/>
      <c r="H719" s="60"/>
      <c r="I719" s="60"/>
      <c r="J719" s="236"/>
      <c r="K719" s="236"/>
      <c r="L719" s="60"/>
      <c r="M719" s="60"/>
      <c r="N719" s="236"/>
      <c r="O719" s="60"/>
      <c r="P719" s="60"/>
      <c r="Q719" s="236"/>
      <c r="R719" s="236"/>
      <c r="S719" s="60"/>
      <c r="T719" s="60"/>
      <c r="U719" s="236"/>
      <c r="V719" s="60"/>
      <c r="W719" s="60"/>
      <c r="X719" s="236"/>
      <c r="Y719" s="236"/>
      <c r="Z719" s="60"/>
      <c r="AA719" s="60"/>
      <c r="AB719" s="236"/>
      <c r="AC719" s="60"/>
      <c r="AD719" s="60"/>
      <c r="AE719" s="236"/>
      <c r="AF719" s="236"/>
      <c r="AG719" s="60"/>
      <c r="AH719" s="60"/>
      <c r="AI719" s="236"/>
      <c r="AJ719" s="236"/>
    </row>
    <row r="720">
      <c r="A720" s="61"/>
      <c r="B720" s="60"/>
      <c r="C720" s="236"/>
      <c r="D720" s="236"/>
      <c r="E720" s="60"/>
      <c r="F720" s="60"/>
      <c r="G720" s="236"/>
      <c r="H720" s="60"/>
      <c r="I720" s="60"/>
      <c r="J720" s="236"/>
      <c r="K720" s="236"/>
      <c r="L720" s="60"/>
      <c r="M720" s="60"/>
      <c r="N720" s="236"/>
      <c r="O720" s="60"/>
      <c r="P720" s="60"/>
      <c r="Q720" s="236"/>
      <c r="R720" s="236"/>
      <c r="S720" s="60"/>
      <c r="T720" s="60"/>
      <c r="U720" s="236"/>
      <c r="V720" s="60"/>
      <c r="W720" s="60"/>
      <c r="X720" s="236"/>
      <c r="Y720" s="236"/>
      <c r="Z720" s="60"/>
      <c r="AA720" s="60"/>
      <c r="AB720" s="236"/>
      <c r="AC720" s="60"/>
      <c r="AD720" s="60"/>
      <c r="AE720" s="236"/>
      <c r="AF720" s="236"/>
      <c r="AG720" s="60"/>
      <c r="AH720" s="60"/>
      <c r="AI720" s="236"/>
      <c r="AJ720" s="236"/>
    </row>
    <row r="721">
      <c r="A721" s="61"/>
      <c r="B721" s="60"/>
      <c r="C721" s="236"/>
      <c r="D721" s="236"/>
      <c r="E721" s="60"/>
      <c r="F721" s="60"/>
      <c r="G721" s="236"/>
      <c r="H721" s="60"/>
      <c r="I721" s="60"/>
      <c r="J721" s="236"/>
      <c r="K721" s="236"/>
      <c r="L721" s="60"/>
      <c r="M721" s="60"/>
      <c r="N721" s="236"/>
      <c r="O721" s="60"/>
      <c r="P721" s="60"/>
      <c r="Q721" s="236"/>
      <c r="R721" s="236"/>
      <c r="S721" s="60"/>
      <c r="T721" s="60"/>
      <c r="U721" s="236"/>
      <c r="V721" s="60"/>
      <c r="W721" s="60"/>
      <c r="X721" s="236"/>
      <c r="Y721" s="236"/>
      <c r="Z721" s="60"/>
      <c r="AA721" s="60"/>
      <c r="AB721" s="236"/>
      <c r="AC721" s="60"/>
      <c r="AD721" s="60"/>
      <c r="AE721" s="236"/>
      <c r="AF721" s="236"/>
      <c r="AG721" s="60"/>
      <c r="AH721" s="60"/>
      <c r="AI721" s="236"/>
      <c r="AJ721" s="236"/>
    </row>
    <row r="722">
      <c r="A722" s="61"/>
      <c r="B722" s="60"/>
      <c r="C722" s="236"/>
      <c r="D722" s="236"/>
      <c r="E722" s="60"/>
      <c r="F722" s="60"/>
      <c r="G722" s="236"/>
      <c r="H722" s="60"/>
      <c r="I722" s="60"/>
      <c r="J722" s="236"/>
      <c r="K722" s="236"/>
      <c r="L722" s="60"/>
      <c r="M722" s="60"/>
      <c r="N722" s="236"/>
      <c r="O722" s="60"/>
      <c r="P722" s="60"/>
      <c r="Q722" s="236"/>
      <c r="R722" s="236"/>
      <c r="S722" s="60"/>
      <c r="T722" s="60"/>
      <c r="U722" s="236"/>
      <c r="V722" s="60"/>
      <c r="W722" s="60"/>
      <c r="X722" s="236"/>
      <c r="Y722" s="236"/>
      <c r="Z722" s="60"/>
      <c r="AA722" s="60"/>
      <c r="AB722" s="236"/>
      <c r="AC722" s="60"/>
      <c r="AD722" s="60"/>
      <c r="AE722" s="236"/>
      <c r="AF722" s="236"/>
      <c r="AG722" s="60"/>
      <c r="AH722" s="60"/>
      <c r="AI722" s="236"/>
      <c r="AJ722" s="236"/>
    </row>
    <row r="723">
      <c r="A723" s="61"/>
      <c r="B723" s="60"/>
      <c r="C723" s="236"/>
      <c r="D723" s="236"/>
      <c r="E723" s="60"/>
      <c r="F723" s="60"/>
      <c r="G723" s="236"/>
      <c r="H723" s="60"/>
      <c r="I723" s="60"/>
      <c r="J723" s="236"/>
      <c r="K723" s="236"/>
      <c r="L723" s="60"/>
      <c r="M723" s="60"/>
      <c r="N723" s="236"/>
      <c r="O723" s="60"/>
      <c r="P723" s="60"/>
      <c r="Q723" s="236"/>
      <c r="R723" s="236"/>
      <c r="S723" s="60"/>
      <c r="T723" s="60"/>
      <c r="U723" s="236"/>
      <c r="V723" s="60"/>
      <c r="W723" s="60"/>
      <c r="X723" s="236"/>
      <c r="Y723" s="236"/>
      <c r="Z723" s="60"/>
      <c r="AA723" s="60"/>
      <c r="AB723" s="236"/>
      <c r="AC723" s="60"/>
      <c r="AD723" s="60"/>
      <c r="AE723" s="236"/>
      <c r="AF723" s="236"/>
      <c r="AG723" s="60"/>
      <c r="AH723" s="60"/>
      <c r="AI723" s="236"/>
      <c r="AJ723" s="236"/>
    </row>
    <row r="724">
      <c r="A724" s="61"/>
      <c r="B724" s="60"/>
      <c r="C724" s="236"/>
      <c r="D724" s="236"/>
      <c r="E724" s="60"/>
      <c r="F724" s="60"/>
      <c r="G724" s="236"/>
      <c r="H724" s="60"/>
      <c r="I724" s="60"/>
      <c r="J724" s="236"/>
      <c r="K724" s="236"/>
      <c r="L724" s="60"/>
      <c r="M724" s="60"/>
      <c r="N724" s="236"/>
      <c r="O724" s="60"/>
      <c r="P724" s="60"/>
      <c r="Q724" s="236"/>
      <c r="R724" s="236"/>
      <c r="S724" s="60"/>
      <c r="T724" s="60"/>
      <c r="U724" s="236"/>
      <c r="V724" s="60"/>
      <c r="W724" s="60"/>
      <c r="X724" s="236"/>
      <c r="Y724" s="236"/>
      <c r="Z724" s="60"/>
      <c r="AA724" s="60"/>
      <c r="AB724" s="236"/>
      <c r="AC724" s="60"/>
      <c r="AD724" s="60"/>
      <c r="AE724" s="236"/>
      <c r="AF724" s="236"/>
      <c r="AG724" s="60"/>
      <c r="AH724" s="60"/>
      <c r="AI724" s="236"/>
      <c r="AJ724" s="236"/>
    </row>
    <row r="725">
      <c r="A725" s="61"/>
      <c r="B725" s="60"/>
      <c r="C725" s="236"/>
      <c r="D725" s="236"/>
      <c r="E725" s="60"/>
      <c r="F725" s="60"/>
      <c r="G725" s="236"/>
      <c r="H725" s="60"/>
      <c r="I725" s="60"/>
      <c r="J725" s="236"/>
      <c r="K725" s="236"/>
      <c r="L725" s="60"/>
      <c r="M725" s="60"/>
      <c r="N725" s="236"/>
      <c r="O725" s="60"/>
      <c r="P725" s="60"/>
      <c r="Q725" s="236"/>
      <c r="R725" s="236"/>
      <c r="S725" s="60"/>
      <c r="T725" s="60"/>
      <c r="U725" s="236"/>
      <c r="V725" s="60"/>
      <c r="W725" s="60"/>
      <c r="X725" s="236"/>
      <c r="Y725" s="236"/>
      <c r="Z725" s="60"/>
      <c r="AA725" s="60"/>
      <c r="AB725" s="236"/>
      <c r="AC725" s="60"/>
      <c r="AD725" s="60"/>
      <c r="AE725" s="236"/>
      <c r="AF725" s="236"/>
      <c r="AG725" s="60"/>
      <c r="AH725" s="60"/>
      <c r="AI725" s="236"/>
      <c r="AJ725" s="236"/>
    </row>
    <row r="726">
      <c r="A726" s="61"/>
      <c r="B726" s="60"/>
      <c r="C726" s="236"/>
      <c r="D726" s="236"/>
      <c r="E726" s="60"/>
      <c r="F726" s="60"/>
      <c r="G726" s="236"/>
      <c r="H726" s="60"/>
      <c r="I726" s="60"/>
      <c r="J726" s="236"/>
      <c r="K726" s="236"/>
      <c r="L726" s="60"/>
      <c r="M726" s="60"/>
      <c r="N726" s="236"/>
      <c r="O726" s="60"/>
      <c r="P726" s="60"/>
      <c r="Q726" s="236"/>
      <c r="R726" s="236"/>
      <c r="S726" s="60"/>
      <c r="T726" s="60"/>
      <c r="U726" s="236"/>
      <c r="V726" s="60"/>
      <c r="W726" s="60"/>
      <c r="X726" s="236"/>
      <c r="Y726" s="236"/>
      <c r="Z726" s="60"/>
      <c r="AA726" s="60"/>
      <c r="AB726" s="236"/>
      <c r="AC726" s="60"/>
      <c r="AD726" s="60"/>
      <c r="AE726" s="236"/>
      <c r="AF726" s="236"/>
      <c r="AG726" s="60"/>
      <c r="AH726" s="60"/>
      <c r="AI726" s="236"/>
      <c r="AJ726" s="236"/>
    </row>
    <row r="727">
      <c r="A727" s="61"/>
      <c r="B727" s="60"/>
      <c r="C727" s="236"/>
      <c r="D727" s="236"/>
      <c r="E727" s="60"/>
      <c r="F727" s="60"/>
      <c r="G727" s="236"/>
      <c r="H727" s="60"/>
      <c r="I727" s="60"/>
      <c r="J727" s="236"/>
      <c r="K727" s="236"/>
      <c r="L727" s="60"/>
      <c r="M727" s="60"/>
      <c r="N727" s="236"/>
      <c r="O727" s="60"/>
      <c r="P727" s="60"/>
      <c r="Q727" s="236"/>
      <c r="R727" s="236"/>
      <c r="S727" s="60"/>
      <c r="T727" s="60"/>
      <c r="U727" s="236"/>
      <c r="V727" s="60"/>
      <c r="W727" s="60"/>
      <c r="X727" s="236"/>
      <c r="Y727" s="236"/>
      <c r="Z727" s="60"/>
      <c r="AA727" s="60"/>
      <c r="AB727" s="236"/>
      <c r="AC727" s="60"/>
      <c r="AD727" s="60"/>
      <c r="AE727" s="236"/>
      <c r="AF727" s="236"/>
      <c r="AG727" s="60"/>
      <c r="AH727" s="60"/>
      <c r="AI727" s="236"/>
      <c r="AJ727" s="236"/>
    </row>
    <row r="728">
      <c r="A728" s="61"/>
      <c r="B728" s="60"/>
      <c r="C728" s="236"/>
      <c r="D728" s="236"/>
      <c r="E728" s="60"/>
      <c r="F728" s="60"/>
      <c r="G728" s="236"/>
      <c r="H728" s="60"/>
      <c r="I728" s="60"/>
      <c r="J728" s="236"/>
      <c r="K728" s="236"/>
      <c r="L728" s="60"/>
      <c r="M728" s="60"/>
      <c r="N728" s="236"/>
      <c r="O728" s="60"/>
      <c r="P728" s="60"/>
      <c r="Q728" s="236"/>
      <c r="R728" s="236"/>
      <c r="S728" s="60"/>
      <c r="T728" s="60"/>
      <c r="U728" s="236"/>
      <c r="V728" s="60"/>
      <c r="W728" s="60"/>
      <c r="X728" s="236"/>
      <c r="Y728" s="236"/>
      <c r="Z728" s="60"/>
      <c r="AA728" s="60"/>
      <c r="AB728" s="236"/>
      <c r="AC728" s="60"/>
      <c r="AD728" s="60"/>
      <c r="AE728" s="236"/>
      <c r="AF728" s="236"/>
      <c r="AG728" s="60"/>
      <c r="AH728" s="60"/>
      <c r="AI728" s="236"/>
      <c r="AJ728" s="236"/>
    </row>
    <row r="729">
      <c r="A729" s="61"/>
      <c r="B729" s="60"/>
      <c r="C729" s="236"/>
      <c r="D729" s="236"/>
      <c r="E729" s="60"/>
      <c r="F729" s="60"/>
      <c r="G729" s="236"/>
      <c r="H729" s="60"/>
      <c r="I729" s="60"/>
      <c r="J729" s="236"/>
      <c r="K729" s="236"/>
      <c r="L729" s="60"/>
      <c r="M729" s="60"/>
      <c r="N729" s="236"/>
      <c r="O729" s="60"/>
      <c r="P729" s="60"/>
      <c r="Q729" s="236"/>
      <c r="R729" s="236"/>
      <c r="S729" s="60"/>
      <c r="T729" s="60"/>
      <c r="U729" s="236"/>
      <c r="V729" s="60"/>
      <c r="W729" s="60"/>
      <c r="X729" s="236"/>
      <c r="Y729" s="236"/>
      <c r="Z729" s="60"/>
      <c r="AA729" s="60"/>
      <c r="AB729" s="236"/>
      <c r="AC729" s="60"/>
      <c r="AD729" s="60"/>
      <c r="AE729" s="236"/>
      <c r="AF729" s="236"/>
      <c r="AG729" s="60"/>
      <c r="AH729" s="60"/>
      <c r="AI729" s="236"/>
      <c r="AJ729" s="236"/>
    </row>
    <row r="730">
      <c r="A730" s="61"/>
      <c r="B730" s="60"/>
      <c r="C730" s="236"/>
      <c r="D730" s="236"/>
      <c r="E730" s="60"/>
      <c r="F730" s="60"/>
      <c r="G730" s="236"/>
      <c r="H730" s="60"/>
      <c r="I730" s="60"/>
      <c r="J730" s="236"/>
      <c r="K730" s="236"/>
      <c r="L730" s="60"/>
      <c r="M730" s="60"/>
      <c r="N730" s="236"/>
      <c r="O730" s="60"/>
      <c r="P730" s="60"/>
      <c r="Q730" s="236"/>
      <c r="R730" s="236"/>
      <c r="S730" s="60"/>
      <c r="T730" s="60"/>
      <c r="U730" s="236"/>
      <c r="V730" s="60"/>
      <c r="W730" s="60"/>
      <c r="X730" s="236"/>
      <c r="Y730" s="236"/>
      <c r="Z730" s="60"/>
      <c r="AA730" s="60"/>
      <c r="AB730" s="236"/>
      <c r="AC730" s="60"/>
      <c r="AD730" s="60"/>
      <c r="AE730" s="236"/>
      <c r="AF730" s="236"/>
      <c r="AG730" s="60"/>
      <c r="AH730" s="60"/>
      <c r="AI730" s="236"/>
      <c r="AJ730" s="236"/>
    </row>
    <row r="731">
      <c r="A731" s="61"/>
      <c r="B731" s="60"/>
      <c r="C731" s="236"/>
      <c r="D731" s="236"/>
      <c r="E731" s="60"/>
      <c r="F731" s="60"/>
      <c r="G731" s="236"/>
      <c r="H731" s="60"/>
      <c r="I731" s="60"/>
      <c r="J731" s="236"/>
      <c r="K731" s="236"/>
      <c r="L731" s="60"/>
      <c r="M731" s="60"/>
      <c r="N731" s="236"/>
      <c r="O731" s="60"/>
      <c r="P731" s="60"/>
      <c r="Q731" s="236"/>
      <c r="R731" s="236"/>
      <c r="S731" s="60"/>
      <c r="T731" s="60"/>
      <c r="U731" s="236"/>
      <c r="V731" s="60"/>
      <c r="W731" s="60"/>
      <c r="X731" s="236"/>
      <c r="Y731" s="236"/>
      <c r="Z731" s="60"/>
      <c r="AA731" s="60"/>
      <c r="AB731" s="236"/>
      <c r="AC731" s="60"/>
      <c r="AD731" s="60"/>
      <c r="AE731" s="236"/>
      <c r="AF731" s="236"/>
      <c r="AG731" s="60"/>
      <c r="AH731" s="60"/>
      <c r="AI731" s="236"/>
      <c r="AJ731" s="236"/>
    </row>
    <row r="732">
      <c r="A732" s="61"/>
      <c r="B732" s="60"/>
      <c r="C732" s="236"/>
      <c r="D732" s="236"/>
      <c r="E732" s="60"/>
      <c r="F732" s="60"/>
      <c r="G732" s="236"/>
      <c r="H732" s="60"/>
      <c r="I732" s="60"/>
      <c r="J732" s="236"/>
      <c r="K732" s="236"/>
      <c r="L732" s="60"/>
      <c r="M732" s="60"/>
      <c r="N732" s="236"/>
      <c r="O732" s="60"/>
      <c r="P732" s="60"/>
      <c r="Q732" s="236"/>
      <c r="R732" s="236"/>
      <c r="S732" s="60"/>
      <c r="T732" s="60"/>
      <c r="U732" s="236"/>
      <c r="V732" s="60"/>
      <c r="W732" s="60"/>
      <c r="X732" s="236"/>
      <c r="Y732" s="236"/>
      <c r="Z732" s="60"/>
      <c r="AA732" s="60"/>
      <c r="AB732" s="236"/>
      <c r="AC732" s="60"/>
      <c r="AD732" s="60"/>
      <c r="AE732" s="236"/>
      <c r="AF732" s="236"/>
      <c r="AG732" s="60"/>
      <c r="AH732" s="60"/>
      <c r="AI732" s="236"/>
      <c r="AJ732" s="236"/>
    </row>
    <row r="733">
      <c r="A733" s="61"/>
      <c r="B733" s="60"/>
      <c r="C733" s="236"/>
      <c r="D733" s="236"/>
      <c r="E733" s="60"/>
      <c r="F733" s="60"/>
      <c r="G733" s="236"/>
      <c r="H733" s="60"/>
      <c r="I733" s="60"/>
      <c r="J733" s="236"/>
      <c r="K733" s="236"/>
      <c r="L733" s="60"/>
      <c r="M733" s="60"/>
      <c r="N733" s="236"/>
      <c r="O733" s="60"/>
      <c r="P733" s="60"/>
      <c r="Q733" s="236"/>
      <c r="R733" s="236"/>
      <c r="S733" s="60"/>
      <c r="T733" s="60"/>
      <c r="U733" s="236"/>
      <c r="V733" s="60"/>
      <c r="W733" s="60"/>
      <c r="X733" s="236"/>
      <c r="Y733" s="236"/>
      <c r="Z733" s="60"/>
      <c r="AA733" s="60"/>
      <c r="AB733" s="236"/>
      <c r="AC733" s="60"/>
      <c r="AD733" s="60"/>
      <c r="AE733" s="236"/>
      <c r="AF733" s="236"/>
      <c r="AG733" s="60"/>
      <c r="AH733" s="60"/>
      <c r="AI733" s="236"/>
      <c r="AJ733" s="236"/>
    </row>
    <row r="734">
      <c r="A734" s="61"/>
      <c r="B734" s="60"/>
      <c r="C734" s="236"/>
      <c r="D734" s="236"/>
      <c r="E734" s="60"/>
      <c r="F734" s="60"/>
      <c r="G734" s="236"/>
      <c r="H734" s="60"/>
      <c r="I734" s="60"/>
      <c r="J734" s="236"/>
      <c r="K734" s="236"/>
      <c r="L734" s="60"/>
      <c r="M734" s="60"/>
      <c r="N734" s="236"/>
      <c r="O734" s="60"/>
      <c r="P734" s="60"/>
      <c r="Q734" s="236"/>
      <c r="R734" s="236"/>
      <c r="S734" s="60"/>
      <c r="T734" s="60"/>
      <c r="U734" s="236"/>
      <c r="V734" s="60"/>
      <c r="W734" s="60"/>
      <c r="X734" s="236"/>
      <c r="Y734" s="236"/>
      <c r="Z734" s="60"/>
      <c r="AA734" s="60"/>
      <c r="AB734" s="236"/>
      <c r="AC734" s="60"/>
      <c r="AD734" s="60"/>
      <c r="AE734" s="236"/>
      <c r="AF734" s="236"/>
      <c r="AG734" s="60"/>
      <c r="AH734" s="60"/>
      <c r="AI734" s="236"/>
      <c r="AJ734" s="236"/>
    </row>
    <row r="735">
      <c r="A735" s="61"/>
      <c r="B735" s="60"/>
      <c r="C735" s="236"/>
      <c r="D735" s="236"/>
      <c r="E735" s="60"/>
      <c r="F735" s="60"/>
      <c r="G735" s="236"/>
      <c r="H735" s="60"/>
      <c r="I735" s="60"/>
      <c r="J735" s="236"/>
      <c r="K735" s="236"/>
      <c r="L735" s="60"/>
      <c r="M735" s="60"/>
      <c r="N735" s="236"/>
      <c r="O735" s="60"/>
      <c r="P735" s="60"/>
      <c r="Q735" s="236"/>
      <c r="R735" s="236"/>
      <c r="S735" s="60"/>
      <c r="T735" s="60"/>
      <c r="U735" s="236"/>
      <c r="V735" s="60"/>
      <c r="W735" s="60"/>
      <c r="X735" s="236"/>
      <c r="Y735" s="236"/>
      <c r="Z735" s="60"/>
      <c r="AA735" s="60"/>
      <c r="AB735" s="236"/>
      <c r="AC735" s="60"/>
      <c r="AD735" s="60"/>
      <c r="AE735" s="236"/>
      <c r="AF735" s="236"/>
      <c r="AG735" s="60"/>
      <c r="AH735" s="60"/>
      <c r="AI735" s="236"/>
      <c r="AJ735" s="236"/>
    </row>
    <row r="736">
      <c r="A736" s="61"/>
      <c r="B736" s="60"/>
      <c r="C736" s="236"/>
      <c r="D736" s="236"/>
      <c r="E736" s="60"/>
      <c r="F736" s="60"/>
      <c r="G736" s="236"/>
      <c r="H736" s="60"/>
      <c r="I736" s="60"/>
      <c r="J736" s="236"/>
      <c r="K736" s="236"/>
      <c r="L736" s="60"/>
      <c r="M736" s="60"/>
      <c r="N736" s="236"/>
      <c r="O736" s="60"/>
      <c r="P736" s="60"/>
      <c r="Q736" s="236"/>
      <c r="R736" s="236"/>
      <c r="S736" s="60"/>
      <c r="T736" s="60"/>
      <c r="U736" s="236"/>
      <c r="V736" s="60"/>
      <c r="W736" s="60"/>
      <c r="X736" s="236"/>
      <c r="Y736" s="236"/>
      <c r="Z736" s="60"/>
      <c r="AA736" s="60"/>
      <c r="AB736" s="236"/>
      <c r="AC736" s="60"/>
      <c r="AD736" s="60"/>
      <c r="AE736" s="236"/>
      <c r="AF736" s="236"/>
      <c r="AG736" s="60"/>
      <c r="AH736" s="60"/>
      <c r="AI736" s="236"/>
      <c r="AJ736" s="236"/>
    </row>
    <row r="737">
      <c r="A737" s="61"/>
      <c r="B737" s="60"/>
      <c r="C737" s="236"/>
      <c r="D737" s="236"/>
      <c r="E737" s="60"/>
      <c r="F737" s="60"/>
      <c r="G737" s="236"/>
      <c r="H737" s="60"/>
      <c r="I737" s="60"/>
      <c r="J737" s="236"/>
      <c r="K737" s="236"/>
      <c r="L737" s="60"/>
      <c r="M737" s="60"/>
      <c r="N737" s="236"/>
      <c r="O737" s="60"/>
      <c r="P737" s="60"/>
      <c r="Q737" s="236"/>
      <c r="R737" s="236"/>
      <c r="S737" s="60"/>
      <c r="T737" s="60"/>
      <c r="U737" s="236"/>
      <c r="V737" s="60"/>
      <c r="W737" s="60"/>
      <c r="X737" s="236"/>
      <c r="Y737" s="236"/>
      <c r="Z737" s="60"/>
      <c r="AA737" s="60"/>
      <c r="AB737" s="236"/>
      <c r="AC737" s="60"/>
      <c r="AD737" s="60"/>
      <c r="AE737" s="236"/>
      <c r="AF737" s="236"/>
      <c r="AG737" s="60"/>
      <c r="AH737" s="60"/>
      <c r="AI737" s="236"/>
      <c r="AJ737" s="236"/>
    </row>
    <row r="738">
      <c r="A738" s="61"/>
      <c r="B738" s="60"/>
      <c r="C738" s="236"/>
      <c r="D738" s="236"/>
      <c r="E738" s="60"/>
      <c r="F738" s="60"/>
      <c r="G738" s="236"/>
      <c r="H738" s="60"/>
      <c r="I738" s="60"/>
      <c r="J738" s="236"/>
      <c r="K738" s="236"/>
      <c r="L738" s="60"/>
      <c r="M738" s="60"/>
      <c r="N738" s="236"/>
      <c r="O738" s="60"/>
      <c r="P738" s="60"/>
      <c r="Q738" s="236"/>
      <c r="R738" s="236"/>
      <c r="S738" s="60"/>
      <c r="T738" s="60"/>
      <c r="U738" s="236"/>
      <c r="V738" s="60"/>
      <c r="W738" s="60"/>
      <c r="X738" s="236"/>
      <c r="Y738" s="236"/>
      <c r="Z738" s="60"/>
      <c r="AA738" s="60"/>
      <c r="AB738" s="236"/>
      <c r="AC738" s="60"/>
      <c r="AD738" s="60"/>
      <c r="AE738" s="236"/>
      <c r="AF738" s="236"/>
      <c r="AG738" s="60"/>
      <c r="AH738" s="60"/>
      <c r="AI738" s="236"/>
      <c r="AJ738" s="236"/>
    </row>
    <row r="739">
      <c r="A739" s="61"/>
      <c r="B739" s="60"/>
      <c r="C739" s="236"/>
      <c r="D739" s="236"/>
      <c r="E739" s="60"/>
      <c r="F739" s="60"/>
      <c r="G739" s="236"/>
      <c r="H739" s="60"/>
      <c r="I739" s="60"/>
      <c r="J739" s="236"/>
      <c r="K739" s="236"/>
      <c r="L739" s="60"/>
      <c r="M739" s="60"/>
      <c r="N739" s="236"/>
      <c r="O739" s="60"/>
      <c r="P739" s="60"/>
      <c r="Q739" s="236"/>
      <c r="R739" s="236"/>
      <c r="S739" s="60"/>
      <c r="T739" s="60"/>
      <c r="U739" s="236"/>
      <c r="V739" s="60"/>
      <c r="W739" s="60"/>
      <c r="X739" s="236"/>
      <c r="Y739" s="236"/>
      <c r="Z739" s="60"/>
      <c r="AA739" s="60"/>
      <c r="AB739" s="236"/>
      <c r="AC739" s="60"/>
      <c r="AD739" s="60"/>
      <c r="AE739" s="236"/>
      <c r="AF739" s="236"/>
      <c r="AG739" s="60"/>
      <c r="AH739" s="60"/>
      <c r="AI739" s="236"/>
      <c r="AJ739" s="236"/>
    </row>
    <row r="740">
      <c r="A740" s="61"/>
      <c r="B740" s="60"/>
      <c r="C740" s="236"/>
      <c r="D740" s="236"/>
      <c r="E740" s="60"/>
      <c r="F740" s="60"/>
      <c r="G740" s="236"/>
      <c r="H740" s="60"/>
      <c r="I740" s="60"/>
      <c r="J740" s="236"/>
      <c r="K740" s="236"/>
      <c r="L740" s="60"/>
      <c r="M740" s="60"/>
      <c r="N740" s="236"/>
      <c r="O740" s="60"/>
      <c r="P740" s="60"/>
      <c r="Q740" s="236"/>
      <c r="R740" s="236"/>
      <c r="S740" s="60"/>
      <c r="T740" s="60"/>
      <c r="U740" s="236"/>
      <c r="V740" s="60"/>
      <c r="W740" s="60"/>
      <c r="X740" s="236"/>
      <c r="Y740" s="236"/>
      <c r="Z740" s="60"/>
      <c r="AA740" s="60"/>
      <c r="AB740" s="236"/>
      <c r="AC740" s="60"/>
      <c r="AD740" s="60"/>
      <c r="AE740" s="236"/>
      <c r="AF740" s="236"/>
      <c r="AG740" s="60"/>
      <c r="AH740" s="60"/>
      <c r="AI740" s="236"/>
      <c r="AJ740" s="236"/>
    </row>
    <row r="741">
      <c r="A741" s="61"/>
      <c r="B741" s="60"/>
      <c r="C741" s="236"/>
      <c r="D741" s="236"/>
      <c r="E741" s="60"/>
      <c r="F741" s="60"/>
      <c r="G741" s="236"/>
      <c r="H741" s="60"/>
      <c r="I741" s="60"/>
      <c r="J741" s="236"/>
      <c r="K741" s="236"/>
      <c r="L741" s="60"/>
      <c r="M741" s="60"/>
      <c r="N741" s="236"/>
      <c r="O741" s="60"/>
      <c r="P741" s="60"/>
      <c r="Q741" s="236"/>
      <c r="R741" s="236"/>
      <c r="S741" s="60"/>
      <c r="T741" s="60"/>
      <c r="U741" s="236"/>
      <c r="V741" s="60"/>
      <c r="W741" s="60"/>
      <c r="X741" s="236"/>
      <c r="Y741" s="236"/>
      <c r="Z741" s="60"/>
      <c r="AA741" s="60"/>
      <c r="AB741" s="236"/>
      <c r="AC741" s="60"/>
      <c r="AD741" s="60"/>
      <c r="AE741" s="236"/>
      <c r="AF741" s="236"/>
      <c r="AG741" s="60"/>
      <c r="AH741" s="60"/>
      <c r="AI741" s="236"/>
      <c r="AJ741" s="236"/>
    </row>
    <row r="742">
      <c r="A742" s="61"/>
      <c r="B742" s="60"/>
      <c r="C742" s="236"/>
      <c r="D742" s="236"/>
      <c r="E742" s="60"/>
      <c r="F742" s="60"/>
      <c r="G742" s="236"/>
      <c r="H742" s="60"/>
      <c r="I742" s="60"/>
      <c r="J742" s="236"/>
      <c r="K742" s="236"/>
      <c r="L742" s="60"/>
      <c r="M742" s="60"/>
      <c r="N742" s="236"/>
      <c r="O742" s="60"/>
      <c r="P742" s="60"/>
      <c r="Q742" s="236"/>
      <c r="R742" s="236"/>
      <c r="S742" s="60"/>
      <c r="T742" s="60"/>
      <c r="U742" s="236"/>
      <c r="V742" s="60"/>
      <c r="W742" s="60"/>
      <c r="X742" s="236"/>
      <c r="Y742" s="236"/>
      <c r="Z742" s="60"/>
      <c r="AA742" s="60"/>
      <c r="AB742" s="236"/>
      <c r="AC742" s="60"/>
      <c r="AD742" s="60"/>
      <c r="AE742" s="236"/>
      <c r="AF742" s="236"/>
      <c r="AG742" s="60"/>
      <c r="AH742" s="60"/>
      <c r="AI742" s="236"/>
      <c r="AJ742" s="236"/>
    </row>
    <row r="743">
      <c r="A743" s="61"/>
      <c r="B743" s="60"/>
      <c r="C743" s="236"/>
      <c r="D743" s="236"/>
      <c r="E743" s="60"/>
      <c r="F743" s="60"/>
      <c r="G743" s="236"/>
      <c r="H743" s="60"/>
      <c r="I743" s="60"/>
      <c r="J743" s="236"/>
      <c r="K743" s="236"/>
      <c r="L743" s="60"/>
      <c r="M743" s="60"/>
      <c r="N743" s="236"/>
      <c r="O743" s="60"/>
      <c r="P743" s="60"/>
      <c r="Q743" s="236"/>
      <c r="R743" s="236"/>
      <c r="S743" s="60"/>
      <c r="T743" s="60"/>
      <c r="U743" s="236"/>
      <c r="V743" s="60"/>
      <c r="W743" s="60"/>
      <c r="X743" s="236"/>
      <c r="Y743" s="236"/>
      <c r="Z743" s="60"/>
      <c r="AA743" s="60"/>
      <c r="AB743" s="236"/>
      <c r="AC743" s="60"/>
      <c r="AD743" s="60"/>
      <c r="AE743" s="236"/>
      <c r="AF743" s="236"/>
      <c r="AG743" s="60"/>
      <c r="AH743" s="60"/>
      <c r="AI743" s="236"/>
      <c r="AJ743" s="236"/>
    </row>
    <row r="744">
      <c r="A744" s="61"/>
      <c r="B744" s="60"/>
      <c r="C744" s="236"/>
      <c r="D744" s="236"/>
      <c r="E744" s="60"/>
      <c r="F744" s="60"/>
      <c r="G744" s="236"/>
      <c r="H744" s="60"/>
      <c r="I744" s="60"/>
      <c r="J744" s="236"/>
      <c r="K744" s="236"/>
      <c r="L744" s="60"/>
      <c r="M744" s="60"/>
      <c r="N744" s="236"/>
      <c r="O744" s="60"/>
      <c r="P744" s="60"/>
      <c r="Q744" s="236"/>
      <c r="R744" s="236"/>
      <c r="S744" s="60"/>
      <c r="T744" s="60"/>
      <c r="U744" s="236"/>
      <c r="V744" s="60"/>
      <c r="W744" s="60"/>
      <c r="X744" s="236"/>
      <c r="Y744" s="236"/>
      <c r="Z744" s="60"/>
      <c r="AA744" s="60"/>
      <c r="AB744" s="236"/>
      <c r="AC744" s="60"/>
      <c r="AD744" s="60"/>
      <c r="AE744" s="236"/>
      <c r="AF744" s="236"/>
      <c r="AG744" s="60"/>
      <c r="AH744" s="60"/>
      <c r="AI744" s="236"/>
      <c r="AJ744" s="236"/>
    </row>
    <row r="745">
      <c r="A745" s="61"/>
      <c r="B745" s="60"/>
      <c r="C745" s="236"/>
      <c r="D745" s="236"/>
      <c r="E745" s="60"/>
      <c r="F745" s="60"/>
      <c r="G745" s="236"/>
      <c r="H745" s="60"/>
      <c r="I745" s="60"/>
      <c r="J745" s="236"/>
      <c r="K745" s="236"/>
      <c r="L745" s="60"/>
      <c r="M745" s="60"/>
      <c r="N745" s="236"/>
      <c r="O745" s="60"/>
      <c r="P745" s="60"/>
      <c r="Q745" s="236"/>
      <c r="R745" s="236"/>
      <c r="S745" s="60"/>
      <c r="T745" s="60"/>
      <c r="U745" s="236"/>
      <c r="V745" s="60"/>
      <c r="W745" s="60"/>
      <c r="X745" s="236"/>
      <c r="Y745" s="236"/>
      <c r="Z745" s="60"/>
      <c r="AA745" s="60"/>
      <c r="AB745" s="236"/>
      <c r="AC745" s="60"/>
      <c r="AD745" s="60"/>
      <c r="AE745" s="236"/>
      <c r="AF745" s="236"/>
      <c r="AG745" s="60"/>
      <c r="AH745" s="60"/>
      <c r="AI745" s="236"/>
      <c r="AJ745" s="236"/>
    </row>
    <row r="746">
      <c r="A746" s="61"/>
      <c r="B746" s="60"/>
      <c r="C746" s="236"/>
      <c r="D746" s="236"/>
      <c r="E746" s="60"/>
      <c r="F746" s="60"/>
      <c r="G746" s="236"/>
      <c r="H746" s="60"/>
      <c r="I746" s="60"/>
      <c r="J746" s="236"/>
      <c r="K746" s="236"/>
      <c r="L746" s="60"/>
      <c r="M746" s="60"/>
      <c r="N746" s="236"/>
      <c r="O746" s="60"/>
      <c r="P746" s="60"/>
      <c r="Q746" s="236"/>
      <c r="R746" s="236"/>
      <c r="S746" s="60"/>
      <c r="T746" s="60"/>
      <c r="U746" s="236"/>
      <c r="V746" s="60"/>
      <c r="W746" s="60"/>
      <c r="X746" s="236"/>
      <c r="Y746" s="236"/>
      <c r="Z746" s="60"/>
      <c r="AA746" s="60"/>
      <c r="AB746" s="236"/>
      <c r="AC746" s="60"/>
      <c r="AD746" s="60"/>
      <c r="AE746" s="236"/>
      <c r="AF746" s="236"/>
      <c r="AG746" s="60"/>
      <c r="AH746" s="60"/>
      <c r="AI746" s="236"/>
      <c r="AJ746" s="236"/>
    </row>
    <row r="747">
      <c r="A747" s="61"/>
      <c r="B747" s="60"/>
      <c r="C747" s="236"/>
      <c r="D747" s="236"/>
      <c r="E747" s="60"/>
      <c r="F747" s="60"/>
      <c r="G747" s="236"/>
      <c r="H747" s="60"/>
      <c r="I747" s="60"/>
      <c r="J747" s="236"/>
      <c r="K747" s="236"/>
      <c r="L747" s="60"/>
      <c r="M747" s="60"/>
      <c r="N747" s="236"/>
      <c r="O747" s="60"/>
      <c r="P747" s="60"/>
      <c r="Q747" s="236"/>
      <c r="R747" s="236"/>
      <c r="S747" s="60"/>
      <c r="T747" s="60"/>
      <c r="U747" s="236"/>
      <c r="V747" s="60"/>
      <c r="W747" s="60"/>
      <c r="X747" s="236"/>
      <c r="Y747" s="236"/>
      <c r="Z747" s="60"/>
      <c r="AA747" s="60"/>
      <c r="AB747" s="236"/>
      <c r="AC747" s="60"/>
      <c r="AD747" s="60"/>
      <c r="AE747" s="236"/>
      <c r="AF747" s="236"/>
      <c r="AG747" s="60"/>
      <c r="AH747" s="60"/>
      <c r="AI747" s="236"/>
      <c r="AJ747" s="236"/>
    </row>
    <row r="748">
      <c r="A748" s="61"/>
      <c r="B748" s="60"/>
      <c r="C748" s="236"/>
      <c r="D748" s="236"/>
      <c r="E748" s="60"/>
      <c r="F748" s="60"/>
      <c r="G748" s="236"/>
      <c r="H748" s="60"/>
      <c r="I748" s="60"/>
      <c r="J748" s="236"/>
      <c r="K748" s="236"/>
      <c r="L748" s="60"/>
      <c r="M748" s="60"/>
      <c r="N748" s="236"/>
      <c r="O748" s="60"/>
      <c r="P748" s="60"/>
      <c r="Q748" s="236"/>
      <c r="R748" s="236"/>
      <c r="S748" s="60"/>
      <c r="T748" s="60"/>
      <c r="U748" s="236"/>
      <c r="V748" s="60"/>
      <c r="W748" s="60"/>
      <c r="X748" s="236"/>
      <c r="Y748" s="236"/>
      <c r="Z748" s="60"/>
      <c r="AA748" s="60"/>
      <c r="AB748" s="236"/>
      <c r="AC748" s="60"/>
      <c r="AD748" s="60"/>
      <c r="AE748" s="236"/>
      <c r="AF748" s="236"/>
      <c r="AG748" s="60"/>
      <c r="AH748" s="60"/>
      <c r="AI748" s="236"/>
      <c r="AJ748" s="236"/>
    </row>
    <row r="749">
      <c r="A749" s="61"/>
      <c r="B749" s="60"/>
      <c r="C749" s="236"/>
      <c r="D749" s="236"/>
      <c r="E749" s="60"/>
      <c r="F749" s="60"/>
      <c r="G749" s="236"/>
      <c r="H749" s="60"/>
      <c r="I749" s="60"/>
      <c r="J749" s="236"/>
      <c r="K749" s="236"/>
      <c r="L749" s="60"/>
      <c r="M749" s="60"/>
      <c r="N749" s="236"/>
      <c r="O749" s="60"/>
      <c r="P749" s="60"/>
      <c r="Q749" s="236"/>
      <c r="R749" s="236"/>
      <c r="S749" s="60"/>
      <c r="T749" s="60"/>
      <c r="U749" s="236"/>
      <c r="V749" s="60"/>
      <c r="W749" s="60"/>
      <c r="X749" s="236"/>
      <c r="Y749" s="236"/>
      <c r="Z749" s="60"/>
      <c r="AA749" s="60"/>
      <c r="AB749" s="236"/>
      <c r="AC749" s="60"/>
      <c r="AD749" s="60"/>
      <c r="AE749" s="236"/>
      <c r="AF749" s="236"/>
      <c r="AG749" s="60"/>
      <c r="AH749" s="60"/>
      <c r="AI749" s="236"/>
      <c r="AJ749" s="236"/>
    </row>
    <row r="750">
      <c r="A750" s="61"/>
      <c r="B750" s="60"/>
      <c r="C750" s="236"/>
      <c r="D750" s="236"/>
      <c r="E750" s="60"/>
      <c r="F750" s="60"/>
      <c r="G750" s="236"/>
      <c r="H750" s="60"/>
      <c r="I750" s="60"/>
      <c r="J750" s="236"/>
      <c r="K750" s="236"/>
      <c r="L750" s="60"/>
      <c r="M750" s="60"/>
      <c r="N750" s="236"/>
      <c r="O750" s="60"/>
      <c r="P750" s="60"/>
      <c r="Q750" s="236"/>
      <c r="R750" s="236"/>
      <c r="S750" s="60"/>
      <c r="T750" s="60"/>
      <c r="U750" s="236"/>
      <c r="V750" s="60"/>
      <c r="W750" s="60"/>
      <c r="X750" s="236"/>
      <c r="Y750" s="236"/>
      <c r="Z750" s="60"/>
      <c r="AA750" s="60"/>
      <c r="AB750" s="236"/>
      <c r="AC750" s="60"/>
      <c r="AD750" s="60"/>
      <c r="AE750" s="236"/>
      <c r="AF750" s="236"/>
      <c r="AG750" s="60"/>
      <c r="AH750" s="60"/>
      <c r="AI750" s="236"/>
      <c r="AJ750" s="236"/>
    </row>
    <row r="751">
      <c r="A751" s="61"/>
      <c r="B751" s="60"/>
      <c r="C751" s="236"/>
      <c r="D751" s="236"/>
      <c r="E751" s="60"/>
      <c r="F751" s="60"/>
      <c r="G751" s="236"/>
      <c r="H751" s="60"/>
      <c r="I751" s="60"/>
      <c r="J751" s="236"/>
      <c r="K751" s="236"/>
      <c r="L751" s="60"/>
      <c r="M751" s="60"/>
      <c r="N751" s="236"/>
      <c r="O751" s="60"/>
      <c r="P751" s="60"/>
      <c r="Q751" s="236"/>
      <c r="R751" s="236"/>
      <c r="S751" s="60"/>
      <c r="T751" s="60"/>
      <c r="U751" s="236"/>
      <c r="V751" s="60"/>
      <c r="W751" s="60"/>
      <c r="X751" s="236"/>
      <c r="Y751" s="236"/>
      <c r="Z751" s="60"/>
      <c r="AA751" s="60"/>
      <c r="AB751" s="236"/>
      <c r="AC751" s="60"/>
      <c r="AD751" s="60"/>
      <c r="AE751" s="236"/>
      <c r="AF751" s="236"/>
      <c r="AG751" s="60"/>
      <c r="AH751" s="60"/>
      <c r="AI751" s="236"/>
      <c r="AJ751" s="236"/>
    </row>
    <row r="752">
      <c r="A752" s="61"/>
      <c r="B752" s="60"/>
      <c r="C752" s="236"/>
      <c r="D752" s="236"/>
      <c r="E752" s="60"/>
      <c r="F752" s="60"/>
      <c r="G752" s="236"/>
      <c r="H752" s="60"/>
      <c r="I752" s="60"/>
      <c r="J752" s="236"/>
      <c r="K752" s="236"/>
      <c r="L752" s="60"/>
      <c r="M752" s="60"/>
      <c r="N752" s="236"/>
      <c r="O752" s="60"/>
      <c r="P752" s="60"/>
      <c r="Q752" s="236"/>
      <c r="R752" s="236"/>
      <c r="S752" s="60"/>
      <c r="T752" s="60"/>
      <c r="U752" s="236"/>
      <c r="V752" s="60"/>
      <c r="W752" s="60"/>
      <c r="X752" s="236"/>
      <c r="Y752" s="236"/>
      <c r="Z752" s="60"/>
      <c r="AA752" s="60"/>
      <c r="AB752" s="236"/>
      <c r="AC752" s="60"/>
      <c r="AD752" s="60"/>
      <c r="AE752" s="236"/>
      <c r="AF752" s="236"/>
      <c r="AG752" s="60"/>
      <c r="AH752" s="60"/>
      <c r="AI752" s="236"/>
      <c r="AJ752" s="236"/>
    </row>
    <row r="753">
      <c r="A753" s="61"/>
      <c r="B753" s="60"/>
      <c r="C753" s="236"/>
      <c r="D753" s="236"/>
      <c r="E753" s="60"/>
      <c r="F753" s="60"/>
      <c r="G753" s="236"/>
      <c r="H753" s="60"/>
      <c r="I753" s="60"/>
      <c r="J753" s="236"/>
      <c r="K753" s="236"/>
      <c r="L753" s="60"/>
      <c r="M753" s="60"/>
      <c r="N753" s="236"/>
      <c r="O753" s="60"/>
      <c r="P753" s="60"/>
      <c r="Q753" s="236"/>
      <c r="R753" s="236"/>
      <c r="S753" s="60"/>
      <c r="T753" s="60"/>
      <c r="U753" s="236"/>
      <c r="V753" s="60"/>
      <c r="W753" s="60"/>
      <c r="X753" s="236"/>
      <c r="Y753" s="236"/>
      <c r="Z753" s="60"/>
      <c r="AA753" s="60"/>
      <c r="AB753" s="236"/>
      <c r="AC753" s="60"/>
      <c r="AD753" s="60"/>
      <c r="AE753" s="236"/>
      <c r="AF753" s="236"/>
      <c r="AG753" s="60"/>
      <c r="AH753" s="60"/>
      <c r="AI753" s="236"/>
      <c r="AJ753" s="236"/>
    </row>
    <row r="754">
      <c r="A754" s="61"/>
      <c r="B754" s="60"/>
      <c r="C754" s="236"/>
      <c r="D754" s="236"/>
      <c r="E754" s="60"/>
      <c r="F754" s="60"/>
      <c r="G754" s="236"/>
      <c r="H754" s="60"/>
      <c r="I754" s="60"/>
      <c r="J754" s="236"/>
      <c r="K754" s="236"/>
      <c r="L754" s="60"/>
      <c r="M754" s="60"/>
      <c r="N754" s="236"/>
      <c r="O754" s="60"/>
      <c r="P754" s="60"/>
      <c r="Q754" s="236"/>
      <c r="R754" s="236"/>
      <c r="S754" s="60"/>
      <c r="T754" s="60"/>
      <c r="U754" s="236"/>
      <c r="V754" s="60"/>
      <c r="W754" s="60"/>
      <c r="X754" s="236"/>
      <c r="Y754" s="236"/>
      <c r="Z754" s="60"/>
      <c r="AA754" s="60"/>
      <c r="AB754" s="236"/>
      <c r="AC754" s="60"/>
      <c r="AD754" s="60"/>
      <c r="AE754" s="236"/>
      <c r="AF754" s="236"/>
      <c r="AG754" s="60"/>
      <c r="AH754" s="60"/>
      <c r="AI754" s="236"/>
      <c r="AJ754" s="236"/>
    </row>
    <row r="755">
      <c r="A755" s="61"/>
      <c r="B755" s="60"/>
      <c r="C755" s="236"/>
      <c r="D755" s="236"/>
      <c r="E755" s="60"/>
      <c r="F755" s="60"/>
      <c r="G755" s="236"/>
      <c r="H755" s="60"/>
      <c r="I755" s="60"/>
      <c r="J755" s="236"/>
      <c r="K755" s="236"/>
      <c r="L755" s="60"/>
      <c r="M755" s="60"/>
      <c r="N755" s="236"/>
      <c r="O755" s="60"/>
      <c r="P755" s="60"/>
      <c r="Q755" s="236"/>
      <c r="R755" s="236"/>
      <c r="S755" s="60"/>
      <c r="T755" s="60"/>
      <c r="U755" s="236"/>
      <c r="V755" s="60"/>
      <c r="W755" s="60"/>
      <c r="X755" s="236"/>
      <c r="Y755" s="236"/>
      <c r="Z755" s="60"/>
      <c r="AA755" s="60"/>
      <c r="AB755" s="236"/>
      <c r="AC755" s="60"/>
      <c r="AD755" s="60"/>
      <c r="AE755" s="236"/>
      <c r="AF755" s="236"/>
      <c r="AG755" s="60"/>
      <c r="AH755" s="60"/>
      <c r="AI755" s="236"/>
      <c r="AJ755" s="236"/>
    </row>
    <row r="756">
      <c r="A756" s="61"/>
      <c r="B756" s="60"/>
      <c r="C756" s="236"/>
      <c r="D756" s="236"/>
      <c r="E756" s="60"/>
      <c r="F756" s="60"/>
      <c r="G756" s="236"/>
      <c r="H756" s="60"/>
      <c r="I756" s="60"/>
      <c r="J756" s="236"/>
      <c r="K756" s="236"/>
      <c r="L756" s="60"/>
      <c r="M756" s="60"/>
      <c r="N756" s="236"/>
      <c r="O756" s="60"/>
      <c r="P756" s="60"/>
      <c r="Q756" s="236"/>
      <c r="R756" s="236"/>
      <c r="S756" s="60"/>
      <c r="T756" s="60"/>
      <c r="U756" s="236"/>
      <c r="V756" s="60"/>
      <c r="W756" s="60"/>
      <c r="X756" s="236"/>
      <c r="Y756" s="236"/>
      <c r="Z756" s="60"/>
      <c r="AA756" s="60"/>
      <c r="AB756" s="236"/>
      <c r="AC756" s="60"/>
      <c r="AD756" s="60"/>
      <c r="AE756" s="236"/>
      <c r="AF756" s="236"/>
      <c r="AG756" s="60"/>
      <c r="AH756" s="60"/>
      <c r="AI756" s="236"/>
      <c r="AJ756" s="236"/>
    </row>
    <row r="757">
      <c r="A757" s="61"/>
      <c r="B757" s="60"/>
      <c r="C757" s="236"/>
      <c r="D757" s="236"/>
      <c r="E757" s="60"/>
      <c r="F757" s="60"/>
      <c r="G757" s="236"/>
      <c r="H757" s="60"/>
      <c r="I757" s="60"/>
      <c r="J757" s="236"/>
      <c r="K757" s="236"/>
      <c r="L757" s="60"/>
      <c r="M757" s="60"/>
      <c r="N757" s="236"/>
      <c r="O757" s="60"/>
      <c r="P757" s="60"/>
      <c r="Q757" s="236"/>
      <c r="R757" s="236"/>
      <c r="S757" s="60"/>
      <c r="T757" s="60"/>
      <c r="U757" s="236"/>
      <c r="V757" s="60"/>
      <c r="W757" s="60"/>
      <c r="X757" s="236"/>
      <c r="Y757" s="236"/>
      <c r="Z757" s="60"/>
      <c r="AA757" s="60"/>
      <c r="AB757" s="236"/>
      <c r="AC757" s="60"/>
      <c r="AD757" s="60"/>
      <c r="AE757" s="236"/>
      <c r="AF757" s="236"/>
      <c r="AG757" s="60"/>
      <c r="AH757" s="60"/>
      <c r="AI757" s="236"/>
      <c r="AJ757" s="236"/>
    </row>
    <row r="758">
      <c r="A758" s="61"/>
      <c r="B758" s="60"/>
      <c r="C758" s="236"/>
      <c r="D758" s="236"/>
      <c r="E758" s="60"/>
      <c r="F758" s="60"/>
      <c r="G758" s="236"/>
      <c r="H758" s="60"/>
      <c r="I758" s="60"/>
      <c r="J758" s="236"/>
      <c r="K758" s="236"/>
      <c r="L758" s="60"/>
      <c r="M758" s="60"/>
      <c r="N758" s="236"/>
      <c r="O758" s="60"/>
      <c r="P758" s="60"/>
      <c r="Q758" s="236"/>
      <c r="R758" s="236"/>
      <c r="S758" s="60"/>
      <c r="T758" s="60"/>
      <c r="U758" s="236"/>
      <c r="V758" s="60"/>
      <c r="W758" s="60"/>
      <c r="X758" s="236"/>
      <c r="Y758" s="236"/>
      <c r="Z758" s="60"/>
      <c r="AA758" s="60"/>
      <c r="AB758" s="236"/>
      <c r="AC758" s="60"/>
      <c r="AD758" s="60"/>
      <c r="AE758" s="236"/>
      <c r="AF758" s="236"/>
      <c r="AG758" s="60"/>
      <c r="AH758" s="60"/>
      <c r="AI758" s="236"/>
      <c r="AJ758" s="236"/>
    </row>
    <row r="759">
      <c r="A759" s="61"/>
      <c r="B759" s="60"/>
      <c r="C759" s="236"/>
      <c r="D759" s="236"/>
      <c r="E759" s="60"/>
      <c r="F759" s="60"/>
      <c r="G759" s="236"/>
      <c r="H759" s="60"/>
      <c r="I759" s="60"/>
      <c r="J759" s="236"/>
      <c r="K759" s="236"/>
      <c r="L759" s="60"/>
      <c r="M759" s="60"/>
      <c r="N759" s="236"/>
      <c r="O759" s="60"/>
      <c r="P759" s="60"/>
      <c r="Q759" s="236"/>
      <c r="R759" s="236"/>
      <c r="S759" s="60"/>
      <c r="T759" s="60"/>
      <c r="U759" s="236"/>
      <c r="V759" s="60"/>
      <c r="W759" s="60"/>
      <c r="X759" s="236"/>
      <c r="Y759" s="236"/>
      <c r="Z759" s="60"/>
      <c r="AA759" s="60"/>
      <c r="AB759" s="236"/>
      <c r="AC759" s="60"/>
      <c r="AD759" s="60"/>
      <c r="AE759" s="236"/>
      <c r="AF759" s="236"/>
      <c r="AG759" s="60"/>
      <c r="AH759" s="60"/>
      <c r="AI759" s="236"/>
      <c r="AJ759" s="236"/>
    </row>
    <row r="760">
      <c r="A760" s="61"/>
      <c r="B760" s="60"/>
      <c r="C760" s="236"/>
      <c r="D760" s="236"/>
      <c r="E760" s="60"/>
      <c r="F760" s="60"/>
      <c r="G760" s="236"/>
      <c r="H760" s="60"/>
      <c r="I760" s="60"/>
      <c r="J760" s="236"/>
      <c r="K760" s="236"/>
      <c r="L760" s="60"/>
      <c r="M760" s="60"/>
      <c r="N760" s="236"/>
      <c r="O760" s="60"/>
      <c r="P760" s="60"/>
      <c r="Q760" s="236"/>
      <c r="R760" s="236"/>
      <c r="S760" s="60"/>
      <c r="T760" s="60"/>
      <c r="U760" s="236"/>
      <c r="V760" s="60"/>
      <c r="W760" s="60"/>
      <c r="X760" s="236"/>
      <c r="Y760" s="236"/>
      <c r="Z760" s="60"/>
      <c r="AA760" s="60"/>
      <c r="AB760" s="236"/>
      <c r="AC760" s="60"/>
      <c r="AD760" s="60"/>
      <c r="AE760" s="236"/>
      <c r="AF760" s="236"/>
      <c r="AG760" s="60"/>
      <c r="AH760" s="60"/>
      <c r="AI760" s="236"/>
      <c r="AJ760" s="236"/>
    </row>
    <row r="761">
      <c r="A761" s="61"/>
      <c r="B761" s="60"/>
      <c r="C761" s="236"/>
      <c r="D761" s="236"/>
      <c r="E761" s="60"/>
      <c r="F761" s="60"/>
      <c r="G761" s="236"/>
      <c r="H761" s="60"/>
      <c r="I761" s="60"/>
      <c r="J761" s="236"/>
      <c r="K761" s="236"/>
      <c r="L761" s="60"/>
      <c r="M761" s="60"/>
      <c r="N761" s="236"/>
      <c r="O761" s="60"/>
      <c r="P761" s="60"/>
      <c r="Q761" s="236"/>
      <c r="R761" s="236"/>
      <c r="S761" s="60"/>
      <c r="T761" s="60"/>
      <c r="U761" s="236"/>
      <c r="V761" s="60"/>
      <c r="W761" s="60"/>
      <c r="X761" s="236"/>
      <c r="Y761" s="236"/>
      <c r="Z761" s="60"/>
      <c r="AA761" s="60"/>
      <c r="AB761" s="236"/>
      <c r="AC761" s="60"/>
      <c r="AD761" s="60"/>
      <c r="AE761" s="236"/>
      <c r="AF761" s="236"/>
      <c r="AG761" s="60"/>
      <c r="AH761" s="60"/>
      <c r="AI761" s="236"/>
      <c r="AJ761" s="236"/>
    </row>
    <row r="762">
      <c r="A762" s="61"/>
      <c r="B762" s="60"/>
      <c r="C762" s="236"/>
      <c r="D762" s="236"/>
      <c r="E762" s="60"/>
      <c r="F762" s="60"/>
      <c r="G762" s="236"/>
      <c r="H762" s="60"/>
      <c r="I762" s="60"/>
      <c r="J762" s="236"/>
      <c r="K762" s="236"/>
      <c r="L762" s="60"/>
      <c r="M762" s="60"/>
      <c r="N762" s="236"/>
      <c r="O762" s="60"/>
      <c r="P762" s="60"/>
      <c r="Q762" s="236"/>
      <c r="R762" s="236"/>
      <c r="S762" s="60"/>
      <c r="T762" s="60"/>
      <c r="U762" s="236"/>
      <c r="V762" s="60"/>
      <c r="W762" s="60"/>
      <c r="X762" s="236"/>
      <c r="Y762" s="236"/>
      <c r="Z762" s="60"/>
      <c r="AA762" s="60"/>
      <c r="AB762" s="236"/>
      <c r="AC762" s="60"/>
      <c r="AD762" s="60"/>
      <c r="AE762" s="236"/>
      <c r="AF762" s="236"/>
      <c r="AG762" s="60"/>
      <c r="AH762" s="60"/>
      <c r="AI762" s="236"/>
      <c r="AJ762" s="236"/>
    </row>
    <row r="763">
      <c r="A763" s="61"/>
      <c r="B763" s="60"/>
      <c r="C763" s="236"/>
      <c r="D763" s="236"/>
      <c r="E763" s="60"/>
      <c r="F763" s="60"/>
      <c r="G763" s="236"/>
      <c r="H763" s="60"/>
      <c r="I763" s="60"/>
      <c r="J763" s="236"/>
      <c r="K763" s="236"/>
      <c r="L763" s="60"/>
      <c r="M763" s="60"/>
      <c r="N763" s="236"/>
      <c r="O763" s="60"/>
      <c r="P763" s="60"/>
      <c r="Q763" s="236"/>
      <c r="R763" s="236"/>
      <c r="S763" s="60"/>
      <c r="T763" s="60"/>
      <c r="U763" s="236"/>
      <c r="V763" s="60"/>
      <c r="W763" s="60"/>
      <c r="X763" s="236"/>
      <c r="Y763" s="236"/>
      <c r="Z763" s="60"/>
      <c r="AA763" s="60"/>
      <c r="AB763" s="236"/>
      <c r="AC763" s="60"/>
      <c r="AD763" s="60"/>
      <c r="AE763" s="236"/>
      <c r="AF763" s="236"/>
      <c r="AG763" s="60"/>
      <c r="AH763" s="60"/>
      <c r="AI763" s="236"/>
      <c r="AJ763" s="236"/>
    </row>
    <row r="764">
      <c r="A764" s="61"/>
      <c r="B764" s="60"/>
      <c r="C764" s="236"/>
      <c r="D764" s="236"/>
      <c r="E764" s="60"/>
      <c r="F764" s="60"/>
      <c r="G764" s="236"/>
      <c r="H764" s="60"/>
      <c r="I764" s="60"/>
      <c r="J764" s="236"/>
      <c r="K764" s="236"/>
      <c r="L764" s="60"/>
      <c r="M764" s="60"/>
      <c r="N764" s="236"/>
      <c r="O764" s="60"/>
      <c r="P764" s="60"/>
      <c r="Q764" s="236"/>
      <c r="R764" s="236"/>
      <c r="S764" s="60"/>
      <c r="T764" s="60"/>
      <c r="U764" s="236"/>
      <c r="V764" s="60"/>
      <c r="W764" s="60"/>
      <c r="X764" s="236"/>
      <c r="Y764" s="236"/>
      <c r="Z764" s="60"/>
      <c r="AA764" s="60"/>
      <c r="AB764" s="236"/>
      <c r="AC764" s="60"/>
      <c r="AD764" s="60"/>
      <c r="AE764" s="236"/>
      <c r="AF764" s="236"/>
      <c r="AG764" s="60"/>
      <c r="AH764" s="60"/>
      <c r="AI764" s="236"/>
      <c r="AJ764" s="236"/>
    </row>
    <row r="765">
      <c r="A765" s="61"/>
      <c r="B765" s="60"/>
      <c r="C765" s="236"/>
      <c r="D765" s="236"/>
      <c r="E765" s="60"/>
      <c r="F765" s="60"/>
      <c r="G765" s="236"/>
      <c r="H765" s="60"/>
      <c r="I765" s="60"/>
      <c r="J765" s="236"/>
      <c r="K765" s="236"/>
      <c r="L765" s="60"/>
      <c r="M765" s="60"/>
      <c r="N765" s="236"/>
      <c r="O765" s="60"/>
      <c r="P765" s="60"/>
      <c r="Q765" s="236"/>
      <c r="R765" s="236"/>
      <c r="S765" s="60"/>
      <c r="T765" s="60"/>
      <c r="U765" s="236"/>
      <c r="V765" s="60"/>
      <c r="W765" s="60"/>
      <c r="X765" s="236"/>
      <c r="Y765" s="236"/>
      <c r="Z765" s="60"/>
      <c r="AA765" s="60"/>
      <c r="AB765" s="236"/>
      <c r="AC765" s="60"/>
      <c r="AD765" s="60"/>
      <c r="AE765" s="236"/>
      <c r="AF765" s="236"/>
      <c r="AG765" s="60"/>
      <c r="AH765" s="60"/>
      <c r="AI765" s="236"/>
      <c r="AJ765" s="236"/>
    </row>
    <row r="766">
      <c r="A766" s="61"/>
      <c r="B766" s="60"/>
      <c r="C766" s="236"/>
      <c r="D766" s="236"/>
      <c r="E766" s="60"/>
      <c r="F766" s="60"/>
      <c r="G766" s="236"/>
      <c r="H766" s="60"/>
      <c r="I766" s="60"/>
      <c r="J766" s="236"/>
      <c r="K766" s="236"/>
      <c r="L766" s="60"/>
      <c r="M766" s="60"/>
      <c r="N766" s="236"/>
      <c r="O766" s="60"/>
      <c r="P766" s="60"/>
      <c r="Q766" s="236"/>
      <c r="R766" s="236"/>
      <c r="S766" s="60"/>
      <c r="T766" s="60"/>
      <c r="U766" s="236"/>
      <c r="V766" s="60"/>
      <c r="W766" s="60"/>
      <c r="X766" s="236"/>
      <c r="Y766" s="236"/>
      <c r="Z766" s="60"/>
      <c r="AA766" s="60"/>
      <c r="AB766" s="236"/>
      <c r="AC766" s="60"/>
      <c r="AD766" s="60"/>
      <c r="AE766" s="236"/>
      <c r="AF766" s="236"/>
      <c r="AG766" s="60"/>
      <c r="AH766" s="60"/>
      <c r="AI766" s="236"/>
      <c r="AJ766" s="236"/>
    </row>
    <row r="767">
      <c r="A767" s="61"/>
      <c r="B767" s="60"/>
      <c r="C767" s="236"/>
      <c r="D767" s="236"/>
      <c r="E767" s="60"/>
      <c r="F767" s="60"/>
      <c r="G767" s="236"/>
      <c r="H767" s="60"/>
      <c r="I767" s="60"/>
      <c r="J767" s="236"/>
      <c r="K767" s="236"/>
      <c r="L767" s="60"/>
      <c r="M767" s="60"/>
      <c r="N767" s="236"/>
      <c r="O767" s="60"/>
      <c r="P767" s="60"/>
      <c r="Q767" s="236"/>
      <c r="R767" s="236"/>
      <c r="S767" s="60"/>
      <c r="T767" s="60"/>
      <c r="U767" s="236"/>
      <c r="V767" s="60"/>
      <c r="W767" s="60"/>
      <c r="X767" s="236"/>
      <c r="Y767" s="236"/>
      <c r="Z767" s="60"/>
      <c r="AA767" s="60"/>
      <c r="AB767" s="236"/>
      <c r="AC767" s="60"/>
      <c r="AD767" s="60"/>
      <c r="AE767" s="236"/>
      <c r="AF767" s="236"/>
      <c r="AG767" s="60"/>
      <c r="AH767" s="60"/>
      <c r="AI767" s="236"/>
      <c r="AJ767" s="236"/>
    </row>
    <row r="768">
      <c r="A768" s="61"/>
      <c r="B768" s="60"/>
      <c r="C768" s="236"/>
      <c r="D768" s="236"/>
      <c r="E768" s="60"/>
      <c r="F768" s="60"/>
      <c r="G768" s="236"/>
      <c r="H768" s="60"/>
      <c r="I768" s="60"/>
      <c r="J768" s="236"/>
      <c r="K768" s="236"/>
      <c r="L768" s="60"/>
      <c r="M768" s="60"/>
      <c r="N768" s="236"/>
      <c r="O768" s="60"/>
      <c r="P768" s="60"/>
      <c r="Q768" s="236"/>
      <c r="R768" s="236"/>
      <c r="S768" s="60"/>
      <c r="T768" s="60"/>
      <c r="U768" s="236"/>
      <c r="V768" s="60"/>
      <c r="W768" s="60"/>
      <c r="X768" s="236"/>
      <c r="Y768" s="236"/>
      <c r="Z768" s="60"/>
      <c r="AA768" s="60"/>
      <c r="AB768" s="236"/>
      <c r="AC768" s="60"/>
      <c r="AD768" s="60"/>
      <c r="AE768" s="236"/>
      <c r="AF768" s="236"/>
      <c r="AG768" s="60"/>
      <c r="AH768" s="60"/>
      <c r="AI768" s="236"/>
      <c r="AJ768" s="236"/>
    </row>
    <row r="769">
      <c r="A769" s="61"/>
      <c r="B769" s="60"/>
      <c r="C769" s="236"/>
      <c r="D769" s="236"/>
      <c r="E769" s="60"/>
      <c r="F769" s="60"/>
      <c r="G769" s="236"/>
      <c r="H769" s="60"/>
      <c r="I769" s="60"/>
      <c r="J769" s="236"/>
      <c r="K769" s="236"/>
      <c r="L769" s="60"/>
      <c r="M769" s="60"/>
      <c r="N769" s="236"/>
      <c r="O769" s="60"/>
      <c r="P769" s="60"/>
      <c r="Q769" s="236"/>
      <c r="R769" s="236"/>
      <c r="S769" s="60"/>
      <c r="T769" s="60"/>
      <c r="U769" s="236"/>
      <c r="V769" s="60"/>
      <c r="W769" s="60"/>
      <c r="X769" s="236"/>
      <c r="Y769" s="236"/>
      <c r="Z769" s="60"/>
      <c r="AA769" s="60"/>
      <c r="AB769" s="236"/>
      <c r="AC769" s="60"/>
      <c r="AD769" s="60"/>
      <c r="AE769" s="236"/>
      <c r="AF769" s="236"/>
      <c r="AG769" s="60"/>
      <c r="AH769" s="60"/>
      <c r="AI769" s="236"/>
      <c r="AJ769" s="236"/>
    </row>
    <row r="770">
      <c r="A770" s="61"/>
      <c r="B770" s="60"/>
      <c r="C770" s="236"/>
      <c r="D770" s="236"/>
      <c r="E770" s="60"/>
      <c r="F770" s="60"/>
      <c r="G770" s="236"/>
      <c r="H770" s="60"/>
      <c r="I770" s="60"/>
      <c r="J770" s="236"/>
      <c r="K770" s="236"/>
      <c r="L770" s="60"/>
      <c r="M770" s="60"/>
      <c r="N770" s="236"/>
      <c r="O770" s="60"/>
      <c r="P770" s="60"/>
      <c r="Q770" s="236"/>
      <c r="R770" s="236"/>
      <c r="S770" s="60"/>
      <c r="T770" s="60"/>
      <c r="U770" s="236"/>
      <c r="V770" s="60"/>
      <c r="W770" s="60"/>
      <c r="X770" s="236"/>
      <c r="Y770" s="236"/>
      <c r="Z770" s="60"/>
      <c r="AA770" s="60"/>
      <c r="AB770" s="236"/>
      <c r="AC770" s="60"/>
      <c r="AD770" s="60"/>
      <c r="AE770" s="236"/>
      <c r="AF770" s="236"/>
      <c r="AG770" s="60"/>
      <c r="AH770" s="60"/>
      <c r="AI770" s="236"/>
      <c r="AJ770" s="236"/>
    </row>
    <row r="771">
      <c r="A771" s="61"/>
      <c r="B771" s="60"/>
      <c r="C771" s="236"/>
      <c r="D771" s="236"/>
      <c r="E771" s="60"/>
      <c r="F771" s="60"/>
      <c r="G771" s="236"/>
      <c r="H771" s="60"/>
      <c r="I771" s="60"/>
      <c r="J771" s="236"/>
      <c r="K771" s="236"/>
      <c r="L771" s="60"/>
      <c r="M771" s="60"/>
      <c r="N771" s="236"/>
      <c r="O771" s="60"/>
      <c r="P771" s="60"/>
      <c r="Q771" s="236"/>
      <c r="R771" s="236"/>
      <c r="S771" s="60"/>
      <c r="T771" s="60"/>
      <c r="U771" s="236"/>
      <c r="V771" s="60"/>
      <c r="W771" s="60"/>
      <c r="X771" s="236"/>
      <c r="Y771" s="236"/>
      <c r="Z771" s="60"/>
      <c r="AA771" s="60"/>
      <c r="AB771" s="236"/>
      <c r="AC771" s="60"/>
      <c r="AD771" s="60"/>
      <c r="AE771" s="236"/>
      <c r="AF771" s="236"/>
      <c r="AG771" s="60"/>
      <c r="AH771" s="60"/>
      <c r="AI771" s="236"/>
      <c r="AJ771" s="236"/>
    </row>
    <row r="772">
      <c r="A772" s="61"/>
      <c r="B772" s="60"/>
      <c r="C772" s="236"/>
      <c r="D772" s="236"/>
      <c r="E772" s="60"/>
      <c r="F772" s="60"/>
      <c r="G772" s="236"/>
      <c r="H772" s="60"/>
      <c r="I772" s="60"/>
      <c r="J772" s="236"/>
      <c r="K772" s="236"/>
      <c r="L772" s="60"/>
      <c r="M772" s="60"/>
      <c r="N772" s="236"/>
      <c r="O772" s="60"/>
      <c r="P772" s="60"/>
      <c r="Q772" s="236"/>
      <c r="R772" s="236"/>
      <c r="S772" s="60"/>
      <c r="T772" s="60"/>
      <c r="U772" s="236"/>
      <c r="V772" s="60"/>
      <c r="W772" s="60"/>
      <c r="X772" s="236"/>
      <c r="Y772" s="236"/>
      <c r="Z772" s="60"/>
      <c r="AA772" s="60"/>
      <c r="AB772" s="236"/>
      <c r="AC772" s="60"/>
      <c r="AD772" s="60"/>
      <c r="AE772" s="236"/>
      <c r="AF772" s="236"/>
      <c r="AG772" s="60"/>
      <c r="AH772" s="60"/>
      <c r="AI772" s="236"/>
      <c r="AJ772" s="236"/>
    </row>
    <row r="773">
      <c r="A773" s="61"/>
      <c r="B773" s="60"/>
      <c r="C773" s="236"/>
      <c r="D773" s="236"/>
      <c r="E773" s="60"/>
      <c r="F773" s="60"/>
      <c r="G773" s="236"/>
      <c r="H773" s="60"/>
      <c r="I773" s="60"/>
      <c r="J773" s="236"/>
      <c r="K773" s="236"/>
      <c r="L773" s="60"/>
      <c r="M773" s="60"/>
      <c r="N773" s="236"/>
      <c r="O773" s="60"/>
      <c r="P773" s="60"/>
      <c r="Q773" s="236"/>
      <c r="R773" s="236"/>
      <c r="S773" s="60"/>
      <c r="T773" s="60"/>
      <c r="U773" s="236"/>
      <c r="V773" s="60"/>
      <c r="W773" s="60"/>
      <c r="X773" s="236"/>
      <c r="Y773" s="236"/>
      <c r="Z773" s="60"/>
      <c r="AA773" s="60"/>
      <c r="AB773" s="236"/>
      <c r="AC773" s="60"/>
      <c r="AD773" s="60"/>
      <c r="AE773" s="236"/>
      <c r="AF773" s="236"/>
      <c r="AG773" s="60"/>
      <c r="AH773" s="60"/>
      <c r="AI773" s="236"/>
      <c r="AJ773" s="236"/>
    </row>
    <row r="774">
      <c r="A774" s="61"/>
      <c r="B774" s="60"/>
      <c r="C774" s="236"/>
      <c r="D774" s="236"/>
      <c r="E774" s="60"/>
      <c r="F774" s="60"/>
      <c r="G774" s="236"/>
      <c r="H774" s="60"/>
      <c r="I774" s="60"/>
      <c r="J774" s="236"/>
      <c r="K774" s="236"/>
      <c r="L774" s="60"/>
      <c r="M774" s="60"/>
      <c r="N774" s="236"/>
      <c r="O774" s="60"/>
      <c r="P774" s="60"/>
      <c r="Q774" s="236"/>
      <c r="R774" s="236"/>
      <c r="S774" s="60"/>
      <c r="T774" s="60"/>
      <c r="U774" s="236"/>
      <c r="V774" s="60"/>
      <c r="W774" s="60"/>
      <c r="X774" s="236"/>
      <c r="Y774" s="236"/>
      <c r="Z774" s="60"/>
      <c r="AA774" s="60"/>
      <c r="AB774" s="236"/>
      <c r="AC774" s="60"/>
      <c r="AD774" s="60"/>
      <c r="AE774" s="236"/>
      <c r="AF774" s="236"/>
      <c r="AG774" s="60"/>
      <c r="AH774" s="60"/>
      <c r="AI774" s="236"/>
      <c r="AJ774" s="236"/>
    </row>
    <row r="775">
      <c r="A775" s="61"/>
      <c r="B775" s="60"/>
      <c r="C775" s="236"/>
      <c r="D775" s="236"/>
      <c r="E775" s="60"/>
      <c r="F775" s="60"/>
      <c r="G775" s="236"/>
      <c r="H775" s="60"/>
      <c r="I775" s="60"/>
      <c r="J775" s="236"/>
      <c r="K775" s="236"/>
      <c r="L775" s="60"/>
      <c r="M775" s="60"/>
      <c r="N775" s="236"/>
      <c r="O775" s="60"/>
      <c r="P775" s="60"/>
      <c r="Q775" s="236"/>
      <c r="R775" s="236"/>
      <c r="S775" s="60"/>
      <c r="T775" s="60"/>
      <c r="U775" s="236"/>
      <c r="V775" s="60"/>
      <c r="W775" s="60"/>
      <c r="X775" s="236"/>
      <c r="Y775" s="236"/>
      <c r="Z775" s="60"/>
      <c r="AA775" s="60"/>
      <c r="AB775" s="236"/>
      <c r="AC775" s="60"/>
      <c r="AD775" s="60"/>
      <c r="AE775" s="236"/>
      <c r="AF775" s="236"/>
      <c r="AG775" s="60"/>
      <c r="AH775" s="60"/>
      <c r="AI775" s="236"/>
      <c r="AJ775" s="236"/>
    </row>
    <row r="776">
      <c r="A776" s="61"/>
      <c r="B776" s="60"/>
      <c r="C776" s="236"/>
      <c r="D776" s="236"/>
      <c r="E776" s="60"/>
      <c r="F776" s="60"/>
      <c r="G776" s="236"/>
      <c r="H776" s="60"/>
      <c r="I776" s="60"/>
      <c r="J776" s="236"/>
      <c r="K776" s="236"/>
      <c r="L776" s="60"/>
      <c r="M776" s="60"/>
      <c r="N776" s="236"/>
      <c r="O776" s="60"/>
      <c r="P776" s="60"/>
      <c r="Q776" s="236"/>
      <c r="R776" s="236"/>
      <c r="S776" s="60"/>
      <c r="T776" s="60"/>
      <c r="U776" s="236"/>
      <c r="V776" s="60"/>
      <c r="W776" s="60"/>
      <c r="X776" s="236"/>
      <c r="Y776" s="236"/>
      <c r="Z776" s="60"/>
      <c r="AA776" s="60"/>
      <c r="AB776" s="236"/>
      <c r="AC776" s="60"/>
      <c r="AD776" s="60"/>
      <c r="AE776" s="236"/>
      <c r="AF776" s="236"/>
      <c r="AG776" s="60"/>
      <c r="AH776" s="60"/>
      <c r="AI776" s="236"/>
      <c r="AJ776" s="236"/>
    </row>
    <row r="777">
      <c r="A777" s="61"/>
      <c r="B777" s="60"/>
      <c r="C777" s="236"/>
      <c r="D777" s="236"/>
      <c r="E777" s="60"/>
      <c r="F777" s="60"/>
      <c r="G777" s="236"/>
      <c r="H777" s="60"/>
      <c r="I777" s="60"/>
      <c r="J777" s="236"/>
      <c r="K777" s="236"/>
      <c r="L777" s="60"/>
      <c r="M777" s="60"/>
      <c r="N777" s="236"/>
      <c r="O777" s="60"/>
      <c r="P777" s="60"/>
      <c r="Q777" s="236"/>
      <c r="R777" s="236"/>
      <c r="S777" s="60"/>
      <c r="T777" s="60"/>
      <c r="U777" s="236"/>
      <c r="V777" s="60"/>
      <c r="W777" s="60"/>
      <c r="X777" s="236"/>
      <c r="Y777" s="236"/>
      <c r="Z777" s="60"/>
      <c r="AA777" s="60"/>
      <c r="AB777" s="236"/>
      <c r="AC777" s="60"/>
      <c r="AD777" s="60"/>
      <c r="AE777" s="236"/>
      <c r="AF777" s="236"/>
      <c r="AG777" s="60"/>
      <c r="AH777" s="60"/>
      <c r="AI777" s="236"/>
      <c r="AJ777" s="236"/>
    </row>
    <row r="778">
      <c r="A778" s="61"/>
      <c r="B778" s="60"/>
      <c r="C778" s="236"/>
      <c r="D778" s="236"/>
      <c r="E778" s="60"/>
      <c r="F778" s="60"/>
      <c r="G778" s="236"/>
      <c r="H778" s="60"/>
      <c r="I778" s="60"/>
      <c r="J778" s="236"/>
      <c r="K778" s="236"/>
      <c r="L778" s="60"/>
      <c r="M778" s="60"/>
      <c r="N778" s="236"/>
      <c r="O778" s="60"/>
      <c r="P778" s="60"/>
      <c r="Q778" s="236"/>
      <c r="R778" s="236"/>
      <c r="S778" s="60"/>
      <c r="T778" s="60"/>
      <c r="U778" s="236"/>
      <c r="V778" s="60"/>
      <c r="W778" s="60"/>
      <c r="X778" s="236"/>
      <c r="Y778" s="236"/>
      <c r="Z778" s="60"/>
      <c r="AA778" s="60"/>
      <c r="AB778" s="236"/>
      <c r="AC778" s="60"/>
      <c r="AD778" s="60"/>
      <c r="AE778" s="236"/>
      <c r="AF778" s="236"/>
      <c r="AG778" s="60"/>
      <c r="AH778" s="60"/>
      <c r="AI778" s="236"/>
      <c r="AJ778" s="236"/>
    </row>
    <row r="779">
      <c r="A779" s="61"/>
      <c r="B779" s="60"/>
      <c r="C779" s="236"/>
      <c r="D779" s="236"/>
      <c r="E779" s="60"/>
      <c r="F779" s="60"/>
      <c r="G779" s="236"/>
      <c r="H779" s="60"/>
      <c r="I779" s="60"/>
      <c r="J779" s="236"/>
      <c r="K779" s="236"/>
      <c r="L779" s="60"/>
      <c r="M779" s="60"/>
      <c r="N779" s="236"/>
      <c r="O779" s="60"/>
      <c r="P779" s="60"/>
      <c r="Q779" s="236"/>
      <c r="R779" s="236"/>
      <c r="S779" s="60"/>
      <c r="T779" s="60"/>
      <c r="U779" s="236"/>
      <c r="V779" s="60"/>
      <c r="W779" s="60"/>
      <c r="X779" s="236"/>
      <c r="Y779" s="236"/>
      <c r="Z779" s="60"/>
      <c r="AA779" s="60"/>
      <c r="AB779" s="236"/>
      <c r="AC779" s="60"/>
      <c r="AD779" s="60"/>
      <c r="AE779" s="236"/>
      <c r="AF779" s="236"/>
      <c r="AG779" s="60"/>
      <c r="AH779" s="60"/>
      <c r="AI779" s="236"/>
      <c r="AJ779" s="236"/>
    </row>
    <row r="780">
      <c r="A780" s="61"/>
      <c r="B780" s="60"/>
      <c r="C780" s="236"/>
      <c r="D780" s="236"/>
      <c r="E780" s="60"/>
      <c r="F780" s="60"/>
      <c r="G780" s="236"/>
      <c r="H780" s="60"/>
      <c r="I780" s="60"/>
      <c r="J780" s="236"/>
      <c r="K780" s="236"/>
      <c r="L780" s="60"/>
      <c r="M780" s="60"/>
      <c r="N780" s="236"/>
      <c r="O780" s="60"/>
      <c r="P780" s="60"/>
      <c r="Q780" s="236"/>
      <c r="R780" s="236"/>
      <c r="S780" s="60"/>
      <c r="T780" s="60"/>
      <c r="U780" s="236"/>
      <c r="V780" s="60"/>
      <c r="W780" s="60"/>
      <c r="X780" s="236"/>
      <c r="Y780" s="236"/>
      <c r="Z780" s="60"/>
      <c r="AA780" s="60"/>
      <c r="AB780" s="236"/>
      <c r="AC780" s="60"/>
      <c r="AD780" s="60"/>
      <c r="AE780" s="236"/>
      <c r="AF780" s="236"/>
      <c r="AG780" s="60"/>
      <c r="AH780" s="60"/>
      <c r="AI780" s="236"/>
      <c r="AJ780" s="236"/>
    </row>
    <row r="781">
      <c r="A781" s="61"/>
      <c r="B781" s="60"/>
      <c r="C781" s="236"/>
      <c r="D781" s="236"/>
      <c r="E781" s="60"/>
      <c r="F781" s="60"/>
      <c r="G781" s="236"/>
      <c r="H781" s="60"/>
      <c r="I781" s="60"/>
      <c r="J781" s="236"/>
      <c r="K781" s="236"/>
      <c r="L781" s="60"/>
      <c r="M781" s="60"/>
      <c r="N781" s="236"/>
      <c r="O781" s="60"/>
      <c r="P781" s="60"/>
      <c r="Q781" s="236"/>
      <c r="R781" s="236"/>
      <c r="S781" s="60"/>
      <c r="T781" s="60"/>
      <c r="U781" s="236"/>
      <c r="V781" s="60"/>
      <c r="W781" s="60"/>
      <c r="X781" s="236"/>
      <c r="Y781" s="236"/>
      <c r="Z781" s="60"/>
      <c r="AA781" s="60"/>
      <c r="AB781" s="236"/>
      <c r="AC781" s="60"/>
      <c r="AD781" s="60"/>
      <c r="AE781" s="236"/>
      <c r="AF781" s="236"/>
      <c r="AG781" s="60"/>
      <c r="AH781" s="60"/>
      <c r="AI781" s="236"/>
      <c r="AJ781" s="236"/>
    </row>
    <row r="782">
      <c r="A782" s="61"/>
      <c r="B782" s="60"/>
      <c r="C782" s="236"/>
      <c r="D782" s="236"/>
      <c r="E782" s="60"/>
      <c r="F782" s="60"/>
      <c r="G782" s="236"/>
      <c r="H782" s="60"/>
      <c r="I782" s="60"/>
      <c r="J782" s="236"/>
      <c r="K782" s="236"/>
      <c r="L782" s="60"/>
      <c r="M782" s="60"/>
      <c r="N782" s="236"/>
      <c r="O782" s="60"/>
      <c r="P782" s="60"/>
      <c r="Q782" s="236"/>
      <c r="R782" s="236"/>
      <c r="S782" s="60"/>
      <c r="T782" s="60"/>
      <c r="U782" s="236"/>
      <c r="V782" s="60"/>
      <c r="W782" s="60"/>
      <c r="X782" s="236"/>
      <c r="Y782" s="236"/>
      <c r="Z782" s="60"/>
      <c r="AA782" s="60"/>
      <c r="AB782" s="236"/>
      <c r="AC782" s="60"/>
      <c r="AD782" s="60"/>
      <c r="AE782" s="236"/>
      <c r="AF782" s="236"/>
      <c r="AG782" s="60"/>
      <c r="AH782" s="60"/>
      <c r="AI782" s="236"/>
      <c r="AJ782" s="236"/>
    </row>
    <row r="783">
      <c r="A783" s="61"/>
      <c r="B783" s="60"/>
      <c r="C783" s="236"/>
      <c r="D783" s="236"/>
      <c r="E783" s="60"/>
      <c r="F783" s="60"/>
      <c r="G783" s="236"/>
      <c r="H783" s="60"/>
      <c r="I783" s="60"/>
      <c r="J783" s="236"/>
      <c r="K783" s="236"/>
      <c r="L783" s="60"/>
      <c r="M783" s="60"/>
      <c r="N783" s="236"/>
      <c r="O783" s="60"/>
      <c r="P783" s="60"/>
      <c r="Q783" s="236"/>
      <c r="R783" s="236"/>
      <c r="S783" s="60"/>
      <c r="T783" s="60"/>
      <c r="U783" s="236"/>
      <c r="V783" s="60"/>
      <c r="W783" s="60"/>
      <c r="X783" s="236"/>
      <c r="Y783" s="236"/>
      <c r="Z783" s="60"/>
      <c r="AA783" s="60"/>
      <c r="AB783" s="236"/>
      <c r="AC783" s="60"/>
      <c r="AD783" s="60"/>
      <c r="AE783" s="236"/>
      <c r="AF783" s="236"/>
      <c r="AG783" s="60"/>
      <c r="AH783" s="60"/>
      <c r="AI783" s="236"/>
      <c r="AJ783" s="236"/>
    </row>
    <row r="784">
      <c r="A784" s="61"/>
      <c r="B784" s="60"/>
      <c r="C784" s="236"/>
      <c r="D784" s="236"/>
      <c r="E784" s="60"/>
      <c r="F784" s="60"/>
      <c r="G784" s="236"/>
      <c r="H784" s="60"/>
      <c r="I784" s="60"/>
      <c r="J784" s="236"/>
      <c r="K784" s="236"/>
      <c r="L784" s="60"/>
      <c r="M784" s="60"/>
      <c r="N784" s="236"/>
      <c r="O784" s="60"/>
      <c r="P784" s="60"/>
      <c r="Q784" s="236"/>
      <c r="R784" s="236"/>
      <c r="S784" s="60"/>
      <c r="T784" s="60"/>
      <c r="U784" s="236"/>
      <c r="V784" s="60"/>
      <c r="W784" s="60"/>
      <c r="X784" s="236"/>
      <c r="Y784" s="236"/>
      <c r="Z784" s="60"/>
      <c r="AA784" s="60"/>
      <c r="AB784" s="236"/>
      <c r="AC784" s="60"/>
      <c r="AD784" s="60"/>
      <c r="AE784" s="236"/>
      <c r="AF784" s="236"/>
      <c r="AG784" s="60"/>
      <c r="AH784" s="60"/>
      <c r="AI784" s="236"/>
      <c r="AJ784" s="236"/>
    </row>
    <row r="785">
      <c r="A785" s="61"/>
      <c r="B785" s="60"/>
      <c r="C785" s="236"/>
      <c r="D785" s="236"/>
      <c r="E785" s="60"/>
      <c r="F785" s="60"/>
      <c r="G785" s="236"/>
      <c r="H785" s="60"/>
      <c r="I785" s="60"/>
      <c r="J785" s="236"/>
      <c r="K785" s="236"/>
      <c r="L785" s="60"/>
      <c r="M785" s="60"/>
      <c r="N785" s="236"/>
      <c r="O785" s="60"/>
      <c r="P785" s="60"/>
      <c r="Q785" s="236"/>
      <c r="R785" s="236"/>
      <c r="S785" s="60"/>
      <c r="T785" s="60"/>
      <c r="U785" s="236"/>
      <c r="V785" s="60"/>
      <c r="W785" s="60"/>
      <c r="X785" s="236"/>
      <c r="Y785" s="236"/>
      <c r="Z785" s="60"/>
      <c r="AA785" s="60"/>
      <c r="AB785" s="236"/>
      <c r="AC785" s="60"/>
      <c r="AD785" s="60"/>
      <c r="AE785" s="236"/>
      <c r="AF785" s="236"/>
      <c r="AG785" s="60"/>
      <c r="AH785" s="60"/>
      <c r="AI785" s="236"/>
      <c r="AJ785" s="236"/>
    </row>
    <row r="786">
      <c r="A786" s="61"/>
      <c r="B786" s="60"/>
      <c r="C786" s="236"/>
      <c r="D786" s="236"/>
      <c r="E786" s="60"/>
      <c r="F786" s="60"/>
      <c r="G786" s="236"/>
      <c r="H786" s="60"/>
      <c r="I786" s="60"/>
      <c r="J786" s="236"/>
      <c r="K786" s="236"/>
      <c r="L786" s="60"/>
      <c r="M786" s="60"/>
      <c r="N786" s="236"/>
      <c r="O786" s="60"/>
      <c r="P786" s="60"/>
      <c r="Q786" s="236"/>
      <c r="R786" s="236"/>
      <c r="S786" s="60"/>
      <c r="T786" s="60"/>
      <c r="U786" s="236"/>
      <c r="V786" s="60"/>
      <c r="W786" s="60"/>
      <c r="X786" s="236"/>
      <c r="Y786" s="236"/>
      <c r="Z786" s="60"/>
      <c r="AA786" s="60"/>
      <c r="AB786" s="236"/>
      <c r="AC786" s="60"/>
      <c r="AD786" s="60"/>
      <c r="AE786" s="236"/>
      <c r="AF786" s="236"/>
      <c r="AG786" s="60"/>
      <c r="AH786" s="60"/>
      <c r="AI786" s="236"/>
      <c r="AJ786" s="236"/>
    </row>
    <row r="787">
      <c r="A787" s="61"/>
      <c r="B787" s="60"/>
      <c r="C787" s="236"/>
      <c r="D787" s="236"/>
      <c r="E787" s="60"/>
      <c r="F787" s="60"/>
      <c r="G787" s="236"/>
      <c r="H787" s="60"/>
      <c r="I787" s="60"/>
      <c r="J787" s="236"/>
      <c r="K787" s="236"/>
      <c r="L787" s="60"/>
      <c r="M787" s="60"/>
      <c r="N787" s="236"/>
      <c r="O787" s="60"/>
      <c r="P787" s="60"/>
      <c r="Q787" s="236"/>
      <c r="R787" s="236"/>
      <c r="S787" s="60"/>
      <c r="T787" s="60"/>
      <c r="U787" s="236"/>
      <c r="V787" s="60"/>
      <c r="W787" s="60"/>
      <c r="X787" s="236"/>
      <c r="Y787" s="236"/>
      <c r="Z787" s="60"/>
      <c r="AA787" s="60"/>
      <c r="AB787" s="236"/>
      <c r="AC787" s="60"/>
      <c r="AD787" s="60"/>
      <c r="AE787" s="236"/>
      <c r="AF787" s="236"/>
      <c r="AG787" s="60"/>
      <c r="AH787" s="60"/>
      <c r="AI787" s="236"/>
      <c r="AJ787" s="236"/>
    </row>
    <row r="788">
      <c r="A788" s="61"/>
      <c r="B788" s="60"/>
      <c r="C788" s="236"/>
      <c r="D788" s="236"/>
      <c r="E788" s="60"/>
      <c r="F788" s="60"/>
      <c r="G788" s="236"/>
      <c r="H788" s="60"/>
      <c r="I788" s="60"/>
      <c r="J788" s="236"/>
      <c r="K788" s="236"/>
      <c r="L788" s="60"/>
      <c r="M788" s="60"/>
      <c r="N788" s="236"/>
      <c r="O788" s="60"/>
      <c r="P788" s="60"/>
      <c r="Q788" s="236"/>
      <c r="R788" s="236"/>
      <c r="S788" s="60"/>
      <c r="T788" s="60"/>
      <c r="U788" s="236"/>
      <c r="V788" s="60"/>
      <c r="W788" s="60"/>
      <c r="X788" s="236"/>
      <c r="Y788" s="236"/>
      <c r="Z788" s="60"/>
      <c r="AA788" s="60"/>
      <c r="AB788" s="236"/>
      <c r="AC788" s="60"/>
      <c r="AD788" s="60"/>
      <c r="AE788" s="236"/>
      <c r="AF788" s="236"/>
      <c r="AG788" s="60"/>
      <c r="AH788" s="60"/>
      <c r="AI788" s="236"/>
      <c r="AJ788" s="236"/>
    </row>
    <row r="789">
      <c r="A789" s="61"/>
      <c r="B789" s="60"/>
      <c r="C789" s="236"/>
      <c r="D789" s="236"/>
      <c r="E789" s="60"/>
      <c r="F789" s="60"/>
      <c r="G789" s="236"/>
      <c r="H789" s="60"/>
      <c r="I789" s="60"/>
      <c r="J789" s="236"/>
      <c r="K789" s="236"/>
      <c r="L789" s="60"/>
      <c r="M789" s="60"/>
      <c r="N789" s="236"/>
      <c r="O789" s="60"/>
      <c r="P789" s="60"/>
      <c r="Q789" s="236"/>
      <c r="R789" s="236"/>
      <c r="S789" s="60"/>
      <c r="T789" s="60"/>
      <c r="U789" s="236"/>
      <c r="V789" s="60"/>
      <c r="W789" s="60"/>
      <c r="X789" s="236"/>
      <c r="Y789" s="236"/>
      <c r="Z789" s="60"/>
      <c r="AA789" s="60"/>
      <c r="AB789" s="236"/>
      <c r="AC789" s="60"/>
      <c r="AD789" s="60"/>
      <c r="AE789" s="236"/>
      <c r="AF789" s="236"/>
      <c r="AG789" s="60"/>
      <c r="AH789" s="60"/>
      <c r="AI789" s="236"/>
      <c r="AJ789" s="236"/>
    </row>
    <row r="790">
      <c r="A790" s="61"/>
      <c r="B790" s="60"/>
      <c r="C790" s="236"/>
      <c r="D790" s="236"/>
      <c r="E790" s="60"/>
      <c r="F790" s="60"/>
      <c r="G790" s="236"/>
      <c r="H790" s="60"/>
      <c r="I790" s="60"/>
      <c r="J790" s="236"/>
      <c r="K790" s="236"/>
      <c r="L790" s="60"/>
      <c r="M790" s="60"/>
      <c r="N790" s="236"/>
      <c r="O790" s="60"/>
      <c r="P790" s="60"/>
      <c r="Q790" s="236"/>
      <c r="R790" s="236"/>
      <c r="S790" s="60"/>
      <c r="T790" s="60"/>
      <c r="U790" s="236"/>
      <c r="V790" s="60"/>
      <c r="W790" s="60"/>
      <c r="X790" s="236"/>
      <c r="Y790" s="236"/>
      <c r="Z790" s="60"/>
      <c r="AA790" s="60"/>
      <c r="AB790" s="236"/>
      <c r="AC790" s="60"/>
      <c r="AD790" s="60"/>
      <c r="AE790" s="236"/>
      <c r="AF790" s="236"/>
      <c r="AG790" s="60"/>
      <c r="AH790" s="60"/>
      <c r="AI790" s="236"/>
      <c r="AJ790" s="236"/>
    </row>
    <row r="791">
      <c r="A791" s="61"/>
      <c r="B791" s="60"/>
      <c r="C791" s="236"/>
      <c r="D791" s="236"/>
      <c r="E791" s="60"/>
      <c r="F791" s="60"/>
      <c r="G791" s="236"/>
      <c r="H791" s="60"/>
      <c r="I791" s="60"/>
      <c r="J791" s="236"/>
      <c r="K791" s="236"/>
      <c r="L791" s="60"/>
      <c r="M791" s="60"/>
      <c r="N791" s="236"/>
      <c r="O791" s="60"/>
      <c r="P791" s="60"/>
      <c r="Q791" s="236"/>
      <c r="R791" s="236"/>
      <c r="S791" s="60"/>
      <c r="T791" s="60"/>
      <c r="U791" s="236"/>
      <c r="V791" s="60"/>
      <c r="W791" s="60"/>
      <c r="X791" s="236"/>
      <c r="Y791" s="236"/>
      <c r="Z791" s="60"/>
      <c r="AA791" s="60"/>
      <c r="AB791" s="236"/>
      <c r="AC791" s="60"/>
      <c r="AD791" s="60"/>
      <c r="AE791" s="236"/>
      <c r="AF791" s="236"/>
      <c r="AG791" s="60"/>
      <c r="AH791" s="60"/>
      <c r="AI791" s="236"/>
      <c r="AJ791" s="236"/>
    </row>
    <row r="792">
      <c r="A792" s="61"/>
      <c r="B792" s="60"/>
      <c r="C792" s="236"/>
      <c r="D792" s="236"/>
      <c r="E792" s="60"/>
      <c r="F792" s="60"/>
      <c r="G792" s="236"/>
      <c r="H792" s="60"/>
      <c r="I792" s="60"/>
      <c r="J792" s="236"/>
      <c r="K792" s="236"/>
      <c r="L792" s="60"/>
      <c r="M792" s="60"/>
      <c r="N792" s="236"/>
      <c r="O792" s="60"/>
      <c r="P792" s="60"/>
      <c r="Q792" s="236"/>
      <c r="R792" s="236"/>
      <c r="S792" s="60"/>
      <c r="T792" s="60"/>
      <c r="U792" s="236"/>
      <c r="V792" s="60"/>
      <c r="W792" s="60"/>
      <c r="X792" s="236"/>
      <c r="Y792" s="236"/>
      <c r="Z792" s="60"/>
      <c r="AA792" s="60"/>
      <c r="AB792" s="236"/>
      <c r="AC792" s="60"/>
      <c r="AD792" s="60"/>
      <c r="AE792" s="236"/>
      <c r="AF792" s="236"/>
      <c r="AG792" s="60"/>
      <c r="AH792" s="60"/>
      <c r="AI792" s="236"/>
      <c r="AJ792" s="236"/>
    </row>
    <row r="793">
      <c r="A793" s="61"/>
      <c r="B793" s="60"/>
      <c r="C793" s="236"/>
      <c r="D793" s="236"/>
      <c r="E793" s="60"/>
      <c r="F793" s="60"/>
      <c r="G793" s="236"/>
      <c r="H793" s="60"/>
      <c r="I793" s="60"/>
      <c r="J793" s="236"/>
      <c r="K793" s="236"/>
      <c r="L793" s="60"/>
      <c r="M793" s="60"/>
      <c r="N793" s="236"/>
      <c r="O793" s="60"/>
      <c r="P793" s="60"/>
      <c r="Q793" s="236"/>
      <c r="R793" s="236"/>
      <c r="S793" s="60"/>
      <c r="T793" s="60"/>
      <c r="U793" s="236"/>
      <c r="V793" s="60"/>
      <c r="W793" s="60"/>
      <c r="X793" s="236"/>
      <c r="Y793" s="236"/>
      <c r="Z793" s="60"/>
      <c r="AA793" s="60"/>
      <c r="AB793" s="236"/>
      <c r="AC793" s="60"/>
      <c r="AD793" s="60"/>
      <c r="AE793" s="236"/>
      <c r="AF793" s="236"/>
      <c r="AG793" s="60"/>
      <c r="AH793" s="60"/>
      <c r="AI793" s="236"/>
      <c r="AJ793" s="236"/>
    </row>
    <row r="794">
      <c r="A794" s="61"/>
      <c r="B794" s="60"/>
      <c r="C794" s="236"/>
      <c r="D794" s="236"/>
      <c r="E794" s="60"/>
      <c r="F794" s="60"/>
      <c r="G794" s="236"/>
      <c r="H794" s="60"/>
      <c r="I794" s="60"/>
      <c r="J794" s="236"/>
      <c r="K794" s="236"/>
      <c r="L794" s="60"/>
      <c r="M794" s="60"/>
      <c r="N794" s="236"/>
      <c r="O794" s="60"/>
      <c r="P794" s="60"/>
      <c r="Q794" s="236"/>
      <c r="R794" s="236"/>
      <c r="S794" s="60"/>
      <c r="T794" s="60"/>
      <c r="U794" s="236"/>
      <c r="V794" s="60"/>
      <c r="W794" s="60"/>
      <c r="X794" s="236"/>
      <c r="Y794" s="236"/>
      <c r="Z794" s="60"/>
      <c r="AA794" s="60"/>
      <c r="AB794" s="236"/>
      <c r="AC794" s="60"/>
      <c r="AD794" s="60"/>
      <c r="AE794" s="236"/>
      <c r="AF794" s="236"/>
      <c r="AG794" s="60"/>
      <c r="AH794" s="60"/>
      <c r="AI794" s="236"/>
      <c r="AJ794" s="236"/>
    </row>
    <row r="795">
      <c r="A795" s="61"/>
      <c r="B795" s="60"/>
      <c r="C795" s="236"/>
      <c r="D795" s="236"/>
      <c r="E795" s="60"/>
      <c r="F795" s="60"/>
      <c r="G795" s="236"/>
      <c r="H795" s="60"/>
      <c r="I795" s="60"/>
      <c r="J795" s="236"/>
      <c r="K795" s="236"/>
      <c r="L795" s="60"/>
      <c r="M795" s="60"/>
      <c r="N795" s="236"/>
      <c r="O795" s="60"/>
      <c r="P795" s="60"/>
      <c r="Q795" s="236"/>
      <c r="R795" s="236"/>
      <c r="S795" s="60"/>
      <c r="T795" s="60"/>
      <c r="U795" s="236"/>
      <c r="V795" s="60"/>
      <c r="W795" s="60"/>
      <c r="X795" s="236"/>
      <c r="Y795" s="236"/>
      <c r="Z795" s="60"/>
      <c r="AA795" s="60"/>
      <c r="AB795" s="236"/>
      <c r="AC795" s="60"/>
      <c r="AD795" s="60"/>
      <c r="AE795" s="236"/>
      <c r="AF795" s="236"/>
      <c r="AG795" s="60"/>
      <c r="AH795" s="60"/>
      <c r="AI795" s="236"/>
      <c r="AJ795" s="236"/>
    </row>
    <row r="796">
      <c r="A796" s="61"/>
      <c r="B796" s="60"/>
      <c r="C796" s="236"/>
      <c r="D796" s="236"/>
      <c r="E796" s="60"/>
      <c r="F796" s="60"/>
      <c r="G796" s="236"/>
      <c r="H796" s="60"/>
      <c r="I796" s="60"/>
      <c r="J796" s="236"/>
      <c r="K796" s="236"/>
      <c r="L796" s="60"/>
      <c r="M796" s="60"/>
      <c r="N796" s="236"/>
      <c r="O796" s="60"/>
      <c r="P796" s="60"/>
      <c r="Q796" s="236"/>
      <c r="R796" s="236"/>
      <c r="S796" s="60"/>
      <c r="T796" s="60"/>
      <c r="U796" s="236"/>
      <c r="V796" s="60"/>
      <c r="W796" s="60"/>
      <c r="X796" s="236"/>
      <c r="Y796" s="236"/>
      <c r="Z796" s="60"/>
      <c r="AA796" s="60"/>
      <c r="AB796" s="236"/>
      <c r="AC796" s="60"/>
      <c r="AD796" s="60"/>
      <c r="AE796" s="236"/>
      <c r="AF796" s="236"/>
      <c r="AG796" s="60"/>
      <c r="AH796" s="60"/>
      <c r="AI796" s="236"/>
      <c r="AJ796" s="236"/>
    </row>
    <row r="797">
      <c r="A797" s="61"/>
      <c r="B797" s="60"/>
      <c r="C797" s="236"/>
      <c r="D797" s="236"/>
      <c r="E797" s="60"/>
      <c r="F797" s="60"/>
      <c r="G797" s="236"/>
      <c r="H797" s="60"/>
      <c r="I797" s="60"/>
      <c r="J797" s="236"/>
      <c r="K797" s="236"/>
      <c r="L797" s="60"/>
      <c r="M797" s="60"/>
      <c r="N797" s="236"/>
      <c r="O797" s="60"/>
      <c r="P797" s="60"/>
      <c r="Q797" s="236"/>
      <c r="R797" s="236"/>
      <c r="S797" s="60"/>
      <c r="T797" s="60"/>
      <c r="U797" s="236"/>
      <c r="V797" s="60"/>
      <c r="W797" s="60"/>
      <c r="X797" s="236"/>
      <c r="Y797" s="236"/>
      <c r="Z797" s="60"/>
      <c r="AA797" s="60"/>
      <c r="AB797" s="236"/>
      <c r="AC797" s="60"/>
      <c r="AD797" s="60"/>
      <c r="AE797" s="236"/>
      <c r="AF797" s="236"/>
      <c r="AG797" s="60"/>
      <c r="AH797" s="60"/>
      <c r="AI797" s="236"/>
      <c r="AJ797" s="236"/>
    </row>
    <row r="798">
      <c r="A798" s="61"/>
      <c r="B798" s="60"/>
      <c r="C798" s="236"/>
      <c r="D798" s="236"/>
      <c r="E798" s="60"/>
      <c r="F798" s="60"/>
      <c r="G798" s="236"/>
      <c r="H798" s="60"/>
      <c r="I798" s="60"/>
      <c r="J798" s="236"/>
      <c r="K798" s="236"/>
      <c r="L798" s="60"/>
      <c r="M798" s="60"/>
      <c r="N798" s="236"/>
      <c r="O798" s="60"/>
      <c r="P798" s="60"/>
      <c r="Q798" s="236"/>
      <c r="R798" s="236"/>
      <c r="S798" s="60"/>
      <c r="T798" s="60"/>
      <c r="U798" s="236"/>
      <c r="V798" s="60"/>
      <c r="W798" s="60"/>
      <c r="X798" s="236"/>
      <c r="Y798" s="236"/>
      <c r="Z798" s="60"/>
      <c r="AA798" s="60"/>
      <c r="AB798" s="236"/>
      <c r="AC798" s="60"/>
      <c r="AD798" s="60"/>
      <c r="AE798" s="236"/>
      <c r="AF798" s="236"/>
      <c r="AG798" s="60"/>
      <c r="AH798" s="60"/>
      <c r="AI798" s="236"/>
      <c r="AJ798" s="236"/>
    </row>
    <row r="799">
      <c r="A799" s="61"/>
      <c r="B799" s="60"/>
      <c r="C799" s="236"/>
      <c r="D799" s="236"/>
      <c r="E799" s="60"/>
      <c r="F799" s="60"/>
      <c r="G799" s="236"/>
      <c r="H799" s="60"/>
      <c r="I799" s="60"/>
      <c r="J799" s="236"/>
      <c r="K799" s="236"/>
      <c r="L799" s="60"/>
      <c r="M799" s="60"/>
      <c r="N799" s="236"/>
      <c r="O799" s="60"/>
      <c r="P799" s="60"/>
      <c r="Q799" s="236"/>
      <c r="R799" s="236"/>
      <c r="S799" s="60"/>
      <c r="T799" s="60"/>
      <c r="U799" s="236"/>
      <c r="V799" s="60"/>
      <c r="W799" s="60"/>
      <c r="X799" s="236"/>
      <c r="Y799" s="236"/>
      <c r="Z799" s="60"/>
      <c r="AA799" s="60"/>
      <c r="AB799" s="236"/>
      <c r="AC799" s="60"/>
      <c r="AD799" s="60"/>
      <c r="AE799" s="236"/>
      <c r="AF799" s="236"/>
      <c r="AG799" s="60"/>
      <c r="AH799" s="60"/>
      <c r="AI799" s="236"/>
      <c r="AJ799" s="236"/>
    </row>
    <row r="800">
      <c r="A800" s="61"/>
      <c r="B800" s="60"/>
      <c r="C800" s="236"/>
      <c r="D800" s="236"/>
      <c r="E800" s="60"/>
      <c r="F800" s="60"/>
      <c r="G800" s="236"/>
      <c r="H800" s="60"/>
      <c r="I800" s="60"/>
      <c r="J800" s="236"/>
      <c r="K800" s="236"/>
      <c r="L800" s="60"/>
      <c r="M800" s="60"/>
      <c r="N800" s="236"/>
      <c r="O800" s="60"/>
      <c r="P800" s="60"/>
      <c r="Q800" s="236"/>
      <c r="R800" s="236"/>
      <c r="S800" s="60"/>
      <c r="T800" s="60"/>
      <c r="U800" s="236"/>
      <c r="V800" s="60"/>
      <c r="W800" s="60"/>
      <c r="X800" s="236"/>
      <c r="Y800" s="236"/>
      <c r="Z800" s="60"/>
      <c r="AA800" s="60"/>
      <c r="AB800" s="236"/>
      <c r="AC800" s="60"/>
      <c r="AD800" s="60"/>
      <c r="AE800" s="236"/>
      <c r="AF800" s="236"/>
      <c r="AG800" s="60"/>
      <c r="AH800" s="60"/>
      <c r="AI800" s="236"/>
      <c r="AJ800" s="236"/>
    </row>
    <row r="801">
      <c r="A801" s="61"/>
      <c r="B801" s="60"/>
      <c r="C801" s="236"/>
      <c r="D801" s="236"/>
      <c r="E801" s="60"/>
      <c r="F801" s="60"/>
      <c r="G801" s="236"/>
      <c r="H801" s="60"/>
      <c r="I801" s="60"/>
      <c r="J801" s="236"/>
      <c r="K801" s="236"/>
      <c r="L801" s="60"/>
      <c r="M801" s="60"/>
      <c r="N801" s="236"/>
      <c r="O801" s="60"/>
      <c r="P801" s="60"/>
      <c r="Q801" s="236"/>
      <c r="R801" s="236"/>
      <c r="S801" s="60"/>
      <c r="T801" s="60"/>
      <c r="U801" s="236"/>
      <c r="V801" s="60"/>
      <c r="W801" s="60"/>
      <c r="X801" s="236"/>
      <c r="Y801" s="236"/>
      <c r="Z801" s="60"/>
      <c r="AA801" s="60"/>
      <c r="AB801" s="236"/>
      <c r="AC801" s="60"/>
      <c r="AD801" s="60"/>
      <c r="AE801" s="236"/>
      <c r="AF801" s="236"/>
      <c r="AG801" s="60"/>
      <c r="AH801" s="60"/>
      <c r="AI801" s="236"/>
      <c r="AJ801" s="236"/>
    </row>
    <row r="802">
      <c r="A802" s="61"/>
      <c r="B802" s="60"/>
      <c r="C802" s="236"/>
      <c r="D802" s="236"/>
      <c r="E802" s="60"/>
      <c r="F802" s="60"/>
      <c r="G802" s="236"/>
      <c r="H802" s="60"/>
      <c r="I802" s="60"/>
      <c r="J802" s="236"/>
      <c r="K802" s="236"/>
      <c r="L802" s="60"/>
      <c r="M802" s="60"/>
      <c r="N802" s="236"/>
      <c r="O802" s="60"/>
      <c r="P802" s="60"/>
      <c r="Q802" s="236"/>
      <c r="R802" s="236"/>
      <c r="S802" s="60"/>
      <c r="T802" s="60"/>
      <c r="U802" s="236"/>
      <c r="V802" s="60"/>
      <c r="W802" s="60"/>
      <c r="X802" s="236"/>
      <c r="Y802" s="236"/>
      <c r="Z802" s="60"/>
      <c r="AA802" s="60"/>
      <c r="AB802" s="236"/>
      <c r="AC802" s="60"/>
      <c r="AD802" s="60"/>
      <c r="AE802" s="236"/>
      <c r="AF802" s="236"/>
      <c r="AG802" s="60"/>
      <c r="AH802" s="60"/>
      <c r="AI802" s="236"/>
      <c r="AJ802" s="236"/>
    </row>
    <row r="803">
      <c r="A803" s="61"/>
      <c r="B803" s="60"/>
      <c r="C803" s="236"/>
      <c r="D803" s="236"/>
      <c r="E803" s="60"/>
      <c r="F803" s="60"/>
      <c r="G803" s="236"/>
      <c r="H803" s="60"/>
      <c r="I803" s="60"/>
      <c r="J803" s="236"/>
      <c r="K803" s="236"/>
      <c r="L803" s="60"/>
      <c r="M803" s="60"/>
      <c r="N803" s="236"/>
      <c r="O803" s="60"/>
      <c r="P803" s="60"/>
      <c r="Q803" s="236"/>
      <c r="R803" s="236"/>
      <c r="S803" s="60"/>
      <c r="T803" s="60"/>
      <c r="U803" s="236"/>
      <c r="V803" s="60"/>
      <c r="W803" s="60"/>
      <c r="X803" s="236"/>
      <c r="Y803" s="236"/>
      <c r="Z803" s="60"/>
      <c r="AA803" s="60"/>
      <c r="AB803" s="236"/>
      <c r="AC803" s="60"/>
      <c r="AD803" s="60"/>
      <c r="AE803" s="236"/>
      <c r="AF803" s="236"/>
      <c r="AG803" s="60"/>
      <c r="AH803" s="60"/>
      <c r="AI803" s="236"/>
      <c r="AJ803" s="236"/>
    </row>
    <row r="804">
      <c r="A804" s="61"/>
      <c r="B804" s="60"/>
      <c r="C804" s="236"/>
      <c r="D804" s="236"/>
      <c r="E804" s="60"/>
      <c r="F804" s="60"/>
      <c r="G804" s="236"/>
      <c r="H804" s="60"/>
      <c r="I804" s="60"/>
      <c r="J804" s="236"/>
      <c r="K804" s="236"/>
      <c r="L804" s="60"/>
      <c r="M804" s="60"/>
      <c r="N804" s="236"/>
      <c r="O804" s="60"/>
      <c r="P804" s="60"/>
      <c r="Q804" s="236"/>
      <c r="R804" s="236"/>
      <c r="S804" s="60"/>
      <c r="T804" s="60"/>
      <c r="U804" s="236"/>
      <c r="V804" s="60"/>
      <c r="W804" s="60"/>
      <c r="X804" s="236"/>
      <c r="Y804" s="236"/>
      <c r="Z804" s="60"/>
      <c r="AA804" s="60"/>
      <c r="AB804" s="236"/>
      <c r="AC804" s="60"/>
      <c r="AD804" s="60"/>
      <c r="AE804" s="236"/>
      <c r="AF804" s="236"/>
      <c r="AG804" s="60"/>
      <c r="AH804" s="60"/>
      <c r="AI804" s="236"/>
      <c r="AJ804" s="236"/>
    </row>
    <row r="805">
      <c r="A805" s="61"/>
      <c r="B805" s="60"/>
      <c r="C805" s="236"/>
      <c r="D805" s="236"/>
      <c r="E805" s="60"/>
      <c r="F805" s="60"/>
      <c r="G805" s="236"/>
      <c r="H805" s="60"/>
      <c r="I805" s="60"/>
      <c r="J805" s="236"/>
      <c r="K805" s="236"/>
      <c r="L805" s="60"/>
      <c r="M805" s="60"/>
      <c r="N805" s="236"/>
      <c r="O805" s="60"/>
      <c r="P805" s="60"/>
      <c r="Q805" s="236"/>
      <c r="R805" s="236"/>
      <c r="S805" s="60"/>
      <c r="T805" s="60"/>
      <c r="U805" s="236"/>
      <c r="V805" s="60"/>
      <c r="W805" s="60"/>
      <c r="X805" s="236"/>
      <c r="Y805" s="236"/>
      <c r="Z805" s="60"/>
      <c r="AA805" s="60"/>
      <c r="AB805" s="236"/>
      <c r="AC805" s="60"/>
      <c r="AD805" s="60"/>
      <c r="AE805" s="236"/>
      <c r="AF805" s="236"/>
      <c r="AG805" s="60"/>
      <c r="AH805" s="60"/>
      <c r="AI805" s="236"/>
      <c r="AJ805" s="236"/>
    </row>
    <row r="806">
      <c r="A806" s="61"/>
      <c r="B806" s="60"/>
      <c r="C806" s="236"/>
      <c r="D806" s="236"/>
      <c r="E806" s="60"/>
      <c r="F806" s="60"/>
      <c r="G806" s="236"/>
      <c r="H806" s="60"/>
      <c r="I806" s="60"/>
      <c r="J806" s="236"/>
      <c r="K806" s="236"/>
      <c r="L806" s="60"/>
      <c r="M806" s="60"/>
      <c r="N806" s="236"/>
      <c r="O806" s="60"/>
      <c r="P806" s="60"/>
      <c r="Q806" s="236"/>
      <c r="R806" s="236"/>
      <c r="S806" s="60"/>
      <c r="T806" s="60"/>
      <c r="U806" s="236"/>
      <c r="V806" s="60"/>
      <c r="W806" s="60"/>
      <c r="X806" s="236"/>
      <c r="Y806" s="236"/>
      <c r="Z806" s="60"/>
      <c r="AA806" s="60"/>
      <c r="AB806" s="236"/>
      <c r="AC806" s="60"/>
      <c r="AD806" s="60"/>
      <c r="AE806" s="236"/>
      <c r="AF806" s="236"/>
      <c r="AG806" s="60"/>
      <c r="AH806" s="60"/>
      <c r="AI806" s="236"/>
      <c r="AJ806" s="236"/>
    </row>
    <row r="807">
      <c r="A807" s="61"/>
      <c r="B807" s="60"/>
      <c r="C807" s="236"/>
      <c r="D807" s="236"/>
      <c r="E807" s="60"/>
      <c r="F807" s="60"/>
      <c r="G807" s="236"/>
      <c r="H807" s="60"/>
      <c r="I807" s="60"/>
      <c r="J807" s="236"/>
      <c r="K807" s="236"/>
      <c r="L807" s="60"/>
      <c r="M807" s="60"/>
      <c r="N807" s="236"/>
      <c r="O807" s="60"/>
      <c r="P807" s="60"/>
      <c r="Q807" s="236"/>
      <c r="R807" s="236"/>
      <c r="S807" s="60"/>
      <c r="T807" s="60"/>
      <c r="U807" s="236"/>
      <c r="V807" s="60"/>
      <c r="W807" s="60"/>
      <c r="X807" s="236"/>
      <c r="Y807" s="236"/>
      <c r="Z807" s="60"/>
      <c r="AA807" s="60"/>
      <c r="AB807" s="236"/>
      <c r="AC807" s="60"/>
      <c r="AD807" s="60"/>
      <c r="AE807" s="236"/>
      <c r="AF807" s="236"/>
      <c r="AG807" s="60"/>
      <c r="AH807" s="60"/>
      <c r="AI807" s="236"/>
      <c r="AJ807" s="236"/>
    </row>
    <row r="808">
      <c r="A808" s="61"/>
      <c r="B808" s="60"/>
      <c r="C808" s="236"/>
      <c r="D808" s="236"/>
      <c r="E808" s="60"/>
      <c r="F808" s="60"/>
      <c r="G808" s="236"/>
      <c r="H808" s="60"/>
      <c r="I808" s="60"/>
      <c r="J808" s="236"/>
      <c r="K808" s="236"/>
      <c r="L808" s="60"/>
      <c r="M808" s="60"/>
      <c r="N808" s="236"/>
      <c r="O808" s="60"/>
      <c r="P808" s="60"/>
      <c r="Q808" s="236"/>
      <c r="R808" s="236"/>
      <c r="S808" s="60"/>
      <c r="T808" s="60"/>
      <c r="U808" s="236"/>
      <c r="V808" s="60"/>
      <c r="W808" s="60"/>
      <c r="X808" s="236"/>
      <c r="Y808" s="236"/>
      <c r="Z808" s="60"/>
      <c r="AA808" s="60"/>
      <c r="AB808" s="236"/>
      <c r="AC808" s="60"/>
      <c r="AD808" s="60"/>
      <c r="AE808" s="236"/>
      <c r="AF808" s="236"/>
      <c r="AG808" s="60"/>
      <c r="AH808" s="60"/>
      <c r="AI808" s="236"/>
      <c r="AJ808" s="236"/>
    </row>
    <row r="809">
      <c r="A809" s="61"/>
      <c r="B809" s="60"/>
      <c r="C809" s="236"/>
      <c r="D809" s="236"/>
      <c r="E809" s="60"/>
      <c r="F809" s="60"/>
      <c r="G809" s="236"/>
      <c r="H809" s="60"/>
      <c r="I809" s="60"/>
      <c r="J809" s="236"/>
      <c r="K809" s="236"/>
      <c r="L809" s="60"/>
      <c r="M809" s="60"/>
      <c r="N809" s="236"/>
      <c r="O809" s="60"/>
      <c r="P809" s="60"/>
      <c r="Q809" s="236"/>
      <c r="R809" s="236"/>
      <c r="S809" s="60"/>
      <c r="T809" s="60"/>
      <c r="U809" s="236"/>
      <c r="V809" s="60"/>
      <c r="W809" s="60"/>
      <c r="X809" s="236"/>
      <c r="Y809" s="236"/>
      <c r="Z809" s="60"/>
      <c r="AA809" s="60"/>
      <c r="AB809" s="236"/>
      <c r="AC809" s="60"/>
      <c r="AD809" s="60"/>
      <c r="AE809" s="236"/>
      <c r="AF809" s="236"/>
      <c r="AG809" s="60"/>
      <c r="AH809" s="60"/>
      <c r="AI809" s="236"/>
      <c r="AJ809" s="236"/>
    </row>
    <row r="810">
      <c r="A810" s="61"/>
      <c r="B810" s="60"/>
      <c r="C810" s="236"/>
      <c r="D810" s="236"/>
      <c r="E810" s="60"/>
      <c r="F810" s="60"/>
      <c r="G810" s="236"/>
      <c r="H810" s="60"/>
      <c r="I810" s="60"/>
      <c r="J810" s="236"/>
      <c r="K810" s="236"/>
      <c r="L810" s="60"/>
      <c r="M810" s="60"/>
      <c r="N810" s="236"/>
      <c r="O810" s="60"/>
      <c r="P810" s="60"/>
      <c r="Q810" s="236"/>
      <c r="R810" s="236"/>
      <c r="S810" s="60"/>
      <c r="T810" s="60"/>
      <c r="U810" s="236"/>
      <c r="V810" s="60"/>
      <c r="W810" s="60"/>
      <c r="X810" s="236"/>
      <c r="Y810" s="236"/>
      <c r="Z810" s="60"/>
      <c r="AA810" s="60"/>
      <c r="AB810" s="236"/>
      <c r="AC810" s="60"/>
      <c r="AD810" s="60"/>
      <c r="AE810" s="236"/>
      <c r="AF810" s="236"/>
      <c r="AG810" s="60"/>
      <c r="AH810" s="60"/>
      <c r="AI810" s="236"/>
      <c r="AJ810" s="236"/>
    </row>
    <row r="811">
      <c r="A811" s="61"/>
      <c r="B811" s="60"/>
      <c r="C811" s="236"/>
      <c r="D811" s="236"/>
      <c r="E811" s="60"/>
      <c r="F811" s="60"/>
      <c r="G811" s="236"/>
      <c r="H811" s="60"/>
      <c r="I811" s="60"/>
      <c r="J811" s="236"/>
      <c r="K811" s="236"/>
      <c r="L811" s="60"/>
      <c r="M811" s="60"/>
      <c r="N811" s="236"/>
      <c r="O811" s="60"/>
      <c r="P811" s="60"/>
      <c r="Q811" s="236"/>
      <c r="R811" s="236"/>
      <c r="S811" s="60"/>
      <c r="T811" s="60"/>
      <c r="U811" s="236"/>
      <c r="V811" s="60"/>
      <c r="W811" s="60"/>
      <c r="X811" s="236"/>
      <c r="Y811" s="236"/>
      <c r="Z811" s="60"/>
      <c r="AA811" s="60"/>
      <c r="AB811" s="236"/>
      <c r="AC811" s="60"/>
      <c r="AD811" s="60"/>
      <c r="AE811" s="236"/>
      <c r="AF811" s="236"/>
      <c r="AG811" s="60"/>
      <c r="AH811" s="60"/>
      <c r="AI811" s="236"/>
      <c r="AJ811" s="236"/>
    </row>
    <row r="812">
      <c r="A812" s="61"/>
      <c r="B812" s="60"/>
      <c r="C812" s="236"/>
      <c r="D812" s="236"/>
      <c r="E812" s="60"/>
      <c r="F812" s="60"/>
      <c r="G812" s="236"/>
      <c r="H812" s="60"/>
      <c r="I812" s="60"/>
      <c r="J812" s="236"/>
      <c r="K812" s="236"/>
      <c r="L812" s="60"/>
      <c r="M812" s="60"/>
      <c r="N812" s="236"/>
      <c r="O812" s="60"/>
      <c r="P812" s="60"/>
      <c r="Q812" s="236"/>
      <c r="R812" s="236"/>
      <c r="S812" s="60"/>
      <c r="T812" s="60"/>
      <c r="U812" s="236"/>
      <c r="V812" s="60"/>
      <c r="W812" s="60"/>
      <c r="X812" s="236"/>
      <c r="Y812" s="236"/>
      <c r="Z812" s="60"/>
      <c r="AA812" s="60"/>
      <c r="AB812" s="236"/>
      <c r="AC812" s="60"/>
      <c r="AD812" s="60"/>
      <c r="AE812" s="236"/>
      <c r="AF812" s="236"/>
      <c r="AG812" s="60"/>
      <c r="AH812" s="60"/>
      <c r="AI812" s="236"/>
      <c r="AJ812" s="236"/>
    </row>
    <row r="813">
      <c r="A813" s="61"/>
      <c r="B813" s="60"/>
      <c r="C813" s="236"/>
      <c r="D813" s="236"/>
      <c r="E813" s="60"/>
      <c r="F813" s="60"/>
      <c r="G813" s="236"/>
      <c r="H813" s="60"/>
      <c r="I813" s="60"/>
      <c r="J813" s="236"/>
      <c r="K813" s="236"/>
      <c r="L813" s="60"/>
      <c r="M813" s="60"/>
      <c r="N813" s="236"/>
      <c r="O813" s="60"/>
      <c r="P813" s="60"/>
      <c r="Q813" s="236"/>
      <c r="R813" s="236"/>
      <c r="S813" s="60"/>
      <c r="T813" s="60"/>
      <c r="U813" s="236"/>
      <c r="V813" s="60"/>
      <c r="W813" s="60"/>
      <c r="X813" s="236"/>
      <c r="Y813" s="236"/>
      <c r="Z813" s="60"/>
      <c r="AA813" s="60"/>
      <c r="AB813" s="236"/>
      <c r="AC813" s="60"/>
      <c r="AD813" s="60"/>
      <c r="AE813" s="236"/>
      <c r="AF813" s="236"/>
      <c r="AG813" s="60"/>
      <c r="AH813" s="60"/>
      <c r="AI813" s="236"/>
      <c r="AJ813" s="236"/>
    </row>
    <row r="814">
      <c r="A814" s="61"/>
      <c r="B814" s="60"/>
      <c r="C814" s="236"/>
      <c r="D814" s="236"/>
      <c r="E814" s="60"/>
      <c r="F814" s="60"/>
      <c r="G814" s="236"/>
      <c r="H814" s="60"/>
      <c r="I814" s="60"/>
      <c r="J814" s="236"/>
      <c r="K814" s="236"/>
      <c r="L814" s="60"/>
      <c r="M814" s="60"/>
      <c r="N814" s="236"/>
      <c r="O814" s="60"/>
      <c r="P814" s="60"/>
      <c r="Q814" s="236"/>
      <c r="R814" s="236"/>
      <c r="S814" s="60"/>
      <c r="T814" s="60"/>
      <c r="U814" s="236"/>
      <c r="V814" s="60"/>
      <c r="W814" s="60"/>
      <c r="X814" s="236"/>
      <c r="Y814" s="236"/>
      <c r="Z814" s="60"/>
      <c r="AA814" s="60"/>
      <c r="AB814" s="236"/>
      <c r="AC814" s="60"/>
      <c r="AD814" s="60"/>
      <c r="AE814" s="236"/>
      <c r="AF814" s="236"/>
      <c r="AG814" s="60"/>
      <c r="AH814" s="60"/>
      <c r="AI814" s="236"/>
      <c r="AJ814" s="236"/>
    </row>
    <row r="815">
      <c r="A815" s="61"/>
      <c r="B815" s="60"/>
      <c r="C815" s="236"/>
      <c r="D815" s="236"/>
      <c r="E815" s="60"/>
      <c r="F815" s="60"/>
      <c r="G815" s="236"/>
      <c r="H815" s="60"/>
      <c r="I815" s="60"/>
      <c r="J815" s="236"/>
      <c r="K815" s="236"/>
      <c r="L815" s="60"/>
      <c r="M815" s="60"/>
      <c r="N815" s="236"/>
      <c r="O815" s="60"/>
      <c r="P815" s="60"/>
      <c r="Q815" s="236"/>
      <c r="R815" s="236"/>
      <c r="S815" s="60"/>
      <c r="T815" s="60"/>
      <c r="U815" s="236"/>
      <c r="V815" s="60"/>
      <c r="W815" s="60"/>
      <c r="X815" s="236"/>
      <c r="Y815" s="236"/>
      <c r="Z815" s="60"/>
      <c r="AA815" s="60"/>
      <c r="AB815" s="236"/>
      <c r="AC815" s="60"/>
      <c r="AD815" s="60"/>
      <c r="AE815" s="236"/>
      <c r="AF815" s="236"/>
      <c r="AG815" s="60"/>
      <c r="AH815" s="60"/>
      <c r="AI815" s="236"/>
      <c r="AJ815" s="236"/>
    </row>
    <row r="816">
      <c r="A816" s="61"/>
      <c r="B816" s="60"/>
      <c r="C816" s="236"/>
      <c r="D816" s="236"/>
      <c r="E816" s="60"/>
      <c r="F816" s="60"/>
      <c r="G816" s="236"/>
      <c r="H816" s="60"/>
      <c r="I816" s="60"/>
      <c r="J816" s="236"/>
      <c r="K816" s="236"/>
      <c r="L816" s="60"/>
      <c r="M816" s="60"/>
      <c r="N816" s="236"/>
      <c r="O816" s="60"/>
      <c r="P816" s="60"/>
      <c r="Q816" s="236"/>
      <c r="R816" s="236"/>
      <c r="S816" s="60"/>
      <c r="T816" s="60"/>
      <c r="U816" s="236"/>
      <c r="V816" s="60"/>
      <c r="W816" s="60"/>
      <c r="X816" s="236"/>
      <c r="Y816" s="236"/>
      <c r="Z816" s="60"/>
      <c r="AA816" s="60"/>
      <c r="AB816" s="236"/>
      <c r="AC816" s="60"/>
      <c r="AD816" s="60"/>
      <c r="AE816" s="236"/>
      <c r="AF816" s="236"/>
      <c r="AG816" s="60"/>
      <c r="AH816" s="60"/>
      <c r="AI816" s="236"/>
      <c r="AJ816" s="236"/>
    </row>
    <row r="817">
      <c r="A817" s="61"/>
      <c r="B817" s="60"/>
      <c r="C817" s="236"/>
      <c r="D817" s="236"/>
      <c r="E817" s="60"/>
      <c r="F817" s="60"/>
      <c r="G817" s="236"/>
      <c r="H817" s="60"/>
      <c r="I817" s="60"/>
      <c r="J817" s="236"/>
      <c r="K817" s="236"/>
      <c r="L817" s="60"/>
      <c r="M817" s="60"/>
      <c r="N817" s="236"/>
      <c r="O817" s="60"/>
      <c r="P817" s="60"/>
      <c r="Q817" s="236"/>
      <c r="R817" s="236"/>
      <c r="S817" s="60"/>
      <c r="T817" s="60"/>
      <c r="U817" s="236"/>
      <c r="V817" s="60"/>
      <c r="W817" s="60"/>
      <c r="X817" s="236"/>
      <c r="Y817" s="236"/>
      <c r="Z817" s="60"/>
      <c r="AA817" s="60"/>
      <c r="AB817" s="236"/>
      <c r="AC817" s="60"/>
      <c r="AD817" s="60"/>
      <c r="AE817" s="236"/>
      <c r="AF817" s="236"/>
      <c r="AG817" s="60"/>
      <c r="AH817" s="60"/>
      <c r="AI817" s="236"/>
      <c r="AJ817" s="236"/>
    </row>
    <row r="818">
      <c r="A818" s="61"/>
      <c r="B818" s="60"/>
      <c r="C818" s="236"/>
      <c r="D818" s="236"/>
      <c r="E818" s="60"/>
      <c r="F818" s="60"/>
      <c r="G818" s="236"/>
      <c r="H818" s="60"/>
      <c r="I818" s="60"/>
      <c r="J818" s="236"/>
      <c r="K818" s="236"/>
      <c r="L818" s="60"/>
      <c r="M818" s="60"/>
      <c r="N818" s="236"/>
      <c r="O818" s="60"/>
      <c r="P818" s="60"/>
      <c r="Q818" s="236"/>
      <c r="R818" s="236"/>
      <c r="S818" s="60"/>
      <c r="T818" s="60"/>
      <c r="U818" s="236"/>
      <c r="V818" s="60"/>
      <c r="W818" s="60"/>
      <c r="X818" s="236"/>
      <c r="Y818" s="236"/>
      <c r="Z818" s="60"/>
      <c r="AA818" s="60"/>
      <c r="AB818" s="236"/>
      <c r="AC818" s="60"/>
      <c r="AD818" s="60"/>
      <c r="AE818" s="236"/>
      <c r="AF818" s="236"/>
      <c r="AG818" s="60"/>
      <c r="AH818" s="60"/>
      <c r="AI818" s="236"/>
      <c r="AJ818" s="236"/>
    </row>
    <row r="819">
      <c r="A819" s="61"/>
      <c r="B819" s="60"/>
      <c r="C819" s="236"/>
      <c r="D819" s="236"/>
      <c r="E819" s="60"/>
      <c r="F819" s="60"/>
      <c r="G819" s="236"/>
      <c r="H819" s="60"/>
      <c r="I819" s="60"/>
      <c r="J819" s="236"/>
      <c r="K819" s="236"/>
      <c r="L819" s="60"/>
      <c r="M819" s="60"/>
      <c r="N819" s="236"/>
      <c r="O819" s="60"/>
      <c r="P819" s="60"/>
      <c r="Q819" s="236"/>
      <c r="R819" s="236"/>
      <c r="S819" s="60"/>
      <c r="T819" s="60"/>
      <c r="U819" s="236"/>
      <c r="V819" s="60"/>
      <c r="W819" s="60"/>
      <c r="X819" s="236"/>
      <c r="Y819" s="236"/>
      <c r="Z819" s="60"/>
      <c r="AA819" s="60"/>
      <c r="AB819" s="236"/>
      <c r="AC819" s="60"/>
      <c r="AD819" s="60"/>
      <c r="AE819" s="236"/>
      <c r="AF819" s="236"/>
      <c r="AG819" s="60"/>
      <c r="AH819" s="60"/>
      <c r="AI819" s="236"/>
      <c r="AJ819" s="236"/>
    </row>
    <row r="820">
      <c r="A820" s="61"/>
      <c r="B820" s="60"/>
      <c r="C820" s="236"/>
      <c r="D820" s="236"/>
      <c r="E820" s="60"/>
      <c r="F820" s="60"/>
      <c r="G820" s="236"/>
      <c r="H820" s="60"/>
      <c r="I820" s="60"/>
      <c r="J820" s="236"/>
      <c r="K820" s="236"/>
      <c r="L820" s="60"/>
      <c r="M820" s="60"/>
      <c r="N820" s="236"/>
      <c r="O820" s="60"/>
      <c r="P820" s="60"/>
      <c r="Q820" s="236"/>
      <c r="R820" s="236"/>
      <c r="S820" s="60"/>
      <c r="T820" s="60"/>
      <c r="U820" s="236"/>
      <c r="V820" s="60"/>
      <c r="W820" s="60"/>
      <c r="X820" s="236"/>
      <c r="Y820" s="236"/>
      <c r="Z820" s="60"/>
      <c r="AA820" s="60"/>
      <c r="AB820" s="236"/>
      <c r="AC820" s="60"/>
      <c r="AD820" s="60"/>
      <c r="AE820" s="236"/>
      <c r="AF820" s="236"/>
      <c r="AG820" s="60"/>
      <c r="AH820" s="60"/>
      <c r="AI820" s="236"/>
      <c r="AJ820" s="236"/>
    </row>
    <row r="821">
      <c r="A821" s="61"/>
      <c r="B821" s="60"/>
      <c r="C821" s="236"/>
      <c r="D821" s="236"/>
      <c r="E821" s="60"/>
      <c r="F821" s="60"/>
      <c r="G821" s="236"/>
      <c r="H821" s="60"/>
      <c r="I821" s="60"/>
      <c r="J821" s="236"/>
      <c r="K821" s="236"/>
      <c r="L821" s="60"/>
      <c r="M821" s="60"/>
      <c r="N821" s="236"/>
      <c r="O821" s="60"/>
      <c r="P821" s="60"/>
      <c r="Q821" s="236"/>
      <c r="R821" s="236"/>
      <c r="S821" s="60"/>
      <c r="T821" s="60"/>
      <c r="U821" s="236"/>
      <c r="V821" s="60"/>
      <c r="W821" s="60"/>
      <c r="X821" s="236"/>
      <c r="Y821" s="236"/>
      <c r="Z821" s="60"/>
      <c r="AA821" s="60"/>
      <c r="AB821" s="236"/>
      <c r="AC821" s="60"/>
      <c r="AD821" s="60"/>
      <c r="AE821" s="236"/>
      <c r="AF821" s="236"/>
      <c r="AG821" s="60"/>
      <c r="AH821" s="60"/>
      <c r="AI821" s="236"/>
      <c r="AJ821" s="236"/>
    </row>
    <row r="822">
      <c r="A822" s="61"/>
      <c r="B822" s="60"/>
      <c r="C822" s="236"/>
      <c r="D822" s="236"/>
      <c r="E822" s="60"/>
      <c r="F822" s="60"/>
      <c r="G822" s="236"/>
      <c r="H822" s="60"/>
      <c r="I822" s="60"/>
      <c r="J822" s="236"/>
      <c r="K822" s="236"/>
      <c r="L822" s="60"/>
      <c r="M822" s="60"/>
      <c r="N822" s="236"/>
      <c r="O822" s="60"/>
      <c r="P822" s="60"/>
      <c r="Q822" s="236"/>
      <c r="R822" s="236"/>
      <c r="S822" s="60"/>
      <c r="T822" s="60"/>
      <c r="U822" s="236"/>
      <c r="V822" s="60"/>
      <c r="W822" s="60"/>
      <c r="X822" s="236"/>
      <c r="Y822" s="236"/>
      <c r="Z822" s="60"/>
      <c r="AA822" s="60"/>
      <c r="AB822" s="236"/>
      <c r="AC822" s="60"/>
      <c r="AD822" s="60"/>
      <c r="AE822" s="236"/>
      <c r="AF822" s="236"/>
      <c r="AG822" s="60"/>
      <c r="AH822" s="60"/>
      <c r="AI822" s="236"/>
      <c r="AJ822" s="236"/>
    </row>
    <row r="823">
      <c r="A823" s="61"/>
      <c r="B823" s="60"/>
      <c r="C823" s="236"/>
      <c r="D823" s="236"/>
      <c r="E823" s="60"/>
      <c r="F823" s="60"/>
      <c r="G823" s="236"/>
      <c r="H823" s="60"/>
      <c r="I823" s="60"/>
      <c r="J823" s="236"/>
      <c r="K823" s="236"/>
      <c r="L823" s="60"/>
      <c r="M823" s="60"/>
      <c r="N823" s="236"/>
      <c r="O823" s="60"/>
      <c r="P823" s="60"/>
      <c r="Q823" s="236"/>
      <c r="R823" s="236"/>
      <c r="S823" s="60"/>
      <c r="T823" s="60"/>
      <c r="U823" s="236"/>
      <c r="V823" s="60"/>
      <c r="W823" s="60"/>
      <c r="X823" s="236"/>
      <c r="Y823" s="236"/>
      <c r="Z823" s="60"/>
      <c r="AA823" s="60"/>
      <c r="AB823" s="236"/>
      <c r="AC823" s="60"/>
      <c r="AD823" s="60"/>
      <c r="AE823" s="236"/>
      <c r="AF823" s="236"/>
      <c r="AG823" s="60"/>
      <c r="AH823" s="60"/>
      <c r="AI823" s="236"/>
      <c r="AJ823" s="236"/>
    </row>
    <row r="824">
      <c r="A824" s="61"/>
      <c r="B824" s="60"/>
      <c r="C824" s="236"/>
      <c r="D824" s="236"/>
      <c r="E824" s="60"/>
      <c r="F824" s="60"/>
      <c r="G824" s="236"/>
      <c r="H824" s="60"/>
      <c r="I824" s="60"/>
      <c r="J824" s="236"/>
      <c r="K824" s="236"/>
      <c r="L824" s="60"/>
      <c r="M824" s="60"/>
      <c r="N824" s="236"/>
      <c r="O824" s="60"/>
      <c r="P824" s="60"/>
      <c r="Q824" s="236"/>
      <c r="R824" s="236"/>
      <c r="S824" s="60"/>
      <c r="T824" s="60"/>
      <c r="U824" s="236"/>
      <c r="V824" s="60"/>
      <c r="W824" s="60"/>
      <c r="X824" s="236"/>
      <c r="Y824" s="236"/>
      <c r="Z824" s="60"/>
      <c r="AA824" s="60"/>
      <c r="AB824" s="236"/>
      <c r="AC824" s="60"/>
      <c r="AD824" s="60"/>
      <c r="AE824" s="236"/>
      <c r="AF824" s="236"/>
      <c r="AG824" s="60"/>
      <c r="AH824" s="60"/>
      <c r="AI824" s="236"/>
      <c r="AJ824" s="236"/>
    </row>
    <row r="825">
      <c r="A825" s="61"/>
      <c r="B825" s="60"/>
      <c r="C825" s="236"/>
      <c r="D825" s="236"/>
      <c r="E825" s="60"/>
      <c r="F825" s="60"/>
      <c r="G825" s="236"/>
      <c r="H825" s="60"/>
      <c r="I825" s="60"/>
      <c r="J825" s="236"/>
      <c r="K825" s="236"/>
      <c r="L825" s="60"/>
      <c r="M825" s="60"/>
      <c r="N825" s="236"/>
      <c r="O825" s="60"/>
      <c r="P825" s="60"/>
      <c r="Q825" s="236"/>
      <c r="R825" s="236"/>
      <c r="S825" s="60"/>
      <c r="T825" s="60"/>
      <c r="U825" s="236"/>
      <c r="V825" s="60"/>
      <c r="W825" s="60"/>
      <c r="X825" s="236"/>
      <c r="Y825" s="236"/>
      <c r="Z825" s="60"/>
      <c r="AA825" s="60"/>
      <c r="AB825" s="236"/>
      <c r="AC825" s="60"/>
      <c r="AD825" s="60"/>
      <c r="AE825" s="236"/>
      <c r="AF825" s="236"/>
      <c r="AG825" s="60"/>
      <c r="AH825" s="60"/>
      <c r="AI825" s="236"/>
      <c r="AJ825" s="236"/>
    </row>
    <row r="826">
      <c r="A826" s="61"/>
      <c r="B826" s="60"/>
      <c r="C826" s="236"/>
      <c r="D826" s="236"/>
      <c r="E826" s="60"/>
      <c r="F826" s="60"/>
      <c r="G826" s="236"/>
      <c r="H826" s="60"/>
      <c r="I826" s="60"/>
      <c r="J826" s="236"/>
      <c r="K826" s="236"/>
      <c r="L826" s="60"/>
      <c r="M826" s="60"/>
      <c r="N826" s="236"/>
      <c r="O826" s="60"/>
      <c r="P826" s="60"/>
      <c r="Q826" s="236"/>
      <c r="R826" s="236"/>
      <c r="S826" s="60"/>
      <c r="T826" s="60"/>
      <c r="U826" s="236"/>
      <c r="V826" s="60"/>
      <c r="W826" s="60"/>
      <c r="X826" s="236"/>
      <c r="Y826" s="236"/>
      <c r="Z826" s="60"/>
      <c r="AA826" s="60"/>
      <c r="AB826" s="236"/>
      <c r="AC826" s="60"/>
      <c r="AD826" s="60"/>
      <c r="AE826" s="236"/>
      <c r="AF826" s="236"/>
      <c r="AG826" s="60"/>
      <c r="AH826" s="60"/>
      <c r="AI826" s="236"/>
      <c r="AJ826" s="236"/>
    </row>
    <row r="827">
      <c r="A827" s="61"/>
      <c r="B827" s="60"/>
      <c r="C827" s="236"/>
      <c r="D827" s="236"/>
      <c r="E827" s="60"/>
      <c r="F827" s="60"/>
      <c r="G827" s="236"/>
      <c r="H827" s="60"/>
      <c r="I827" s="60"/>
      <c r="J827" s="236"/>
      <c r="K827" s="236"/>
      <c r="L827" s="60"/>
      <c r="M827" s="60"/>
      <c r="N827" s="236"/>
      <c r="O827" s="60"/>
      <c r="P827" s="60"/>
      <c r="Q827" s="236"/>
      <c r="R827" s="236"/>
      <c r="S827" s="60"/>
      <c r="T827" s="60"/>
      <c r="U827" s="236"/>
      <c r="V827" s="60"/>
      <c r="W827" s="60"/>
      <c r="X827" s="236"/>
      <c r="Y827" s="236"/>
      <c r="Z827" s="60"/>
      <c r="AA827" s="60"/>
      <c r="AB827" s="236"/>
      <c r="AC827" s="60"/>
      <c r="AD827" s="60"/>
      <c r="AE827" s="236"/>
      <c r="AF827" s="236"/>
      <c r="AG827" s="60"/>
      <c r="AH827" s="60"/>
      <c r="AI827" s="236"/>
      <c r="AJ827" s="236"/>
    </row>
    <row r="828">
      <c r="A828" s="61"/>
      <c r="B828" s="60"/>
      <c r="C828" s="236"/>
      <c r="D828" s="236"/>
      <c r="E828" s="60"/>
      <c r="F828" s="60"/>
      <c r="G828" s="236"/>
      <c r="H828" s="60"/>
      <c r="I828" s="60"/>
      <c r="J828" s="236"/>
      <c r="K828" s="236"/>
      <c r="L828" s="60"/>
      <c r="M828" s="60"/>
      <c r="N828" s="236"/>
      <c r="O828" s="60"/>
      <c r="P828" s="60"/>
      <c r="Q828" s="236"/>
      <c r="R828" s="236"/>
      <c r="S828" s="60"/>
      <c r="T828" s="60"/>
      <c r="U828" s="236"/>
      <c r="V828" s="60"/>
      <c r="W828" s="60"/>
      <c r="X828" s="236"/>
      <c r="Y828" s="236"/>
      <c r="Z828" s="60"/>
      <c r="AA828" s="60"/>
      <c r="AB828" s="236"/>
      <c r="AC828" s="60"/>
      <c r="AD828" s="60"/>
      <c r="AE828" s="236"/>
      <c r="AF828" s="236"/>
      <c r="AG828" s="60"/>
      <c r="AH828" s="60"/>
      <c r="AI828" s="236"/>
      <c r="AJ828" s="236"/>
    </row>
    <row r="829">
      <c r="A829" s="61"/>
      <c r="B829" s="60"/>
      <c r="C829" s="236"/>
      <c r="D829" s="236"/>
      <c r="E829" s="60"/>
      <c r="F829" s="60"/>
      <c r="G829" s="236"/>
      <c r="H829" s="60"/>
      <c r="I829" s="60"/>
      <c r="J829" s="236"/>
      <c r="K829" s="236"/>
      <c r="L829" s="60"/>
      <c r="M829" s="60"/>
      <c r="N829" s="236"/>
      <c r="O829" s="60"/>
      <c r="P829" s="60"/>
      <c r="Q829" s="236"/>
      <c r="R829" s="236"/>
      <c r="S829" s="60"/>
      <c r="T829" s="60"/>
      <c r="U829" s="236"/>
      <c r="V829" s="60"/>
      <c r="W829" s="60"/>
      <c r="X829" s="236"/>
      <c r="Y829" s="236"/>
      <c r="Z829" s="60"/>
      <c r="AA829" s="60"/>
      <c r="AB829" s="236"/>
      <c r="AC829" s="60"/>
      <c r="AD829" s="60"/>
      <c r="AE829" s="236"/>
      <c r="AF829" s="236"/>
      <c r="AG829" s="60"/>
      <c r="AH829" s="60"/>
      <c r="AI829" s="236"/>
      <c r="AJ829" s="236"/>
    </row>
    <row r="830">
      <c r="A830" s="61"/>
      <c r="B830" s="60"/>
      <c r="C830" s="236"/>
      <c r="D830" s="236"/>
      <c r="E830" s="60"/>
      <c r="F830" s="60"/>
      <c r="G830" s="236"/>
      <c r="H830" s="60"/>
      <c r="I830" s="60"/>
      <c r="J830" s="236"/>
      <c r="K830" s="236"/>
      <c r="L830" s="60"/>
      <c r="M830" s="60"/>
      <c r="N830" s="236"/>
      <c r="O830" s="60"/>
      <c r="P830" s="60"/>
      <c r="Q830" s="236"/>
      <c r="R830" s="236"/>
      <c r="S830" s="60"/>
      <c r="T830" s="60"/>
      <c r="U830" s="236"/>
      <c r="V830" s="60"/>
      <c r="W830" s="60"/>
      <c r="X830" s="236"/>
      <c r="Y830" s="236"/>
      <c r="Z830" s="60"/>
      <c r="AA830" s="60"/>
      <c r="AB830" s="236"/>
      <c r="AC830" s="60"/>
      <c r="AD830" s="60"/>
      <c r="AE830" s="236"/>
      <c r="AF830" s="236"/>
      <c r="AG830" s="60"/>
      <c r="AH830" s="60"/>
      <c r="AI830" s="236"/>
      <c r="AJ830" s="236"/>
    </row>
    <row r="831">
      <c r="A831" s="61"/>
      <c r="B831" s="60"/>
      <c r="C831" s="236"/>
      <c r="D831" s="236"/>
      <c r="E831" s="60"/>
      <c r="F831" s="60"/>
      <c r="G831" s="236"/>
      <c r="H831" s="60"/>
      <c r="I831" s="60"/>
      <c r="J831" s="236"/>
      <c r="K831" s="236"/>
      <c r="L831" s="60"/>
      <c r="M831" s="60"/>
      <c r="N831" s="236"/>
      <c r="O831" s="60"/>
      <c r="P831" s="60"/>
      <c r="Q831" s="236"/>
      <c r="R831" s="236"/>
      <c r="S831" s="60"/>
      <c r="T831" s="60"/>
      <c r="U831" s="236"/>
      <c r="V831" s="60"/>
      <c r="W831" s="60"/>
      <c r="X831" s="236"/>
      <c r="Y831" s="236"/>
      <c r="Z831" s="60"/>
      <c r="AA831" s="60"/>
      <c r="AB831" s="236"/>
      <c r="AC831" s="60"/>
      <c r="AD831" s="60"/>
      <c r="AE831" s="236"/>
      <c r="AF831" s="236"/>
      <c r="AG831" s="60"/>
      <c r="AH831" s="60"/>
      <c r="AI831" s="236"/>
      <c r="AJ831" s="236"/>
    </row>
    <row r="832">
      <c r="A832" s="61"/>
      <c r="B832" s="60"/>
      <c r="C832" s="236"/>
      <c r="D832" s="236"/>
      <c r="E832" s="60"/>
      <c r="F832" s="60"/>
      <c r="G832" s="236"/>
      <c r="H832" s="60"/>
      <c r="I832" s="60"/>
      <c r="J832" s="236"/>
      <c r="K832" s="236"/>
      <c r="L832" s="60"/>
      <c r="M832" s="60"/>
      <c r="N832" s="236"/>
      <c r="O832" s="60"/>
      <c r="P832" s="60"/>
      <c r="Q832" s="236"/>
      <c r="R832" s="236"/>
      <c r="S832" s="60"/>
      <c r="T832" s="60"/>
      <c r="U832" s="236"/>
      <c r="V832" s="60"/>
      <c r="W832" s="60"/>
      <c r="X832" s="236"/>
      <c r="Y832" s="236"/>
      <c r="Z832" s="60"/>
      <c r="AA832" s="60"/>
      <c r="AB832" s="236"/>
      <c r="AC832" s="60"/>
      <c r="AD832" s="60"/>
      <c r="AE832" s="236"/>
      <c r="AF832" s="236"/>
      <c r="AG832" s="60"/>
      <c r="AH832" s="60"/>
      <c r="AI832" s="236"/>
      <c r="AJ832" s="236"/>
    </row>
    <row r="833">
      <c r="A833" s="61"/>
      <c r="B833" s="60"/>
      <c r="C833" s="236"/>
      <c r="D833" s="236"/>
      <c r="E833" s="60"/>
      <c r="F833" s="60"/>
      <c r="G833" s="236"/>
      <c r="H833" s="60"/>
      <c r="I833" s="60"/>
      <c r="J833" s="236"/>
      <c r="K833" s="236"/>
      <c r="L833" s="60"/>
      <c r="M833" s="60"/>
      <c r="N833" s="236"/>
      <c r="O833" s="60"/>
      <c r="P833" s="60"/>
      <c r="Q833" s="236"/>
      <c r="R833" s="236"/>
      <c r="S833" s="60"/>
      <c r="T833" s="60"/>
      <c r="U833" s="236"/>
      <c r="V833" s="60"/>
      <c r="W833" s="60"/>
      <c r="X833" s="236"/>
      <c r="Y833" s="236"/>
      <c r="Z833" s="60"/>
      <c r="AA833" s="60"/>
      <c r="AB833" s="236"/>
      <c r="AC833" s="60"/>
      <c r="AD833" s="60"/>
      <c r="AE833" s="236"/>
      <c r="AF833" s="236"/>
      <c r="AG833" s="60"/>
      <c r="AH833" s="60"/>
      <c r="AI833" s="236"/>
      <c r="AJ833" s="236"/>
    </row>
    <row r="834">
      <c r="A834" s="61"/>
      <c r="B834" s="60"/>
      <c r="C834" s="236"/>
      <c r="D834" s="236"/>
      <c r="E834" s="60"/>
      <c r="F834" s="60"/>
      <c r="G834" s="236"/>
      <c r="H834" s="60"/>
      <c r="I834" s="60"/>
      <c r="J834" s="236"/>
      <c r="K834" s="236"/>
      <c r="L834" s="60"/>
      <c r="M834" s="60"/>
      <c r="N834" s="236"/>
      <c r="O834" s="60"/>
      <c r="P834" s="60"/>
      <c r="Q834" s="236"/>
      <c r="R834" s="236"/>
      <c r="S834" s="60"/>
      <c r="T834" s="60"/>
      <c r="U834" s="236"/>
      <c r="V834" s="60"/>
      <c r="W834" s="60"/>
      <c r="X834" s="236"/>
      <c r="Y834" s="236"/>
      <c r="Z834" s="60"/>
      <c r="AA834" s="60"/>
      <c r="AB834" s="236"/>
      <c r="AC834" s="60"/>
      <c r="AD834" s="60"/>
      <c r="AE834" s="236"/>
      <c r="AF834" s="236"/>
      <c r="AG834" s="60"/>
      <c r="AH834" s="60"/>
      <c r="AI834" s="236"/>
      <c r="AJ834" s="236"/>
    </row>
    <row r="835">
      <c r="A835" s="61"/>
      <c r="B835" s="60"/>
      <c r="C835" s="236"/>
      <c r="D835" s="236"/>
      <c r="E835" s="60"/>
      <c r="F835" s="60"/>
      <c r="G835" s="236"/>
      <c r="H835" s="60"/>
      <c r="I835" s="60"/>
      <c r="J835" s="236"/>
      <c r="K835" s="236"/>
      <c r="L835" s="60"/>
      <c r="M835" s="60"/>
      <c r="N835" s="236"/>
      <c r="O835" s="60"/>
      <c r="P835" s="60"/>
      <c r="Q835" s="236"/>
      <c r="R835" s="236"/>
      <c r="S835" s="60"/>
      <c r="T835" s="60"/>
      <c r="U835" s="236"/>
      <c r="V835" s="60"/>
      <c r="W835" s="60"/>
      <c r="X835" s="236"/>
      <c r="Y835" s="236"/>
      <c r="Z835" s="60"/>
      <c r="AA835" s="60"/>
      <c r="AB835" s="236"/>
      <c r="AC835" s="60"/>
      <c r="AD835" s="60"/>
      <c r="AE835" s="236"/>
      <c r="AF835" s="236"/>
      <c r="AG835" s="60"/>
      <c r="AH835" s="60"/>
      <c r="AI835" s="236"/>
      <c r="AJ835" s="236"/>
    </row>
    <row r="836">
      <c r="A836" s="61"/>
      <c r="B836" s="60"/>
      <c r="C836" s="236"/>
      <c r="D836" s="236"/>
      <c r="E836" s="60"/>
      <c r="F836" s="60"/>
      <c r="G836" s="236"/>
      <c r="H836" s="60"/>
      <c r="I836" s="60"/>
      <c r="J836" s="236"/>
      <c r="K836" s="236"/>
      <c r="L836" s="60"/>
      <c r="M836" s="60"/>
      <c r="N836" s="236"/>
      <c r="O836" s="60"/>
      <c r="P836" s="60"/>
      <c r="Q836" s="236"/>
      <c r="R836" s="236"/>
      <c r="S836" s="60"/>
      <c r="T836" s="60"/>
      <c r="U836" s="236"/>
      <c r="V836" s="60"/>
      <c r="W836" s="60"/>
      <c r="X836" s="236"/>
      <c r="Y836" s="236"/>
      <c r="Z836" s="60"/>
      <c r="AA836" s="60"/>
      <c r="AB836" s="236"/>
      <c r="AC836" s="60"/>
      <c r="AD836" s="60"/>
      <c r="AE836" s="236"/>
      <c r="AF836" s="236"/>
      <c r="AG836" s="60"/>
      <c r="AH836" s="60"/>
      <c r="AI836" s="236"/>
      <c r="AJ836" s="236"/>
    </row>
    <row r="837">
      <c r="A837" s="61"/>
      <c r="B837" s="60"/>
      <c r="C837" s="236"/>
      <c r="D837" s="236"/>
      <c r="E837" s="60"/>
      <c r="F837" s="60"/>
      <c r="G837" s="236"/>
      <c r="H837" s="60"/>
      <c r="I837" s="60"/>
      <c r="J837" s="236"/>
      <c r="K837" s="236"/>
      <c r="L837" s="60"/>
      <c r="M837" s="60"/>
      <c r="N837" s="236"/>
      <c r="O837" s="60"/>
      <c r="P837" s="60"/>
      <c r="Q837" s="236"/>
      <c r="R837" s="236"/>
      <c r="S837" s="60"/>
      <c r="T837" s="60"/>
      <c r="U837" s="236"/>
      <c r="V837" s="60"/>
      <c r="W837" s="60"/>
      <c r="X837" s="236"/>
      <c r="Y837" s="236"/>
      <c r="Z837" s="60"/>
      <c r="AA837" s="60"/>
      <c r="AB837" s="236"/>
      <c r="AC837" s="60"/>
      <c r="AD837" s="60"/>
      <c r="AE837" s="236"/>
      <c r="AF837" s="236"/>
      <c r="AG837" s="60"/>
      <c r="AH837" s="60"/>
      <c r="AI837" s="236"/>
      <c r="AJ837" s="236"/>
    </row>
    <row r="838">
      <c r="A838" s="61"/>
      <c r="B838" s="60"/>
      <c r="C838" s="236"/>
      <c r="D838" s="236"/>
      <c r="E838" s="60"/>
      <c r="F838" s="60"/>
      <c r="G838" s="236"/>
      <c r="H838" s="60"/>
      <c r="I838" s="60"/>
      <c r="J838" s="236"/>
      <c r="K838" s="236"/>
      <c r="L838" s="60"/>
      <c r="M838" s="60"/>
      <c r="N838" s="236"/>
      <c r="O838" s="60"/>
      <c r="P838" s="60"/>
      <c r="Q838" s="236"/>
      <c r="R838" s="236"/>
      <c r="S838" s="60"/>
      <c r="T838" s="60"/>
      <c r="U838" s="236"/>
      <c r="V838" s="60"/>
      <c r="W838" s="60"/>
      <c r="X838" s="236"/>
      <c r="Y838" s="236"/>
      <c r="Z838" s="60"/>
      <c r="AA838" s="60"/>
      <c r="AB838" s="236"/>
      <c r="AC838" s="60"/>
      <c r="AD838" s="60"/>
      <c r="AE838" s="236"/>
      <c r="AF838" s="236"/>
      <c r="AG838" s="60"/>
      <c r="AH838" s="60"/>
      <c r="AI838" s="236"/>
      <c r="AJ838" s="236"/>
    </row>
    <row r="839">
      <c r="A839" s="61"/>
      <c r="B839" s="60"/>
      <c r="C839" s="236"/>
      <c r="D839" s="236"/>
      <c r="E839" s="60"/>
      <c r="F839" s="60"/>
      <c r="G839" s="236"/>
      <c r="H839" s="60"/>
      <c r="I839" s="60"/>
      <c r="J839" s="236"/>
      <c r="K839" s="236"/>
      <c r="L839" s="60"/>
      <c r="M839" s="60"/>
      <c r="N839" s="236"/>
      <c r="O839" s="60"/>
      <c r="P839" s="60"/>
      <c r="Q839" s="236"/>
      <c r="R839" s="236"/>
      <c r="S839" s="60"/>
      <c r="T839" s="60"/>
      <c r="U839" s="236"/>
      <c r="V839" s="60"/>
      <c r="W839" s="60"/>
      <c r="X839" s="236"/>
      <c r="Y839" s="236"/>
      <c r="Z839" s="60"/>
      <c r="AA839" s="60"/>
      <c r="AB839" s="236"/>
      <c r="AC839" s="60"/>
      <c r="AD839" s="60"/>
      <c r="AE839" s="236"/>
      <c r="AF839" s="236"/>
      <c r="AG839" s="60"/>
      <c r="AH839" s="60"/>
      <c r="AI839" s="236"/>
      <c r="AJ839" s="236"/>
    </row>
    <row r="840">
      <c r="A840" s="61"/>
      <c r="B840" s="60"/>
      <c r="C840" s="236"/>
      <c r="D840" s="236"/>
      <c r="E840" s="60"/>
      <c r="F840" s="60"/>
      <c r="G840" s="236"/>
      <c r="H840" s="60"/>
      <c r="I840" s="60"/>
      <c r="J840" s="236"/>
      <c r="K840" s="236"/>
      <c r="L840" s="60"/>
      <c r="M840" s="60"/>
      <c r="N840" s="236"/>
      <c r="O840" s="60"/>
      <c r="P840" s="60"/>
      <c r="Q840" s="236"/>
      <c r="R840" s="236"/>
      <c r="S840" s="60"/>
      <c r="T840" s="60"/>
      <c r="U840" s="236"/>
      <c r="V840" s="60"/>
      <c r="W840" s="60"/>
      <c r="X840" s="236"/>
      <c r="Y840" s="236"/>
      <c r="Z840" s="60"/>
      <c r="AA840" s="60"/>
      <c r="AB840" s="236"/>
      <c r="AC840" s="60"/>
      <c r="AD840" s="60"/>
      <c r="AE840" s="236"/>
      <c r="AF840" s="236"/>
      <c r="AG840" s="60"/>
      <c r="AH840" s="60"/>
      <c r="AI840" s="236"/>
      <c r="AJ840" s="236"/>
    </row>
    <row r="841">
      <c r="A841" s="61"/>
      <c r="B841" s="60"/>
      <c r="C841" s="236"/>
      <c r="D841" s="236"/>
      <c r="E841" s="60"/>
      <c r="F841" s="60"/>
      <c r="G841" s="236"/>
      <c r="H841" s="60"/>
      <c r="I841" s="60"/>
      <c r="J841" s="236"/>
      <c r="K841" s="236"/>
      <c r="L841" s="60"/>
      <c r="M841" s="60"/>
      <c r="N841" s="236"/>
      <c r="O841" s="60"/>
      <c r="P841" s="60"/>
      <c r="Q841" s="236"/>
      <c r="R841" s="236"/>
      <c r="S841" s="60"/>
      <c r="T841" s="60"/>
      <c r="U841" s="236"/>
      <c r="V841" s="60"/>
      <c r="W841" s="60"/>
      <c r="X841" s="236"/>
      <c r="Y841" s="236"/>
      <c r="Z841" s="60"/>
      <c r="AA841" s="60"/>
      <c r="AB841" s="236"/>
      <c r="AC841" s="60"/>
      <c r="AD841" s="60"/>
      <c r="AE841" s="236"/>
      <c r="AF841" s="236"/>
      <c r="AG841" s="60"/>
      <c r="AH841" s="60"/>
      <c r="AI841" s="236"/>
      <c r="AJ841" s="236"/>
    </row>
    <row r="842">
      <c r="A842" s="61"/>
      <c r="B842" s="60"/>
      <c r="C842" s="236"/>
      <c r="D842" s="236"/>
      <c r="E842" s="60"/>
      <c r="F842" s="60"/>
      <c r="G842" s="236"/>
      <c r="H842" s="60"/>
      <c r="I842" s="60"/>
      <c r="J842" s="236"/>
      <c r="K842" s="236"/>
      <c r="L842" s="60"/>
      <c r="M842" s="60"/>
      <c r="N842" s="236"/>
      <c r="O842" s="60"/>
      <c r="P842" s="60"/>
      <c r="Q842" s="236"/>
      <c r="R842" s="236"/>
      <c r="S842" s="60"/>
      <c r="T842" s="60"/>
      <c r="U842" s="236"/>
      <c r="V842" s="60"/>
      <c r="W842" s="60"/>
      <c r="X842" s="236"/>
      <c r="Y842" s="236"/>
      <c r="Z842" s="60"/>
      <c r="AA842" s="60"/>
      <c r="AB842" s="236"/>
      <c r="AC842" s="60"/>
      <c r="AD842" s="60"/>
      <c r="AE842" s="236"/>
      <c r="AF842" s="236"/>
      <c r="AG842" s="60"/>
      <c r="AH842" s="60"/>
      <c r="AI842" s="236"/>
      <c r="AJ842" s="236"/>
    </row>
    <row r="843">
      <c r="A843" s="61"/>
      <c r="B843" s="60"/>
      <c r="C843" s="236"/>
      <c r="D843" s="236"/>
      <c r="E843" s="60"/>
      <c r="F843" s="60"/>
      <c r="G843" s="236"/>
      <c r="H843" s="60"/>
      <c r="I843" s="60"/>
      <c r="J843" s="236"/>
      <c r="K843" s="236"/>
      <c r="L843" s="60"/>
      <c r="M843" s="60"/>
      <c r="N843" s="236"/>
      <c r="O843" s="60"/>
      <c r="P843" s="60"/>
      <c r="Q843" s="236"/>
      <c r="R843" s="236"/>
      <c r="S843" s="60"/>
      <c r="T843" s="60"/>
      <c r="U843" s="236"/>
      <c r="V843" s="60"/>
      <c r="W843" s="60"/>
      <c r="X843" s="236"/>
      <c r="Y843" s="236"/>
      <c r="Z843" s="60"/>
      <c r="AA843" s="60"/>
      <c r="AB843" s="236"/>
      <c r="AC843" s="60"/>
      <c r="AD843" s="60"/>
      <c r="AE843" s="236"/>
      <c r="AF843" s="236"/>
      <c r="AG843" s="60"/>
      <c r="AH843" s="60"/>
      <c r="AI843" s="236"/>
      <c r="AJ843" s="236"/>
    </row>
    <row r="844">
      <c r="A844" s="61"/>
      <c r="B844" s="60"/>
      <c r="C844" s="236"/>
      <c r="D844" s="236"/>
      <c r="E844" s="60"/>
      <c r="F844" s="60"/>
      <c r="G844" s="236"/>
      <c r="H844" s="60"/>
      <c r="I844" s="60"/>
      <c r="J844" s="236"/>
      <c r="K844" s="236"/>
      <c r="L844" s="60"/>
      <c r="M844" s="60"/>
      <c r="N844" s="236"/>
      <c r="O844" s="60"/>
      <c r="P844" s="60"/>
      <c r="Q844" s="236"/>
      <c r="R844" s="236"/>
      <c r="S844" s="60"/>
      <c r="T844" s="60"/>
      <c r="U844" s="236"/>
      <c r="V844" s="60"/>
      <c r="W844" s="60"/>
      <c r="X844" s="236"/>
      <c r="Y844" s="236"/>
      <c r="Z844" s="60"/>
      <c r="AA844" s="60"/>
      <c r="AB844" s="236"/>
      <c r="AC844" s="60"/>
      <c r="AD844" s="60"/>
      <c r="AE844" s="236"/>
      <c r="AF844" s="236"/>
      <c r="AG844" s="60"/>
      <c r="AH844" s="60"/>
      <c r="AI844" s="236"/>
      <c r="AJ844" s="236"/>
    </row>
    <row r="845">
      <c r="A845" s="61"/>
      <c r="B845" s="60"/>
      <c r="C845" s="236"/>
      <c r="D845" s="236"/>
      <c r="E845" s="60"/>
      <c r="F845" s="60"/>
      <c r="G845" s="236"/>
      <c r="H845" s="60"/>
      <c r="I845" s="60"/>
      <c r="J845" s="236"/>
      <c r="K845" s="236"/>
      <c r="L845" s="60"/>
      <c r="M845" s="60"/>
      <c r="N845" s="236"/>
      <c r="O845" s="60"/>
      <c r="P845" s="60"/>
      <c r="Q845" s="236"/>
      <c r="R845" s="236"/>
      <c r="S845" s="60"/>
      <c r="T845" s="60"/>
      <c r="U845" s="236"/>
      <c r="V845" s="60"/>
      <c r="W845" s="60"/>
      <c r="X845" s="236"/>
      <c r="Y845" s="236"/>
      <c r="Z845" s="60"/>
      <c r="AA845" s="60"/>
      <c r="AB845" s="236"/>
      <c r="AC845" s="60"/>
      <c r="AD845" s="60"/>
      <c r="AE845" s="236"/>
      <c r="AF845" s="236"/>
      <c r="AG845" s="60"/>
      <c r="AH845" s="60"/>
      <c r="AI845" s="236"/>
      <c r="AJ845" s="236"/>
    </row>
    <row r="846">
      <c r="A846" s="61"/>
      <c r="B846" s="60"/>
      <c r="C846" s="236"/>
      <c r="D846" s="236"/>
      <c r="E846" s="60"/>
      <c r="F846" s="60"/>
      <c r="G846" s="236"/>
      <c r="H846" s="60"/>
      <c r="I846" s="60"/>
      <c r="J846" s="236"/>
      <c r="K846" s="236"/>
      <c r="L846" s="60"/>
      <c r="M846" s="60"/>
      <c r="N846" s="236"/>
      <c r="O846" s="60"/>
      <c r="P846" s="60"/>
      <c r="Q846" s="236"/>
      <c r="R846" s="236"/>
      <c r="S846" s="60"/>
      <c r="T846" s="60"/>
      <c r="U846" s="236"/>
      <c r="V846" s="60"/>
      <c r="W846" s="60"/>
      <c r="X846" s="236"/>
      <c r="Y846" s="236"/>
      <c r="Z846" s="60"/>
      <c r="AA846" s="60"/>
      <c r="AB846" s="236"/>
      <c r="AC846" s="60"/>
      <c r="AD846" s="60"/>
      <c r="AE846" s="236"/>
      <c r="AF846" s="236"/>
      <c r="AG846" s="60"/>
      <c r="AH846" s="60"/>
      <c r="AI846" s="236"/>
      <c r="AJ846" s="236"/>
    </row>
    <row r="847">
      <c r="A847" s="61"/>
      <c r="B847" s="60"/>
      <c r="C847" s="236"/>
      <c r="D847" s="236"/>
      <c r="E847" s="60"/>
      <c r="F847" s="60"/>
      <c r="G847" s="236"/>
      <c r="H847" s="60"/>
      <c r="I847" s="60"/>
      <c r="J847" s="236"/>
      <c r="K847" s="236"/>
      <c r="L847" s="60"/>
      <c r="M847" s="60"/>
      <c r="N847" s="236"/>
      <c r="O847" s="60"/>
      <c r="P847" s="60"/>
      <c r="Q847" s="236"/>
      <c r="R847" s="236"/>
      <c r="S847" s="60"/>
      <c r="T847" s="60"/>
      <c r="U847" s="236"/>
      <c r="V847" s="60"/>
      <c r="W847" s="60"/>
      <c r="X847" s="236"/>
      <c r="Y847" s="236"/>
      <c r="Z847" s="60"/>
      <c r="AA847" s="60"/>
      <c r="AB847" s="236"/>
      <c r="AC847" s="60"/>
      <c r="AD847" s="60"/>
      <c r="AE847" s="236"/>
      <c r="AF847" s="236"/>
      <c r="AG847" s="60"/>
      <c r="AH847" s="60"/>
      <c r="AI847" s="236"/>
      <c r="AJ847" s="236"/>
    </row>
    <row r="848">
      <c r="A848" s="61"/>
      <c r="B848" s="60"/>
      <c r="C848" s="236"/>
      <c r="D848" s="236"/>
      <c r="E848" s="60"/>
      <c r="F848" s="60"/>
      <c r="G848" s="236"/>
      <c r="H848" s="60"/>
      <c r="I848" s="60"/>
      <c r="J848" s="236"/>
      <c r="K848" s="236"/>
      <c r="L848" s="60"/>
      <c r="M848" s="60"/>
      <c r="N848" s="236"/>
      <c r="O848" s="60"/>
      <c r="P848" s="60"/>
      <c r="Q848" s="236"/>
      <c r="R848" s="236"/>
      <c r="S848" s="60"/>
      <c r="T848" s="60"/>
      <c r="U848" s="236"/>
      <c r="V848" s="60"/>
      <c r="W848" s="60"/>
      <c r="X848" s="236"/>
      <c r="Y848" s="236"/>
      <c r="Z848" s="60"/>
      <c r="AA848" s="60"/>
      <c r="AB848" s="236"/>
      <c r="AC848" s="60"/>
      <c r="AD848" s="60"/>
      <c r="AE848" s="236"/>
      <c r="AF848" s="236"/>
      <c r="AG848" s="60"/>
      <c r="AH848" s="60"/>
      <c r="AI848" s="236"/>
      <c r="AJ848" s="236"/>
    </row>
    <row r="849">
      <c r="A849" s="61"/>
      <c r="B849" s="60"/>
      <c r="C849" s="236"/>
      <c r="D849" s="236"/>
      <c r="E849" s="60"/>
      <c r="F849" s="60"/>
      <c r="G849" s="236"/>
      <c r="H849" s="60"/>
      <c r="I849" s="60"/>
      <c r="J849" s="236"/>
      <c r="K849" s="236"/>
      <c r="L849" s="60"/>
      <c r="M849" s="60"/>
      <c r="N849" s="236"/>
      <c r="O849" s="60"/>
      <c r="P849" s="60"/>
      <c r="Q849" s="236"/>
      <c r="R849" s="236"/>
      <c r="S849" s="60"/>
      <c r="T849" s="60"/>
      <c r="U849" s="236"/>
      <c r="V849" s="60"/>
      <c r="W849" s="60"/>
      <c r="X849" s="236"/>
      <c r="Y849" s="236"/>
      <c r="Z849" s="60"/>
      <c r="AA849" s="60"/>
      <c r="AB849" s="236"/>
      <c r="AC849" s="60"/>
      <c r="AD849" s="60"/>
      <c r="AE849" s="236"/>
      <c r="AF849" s="236"/>
      <c r="AG849" s="60"/>
      <c r="AH849" s="60"/>
      <c r="AI849" s="236"/>
      <c r="AJ849" s="236"/>
    </row>
    <row r="850">
      <c r="A850" s="61"/>
      <c r="B850" s="60"/>
      <c r="C850" s="236"/>
      <c r="D850" s="236"/>
      <c r="E850" s="60"/>
      <c r="F850" s="60"/>
      <c r="G850" s="236"/>
      <c r="H850" s="60"/>
      <c r="I850" s="60"/>
      <c r="J850" s="236"/>
      <c r="K850" s="236"/>
      <c r="L850" s="60"/>
      <c r="M850" s="60"/>
      <c r="N850" s="236"/>
      <c r="O850" s="60"/>
      <c r="P850" s="60"/>
      <c r="Q850" s="236"/>
      <c r="R850" s="236"/>
      <c r="S850" s="60"/>
      <c r="T850" s="60"/>
      <c r="U850" s="236"/>
      <c r="V850" s="60"/>
      <c r="W850" s="60"/>
      <c r="X850" s="236"/>
      <c r="Y850" s="236"/>
      <c r="Z850" s="60"/>
      <c r="AA850" s="60"/>
      <c r="AB850" s="236"/>
      <c r="AC850" s="60"/>
      <c r="AD850" s="60"/>
      <c r="AE850" s="236"/>
      <c r="AF850" s="236"/>
      <c r="AG850" s="60"/>
      <c r="AH850" s="60"/>
      <c r="AI850" s="236"/>
      <c r="AJ850" s="236"/>
    </row>
    <row r="851">
      <c r="A851" s="61"/>
      <c r="B851" s="60"/>
      <c r="C851" s="236"/>
      <c r="D851" s="236"/>
      <c r="E851" s="60"/>
      <c r="F851" s="60"/>
      <c r="G851" s="236"/>
      <c r="H851" s="60"/>
      <c r="I851" s="60"/>
      <c r="J851" s="236"/>
      <c r="K851" s="236"/>
      <c r="L851" s="60"/>
      <c r="M851" s="60"/>
      <c r="N851" s="236"/>
      <c r="O851" s="60"/>
      <c r="P851" s="60"/>
      <c r="Q851" s="236"/>
      <c r="R851" s="236"/>
      <c r="S851" s="60"/>
      <c r="T851" s="60"/>
      <c r="U851" s="236"/>
      <c r="V851" s="60"/>
      <c r="W851" s="60"/>
      <c r="X851" s="236"/>
      <c r="Y851" s="236"/>
      <c r="Z851" s="60"/>
      <c r="AA851" s="60"/>
      <c r="AB851" s="236"/>
      <c r="AC851" s="60"/>
      <c r="AD851" s="60"/>
      <c r="AE851" s="236"/>
      <c r="AF851" s="236"/>
      <c r="AG851" s="60"/>
      <c r="AH851" s="60"/>
      <c r="AI851" s="236"/>
      <c r="AJ851" s="236"/>
    </row>
    <row r="852">
      <c r="A852" s="61"/>
      <c r="B852" s="60"/>
      <c r="C852" s="236"/>
      <c r="D852" s="236"/>
      <c r="E852" s="60"/>
      <c r="F852" s="60"/>
      <c r="G852" s="236"/>
      <c r="H852" s="60"/>
      <c r="I852" s="60"/>
      <c r="J852" s="236"/>
      <c r="K852" s="236"/>
      <c r="L852" s="60"/>
      <c r="M852" s="60"/>
      <c r="N852" s="236"/>
      <c r="O852" s="60"/>
      <c r="P852" s="60"/>
      <c r="Q852" s="236"/>
      <c r="R852" s="236"/>
      <c r="S852" s="60"/>
      <c r="T852" s="60"/>
      <c r="U852" s="236"/>
      <c r="V852" s="60"/>
      <c r="W852" s="60"/>
      <c r="X852" s="236"/>
      <c r="Y852" s="236"/>
      <c r="Z852" s="60"/>
      <c r="AA852" s="60"/>
      <c r="AB852" s="236"/>
      <c r="AC852" s="60"/>
      <c r="AD852" s="60"/>
      <c r="AE852" s="236"/>
      <c r="AF852" s="236"/>
      <c r="AG852" s="60"/>
      <c r="AH852" s="60"/>
      <c r="AI852" s="236"/>
      <c r="AJ852" s="236"/>
    </row>
    <row r="853">
      <c r="A853" s="61"/>
      <c r="B853" s="60"/>
      <c r="C853" s="236"/>
      <c r="D853" s="236"/>
      <c r="E853" s="60"/>
      <c r="F853" s="60"/>
      <c r="G853" s="236"/>
      <c r="H853" s="60"/>
      <c r="I853" s="60"/>
      <c r="J853" s="236"/>
      <c r="K853" s="236"/>
      <c r="L853" s="60"/>
      <c r="M853" s="60"/>
      <c r="N853" s="236"/>
      <c r="O853" s="60"/>
      <c r="P853" s="60"/>
      <c r="Q853" s="236"/>
      <c r="R853" s="236"/>
      <c r="S853" s="60"/>
      <c r="T853" s="60"/>
      <c r="U853" s="236"/>
      <c r="V853" s="60"/>
      <c r="W853" s="60"/>
      <c r="X853" s="236"/>
      <c r="Y853" s="236"/>
      <c r="Z853" s="60"/>
      <c r="AA853" s="60"/>
      <c r="AB853" s="236"/>
      <c r="AC853" s="60"/>
      <c r="AD853" s="60"/>
      <c r="AE853" s="236"/>
      <c r="AF853" s="236"/>
      <c r="AG853" s="60"/>
      <c r="AH853" s="60"/>
      <c r="AI853" s="236"/>
      <c r="AJ853" s="236"/>
    </row>
    <row r="854">
      <c r="A854" s="61"/>
      <c r="B854" s="60"/>
      <c r="C854" s="236"/>
      <c r="D854" s="236"/>
      <c r="E854" s="60"/>
      <c r="F854" s="60"/>
      <c r="G854" s="236"/>
      <c r="H854" s="60"/>
      <c r="I854" s="60"/>
      <c r="J854" s="236"/>
      <c r="K854" s="236"/>
      <c r="L854" s="60"/>
      <c r="M854" s="60"/>
      <c r="N854" s="236"/>
      <c r="O854" s="60"/>
      <c r="P854" s="60"/>
      <c r="Q854" s="236"/>
      <c r="R854" s="236"/>
      <c r="S854" s="60"/>
      <c r="T854" s="60"/>
      <c r="U854" s="236"/>
      <c r="V854" s="60"/>
      <c r="W854" s="60"/>
      <c r="X854" s="236"/>
      <c r="Y854" s="236"/>
      <c r="Z854" s="60"/>
      <c r="AA854" s="60"/>
      <c r="AB854" s="236"/>
      <c r="AC854" s="60"/>
      <c r="AD854" s="60"/>
      <c r="AE854" s="236"/>
      <c r="AF854" s="236"/>
      <c r="AG854" s="60"/>
      <c r="AH854" s="60"/>
      <c r="AI854" s="236"/>
      <c r="AJ854" s="236"/>
    </row>
    <row r="855">
      <c r="A855" s="61"/>
      <c r="B855" s="60"/>
      <c r="C855" s="236"/>
      <c r="D855" s="236"/>
      <c r="E855" s="60"/>
      <c r="F855" s="60"/>
      <c r="G855" s="236"/>
      <c r="H855" s="60"/>
      <c r="I855" s="60"/>
      <c r="J855" s="236"/>
      <c r="K855" s="236"/>
      <c r="L855" s="60"/>
      <c r="M855" s="60"/>
      <c r="N855" s="236"/>
      <c r="O855" s="60"/>
      <c r="P855" s="60"/>
      <c r="Q855" s="236"/>
      <c r="R855" s="236"/>
      <c r="S855" s="60"/>
      <c r="T855" s="60"/>
      <c r="U855" s="236"/>
      <c r="V855" s="60"/>
      <c r="W855" s="60"/>
      <c r="X855" s="236"/>
      <c r="Y855" s="236"/>
      <c r="Z855" s="60"/>
      <c r="AA855" s="60"/>
      <c r="AB855" s="236"/>
      <c r="AC855" s="60"/>
      <c r="AD855" s="60"/>
      <c r="AE855" s="236"/>
      <c r="AF855" s="236"/>
      <c r="AG855" s="60"/>
      <c r="AH855" s="60"/>
      <c r="AI855" s="236"/>
      <c r="AJ855" s="236"/>
    </row>
    <row r="856">
      <c r="A856" s="61"/>
      <c r="B856" s="60"/>
      <c r="C856" s="236"/>
      <c r="D856" s="236"/>
      <c r="E856" s="60"/>
      <c r="F856" s="60"/>
      <c r="G856" s="236"/>
      <c r="H856" s="60"/>
      <c r="I856" s="60"/>
      <c r="J856" s="236"/>
      <c r="K856" s="236"/>
      <c r="L856" s="60"/>
      <c r="M856" s="60"/>
      <c r="N856" s="236"/>
      <c r="O856" s="60"/>
      <c r="P856" s="60"/>
      <c r="Q856" s="236"/>
      <c r="R856" s="236"/>
      <c r="S856" s="60"/>
      <c r="T856" s="60"/>
      <c r="U856" s="236"/>
      <c r="V856" s="60"/>
      <c r="W856" s="60"/>
      <c r="X856" s="236"/>
      <c r="Y856" s="236"/>
      <c r="Z856" s="60"/>
      <c r="AA856" s="60"/>
      <c r="AB856" s="236"/>
      <c r="AC856" s="60"/>
      <c r="AD856" s="60"/>
      <c r="AE856" s="236"/>
      <c r="AF856" s="236"/>
      <c r="AG856" s="60"/>
      <c r="AH856" s="60"/>
      <c r="AI856" s="236"/>
      <c r="AJ856" s="236"/>
    </row>
    <row r="857">
      <c r="A857" s="61"/>
      <c r="B857" s="60"/>
      <c r="C857" s="236"/>
      <c r="D857" s="236"/>
      <c r="E857" s="60"/>
      <c r="F857" s="60"/>
      <c r="G857" s="236"/>
      <c r="H857" s="60"/>
      <c r="I857" s="60"/>
      <c r="J857" s="236"/>
      <c r="K857" s="236"/>
      <c r="L857" s="60"/>
      <c r="M857" s="60"/>
      <c r="N857" s="236"/>
      <c r="O857" s="60"/>
      <c r="P857" s="60"/>
      <c r="Q857" s="236"/>
      <c r="R857" s="236"/>
      <c r="S857" s="60"/>
      <c r="T857" s="60"/>
      <c r="U857" s="236"/>
      <c r="V857" s="60"/>
      <c r="W857" s="60"/>
      <c r="X857" s="236"/>
      <c r="Y857" s="236"/>
      <c r="Z857" s="60"/>
      <c r="AA857" s="60"/>
      <c r="AB857" s="236"/>
      <c r="AC857" s="60"/>
      <c r="AD857" s="60"/>
      <c r="AE857" s="236"/>
      <c r="AF857" s="236"/>
      <c r="AG857" s="60"/>
      <c r="AH857" s="60"/>
      <c r="AI857" s="236"/>
      <c r="AJ857" s="236"/>
    </row>
    <row r="858">
      <c r="A858" s="61"/>
      <c r="B858" s="60"/>
      <c r="C858" s="236"/>
      <c r="D858" s="236"/>
      <c r="E858" s="60"/>
      <c r="F858" s="60"/>
      <c r="G858" s="236"/>
      <c r="H858" s="60"/>
      <c r="I858" s="60"/>
      <c r="J858" s="236"/>
      <c r="K858" s="236"/>
      <c r="L858" s="60"/>
      <c r="M858" s="60"/>
      <c r="N858" s="236"/>
      <c r="O858" s="60"/>
      <c r="P858" s="60"/>
      <c r="Q858" s="236"/>
      <c r="R858" s="236"/>
      <c r="S858" s="60"/>
      <c r="T858" s="60"/>
      <c r="U858" s="236"/>
      <c r="V858" s="60"/>
      <c r="W858" s="60"/>
      <c r="X858" s="236"/>
      <c r="Y858" s="236"/>
      <c r="Z858" s="60"/>
      <c r="AA858" s="60"/>
      <c r="AB858" s="236"/>
      <c r="AC858" s="60"/>
      <c r="AD858" s="60"/>
      <c r="AE858" s="236"/>
      <c r="AF858" s="236"/>
      <c r="AG858" s="60"/>
      <c r="AH858" s="60"/>
      <c r="AI858" s="236"/>
      <c r="AJ858" s="236"/>
    </row>
    <row r="859">
      <c r="A859" s="61"/>
      <c r="B859" s="60"/>
      <c r="C859" s="236"/>
      <c r="D859" s="236"/>
      <c r="E859" s="60"/>
      <c r="F859" s="60"/>
      <c r="G859" s="236"/>
      <c r="H859" s="60"/>
      <c r="I859" s="60"/>
      <c r="J859" s="236"/>
      <c r="K859" s="236"/>
      <c r="L859" s="60"/>
      <c r="M859" s="60"/>
      <c r="N859" s="236"/>
      <c r="O859" s="60"/>
      <c r="P859" s="60"/>
      <c r="Q859" s="236"/>
      <c r="R859" s="236"/>
      <c r="S859" s="60"/>
      <c r="T859" s="60"/>
      <c r="U859" s="236"/>
      <c r="V859" s="60"/>
      <c r="W859" s="60"/>
      <c r="X859" s="236"/>
      <c r="Y859" s="236"/>
      <c r="Z859" s="60"/>
      <c r="AA859" s="60"/>
      <c r="AB859" s="236"/>
      <c r="AC859" s="60"/>
      <c r="AD859" s="60"/>
      <c r="AE859" s="236"/>
      <c r="AF859" s="236"/>
      <c r="AG859" s="60"/>
      <c r="AH859" s="60"/>
      <c r="AI859" s="236"/>
      <c r="AJ859" s="236"/>
    </row>
    <row r="860">
      <c r="A860" s="61"/>
      <c r="B860" s="60"/>
      <c r="C860" s="236"/>
      <c r="D860" s="236"/>
      <c r="E860" s="60"/>
      <c r="F860" s="60"/>
      <c r="G860" s="236"/>
      <c r="H860" s="60"/>
      <c r="I860" s="60"/>
      <c r="J860" s="236"/>
      <c r="K860" s="236"/>
      <c r="L860" s="60"/>
      <c r="M860" s="60"/>
      <c r="N860" s="236"/>
      <c r="O860" s="60"/>
      <c r="P860" s="60"/>
      <c r="Q860" s="236"/>
      <c r="R860" s="236"/>
      <c r="S860" s="60"/>
      <c r="T860" s="60"/>
      <c r="U860" s="236"/>
      <c r="V860" s="60"/>
      <c r="W860" s="60"/>
      <c r="X860" s="236"/>
      <c r="Y860" s="236"/>
      <c r="Z860" s="60"/>
      <c r="AA860" s="60"/>
      <c r="AB860" s="236"/>
      <c r="AC860" s="60"/>
      <c r="AD860" s="60"/>
      <c r="AE860" s="236"/>
      <c r="AF860" s="236"/>
      <c r="AG860" s="60"/>
      <c r="AH860" s="60"/>
      <c r="AI860" s="236"/>
      <c r="AJ860" s="236"/>
    </row>
    <row r="861">
      <c r="A861" s="61"/>
      <c r="B861" s="60"/>
      <c r="C861" s="236"/>
      <c r="D861" s="236"/>
      <c r="E861" s="60"/>
      <c r="F861" s="60"/>
      <c r="G861" s="236"/>
      <c r="H861" s="60"/>
      <c r="I861" s="60"/>
      <c r="J861" s="236"/>
      <c r="K861" s="236"/>
      <c r="L861" s="60"/>
      <c r="M861" s="60"/>
      <c r="N861" s="236"/>
      <c r="O861" s="60"/>
      <c r="P861" s="60"/>
      <c r="Q861" s="236"/>
      <c r="R861" s="236"/>
      <c r="S861" s="60"/>
      <c r="T861" s="60"/>
      <c r="U861" s="236"/>
      <c r="V861" s="60"/>
      <c r="W861" s="60"/>
      <c r="X861" s="236"/>
      <c r="Y861" s="236"/>
      <c r="Z861" s="60"/>
      <c r="AA861" s="60"/>
      <c r="AB861" s="236"/>
      <c r="AC861" s="60"/>
      <c r="AD861" s="60"/>
      <c r="AE861" s="236"/>
      <c r="AF861" s="236"/>
      <c r="AG861" s="60"/>
      <c r="AH861" s="60"/>
      <c r="AI861" s="236"/>
      <c r="AJ861" s="236"/>
    </row>
    <row r="862">
      <c r="A862" s="61"/>
      <c r="B862" s="60"/>
      <c r="C862" s="236"/>
      <c r="D862" s="236"/>
      <c r="E862" s="60"/>
      <c r="F862" s="60"/>
      <c r="G862" s="236"/>
      <c r="H862" s="60"/>
      <c r="I862" s="60"/>
      <c r="J862" s="236"/>
      <c r="K862" s="236"/>
      <c r="L862" s="60"/>
      <c r="M862" s="60"/>
      <c r="N862" s="236"/>
      <c r="O862" s="60"/>
      <c r="P862" s="60"/>
      <c r="Q862" s="236"/>
      <c r="R862" s="236"/>
      <c r="S862" s="60"/>
      <c r="T862" s="60"/>
      <c r="U862" s="236"/>
      <c r="V862" s="60"/>
      <c r="W862" s="60"/>
      <c r="X862" s="236"/>
      <c r="Y862" s="236"/>
      <c r="Z862" s="60"/>
      <c r="AA862" s="60"/>
      <c r="AB862" s="236"/>
      <c r="AC862" s="60"/>
      <c r="AD862" s="60"/>
      <c r="AE862" s="236"/>
      <c r="AF862" s="236"/>
      <c r="AG862" s="60"/>
      <c r="AH862" s="60"/>
      <c r="AI862" s="236"/>
      <c r="AJ862" s="236"/>
    </row>
    <row r="863">
      <c r="A863" s="61"/>
      <c r="B863" s="60"/>
      <c r="C863" s="236"/>
      <c r="D863" s="236"/>
      <c r="E863" s="60"/>
      <c r="F863" s="60"/>
      <c r="G863" s="236"/>
      <c r="H863" s="60"/>
      <c r="I863" s="60"/>
      <c r="J863" s="236"/>
      <c r="K863" s="236"/>
      <c r="L863" s="60"/>
      <c r="M863" s="60"/>
      <c r="N863" s="236"/>
      <c r="O863" s="60"/>
      <c r="P863" s="60"/>
      <c r="Q863" s="236"/>
      <c r="R863" s="236"/>
      <c r="S863" s="60"/>
      <c r="T863" s="60"/>
      <c r="U863" s="236"/>
      <c r="V863" s="60"/>
      <c r="W863" s="60"/>
      <c r="X863" s="236"/>
      <c r="Y863" s="236"/>
      <c r="Z863" s="60"/>
      <c r="AA863" s="60"/>
      <c r="AB863" s="236"/>
      <c r="AC863" s="60"/>
      <c r="AD863" s="60"/>
      <c r="AE863" s="236"/>
      <c r="AF863" s="236"/>
      <c r="AG863" s="60"/>
      <c r="AH863" s="60"/>
      <c r="AI863" s="236"/>
      <c r="AJ863" s="236"/>
    </row>
    <row r="864">
      <c r="A864" s="61"/>
      <c r="B864" s="60"/>
      <c r="C864" s="236"/>
      <c r="D864" s="236"/>
      <c r="E864" s="60"/>
      <c r="F864" s="60"/>
      <c r="G864" s="236"/>
      <c r="H864" s="60"/>
      <c r="I864" s="60"/>
      <c r="J864" s="236"/>
      <c r="K864" s="236"/>
      <c r="L864" s="60"/>
      <c r="M864" s="60"/>
      <c r="N864" s="236"/>
      <c r="O864" s="60"/>
      <c r="P864" s="60"/>
      <c r="Q864" s="236"/>
      <c r="R864" s="236"/>
      <c r="S864" s="60"/>
      <c r="T864" s="60"/>
      <c r="U864" s="236"/>
      <c r="V864" s="60"/>
      <c r="W864" s="60"/>
      <c r="X864" s="236"/>
      <c r="Y864" s="236"/>
      <c r="Z864" s="60"/>
      <c r="AA864" s="60"/>
      <c r="AB864" s="236"/>
      <c r="AC864" s="60"/>
      <c r="AD864" s="60"/>
      <c r="AE864" s="236"/>
      <c r="AF864" s="236"/>
      <c r="AG864" s="60"/>
      <c r="AH864" s="60"/>
      <c r="AI864" s="236"/>
      <c r="AJ864" s="236"/>
    </row>
    <row r="865">
      <c r="A865" s="61"/>
      <c r="B865" s="60"/>
      <c r="C865" s="236"/>
      <c r="D865" s="236"/>
      <c r="E865" s="60"/>
      <c r="F865" s="60"/>
      <c r="G865" s="236"/>
      <c r="H865" s="60"/>
      <c r="I865" s="60"/>
      <c r="J865" s="236"/>
      <c r="K865" s="236"/>
      <c r="L865" s="60"/>
      <c r="M865" s="60"/>
      <c r="N865" s="236"/>
      <c r="O865" s="60"/>
      <c r="P865" s="60"/>
      <c r="Q865" s="236"/>
      <c r="R865" s="236"/>
      <c r="S865" s="60"/>
      <c r="T865" s="60"/>
      <c r="U865" s="236"/>
      <c r="V865" s="60"/>
      <c r="W865" s="60"/>
      <c r="X865" s="236"/>
      <c r="Y865" s="236"/>
      <c r="Z865" s="60"/>
      <c r="AA865" s="60"/>
      <c r="AB865" s="236"/>
      <c r="AC865" s="60"/>
      <c r="AD865" s="60"/>
      <c r="AE865" s="236"/>
      <c r="AF865" s="236"/>
      <c r="AG865" s="60"/>
      <c r="AH865" s="60"/>
      <c r="AI865" s="236"/>
      <c r="AJ865" s="236"/>
    </row>
    <row r="866">
      <c r="A866" s="61"/>
      <c r="B866" s="60"/>
      <c r="C866" s="236"/>
      <c r="D866" s="236"/>
      <c r="E866" s="60"/>
      <c r="F866" s="60"/>
      <c r="G866" s="236"/>
      <c r="H866" s="60"/>
      <c r="I866" s="60"/>
      <c r="J866" s="236"/>
      <c r="K866" s="236"/>
      <c r="L866" s="60"/>
      <c r="M866" s="60"/>
      <c r="N866" s="236"/>
      <c r="O866" s="60"/>
      <c r="P866" s="60"/>
      <c r="Q866" s="236"/>
      <c r="R866" s="236"/>
      <c r="S866" s="60"/>
      <c r="T866" s="60"/>
      <c r="U866" s="236"/>
      <c r="V866" s="60"/>
      <c r="W866" s="60"/>
      <c r="X866" s="236"/>
      <c r="Y866" s="236"/>
      <c r="Z866" s="60"/>
      <c r="AA866" s="60"/>
      <c r="AB866" s="236"/>
      <c r="AC866" s="60"/>
      <c r="AD866" s="60"/>
      <c r="AE866" s="236"/>
      <c r="AF866" s="236"/>
      <c r="AG866" s="60"/>
      <c r="AH866" s="60"/>
      <c r="AI866" s="236"/>
      <c r="AJ866" s="236"/>
    </row>
    <row r="867">
      <c r="A867" s="61"/>
      <c r="B867" s="60"/>
      <c r="C867" s="236"/>
      <c r="D867" s="236"/>
      <c r="E867" s="60"/>
      <c r="F867" s="60"/>
      <c r="G867" s="236"/>
      <c r="H867" s="60"/>
      <c r="I867" s="60"/>
      <c r="J867" s="236"/>
      <c r="K867" s="236"/>
      <c r="L867" s="60"/>
      <c r="M867" s="60"/>
      <c r="N867" s="236"/>
      <c r="O867" s="60"/>
      <c r="P867" s="60"/>
      <c r="Q867" s="236"/>
      <c r="R867" s="236"/>
      <c r="S867" s="60"/>
      <c r="T867" s="60"/>
      <c r="U867" s="236"/>
      <c r="V867" s="60"/>
      <c r="W867" s="60"/>
      <c r="X867" s="236"/>
      <c r="Y867" s="236"/>
      <c r="Z867" s="60"/>
      <c r="AA867" s="60"/>
      <c r="AB867" s="236"/>
      <c r="AC867" s="60"/>
      <c r="AD867" s="60"/>
      <c r="AE867" s="236"/>
      <c r="AF867" s="236"/>
      <c r="AG867" s="60"/>
      <c r="AH867" s="60"/>
      <c r="AI867" s="236"/>
      <c r="AJ867" s="236"/>
    </row>
    <row r="868">
      <c r="A868" s="61"/>
      <c r="B868" s="60"/>
      <c r="C868" s="236"/>
      <c r="D868" s="236"/>
      <c r="E868" s="60"/>
      <c r="F868" s="60"/>
      <c r="G868" s="236"/>
      <c r="H868" s="60"/>
      <c r="I868" s="60"/>
      <c r="J868" s="236"/>
      <c r="K868" s="236"/>
      <c r="L868" s="60"/>
      <c r="M868" s="60"/>
      <c r="N868" s="236"/>
      <c r="O868" s="60"/>
      <c r="P868" s="60"/>
      <c r="Q868" s="236"/>
      <c r="R868" s="236"/>
      <c r="S868" s="60"/>
      <c r="T868" s="60"/>
      <c r="U868" s="236"/>
      <c r="V868" s="60"/>
      <c r="W868" s="60"/>
      <c r="X868" s="236"/>
      <c r="Y868" s="236"/>
      <c r="Z868" s="60"/>
      <c r="AA868" s="60"/>
      <c r="AB868" s="236"/>
      <c r="AC868" s="60"/>
      <c r="AD868" s="60"/>
      <c r="AE868" s="236"/>
      <c r="AF868" s="236"/>
      <c r="AG868" s="60"/>
      <c r="AH868" s="60"/>
      <c r="AI868" s="236"/>
      <c r="AJ868" s="236"/>
    </row>
    <row r="869">
      <c r="A869" s="61"/>
      <c r="B869" s="60"/>
      <c r="C869" s="236"/>
      <c r="D869" s="236"/>
      <c r="E869" s="60"/>
      <c r="F869" s="60"/>
      <c r="G869" s="236"/>
      <c r="H869" s="60"/>
      <c r="I869" s="60"/>
      <c r="J869" s="236"/>
      <c r="K869" s="236"/>
      <c r="L869" s="60"/>
      <c r="M869" s="60"/>
      <c r="N869" s="236"/>
      <c r="O869" s="60"/>
      <c r="P869" s="60"/>
      <c r="Q869" s="236"/>
      <c r="R869" s="236"/>
      <c r="S869" s="60"/>
      <c r="T869" s="60"/>
      <c r="U869" s="236"/>
      <c r="V869" s="60"/>
      <c r="W869" s="60"/>
      <c r="X869" s="236"/>
      <c r="Y869" s="236"/>
      <c r="Z869" s="60"/>
      <c r="AA869" s="60"/>
      <c r="AB869" s="236"/>
      <c r="AC869" s="60"/>
      <c r="AD869" s="60"/>
      <c r="AE869" s="236"/>
      <c r="AF869" s="236"/>
      <c r="AG869" s="60"/>
      <c r="AH869" s="60"/>
      <c r="AI869" s="236"/>
      <c r="AJ869" s="236"/>
    </row>
    <row r="870">
      <c r="A870" s="61"/>
      <c r="B870" s="60"/>
      <c r="C870" s="236"/>
      <c r="D870" s="236"/>
      <c r="E870" s="60"/>
      <c r="F870" s="60"/>
      <c r="G870" s="236"/>
      <c r="H870" s="60"/>
      <c r="I870" s="60"/>
      <c r="J870" s="236"/>
      <c r="K870" s="236"/>
      <c r="L870" s="60"/>
      <c r="M870" s="60"/>
      <c r="N870" s="236"/>
      <c r="O870" s="60"/>
      <c r="P870" s="60"/>
      <c r="Q870" s="236"/>
      <c r="R870" s="236"/>
      <c r="S870" s="60"/>
      <c r="T870" s="60"/>
      <c r="U870" s="236"/>
      <c r="V870" s="60"/>
      <c r="W870" s="60"/>
      <c r="X870" s="236"/>
      <c r="Y870" s="236"/>
      <c r="Z870" s="60"/>
      <c r="AA870" s="60"/>
      <c r="AB870" s="236"/>
      <c r="AC870" s="60"/>
      <c r="AD870" s="60"/>
      <c r="AE870" s="236"/>
      <c r="AF870" s="236"/>
      <c r="AG870" s="60"/>
      <c r="AH870" s="60"/>
      <c r="AI870" s="236"/>
      <c r="AJ870" s="236"/>
    </row>
    <row r="871">
      <c r="A871" s="61"/>
      <c r="B871" s="60"/>
      <c r="C871" s="236"/>
      <c r="D871" s="236"/>
      <c r="E871" s="60"/>
      <c r="F871" s="60"/>
      <c r="G871" s="236"/>
      <c r="H871" s="60"/>
      <c r="I871" s="60"/>
      <c r="J871" s="236"/>
      <c r="K871" s="236"/>
      <c r="L871" s="60"/>
      <c r="M871" s="60"/>
      <c r="N871" s="236"/>
      <c r="O871" s="60"/>
      <c r="P871" s="60"/>
      <c r="Q871" s="236"/>
      <c r="R871" s="236"/>
      <c r="S871" s="60"/>
      <c r="T871" s="60"/>
      <c r="U871" s="236"/>
      <c r="V871" s="60"/>
      <c r="W871" s="60"/>
      <c r="X871" s="236"/>
      <c r="Y871" s="236"/>
      <c r="Z871" s="60"/>
      <c r="AA871" s="60"/>
      <c r="AB871" s="236"/>
      <c r="AC871" s="60"/>
      <c r="AD871" s="60"/>
      <c r="AE871" s="236"/>
      <c r="AF871" s="236"/>
      <c r="AG871" s="60"/>
      <c r="AH871" s="60"/>
      <c r="AI871" s="236"/>
      <c r="AJ871" s="236"/>
    </row>
    <row r="872">
      <c r="A872" s="61"/>
      <c r="B872" s="60"/>
      <c r="C872" s="236"/>
      <c r="D872" s="236"/>
      <c r="E872" s="60"/>
      <c r="F872" s="60"/>
      <c r="G872" s="236"/>
      <c r="H872" s="60"/>
      <c r="I872" s="60"/>
      <c r="J872" s="236"/>
      <c r="K872" s="236"/>
      <c r="L872" s="60"/>
      <c r="M872" s="60"/>
      <c r="N872" s="236"/>
      <c r="O872" s="60"/>
      <c r="P872" s="60"/>
      <c r="Q872" s="236"/>
      <c r="R872" s="236"/>
      <c r="S872" s="60"/>
      <c r="T872" s="60"/>
      <c r="U872" s="236"/>
      <c r="V872" s="60"/>
      <c r="W872" s="60"/>
      <c r="X872" s="236"/>
      <c r="Y872" s="236"/>
      <c r="Z872" s="60"/>
      <c r="AA872" s="60"/>
      <c r="AB872" s="236"/>
      <c r="AC872" s="60"/>
      <c r="AD872" s="60"/>
      <c r="AE872" s="236"/>
      <c r="AF872" s="236"/>
      <c r="AG872" s="60"/>
      <c r="AH872" s="60"/>
      <c r="AI872" s="236"/>
      <c r="AJ872" s="236"/>
    </row>
    <row r="873">
      <c r="A873" s="61"/>
      <c r="B873" s="60"/>
      <c r="C873" s="236"/>
      <c r="D873" s="236"/>
      <c r="E873" s="60"/>
      <c r="F873" s="60"/>
      <c r="G873" s="236"/>
      <c r="H873" s="60"/>
      <c r="I873" s="60"/>
      <c r="J873" s="236"/>
      <c r="K873" s="236"/>
      <c r="L873" s="60"/>
      <c r="M873" s="60"/>
      <c r="N873" s="236"/>
      <c r="O873" s="60"/>
      <c r="P873" s="60"/>
      <c r="Q873" s="236"/>
      <c r="R873" s="236"/>
      <c r="S873" s="60"/>
      <c r="T873" s="60"/>
      <c r="U873" s="236"/>
      <c r="V873" s="60"/>
      <c r="W873" s="60"/>
      <c r="X873" s="236"/>
      <c r="Y873" s="236"/>
      <c r="Z873" s="60"/>
      <c r="AA873" s="60"/>
      <c r="AB873" s="236"/>
      <c r="AC873" s="60"/>
      <c r="AD873" s="60"/>
      <c r="AE873" s="236"/>
      <c r="AF873" s="236"/>
      <c r="AG873" s="60"/>
      <c r="AH873" s="60"/>
      <c r="AI873" s="236"/>
      <c r="AJ873" s="236"/>
    </row>
    <row r="874">
      <c r="A874" s="61"/>
      <c r="B874" s="60"/>
      <c r="C874" s="236"/>
      <c r="D874" s="236"/>
      <c r="E874" s="60"/>
      <c r="F874" s="60"/>
      <c r="G874" s="236"/>
      <c r="H874" s="60"/>
      <c r="I874" s="60"/>
      <c r="J874" s="236"/>
      <c r="K874" s="236"/>
      <c r="L874" s="60"/>
      <c r="M874" s="60"/>
      <c r="N874" s="236"/>
      <c r="O874" s="60"/>
      <c r="P874" s="60"/>
      <c r="Q874" s="236"/>
      <c r="R874" s="236"/>
      <c r="S874" s="60"/>
      <c r="T874" s="60"/>
      <c r="U874" s="236"/>
      <c r="V874" s="60"/>
      <c r="W874" s="60"/>
      <c r="X874" s="236"/>
      <c r="Y874" s="236"/>
      <c r="Z874" s="60"/>
      <c r="AA874" s="60"/>
      <c r="AB874" s="236"/>
      <c r="AC874" s="60"/>
      <c r="AD874" s="60"/>
      <c r="AE874" s="236"/>
      <c r="AF874" s="236"/>
      <c r="AG874" s="60"/>
      <c r="AH874" s="60"/>
      <c r="AI874" s="236"/>
      <c r="AJ874" s="236"/>
    </row>
    <row r="875">
      <c r="A875" s="61"/>
      <c r="B875" s="60"/>
      <c r="C875" s="236"/>
      <c r="D875" s="236"/>
      <c r="E875" s="60"/>
      <c r="F875" s="60"/>
      <c r="G875" s="236"/>
      <c r="H875" s="60"/>
      <c r="I875" s="60"/>
      <c r="J875" s="236"/>
      <c r="K875" s="236"/>
      <c r="L875" s="60"/>
      <c r="M875" s="60"/>
      <c r="N875" s="236"/>
      <c r="O875" s="60"/>
      <c r="P875" s="60"/>
      <c r="Q875" s="236"/>
      <c r="R875" s="236"/>
      <c r="S875" s="60"/>
      <c r="T875" s="60"/>
      <c r="U875" s="236"/>
      <c r="V875" s="60"/>
      <c r="W875" s="60"/>
      <c r="X875" s="236"/>
      <c r="Y875" s="236"/>
      <c r="Z875" s="60"/>
      <c r="AA875" s="60"/>
      <c r="AB875" s="236"/>
      <c r="AC875" s="60"/>
      <c r="AD875" s="60"/>
      <c r="AE875" s="236"/>
      <c r="AF875" s="236"/>
      <c r="AG875" s="60"/>
      <c r="AH875" s="60"/>
      <c r="AI875" s="236"/>
      <c r="AJ875" s="236"/>
    </row>
    <row r="876">
      <c r="A876" s="61"/>
      <c r="B876" s="60"/>
      <c r="C876" s="236"/>
      <c r="D876" s="236"/>
      <c r="E876" s="60"/>
      <c r="F876" s="60"/>
      <c r="G876" s="236"/>
      <c r="H876" s="60"/>
      <c r="I876" s="60"/>
      <c r="J876" s="236"/>
      <c r="K876" s="236"/>
      <c r="L876" s="60"/>
      <c r="M876" s="60"/>
      <c r="N876" s="236"/>
      <c r="O876" s="60"/>
      <c r="P876" s="60"/>
      <c r="Q876" s="236"/>
      <c r="R876" s="236"/>
      <c r="S876" s="60"/>
      <c r="T876" s="60"/>
      <c r="U876" s="236"/>
      <c r="V876" s="60"/>
      <c r="W876" s="60"/>
      <c r="X876" s="236"/>
      <c r="Y876" s="236"/>
      <c r="Z876" s="60"/>
      <c r="AA876" s="60"/>
      <c r="AB876" s="236"/>
      <c r="AC876" s="60"/>
      <c r="AD876" s="60"/>
      <c r="AE876" s="236"/>
      <c r="AF876" s="236"/>
      <c r="AG876" s="60"/>
      <c r="AH876" s="60"/>
      <c r="AI876" s="236"/>
      <c r="AJ876" s="236"/>
    </row>
    <row r="877">
      <c r="A877" s="61"/>
      <c r="B877" s="60"/>
      <c r="C877" s="236"/>
      <c r="D877" s="236"/>
      <c r="E877" s="60"/>
      <c r="F877" s="60"/>
      <c r="G877" s="236"/>
      <c r="H877" s="60"/>
      <c r="I877" s="60"/>
      <c r="J877" s="236"/>
      <c r="K877" s="236"/>
      <c r="L877" s="60"/>
      <c r="M877" s="60"/>
      <c r="N877" s="236"/>
      <c r="O877" s="60"/>
      <c r="P877" s="60"/>
      <c r="Q877" s="236"/>
      <c r="R877" s="236"/>
      <c r="S877" s="60"/>
      <c r="T877" s="60"/>
      <c r="U877" s="236"/>
      <c r="V877" s="60"/>
      <c r="W877" s="60"/>
      <c r="X877" s="236"/>
      <c r="Y877" s="236"/>
      <c r="Z877" s="60"/>
      <c r="AA877" s="60"/>
      <c r="AB877" s="236"/>
      <c r="AC877" s="60"/>
      <c r="AD877" s="60"/>
      <c r="AE877" s="236"/>
      <c r="AF877" s="236"/>
      <c r="AG877" s="60"/>
      <c r="AH877" s="60"/>
      <c r="AI877" s="236"/>
      <c r="AJ877" s="236"/>
    </row>
    <row r="878">
      <c r="A878" s="61"/>
      <c r="B878" s="60"/>
      <c r="C878" s="236"/>
      <c r="D878" s="236"/>
      <c r="E878" s="60"/>
      <c r="F878" s="60"/>
      <c r="G878" s="236"/>
      <c r="H878" s="60"/>
      <c r="I878" s="60"/>
      <c r="J878" s="236"/>
      <c r="K878" s="236"/>
      <c r="L878" s="60"/>
      <c r="M878" s="60"/>
      <c r="N878" s="236"/>
      <c r="O878" s="60"/>
      <c r="P878" s="60"/>
      <c r="Q878" s="236"/>
      <c r="R878" s="236"/>
      <c r="S878" s="60"/>
      <c r="T878" s="60"/>
      <c r="U878" s="236"/>
      <c r="V878" s="60"/>
      <c r="W878" s="60"/>
      <c r="X878" s="236"/>
      <c r="Y878" s="236"/>
      <c r="Z878" s="60"/>
      <c r="AA878" s="60"/>
      <c r="AB878" s="236"/>
      <c r="AC878" s="60"/>
      <c r="AD878" s="60"/>
      <c r="AE878" s="236"/>
      <c r="AF878" s="236"/>
      <c r="AG878" s="60"/>
      <c r="AH878" s="60"/>
      <c r="AI878" s="236"/>
      <c r="AJ878" s="236"/>
    </row>
    <row r="879">
      <c r="A879" s="61"/>
      <c r="B879" s="60"/>
      <c r="C879" s="236"/>
      <c r="D879" s="236"/>
      <c r="E879" s="60"/>
      <c r="F879" s="60"/>
      <c r="G879" s="236"/>
      <c r="H879" s="60"/>
      <c r="I879" s="60"/>
      <c r="J879" s="236"/>
      <c r="K879" s="236"/>
      <c r="L879" s="60"/>
      <c r="M879" s="60"/>
      <c r="N879" s="236"/>
      <c r="O879" s="60"/>
      <c r="P879" s="60"/>
      <c r="Q879" s="236"/>
      <c r="R879" s="236"/>
      <c r="S879" s="60"/>
      <c r="T879" s="60"/>
      <c r="U879" s="236"/>
      <c r="V879" s="60"/>
      <c r="W879" s="60"/>
      <c r="X879" s="236"/>
      <c r="Y879" s="236"/>
      <c r="Z879" s="60"/>
      <c r="AA879" s="60"/>
      <c r="AB879" s="236"/>
      <c r="AC879" s="60"/>
      <c r="AD879" s="60"/>
      <c r="AE879" s="236"/>
      <c r="AF879" s="236"/>
      <c r="AG879" s="60"/>
      <c r="AH879" s="60"/>
      <c r="AI879" s="236"/>
      <c r="AJ879" s="236"/>
    </row>
    <row r="880">
      <c r="A880" s="61"/>
      <c r="B880" s="60"/>
      <c r="C880" s="236"/>
      <c r="D880" s="236"/>
      <c r="E880" s="60"/>
      <c r="F880" s="60"/>
      <c r="G880" s="236"/>
      <c r="H880" s="60"/>
      <c r="I880" s="60"/>
      <c r="J880" s="236"/>
      <c r="K880" s="236"/>
      <c r="L880" s="60"/>
      <c r="M880" s="60"/>
      <c r="N880" s="236"/>
      <c r="O880" s="60"/>
      <c r="P880" s="60"/>
      <c r="Q880" s="236"/>
      <c r="R880" s="236"/>
      <c r="S880" s="60"/>
      <c r="T880" s="60"/>
      <c r="U880" s="236"/>
      <c r="V880" s="60"/>
      <c r="W880" s="60"/>
      <c r="X880" s="236"/>
      <c r="Y880" s="236"/>
      <c r="Z880" s="60"/>
      <c r="AA880" s="60"/>
      <c r="AB880" s="236"/>
      <c r="AC880" s="60"/>
      <c r="AD880" s="60"/>
      <c r="AE880" s="236"/>
      <c r="AF880" s="236"/>
      <c r="AG880" s="60"/>
      <c r="AH880" s="60"/>
      <c r="AI880" s="236"/>
      <c r="AJ880" s="236"/>
    </row>
    <row r="881">
      <c r="A881" s="61"/>
      <c r="B881" s="60"/>
      <c r="C881" s="236"/>
      <c r="D881" s="236"/>
      <c r="E881" s="60"/>
      <c r="F881" s="60"/>
      <c r="G881" s="236"/>
      <c r="H881" s="60"/>
      <c r="I881" s="60"/>
      <c r="J881" s="236"/>
      <c r="K881" s="236"/>
      <c r="L881" s="60"/>
      <c r="M881" s="60"/>
      <c r="N881" s="236"/>
      <c r="O881" s="60"/>
      <c r="P881" s="60"/>
      <c r="Q881" s="236"/>
      <c r="R881" s="236"/>
      <c r="S881" s="60"/>
      <c r="T881" s="60"/>
      <c r="U881" s="236"/>
      <c r="V881" s="60"/>
      <c r="W881" s="60"/>
      <c r="X881" s="236"/>
      <c r="Y881" s="236"/>
      <c r="Z881" s="60"/>
      <c r="AA881" s="60"/>
      <c r="AB881" s="236"/>
      <c r="AC881" s="60"/>
      <c r="AD881" s="60"/>
      <c r="AE881" s="236"/>
      <c r="AF881" s="236"/>
      <c r="AG881" s="60"/>
      <c r="AH881" s="60"/>
      <c r="AI881" s="236"/>
      <c r="AJ881" s="236"/>
    </row>
    <row r="882">
      <c r="A882" s="61"/>
      <c r="B882" s="60"/>
      <c r="C882" s="236"/>
      <c r="D882" s="236"/>
      <c r="E882" s="60"/>
      <c r="F882" s="60"/>
      <c r="G882" s="236"/>
      <c r="H882" s="60"/>
      <c r="I882" s="60"/>
      <c r="J882" s="236"/>
      <c r="K882" s="236"/>
      <c r="L882" s="60"/>
      <c r="M882" s="60"/>
      <c r="N882" s="236"/>
      <c r="O882" s="60"/>
      <c r="P882" s="60"/>
      <c r="Q882" s="236"/>
      <c r="R882" s="236"/>
      <c r="S882" s="60"/>
      <c r="T882" s="60"/>
      <c r="U882" s="236"/>
      <c r="V882" s="60"/>
      <c r="W882" s="60"/>
      <c r="X882" s="236"/>
      <c r="Y882" s="236"/>
      <c r="Z882" s="60"/>
      <c r="AA882" s="60"/>
      <c r="AB882" s="236"/>
      <c r="AC882" s="60"/>
      <c r="AD882" s="60"/>
      <c r="AE882" s="236"/>
      <c r="AF882" s="236"/>
      <c r="AG882" s="60"/>
      <c r="AH882" s="60"/>
      <c r="AI882" s="236"/>
      <c r="AJ882" s="236"/>
    </row>
    <row r="883">
      <c r="A883" s="61"/>
      <c r="B883" s="60"/>
      <c r="C883" s="236"/>
      <c r="D883" s="236"/>
      <c r="E883" s="60"/>
      <c r="F883" s="60"/>
      <c r="G883" s="236"/>
      <c r="H883" s="60"/>
      <c r="I883" s="60"/>
      <c r="J883" s="236"/>
      <c r="K883" s="236"/>
      <c r="L883" s="60"/>
      <c r="M883" s="60"/>
      <c r="N883" s="236"/>
      <c r="O883" s="60"/>
      <c r="P883" s="60"/>
      <c r="Q883" s="236"/>
      <c r="R883" s="236"/>
      <c r="S883" s="60"/>
      <c r="T883" s="60"/>
      <c r="U883" s="236"/>
      <c r="V883" s="60"/>
      <c r="W883" s="60"/>
      <c r="X883" s="236"/>
      <c r="Y883" s="236"/>
      <c r="Z883" s="60"/>
      <c r="AA883" s="60"/>
      <c r="AB883" s="236"/>
      <c r="AC883" s="60"/>
      <c r="AD883" s="60"/>
      <c r="AE883" s="236"/>
      <c r="AF883" s="236"/>
      <c r="AG883" s="60"/>
      <c r="AH883" s="60"/>
      <c r="AI883" s="236"/>
      <c r="AJ883" s="236"/>
    </row>
    <row r="884">
      <c r="A884" s="61"/>
      <c r="B884" s="60"/>
      <c r="C884" s="236"/>
      <c r="D884" s="236"/>
      <c r="E884" s="60"/>
      <c r="F884" s="60"/>
      <c r="G884" s="236"/>
      <c r="H884" s="60"/>
      <c r="I884" s="60"/>
      <c r="J884" s="236"/>
      <c r="K884" s="236"/>
      <c r="L884" s="60"/>
      <c r="M884" s="60"/>
      <c r="N884" s="236"/>
      <c r="O884" s="60"/>
      <c r="P884" s="60"/>
      <c r="Q884" s="236"/>
      <c r="R884" s="236"/>
      <c r="S884" s="60"/>
      <c r="T884" s="60"/>
      <c r="U884" s="236"/>
      <c r="V884" s="60"/>
      <c r="W884" s="60"/>
      <c r="X884" s="236"/>
      <c r="Y884" s="236"/>
      <c r="Z884" s="60"/>
      <c r="AA884" s="60"/>
      <c r="AB884" s="236"/>
      <c r="AC884" s="60"/>
      <c r="AD884" s="60"/>
      <c r="AE884" s="236"/>
      <c r="AF884" s="236"/>
      <c r="AG884" s="60"/>
      <c r="AH884" s="60"/>
      <c r="AI884" s="236"/>
      <c r="AJ884" s="236"/>
    </row>
    <row r="885">
      <c r="A885" s="61"/>
      <c r="B885" s="60"/>
      <c r="C885" s="236"/>
      <c r="D885" s="236"/>
      <c r="E885" s="60"/>
      <c r="F885" s="60"/>
      <c r="G885" s="236"/>
      <c r="H885" s="60"/>
      <c r="I885" s="60"/>
      <c r="J885" s="236"/>
      <c r="K885" s="236"/>
      <c r="L885" s="60"/>
      <c r="M885" s="60"/>
      <c r="N885" s="236"/>
      <c r="O885" s="60"/>
      <c r="P885" s="60"/>
      <c r="Q885" s="236"/>
      <c r="R885" s="236"/>
      <c r="S885" s="60"/>
      <c r="T885" s="60"/>
      <c r="U885" s="236"/>
      <c r="V885" s="60"/>
      <c r="W885" s="60"/>
      <c r="X885" s="236"/>
      <c r="Y885" s="236"/>
      <c r="Z885" s="60"/>
      <c r="AA885" s="60"/>
      <c r="AB885" s="236"/>
      <c r="AC885" s="60"/>
      <c r="AD885" s="60"/>
      <c r="AE885" s="236"/>
      <c r="AF885" s="236"/>
      <c r="AG885" s="60"/>
      <c r="AH885" s="60"/>
      <c r="AI885" s="236"/>
      <c r="AJ885" s="236"/>
    </row>
    <row r="886">
      <c r="A886" s="61"/>
      <c r="B886" s="60"/>
      <c r="C886" s="236"/>
      <c r="D886" s="236"/>
      <c r="E886" s="60"/>
      <c r="F886" s="60"/>
      <c r="G886" s="236"/>
      <c r="H886" s="60"/>
      <c r="I886" s="60"/>
      <c r="J886" s="236"/>
      <c r="K886" s="236"/>
      <c r="L886" s="60"/>
      <c r="M886" s="60"/>
      <c r="N886" s="236"/>
      <c r="O886" s="60"/>
      <c r="P886" s="60"/>
      <c r="Q886" s="236"/>
      <c r="R886" s="236"/>
      <c r="S886" s="60"/>
      <c r="T886" s="60"/>
      <c r="U886" s="236"/>
      <c r="V886" s="60"/>
      <c r="W886" s="60"/>
      <c r="X886" s="236"/>
      <c r="Y886" s="236"/>
      <c r="Z886" s="60"/>
      <c r="AA886" s="60"/>
      <c r="AB886" s="236"/>
      <c r="AC886" s="60"/>
      <c r="AD886" s="60"/>
      <c r="AE886" s="236"/>
      <c r="AF886" s="236"/>
      <c r="AG886" s="60"/>
      <c r="AH886" s="60"/>
      <c r="AI886" s="236"/>
      <c r="AJ886" s="236"/>
    </row>
    <row r="887">
      <c r="A887" s="61"/>
      <c r="B887" s="60"/>
      <c r="C887" s="236"/>
      <c r="D887" s="236"/>
      <c r="E887" s="60"/>
      <c r="F887" s="60"/>
      <c r="G887" s="236"/>
      <c r="H887" s="60"/>
      <c r="I887" s="60"/>
      <c r="J887" s="236"/>
      <c r="K887" s="236"/>
      <c r="L887" s="60"/>
      <c r="M887" s="60"/>
      <c r="N887" s="236"/>
      <c r="O887" s="60"/>
      <c r="P887" s="60"/>
      <c r="Q887" s="236"/>
      <c r="R887" s="236"/>
      <c r="S887" s="60"/>
      <c r="T887" s="60"/>
      <c r="U887" s="236"/>
      <c r="V887" s="60"/>
      <c r="W887" s="60"/>
      <c r="X887" s="236"/>
      <c r="Y887" s="236"/>
      <c r="Z887" s="60"/>
      <c r="AA887" s="60"/>
      <c r="AB887" s="236"/>
      <c r="AC887" s="60"/>
      <c r="AD887" s="60"/>
      <c r="AE887" s="236"/>
      <c r="AF887" s="236"/>
      <c r="AG887" s="60"/>
      <c r="AH887" s="60"/>
      <c r="AI887" s="236"/>
      <c r="AJ887" s="236"/>
    </row>
    <row r="888">
      <c r="A888" s="61"/>
      <c r="B888" s="60"/>
      <c r="C888" s="236"/>
      <c r="D888" s="236"/>
      <c r="E888" s="60"/>
      <c r="F888" s="60"/>
      <c r="G888" s="236"/>
      <c r="H888" s="60"/>
      <c r="I888" s="60"/>
      <c r="J888" s="236"/>
      <c r="K888" s="236"/>
      <c r="L888" s="60"/>
      <c r="M888" s="60"/>
      <c r="N888" s="236"/>
      <c r="O888" s="60"/>
      <c r="P888" s="60"/>
      <c r="Q888" s="236"/>
      <c r="R888" s="236"/>
      <c r="S888" s="60"/>
      <c r="T888" s="60"/>
      <c r="U888" s="236"/>
      <c r="V888" s="60"/>
      <c r="W888" s="60"/>
      <c r="X888" s="236"/>
      <c r="Y888" s="236"/>
      <c r="Z888" s="60"/>
      <c r="AA888" s="60"/>
      <c r="AB888" s="236"/>
      <c r="AC888" s="60"/>
      <c r="AD888" s="60"/>
      <c r="AE888" s="236"/>
      <c r="AF888" s="236"/>
      <c r="AG888" s="60"/>
      <c r="AH888" s="60"/>
      <c r="AI888" s="236"/>
      <c r="AJ888" s="236"/>
    </row>
    <row r="889">
      <c r="A889" s="61"/>
      <c r="B889" s="60"/>
      <c r="C889" s="236"/>
      <c r="D889" s="236"/>
      <c r="E889" s="60"/>
      <c r="F889" s="60"/>
      <c r="G889" s="236"/>
      <c r="H889" s="60"/>
      <c r="I889" s="60"/>
      <c r="J889" s="236"/>
      <c r="K889" s="236"/>
      <c r="L889" s="60"/>
      <c r="M889" s="60"/>
      <c r="N889" s="236"/>
      <c r="O889" s="60"/>
      <c r="P889" s="60"/>
      <c r="Q889" s="236"/>
      <c r="R889" s="236"/>
      <c r="S889" s="60"/>
      <c r="T889" s="60"/>
      <c r="U889" s="236"/>
      <c r="V889" s="60"/>
      <c r="W889" s="60"/>
      <c r="X889" s="236"/>
      <c r="Y889" s="236"/>
      <c r="Z889" s="60"/>
      <c r="AA889" s="60"/>
      <c r="AB889" s="236"/>
      <c r="AC889" s="60"/>
      <c r="AD889" s="60"/>
      <c r="AE889" s="236"/>
      <c r="AF889" s="236"/>
      <c r="AG889" s="60"/>
      <c r="AH889" s="60"/>
      <c r="AI889" s="236"/>
      <c r="AJ889" s="236"/>
    </row>
    <row r="890">
      <c r="A890" s="61"/>
      <c r="B890" s="60"/>
      <c r="C890" s="236"/>
      <c r="D890" s="236"/>
      <c r="E890" s="60"/>
      <c r="F890" s="60"/>
      <c r="G890" s="236"/>
      <c r="H890" s="60"/>
      <c r="I890" s="60"/>
      <c r="J890" s="236"/>
      <c r="K890" s="236"/>
      <c r="L890" s="60"/>
      <c r="M890" s="60"/>
      <c r="N890" s="236"/>
      <c r="O890" s="60"/>
      <c r="P890" s="60"/>
      <c r="Q890" s="236"/>
      <c r="R890" s="236"/>
      <c r="S890" s="60"/>
      <c r="T890" s="60"/>
      <c r="U890" s="236"/>
      <c r="V890" s="60"/>
      <c r="W890" s="60"/>
      <c r="X890" s="236"/>
      <c r="Y890" s="236"/>
      <c r="Z890" s="60"/>
      <c r="AA890" s="60"/>
      <c r="AB890" s="236"/>
      <c r="AC890" s="60"/>
      <c r="AD890" s="60"/>
      <c r="AE890" s="236"/>
      <c r="AF890" s="236"/>
      <c r="AG890" s="60"/>
      <c r="AH890" s="60"/>
      <c r="AI890" s="236"/>
      <c r="AJ890" s="236"/>
    </row>
    <row r="891">
      <c r="A891" s="61"/>
      <c r="B891" s="60"/>
      <c r="C891" s="236"/>
      <c r="D891" s="236"/>
      <c r="E891" s="60"/>
      <c r="F891" s="60"/>
      <c r="G891" s="236"/>
      <c r="H891" s="60"/>
      <c r="I891" s="60"/>
      <c r="J891" s="236"/>
      <c r="K891" s="236"/>
      <c r="L891" s="60"/>
      <c r="M891" s="60"/>
      <c r="N891" s="236"/>
      <c r="O891" s="60"/>
      <c r="P891" s="60"/>
      <c r="Q891" s="236"/>
      <c r="R891" s="236"/>
      <c r="S891" s="60"/>
      <c r="T891" s="60"/>
      <c r="U891" s="236"/>
      <c r="V891" s="60"/>
      <c r="W891" s="60"/>
      <c r="X891" s="236"/>
      <c r="Y891" s="236"/>
      <c r="Z891" s="60"/>
      <c r="AA891" s="60"/>
      <c r="AB891" s="236"/>
      <c r="AC891" s="60"/>
      <c r="AD891" s="60"/>
      <c r="AE891" s="236"/>
      <c r="AF891" s="236"/>
      <c r="AG891" s="60"/>
      <c r="AH891" s="60"/>
      <c r="AI891" s="236"/>
      <c r="AJ891" s="236"/>
    </row>
    <row r="892">
      <c r="A892" s="61"/>
      <c r="B892" s="60"/>
      <c r="C892" s="236"/>
      <c r="D892" s="236"/>
      <c r="E892" s="60"/>
      <c r="F892" s="60"/>
      <c r="G892" s="236"/>
      <c r="H892" s="60"/>
      <c r="I892" s="60"/>
      <c r="J892" s="236"/>
      <c r="K892" s="236"/>
      <c r="L892" s="60"/>
      <c r="M892" s="60"/>
      <c r="N892" s="236"/>
      <c r="O892" s="60"/>
      <c r="P892" s="60"/>
      <c r="Q892" s="236"/>
      <c r="R892" s="236"/>
      <c r="S892" s="60"/>
      <c r="T892" s="60"/>
      <c r="U892" s="236"/>
      <c r="V892" s="60"/>
      <c r="W892" s="60"/>
      <c r="X892" s="236"/>
      <c r="Y892" s="236"/>
      <c r="Z892" s="60"/>
      <c r="AA892" s="60"/>
      <c r="AB892" s="236"/>
      <c r="AC892" s="60"/>
      <c r="AD892" s="60"/>
      <c r="AE892" s="236"/>
      <c r="AF892" s="236"/>
      <c r="AG892" s="60"/>
      <c r="AH892" s="60"/>
      <c r="AI892" s="236"/>
      <c r="AJ892" s="236"/>
    </row>
    <row r="893">
      <c r="A893" s="61"/>
      <c r="B893" s="60"/>
      <c r="C893" s="236"/>
      <c r="D893" s="236"/>
      <c r="E893" s="60"/>
      <c r="F893" s="60"/>
      <c r="G893" s="236"/>
      <c r="H893" s="60"/>
      <c r="I893" s="60"/>
      <c r="J893" s="236"/>
      <c r="K893" s="236"/>
      <c r="L893" s="60"/>
      <c r="M893" s="60"/>
      <c r="N893" s="236"/>
      <c r="O893" s="60"/>
      <c r="P893" s="60"/>
      <c r="Q893" s="236"/>
      <c r="R893" s="236"/>
      <c r="S893" s="60"/>
      <c r="T893" s="60"/>
      <c r="U893" s="236"/>
      <c r="V893" s="60"/>
      <c r="W893" s="60"/>
      <c r="X893" s="236"/>
      <c r="Y893" s="236"/>
      <c r="Z893" s="60"/>
      <c r="AA893" s="60"/>
      <c r="AB893" s="236"/>
      <c r="AC893" s="60"/>
      <c r="AD893" s="60"/>
      <c r="AE893" s="236"/>
      <c r="AF893" s="236"/>
      <c r="AG893" s="60"/>
      <c r="AH893" s="60"/>
      <c r="AI893" s="236"/>
      <c r="AJ893" s="236"/>
    </row>
    <row r="894">
      <c r="A894" s="61"/>
      <c r="B894" s="60"/>
      <c r="C894" s="236"/>
      <c r="D894" s="236"/>
      <c r="E894" s="60"/>
      <c r="F894" s="60"/>
      <c r="G894" s="236"/>
      <c r="H894" s="60"/>
      <c r="I894" s="60"/>
      <c r="J894" s="236"/>
      <c r="K894" s="236"/>
      <c r="L894" s="60"/>
      <c r="M894" s="60"/>
      <c r="N894" s="236"/>
      <c r="O894" s="60"/>
      <c r="P894" s="60"/>
      <c r="Q894" s="236"/>
      <c r="R894" s="236"/>
      <c r="S894" s="60"/>
      <c r="T894" s="60"/>
      <c r="U894" s="236"/>
      <c r="V894" s="60"/>
      <c r="W894" s="60"/>
      <c r="X894" s="236"/>
      <c r="Y894" s="236"/>
      <c r="Z894" s="60"/>
      <c r="AA894" s="60"/>
      <c r="AB894" s="236"/>
      <c r="AC894" s="60"/>
      <c r="AD894" s="60"/>
      <c r="AE894" s="236"/>
      <c r="AF894" s="236"/>
      <c r="AG894" s="60"/>
      <c r="AH894" s="60"/>
      <c r="AI894" s="236"/>
      <c r="AJ894" s="236"/>
    </row>
    <row r="895">
      <c r="A895" s="61"/>
      <c r="B895" s="60"/>
      <c r="C895" s="236"/>
      <c r="D895" s="236"/>
      <c r="E895" s="60"/>
      <c r="F895" s="60"/>
      <c r="G895" s="236"/>
      <c r="H895" s="60"/>
      <c r="I895" s="60"/>
      <c r="J895" s="236"/>
      <c r="K895" s="236"/>
      <c r="L895" s="60"/>
      <c r="M895" s="60"/>
      <c r="N895" s="236"/>
      <c r="O895" s="60"/>
      <c r="P895" s="60"/>
      <c r="Q895" s="236"/>
      <c r="R895" s="236"/>
      <c r="S895" s="60"/>
      <c r="T895" s="60"/>
      <c r="U895" s="236"/>
      <c r="V895" s="60"/>
      <c r="W895" s="60"/>
      <c r="X895" s="236"/>
      <c r="Y895" s="236"/>
      <c r="Z895" s="60"/>
      <c r="AA895" s="60"/>
      <c r="AB895" s="236"/>
      <c r="AC895" s="60"/>
      <c r="AD895" s="60"/>
      <c r="AE895" s="236"/>
      <c r="AF895" s="236"/>
      <c r="AG895" s="60"/>
      <c r="AH895" s="60"/>
      <c r="AI895" s="236"/>
      <c r="AJ895" s="236"/>
    </row>
    <row r="896">
      <c r="A896" s="61"/>
      <c r="B896" s="60"/>
      <c r="C896" s="236"/>
      <c r="D896" s="236"/>
      <c r="E896" s="60"/>
      <c r="F896" s="60"/>
      <c r="G896" s="236"/>
      <c r="H896" s="60"/>
      <c r="I896" s="60"/>
      <c r="J896" s="236"/>
      <c r="K896" s="236"/>
      <c r="L896" s="60"/>
      <c r="M896" s="60"/>
      <c r="N896" s="236"/>
      <c r="O896" s="60"/>
      <c r="P896" s="60"/>
      <c r="Q896" s="236"/>
      <c r="R896" s="236"/>
      <c r="S896" s="60"/>
      <c r="T896" s="60"/>
      <c r="U896" s="236"/>
      <c r="V896" s="60"/>
      <c r="W896" s="60"/>
      <c r="X896" s="236"/>
      <c r="Y896" s="236"/>
      <c r="Z896" s="60"/>
      <c r="AA896" s="60"/>
      <c r="AB896" s="236"/>
      <c r="AC896" s="60"/>
      <c r="AD896" s="60"/>
      <c r="AE896" s="236"/>
      <c r="AF896" s="236"/>
      <c r="AG896" s="60"/>
      <c r="AH896" s="60"/>
      <c r="AI896" s="236"/>
      <c r="AJ896" s="236"/>
    </row>
    <row r="897">
      <c r="A897" s="61"/>
      <c r="B897" s="60"/>
      <c r="C897" s="236"/>
      <c r="D897" s="236"/>
      <c r="E897" s="60"/>
      <c r="F897" s="60"/>
      <c r="G897" s="236"/>
      <c r="H897" s="60"/>
      <c r="I897" s="60"/>
      <c r="J897" s="236"/>
      <c r="K897" s="236"/>
      <c r="L897" s="60"/>
      <c r="M897" s="60"/>
      <c r="N897" s="236"/>
      <c r="O897" s="60"/>
      <c r="P897" s="60"/>
      <c r="Q897" s="236"/>
      <c r="R897" s="236"/>
      <c r="S897" s="60"/>
      <c r="T897" s="60"/>
      <c r="U897" s="236"/>
      <c r="V897" s="60"/>
      <c r="W897" s="60"/>
      <c r="X897" s="236"/>
      <c r="Y897" s="236"/>
      <c r="Z897" s="60"/>
      <c r="AA897" s="60"/>
      <c r="AB897" s="236"/>
      <c r="AC897" s="60"/>
      <c r="AD897" s="60"/>
      <c r="AE897" s="236"/>
      <c r="AF897" s="236"/>
      <c r="AG897" s="60"/>
      <c r="AH897" s="60"/>
      <c r="AI897" s="236"/>
      <c r="AJ897" s="236"/>
    </row>
    <row r="898">
      <c r="A898" s="61"/>
      <c r="B898" s="60"/>
      <c r="C898" s="236"/>
      <c r="D898" s="236"/>
      <c r="E898" s="60"/>
      <c r="F898" s="60"/>
      <c r="G898" s="236"/>
      <c r="H898" s="60"/>
      <c r="I898" s="60"/>
      <c r="J898" s="236"/>
      <c r="K898" s="236"/>
      <c r="L898" s="60"/>
      <c r="M898" s="60"/>
      <c r="N898" s="236"/>
      <c r="O898" s="60"/>
      <c r="P898" s="60"/>
      <c r="Q898" s="236"/>
      <c r="R898" s="236"/>
      <c r="S898" s="60"/>
      <c r="T898" s="60"/>
      <c r="U898" s="236"/>
      <c r="V898" s="60"/>
      <c r="W898" s="60"/>
      <c r="X898" s="236"/>
      <c r="Y898" s="236"/>
      <c r="Z898" s="60"/>
      <c r="AA898" s="60"/>
      <c r="AB898" s="236"/>
      <c r="AC898" s="60"/>
      <c r="AD898" s="60"/>
      <c r="AE898" s="236"/>
      <c r="AF898" s="236"/>
      <c r="AG898" s="60"/>
      <c r="AH898" s="60"/>
      <c r="AI898" s="236"/>
      <c r="AJ898" s="236"/>
    </row>
    <row r="899">
      <c r="A899" s="61"/>
      <c r="B899" s="60"/>
      <c r="C899" s="236"/>
      <c r="D899" s="236"/>
      <c r="E899" s="60"/>
      <c r="F899" s="60"/>
      <c r="G899" s="236"/>
      <c r="H899" s="60"/>
      <c r="I899" s="60"/>
      <c r="J899" s="236"/>
      <c r="K899" s="236"/>
      <c r="L899" s="60"/>
      <c r="M899" s="60"/>
      <c r="N899" s="236"/>
      <c r="O899" s="60"/>
      <c r="P899" s="60"/>
      <c r="Q899" s="236"/>
      <c r="R899" s="236"/>
      <c r="S899" s="60"/>
      <c r="T899" s="60"/>
      <c r="U899" s="236"/>
      <c r="V899" s="60"/>
      <c r="W899" s="60"/>
      <c r="X899" s="236"/>
      <c r="Y899" s="236"/>
      <c r="Z899" s="60"/>
      <c r="AA899" s="60"/>
      <c r="AB899" s="236"/>
      <c r="AC899" s="60"/>
      <c r="AD899" s="60"/>
      <c r="AE899" s="236"/>
      <c r="AF899" s="236"/>
      <c r="AG899" s="60"/>
      <c r="AH899" s="60"/>
      <c r="AI899" s="236"/>
      <c r="AJ899" s="236"/>
    </row>
    <row r="900">
      <c r="A900" s="61"/>
      <c r="B900" s="60"/>
      <c r="C900" s="236"/>
      <c r="D900" s="236"/>
      <c r="E900" s="60"/>
      <c r="F900" s="60"/>
      <c r="G900" s="236"/>
      <c r="H900" s="60"/>
      <c r="I900" s="60"/>
      <c r="J900" s="236"/>
      <c r="K900" s="236"/>
      <c r="L900" s="60"/>
      <c r="M900" s="60"/>
      <c r="N900" s="236"/>
      <c r="O900" s="60"/>
      <c r="P900" s="60"/>
      <c r="Q900" s="236"/>
      <c r="R900" s="236"/>
      <c r="S900" s="60"/>
      <c r="T900" s="60"/>
      <c r="U900" s="236"/>
      <c r="V900" s="60"/>
      <c r="W900" s="60"/>
      <c r="X900" s="236"/>
      <c r="Y900" s="236"/>
      <c r="Z900" s="60"/>
      <c r="AA900" s="60"/>
      <c r="AB900" s="236"/>
      <c r="AC900" s="60"/>
      <c r="AD900" s="60"/>
      <c r="AE900" s="236"/>
      <c r="AF900" s="236"/>
      <c r="AG900" s="60"/>
      <c r="AH900" s="60"/>
      <c r="AI900" s="236"/>
      <c r="AJ900" s="236"/>
    </row>
    <row r="901">
      <c r="A901" s="61"/>
      <c r="B901" s="60"/>
      <c r="C901" s="236"/>
      <c r="D901" s="236"/>
      <c r="E901" s="60"/>
      <c r="F901" s="60"/>
      <c r="G901" s="236"/>
      <c r="H901" s="60"/>
      <c r="I901" s="60"/>
      <c r="J901" s="236"/>
      <c r="K901" s="236"/>
      <c r="L901" s="60"/>
      <c r="M901" s="60"/>
      <c r="N901" s="236"/>
      <c r="O901" s="60"/>
      <c r="P901" s="60"/>
      <c r="Q901" s="236"/>
      <c r="R901" s="236"/>
      <c r="S901" s="60"/>
      <c r="T901" s="60"/>
      <c r="U901" s="236"/>
      <c r="V901" s="60"/>
      <c r="W901" s="60"/>
      <c r="X901" s="236"/>
      <c r="Y901" s="236"/>
      <c r="Z901" s="60"/>
      <c r="AA901" s="60"/>
      <c r="AB901" s="236"/>
      <c r="AC901" s="60"/>
      <c r="AD901" s="60"/>
      <c r="AE901" s="236"/>
      <c r="AF901" s="236"/>
      <c r="AG901" s="60"/>
      <c r="AH901" s="60"/>
      <c r="AI901" s="236"/>
      <c r="AJ901" s="236"/>
    </row>
    <row r="902">
      <c r="A902" s="61"/>
      <c r="B902" s="60"/>
      <c r="C902" s="236"/>
      <c r="D902" s="236"/>
      <c r="E902" s="60"/>
      <c r="F902" s="60"/>
      <c r="G902" s="236"/>
      <c r="H902" s="60"/>
      <c r="I902" s="60"/>
      <c r="J902" s="236"/>
      <c r="K902" s="236"/>
      <c r="L902" s="60"/>
      <c r="M902" s="60"/>
      <c r="N902" s="236"/>
      <c r="O902" s="60"/>
      <c r="P902" s="60"/>
      <c r="Q902" s="236"/>
      <c r="R902" s="236"/>
      <c r="S902" s="60"/>
      <c r="T902" s="60"/>
      <c r="U902" s="236"/>
      <c r="V902" s="60"/>
      <c r="W902" s="60"/>
      <c r="X902" s="236"/>
      <c r="Y902" s="236"/>
      <c r="Z902" s="60"/>
      <c r="AA902" s="60"/>
      <c r="AB902" s="236"/>
      <c r="AC902" s="60"/>
      <c r="AD902" s="60"/>
      <c r="AE902" s="236"/>
      <c r="AF902" s="236"/>
      <c r="AG902" s="60"/>
      <c r="AH902" s="60"/>
      <c r="AI902" s="236"/>
      <c r="AJ902" s="236"/>
    </row>
    <row r="903">
      <c r="A903" s="61"/>
      <c r="B903" s="60"/>
      <c r="C903" s="236"/>
      <c r="D903" s="236"/>
      <c r="E903" s="60"/>
      <c r="F903" s="60"/>
      <c r="G903" s="236"/>
      <c r="H903" s="60"/>
      <c r="I903" s="60"/>
      <c r="J903" s="236"/>
      <c r="K903" s="236"/>
      <c r="L903" s="60"/>
      <c r="M903" s="60"/>
      <c r="N903" s="236"/>
      <c r="O903" s="60"/>
      <c r="P903" s="60"/>
      <c r="Q903" s="236"/>
      <c r="R903" s="236"/>
      <c r="S903" s="60"/>
      <c r="T903" s="60"/>
      <c r="U903" s="236"/>
      <c r="V903" s="60"/>
      <c r="W903" s="60"/>
      <c r="X903" s="236"/>
      <c r="Y903" s="236"/>
      <c r="Z903" s="60"/>
      <c r="AA903" s="60"/>
      <c r="AB903" s="236"/>
      <c r="AC903" s="60"/>
      <c r="AD903" s="60"/>
      <c r="AE903" s="236"/>
      <c r="AF903" s="236"/>
      <c r="AG903" s="60"/>
      <c r="AH903" s="60"/>
      <c r="AI903" s="236"/>
      <c r="AJ903" s="236"/>
    </row>
    <row r="904">
      <c r="A904" s="61"/>
      <c r="B904" s="60"/>
      <c r="C904" s="236"/>
      <c r="D904" s="236"/>
      <c r="E904" s="60"/>
      <c r="F904" s="60"/>
      <c r="G904" s="236"/>
      <c r="H904" s="60"/>
      <c r="I904" s="60"/>
      <c r="J904" s="236"/>
      <c r="K904" s="236"/>
      <c r="L904" s="60"/>
      <c r="M904" s="60"/>
      <c r="N904" s="236"/>
      <c r="O904" s="60"/>
      <c r="P904" s="60"/>
      <c r="Q904" s="236"/>
      <c r="R904" s="236"/>
      <c r="S904" s="60"/>
      <c r="T904" s="60"/>
      <c r="U904" s="236"/>
      <c r="V904" s="60"/>
      <c r="W904" s="60"/>
      <c r="X904" s="236"/>
      <c r="Y904" s="236"/>
      <c r="Z904" s="60"/>
      <c r="AA904" s="60"/>
      <c r="AB904" s="236"/>
      <c r="AC904" s="60"/>
      <c r="AD904" s="60"/>
      <c r="AE904" s="236"/>
      <c r="AF904" s="236"/>
      <c r="AG904" s="60"/>
      <c r="AH904" s="60"/>
      <c r="AI904" s="236"/>
      <c r="AJ904" s="236"/>
    </row>
    <row r="905">
      <c r="A905" s="61"/>
      <c r="B905" s="60"/>
      <c r="C905" s="236"/>
      <c r="D905" s="236"/>
      <c r="E905" s="60"/>
      <c r="F905" s="60"/>
      <c r="G905" s="236"/>
      <c r="H905" s="60"/>
      <c r="I905" s="60"/>
      <c r="J905" s="236"/>
      <c r="K905" s="236"/>
      <c r="L905" s="60"/>
      <c r="M905" s="60"/>
      <c r="N905" s="236"/>
      <c r="O905" s="60"/>
      <c r="P905" s="60"/>
      <c r="Q905" s="236"/>
      <c r="R905" s="236"/>
      <c r="S905" s="60"/>
      <c r="T905" s="60"/>
      <c r="U905" s="236"/>
      <c r="V905" s="60"/>
      <c r="W905" s="60"/>
      <c r="X905" s="236"/>
      <c r="Y905" s="236"/>
      <c r="Z905" s="60"/>
      <c r="AA905" s="60"/>
      <c r="AB905" s="236"/>
      <c r="AC905" s="60"/>
      <c r="AD905" s="60"/>
      <c r="AE905" s="236"/>
      <c r="AF905" s="236"/>
      <c r="AG905" s="60"/>
      <c r="AH905" s="60"/>
      <c r="AI905" s="236"/>
      <c r="AJ905" s="236"/>
    </row>
    <row r="906">
      <c r="A906" s="61"/>
      <c r="B906" s="60"/>
      <c r="C906" s="236"/>
      <c r="D906" s="236"/>
      <c r="E906" s="60"/>
      <c r="F906" s="60"/>
      <c r="G906" s="236"/>
      <c r="H906" s="60"/>
      <c r="I906" s="60"/>
      <c r="J906" s="236"/>
      <c r="K906" s="236"/>
      <c r="L906" s="60"/>
      <c r="M906" s="60"/>
      <c r="N906" s="236"/>
      <c r="O906" s="60"/>
      <c r="P906" s="60"/>
      <c r="Q906" s="236"/>
      <c r="R906" s="236"/>
      <c r="S906" s="60"/>
      <c r="T906" s="60"/>
      <c r="U906" s="236"/>
      <c r="V906" s="60"/>
      <c r="W906" s="60"/>
      <c r="X906" s="236"/>
      <c r="Y906" s="236"/>
      <c r="Z906" s="60"/>
      <c r="AA906" s="60"/>
      <c r="AB906" s="236"/>
      <c r="AC906" s="60"/>
      <c r="AD906" s="60"/>
      <c r="AE906" s="236"/>
      <c r="AF906" s="236"/>
      <c r="AG906" s="60"/>
      <c r="AH906" s="60"/>
      <c r="AI906" s="236"/>
      <c r="AJ906" s="236"/>
    </row>
    <row r="907">
      <c r="A907" s="61"/>
      <c r="B907" s="60"/>
      <c r="C907" s="236"/>
      <c r="D907" s="236"/>
      <c r="E907" s="60"/>
      <c r="F907" s="60"/>
      <c r="G907" s="236"/>
      <c r="H907" s="60"/>
      <c r="I907" s="60"/>
      <c r="J907" s="236"/>
      <c r="K907" s="236"/>
      <c r="L907" s="60"/>
      <c r="M907" s="60"/>
      <c r="N907" s="236"/>
      <c r="O907" s="60"/>
      <c r="P907" s="60"/>
      <c r="Q907" s="236"/>
      <c r="R907" s="236"/>
      <c r="S907" s="60"/>
      <c r="T907" s="60"/>
      <c r="U907" s="236"/>
      <c r="V907" s="60"/>
      <c r="W907" s="60"/>
      <c r="X907" s="236"/>
      <c r="Y907" s="236"/>
      <c r="Z907" s="60"/>
      <c r="AA907" s="60"/>
      <c r="AB907" s="236"/>
      <c r="AC907" s="60"/>
      <c r="AD907" s="60"/>
      <c r="AE907" s="236"/>
      <c r="AF907" s="236"/>
      <c r="AG907" s="60"/>
      <c r="AH907" s="60"/>
      <c r="AI907" s="236"/>
      <c r="AJ907" s="236"/>
    </row>
    <row r="908">
      <c r="A908" s="61"/>
      <c r="B908" s="60"/>
      <c r="C908" s="236"/>
      <c r="D908" s="236"/>
      <c r="E908" s="60"/>
      <c r="F908" s="60"/>
      <c r="G908" s="236"/>
      <c r="H908" s="60"/>
      <c r="I908" s="60"/>
      <c r="J908" s="236"/>
      <c r="K908" s="236"/>
      <c r="L908" s="60"/>
      <c r="M908" s="60"/>
      <c r="N908" s="236"/>
      <c r="O908" s="60"/>
      <c r="P908" s="60"/>
      <c r="Q908" s="236"/>
      <c r="R908" s="236"/>
      <c r="S908" s="60"/>
      <c r="T908" s="60"/>
      <c r="U908" s="236"/>
      <c r="V908" s="60"/>
      <c r="W908" s="60"/>
      <c r="X908" s="236"/>
      <c r="Y908" s="236"/>
      <c r="Z908" s="60"/>
      <c r="AA908" s="60"/>
      <c r="AB908" s="236"/>
      <c r="AC908" s="60"/>
      <c r="AD908" s="60"/>
      <c r="AE908" s="236"/>
      <c r="AF908" s="236"/>
      <c r="AG908" s="60"/>
      <c r="AH908" s="60"/>
      <c r="AI908" s="236"/>
      <c r="AJ908" s="236"/>
    </row>
    <row r="909">
      <c r="A909" s="61"/>
      <c r="B909" s="60"/>
      <c r="C909" s="236"/>
      <c r="D909" s="236"/>
      <c r="E909" s="60"/>
      <c r="F909" s="60"/>
      <c r="G909" s="236"/>
      <c r="H909" s="60"/>
      <c r="I909" s="60"/>
      <c r="J909" s="236"/>
      <c r="K909" s="236"/>
      <c r="L909" s="60"/>
      <c r="M909" s="60"/>
      <c r="N909" s="236"/>
      <c r="O909" s="60"/>
      <c r="P909" s="60"/>
      <c r="Q909" s="236"/>
      <c r="R909" s="236"/>
      <c r="S909" s="60"/>
      <c r="T909" s="60"/>
      <c r="U909" s="236"/>
      <c r="V909" s="60"/>
      <c r="W909" s="60"/>
      <c r="X909" s="236"/>
      <c r="Y909" s="236"/>
      <c r="Z909" s="60"/>
      <c r="AA909" s="60"/>
      <c r="AB909" s="236"/>
      <c r="AC909" s="60"/>
      <c r="AD909" s="60"/>
      <c r="AE909" s="236"/>
      <c r="AF909" s="236"/>
      <c r="AG909" s="60"/>
      <c r="AH909" s="60"/>
      <c r="AI909" s="236"/>
      <c r="AJ909" s="236"/>
    </row>
    <row r="910">
      <c r="A910" s="61"/>
      <c r="B910" s="60"/>
      <c r="C910" s="236"/>
      <c r="D910" s="236"/>
      <c r="E910" s="60"/>
      <c r="F910" s="60"/>
      <c r="G910" s="236"/>
      <c r="H910" s="60"/>
      <c r="I910" s="60"/>
      <c r="J910" s="236"/>
      <c r="K910" s="236"/>
      <c r="L910" s="60"/>
      <c r="M910" s="60"/>
      <c r="N910" s="236"/>
      <c r="O910" s="60"/>
      <c r="P910" s="60"/>
      <c r="Q910" s="236"/>
      <c r="R910" s="236"/>
      <c r="S910" s="60"/>
      <c r="T910" s="60"/>
      <c r="U910" s="236"/>
      <c r="V910" s="60"/>
      <c r="W910" s="60"/>
      <c r="X910" s="236"/>
      <c r="Y910" s="236"/>
      <c r="Z910" s="60"/>
      <c r="AA910" s="60"/>
      <c r="AB910" s="236"/>
      <c r="AC910" s="60"/>
      <c r="AD910" s="60"/>
      <c r="AE910" s="236"/>
      <c r="AF910" s="236"/>
      <c r="AG910" s="60"/>
      <c r="AH910" s="60"/>
      <c r="AI910" s="236"/>
      <c r="AJ910" s="236"/>
    </row>
    <row r="911">
      <c r="A911" s="61"/>
      <c r="B911" s="60"/>
      <c r="C911" s="236"/>
      <c r="D911" s="236"/>
      <c r="E911" s="60"/>
      <c r="F911" s="60"/>
      <c r="G911" s="236"/>
      <c r="H911" s="60"/>
      <c r="I911" s="60"/>
      <c r="J911" s="236"/>
      <c r="K911" s="236"/>
      <c r="L911" s="60"/>
      <c r="M911" s="60"/>
      <c r="N911" s="236"/>
      <c r="O911" s="60"/>
      <c r="P911" s="60"/>
      <c r="Q911" s="236"/>
      <c r="R911" s="236"/>
      <c r="S911" s="60"/>
      <c r="T911" s="60"/>
      <c r="U911" s="236"/>
      <c r="V911" s="60"/>
      <c r="W911" s="60"/>
      <c r="X911" s="236"/>
      <c r="Y911" s="236"/>
      <c r="Z911" s="60"/>
      <c r="AA911" s="60"/>
      <c r="AB911" s="236"/>
      <c r="AC911" s="60"/>
      <c r="AD911" s="60"/>
      <c r="AE911" s="236"/>
      <c r="AF911" s="236"/>
      <c r="AG911" s="60"/>
      <c r="AH911" s="60"/>
      <c r="AI911" s="236"/>
      <c r="AJ911" s="236"/>
    </row>
    <row r="912">
      <c r="A912" s="61"/>
      <c r="B912" s="60"/>
      <c r="C912" s="236"/>
      <c r="D912" s="236"/>
      <c r="E912" s="60"/>
      <c r="F912" s="60"/>
      <c r="G912" s="236"/>
      <c r="H912" s="60"/>
      <c r="I912" s="60"/>
      <c r="J912" s="236"/>
      <c r="K912" s="236"/>
      <c r="L912" s="60"/>
      <c r="M912" s="60"/>
      <c r="N912" s="236"/>
      <c r="O912" s="60"/>
      <c r="P912" s="60"/>
      <c r="Q912" s="236"/>
      <c r="R912" s="236"/>
      <c r="S912" s="60"/>
      <c r="T912" s="60"/>
      <c r="U912" s="236"/>
      <c r="V912" s="60"/>
      <c r="W912" s="60"/>
      <c r="X912" s="236"/>
      <c r="Y912" s="236"/>
      <c r="Z912" s="60"/>
      <c r="AA912" s="60"/>
      <c r="AB912" s="236"/>
      <c r="AC912" s="60"/>
      <c r="AD912" s="60"/>
      <c r="AE912" s="236"/>
      <c r="AF912" s="236"/>
      <c r="AG912" s="60"/>
      <c r="AH912" s="60"/>
      <c r="AI912" s="236"/>
      <c r="AJ912" s="236"/>
    </row>
    <row r="913">
      <c r="A913" s="61"/>
      <c r="B913" s="60"/>
      <c r="C913" s="236"/>
      <c r="D913" s="236"/>
      <c r="E913" s="60"/>
      <c r="F913" s="60"/>
      <c r="G913" s="236"/>
      <c r="H913" s="60"/>
      <c r="I913" s="60"/>
      <c r="J913" s="236"/>
      <c r="K913" s="236"/>
      <c r="L913" s="60"/>
      <c r="M913" s="60"/>
      <c r="N913" s="236"/>
      <c r="O913" s="60"/>
      <c r="P913" s="60"/>
      <c r="Q913" s="236"/>
      <c r="R913" s="236"/>
      <c r="S913" s="60"/>
      <c r="T913" s="60"/>
      <c r="U913" s="236"/>
      <c r="V913" s="60"/>
      <c r="W913" s="60"/>
      <c r="X913" s="236"/>
      <c r="Y913" s="236"/>
      <c r="Z913" s="60"/>
      <c r="AA913" s="60"/>
      <c r="AB913" s="236"/>
      <c r="AC913" s="60"/>
      <c r="AD913" s="60"/>
      <c r="AE913" s="236"/>
      <c r="AF913" s="236"/>
      <c r="AG913" s="60"/>
      <c r="AH913" s="60"/>
      <c r="AI913" s="236"/>
      <c r="AJ913" s="236"/>
    </row>
    <row r="914">
      <c r="A914" s="61"/>
      <c r="B914" s="60"/>
      <c r="C914" s="236"/>
      <c r="D914" s="236"/>
      <c r="E914" s="60"/>
      <c r="F914" s="60"/>
      <c r="G914" s="236"/>
      <c r="H914" s="60"/>
      <c r="I914" s="60"/>
      <c r="J914" s="236"/>
      <c r="K914" s="236"/>
      <c r="L914" s="60"/>
      <c r="M914" s="60"/>
      <c r="N914" s="236"/>
      <c r="O914" s="60"/>
      <c r="P914" s="60"/>
      <c r="Q914" s="236"/>
      <c r="R914" s="236"/>
      <c r="S914" s="60"/>
      <c r="T914" s="60"/>
      <c r="U914" s="236"/>
      <c r="V914" s="60"/>
      <c r="W914" s="60"/>
      <c r="X914" s="236"/>
      <c r="Y914" s="236"/>
      <c r="Z914" s="60"/>
      <c r="AA914" s="60"/>
      <c r="AB914" s="236"/>
      <c r="AC914" s="60"/>
      <c r="AD914" s="60"/>
      <c r="AE914" s="236"/>
      <c r="AF914" s="236"/>
      <c r="AG914" s="60"/>
      <c r="AH914" s="60"/>
      <c r="AI914" s="236"/>
      <c r="AJ914" s="236"/>
    </row>
    <row r="915">
      <c r="A915" s="61"/>
      <c r="B915" s="60"/>
      <c r="C915" s="236"/>
      <c r="D915" s="236"/>
      <c r="E915" s="60"/>
      <c r="F915" s="60"/>
      <c r="G915" s="236"/>
      <c r="H915" s="60"/>
      <c r="I915" s="60"/>
      <c r="J915" s="236"/>
      <c r="K915" s="236"/>
      <c r="L915" s="60"/>
      <c r="M915" s="60"/>
      <c r="N915" s="236"/>
      <c r="O915" s="60"/>
      <c r="P915" s="60"/>
      <c r="Q915" s="236"/>
      <c r="R915" s="236"/>
      <c r="S915" s="60"/>
      <c r="T915" s="60"/>
      <c r="U915" s="236"/>
      <c r="V915" s="60"/>
      <c r="W915" s="60"/>
      <c r="X915" s="236"/>
      <c r="Y915" s="236"/>
      <c r="Z915" s="60"/>
      <c r="AA915" s="60"/>
      <c r="AB915" s="236"/>
      <c r="AC915" s="60"/>
      <c r="AD915" s="60"/>
      <c r="AE915" s="236"/>
      <c r="AF915" s="236"/>
      <c r="AG915" s="60"/>
      <c r="AH915" s="60"/>
      <c r="AI915" s="236"/>
      <c r="AJ915" s="236"/>
    </row>
    <row r="916">
      <c r="A916" s="61"/>
      <c r="B916" s="60"/>
      <c r="C916" s="236"/>
      <c r="D916" s="236"/>
      <c r="E916" s="60"/>
      <c r="F916" s="60"/>
      <c r="G916" s="236"/>
      <c r="H916" s="60"/>
      <c r="I916" s="60"/>
      <c r="J916" s="236"/>
      <c r="K916" s="236"/>
      <c r="L916" s="60"/>
      <c r="M916" s="60"/>
      <c r="N916" s="236"/>
      <c r="O916" s="60"/>
      <c r="P916" s="60"/>
      <c r="Q916" s="236"/>
      <c r="R916" s="236"/>
      <c r="S916" s="60"/>
      <c r="T916" s="60"/>
      <c r="U916" s="236"/>
      <c r="V916" s="60"/>
      <c r="W916" s="60"/>
      <c r="X916" s="236"/>
      <c r="Y916" s="236"/>
      <c r="Z916" s="60"/>
      <c r="AA916" s="60"/>
      <c r="AB916" s="236"/>
      <c r="AC916" s="60"/>
      <c r="AD916" s="60"/>
      <c r="AE916" s="236"/>
      <c r="AF916" s="236"/>
      <c r="AG916" s="60"/>
      <c r="AH916" s="60"/>
      <c r="AI916" s="236"/>
      <c r="AJ916" s="236"/>
    </row>
    <row r="917">
      <c r="A917" s="61"/>
      <c r="B917" s="60"/>
      <c r="C917" s="236"/>
      <c r="D917" s="236"/>
      <c r="E917" s="60"/>
      <c r="F917" s="60"/>
      <c r="G917" s="236"/>
      <c r="H917" s="60"/>
      <c r="I917" s="60"/>
      <c r="J917" s="236"/>
      <c r="K917" s="236"/>
      <c r="L917" s="60"/>
      <c r="M917" s="60"/>
      <c r="N917" s="236"/>
      <c r="O917" s="60"/>
      <c r="P917" s="60"/>
      <c r="Q917" s="236"/>
      <c r="R917" s="236"/>
      <c r="S917" s="60"/>
      <c r="T917" s="60"/>
      <c r="U917" s="236"/>
      <c r="V917" s="60"/>
      <c r="W917" s="60"/>
      <c r="X917" s="236"/>
      <c r="Y917" s="236"/>
      <c r="Z917" s="60"/>
      <c r="AA917" s="60"/>
      <c r="AB917" s="236"/>
      <c r="AC917" s="60"/>
      <c r="AD917" s="60"/>
      <c r="AE917" s="236"/>
      <c r="AF917" s="236"/>
      <c r="AG917" s="60"/>
      <c r="AH917" s="60"/>
      <c r="AI917" s="236"/>
      <c r="AJ917" s="236"/>
    </row>
    <row r="918">
      <c r="A918" s="61"/>
      <c r="B918" s="60"/>
      <c r="C918" s="236"/>
      <c r="D918" s="236"/>
      <c r="E918" s="60"/>
      <c r="F918" s="60"/>
      <c r="G918" s="236"/>
      <c r="H918" s="60"/>
      <c r="I918" s="60"/>
      <c r="J918" s="236"/>
      <c r="K918" s="236"/>
      <c r="L918" s="60"/>
      <c r="M918" s="60"/>
      <c r="N918" s="236"/>
      <c r="O918" s="60"/>
      <c r="P918" s="60"/>
      <c r="Q918" s="236"/>
      <c r="R918" s="236"/>
      <c r="S918" s="60"/>
      <c r="T918" s="60"/>
      <c r="U918" s="236"/>
      <c r="V918" s="60"/>
      <c r="W918" s="60"/>
      <c r="X918" s="236"/>
      <c r="Y918" s="236"/>
      <c r="Z918" s="60"/>
      <c r="AA918" s="60"/>
      <c r="AB918" s="236"/>
      <c r="AC918" s="60"/>
      <c r="AD918" s="60"/>
      <c r="AE918" s="236"/>
      <c r="AF918" s="236"/>
      <c r="AG918" s="60"/>
      <c r="AH918" s="60"/>
      <c r="AI918" s="236"/>
      <c r="AJ918" s="236"/>
    </row>
    <row r="919">
      <c r="A919" s="61"/>
      <c r="B919" s="60"/>
      <c r="C919" s="236"/>
      <c r="D919" s="236"/>
      <c r="E919" s="60"/>
      <c r="F919" s="60"/>
      <c r="G919" s="236"/>
      <c r="H919" s="60"/>
      <c r="I919" s="60"/>
      <c r="J919" s="236"/>
      <c r="K919" s="236"/>
      <c r="L919" s="60"/>
      <c r="M919" s="60"/>
      <c r="N919" s="236"/>
      <c r="O919" s="60"/>
      <c r="P919" s="60"/>
      <c r="Q919" s="236"/>
      <c r="R919" s="236"/>
      <c r="S919" s="60"/>
      <c r="T919" s="60"/>
      <c r="U919" s="236"/>
      <c r="V919" s="60"/>
      <c r="W919" s="60"/>
      <c r="X919" s="236"/>
      <c r="Y919" s="236"/>
      <c r="Z919" s="60"/>
      <c r="AA919" s="60"/>
      <c r="AB919" s="236"/>
      <c r="AC919" s="60"/>
      <c r="AD919" s="60"/>
      <c r="AE919" s="236"/>
      <c r="AF919" s="236"/>
      <c r="AG919" s="60"/>
      <c r="AH919" s="60"/>
      <c r="AI919" s="236"/>
      <c r="AJ919" s="236"/>
    </row>
    <row r="920">
      <c r="A920" s="61"/>
      <c r="B920" s="60"/>
      <c r="C920" s="236"/>
      <c r="D920" s="236"/>
      <c r="E920" s="60"/>
      <c r="F920" s="60"/>
      <c r="G920" s="236"/>
      <c r="H920" s="60"/>
      <c r="I920" s="60"/>
      <c r="J920" s="236"/>
      <c r="K920" s="236"/>
      <c r="L920" s="60"/>
      <c r="M920" s="60"/>
      <c r="N920" s="236"/>
      <c r="O920" s="60"/>
      <c r="P920" s="60"/>
      <c r="Q920" s="236"/>
      <c r="R920" s="236"/>
      <c r="S920" s="60"/>
      <c r="T920" s="60"/>
      <c r="U920" s="236"/>
      <c r="V920" s="60"/>
      <c r="W920" s="60"/>
      <c r="X920" s="236"/>
      <c r="Y920" s="236"/>
      <c r="Z920" s="60"/>
      <c r="AA920" s="60"/>
      <c r="AB920" s="236"/>
      <c r="AC920" s="60"/>
      <c r="AD920" s="60"/>
      <c r="AE920" s="236"/>
      <c r="AF920" s="236"/>
      <c r="AG920" s="60"/>
      <c r="AH920" s="60"/>
      <c r="AI920" s="236"/>
      <c r="AJ920" s="236"/>
    </row>
    <row r="921">
      <c r="A921" s="61"/>
      <c r="B921" s="60"/>
      <c r="C921" s="236"/>
      <c r="D921" s="236"/>
      <c r="E921" s="60"/>
      <c r="F921" s="60"/>
      <c r="G921" s="236"/>
      <c r="H921" s="60"/>
      <c r="I921" s="60"/>
      <c r="J921" s="236"/>
      <c r="K921" s="236"/>
      <c r="L921" s="60"/>
      <c r="M921" s="60"/>
      <c r="N921" s="236"/>
      <c r="O921" s="60"/>
      <c r="P921" s="60"/>
      <c r="Q921" s="236"/>
      <c r="R921" s="236"/>
      <c r="S921" s="60"/>
      <c r="T921" s="60"/>
      <c r="U921" s="236"/>
      <c r="V921" s="60"/>
      <c r="W921" s="60"/>
      <c r="X921" s="236"/>
      <c r="Y921" s="236"/>
      <c r="Z921" s="60"/>
      <c r="AA921" s="60"/>
      <c r="AB921" s="236"/>
      <c r="AC921" s="60"/>
      <c r="AD921" s="60"/>
      <c r="AE921" s="236"/>
      <c r="AF921" s="236"/>
      <c r="AG921" s="60"/>
      <c r="AH921" s="60"/>
      <c r="AI921" s="236"/>
      <c r="AJ921" s="236"/>
    </row>
    <row r="922">
      <c r="A922" s="61"/>
      <c r="B922" s="60"/>
      <c r="C922" s="236"/>
      <c r="D922" s="236"/>
      <c r="E922" s="60"/>
      <c r="F922" s="60"/>
      <c r="G922" s="236"/>
      <c r="H922" s="60"/>
      <c r="I922" s="60"/>
      <c r="J922" s="236"/>
      <c r="K922" s="236"/>
      <c r="L922" s="60"/>
      <c r="M922" s="60"/>
      <c r="N922" s="236"/>
      <c r="O922" s="60"/>
      <c r="P922" s="60"/>
      <c r="Q922" s="236"/>
      <c r="R922" s="236"/>
      <c r="S922" s="60"/>
      <c r="T922" s="60"/>
      <c r="U922" s="236"/>
      <c r="V922" s="60"/>
      <c r="W922" s="60"/>
      <c r="X922" s="236"/>
      <c r="Y922" s="236"/>
      <c r="Z922" s="60"/>
      <c r="AA922" s="60"/>
      <c r="AB922" s="236"/>
      <c r="AC922" s="60"/>
      <c r="AD922" s="60"/>
      <c r="AE922" s="236"/>
      <c r="AF922" s="236"/>
      <c r="AG922" s="60"/>
      <c r="AH922" s="60"/>
      <c r="AI922" s="236"/>
      <c r="AJ922" s="236"/>
    </row>
    <row r="923">
      <c r="A923" s="61"/>
      <c r="B923" s="60"/>
      <c r="C923" s="236"/>
      <c r="D923" s="236"/>
      <c r="E923" s="60"/>
      <c r="F923" s="60"/>
      <c r="G923" s="236"/>
      <c r="H923" s="60"/>
      <c r="I923" s="60"/>
      <c r="J923" s="236"/>
      <c r="K923" s="236"/>
      <c r="L923" s="60"/>
      <c r="M923" s="60"/>
      <c r="N923" s="236"/>
      <c r="O923" s="60"/>
      <c r="P923" s="60"/>
      <c r="Q923" s="236"/>
      <c r="R923" s="236"/>
      <c r="S923" s="60"/>
      <c r="T923" s="60"/>
      <c r="U923" s="236"/>
      <c r="V923" s="60"/>
      <c r="W923" s="60"/>
      <c r="X923" s="236"/>
      <c r="Y923" s="236"/>
      <c r="Z923" s="60"/>
      <c r="AA923" s="60"/>
      <c r="AB923" s="236"/>
      <c r="AC923" s="60"/>
      <c r="AD923" s="60"/>
      <c r="AE923" s="236"/>
      <c r="AF923" s="236"/>
      <c r="AG923" s="60"/>
      <c r="AH923" s="60"/>
      <c r="AI923" s="236"/>
      <c r="AJ923" s="236"/>
    </row>
    <row r="924">
      <c r="A924" s="61"/>
      <c r="B924" s="60"/>
      <c r="C924" s="236"/>
      <c r="D924" s="236"/>
      <c r="E924" s="60"/>
      <c r="F924" s="60"/>
      <c r="G924" s="236"/>
      <c r="H924" s="60"/>
      <c r="I924" s="60"/>
      <c r="J924" s="236"/>
      <c r="K924" s="236"/>
      <c r="L924" s="60"/>
      <c r="M924" s="60"/>
      <c r="N924" s="236"/>
      <c r="O924" s="60"/>
      <c r="P924" s="60"/>
      <c r="Q924" s="236"/>
      <c r="R924" s="236"/>
      <c r="S924" s="60"/>
      <c r="T924" s="60"/>
      <c r="U924" s="236"/>
      <c r="V924" s="60"/>
      <c r="W924" s="60"/>
      <c r="X924" s="236"/>
      <c r="Y924" s="236"/>
      <c r="Z924" s="60"/>
      <c r="AA924" s="60"/>
      <c r="AB924" s="236"/>
      <c r="AC924" s="60"/>
      <c r="AD924" s="60"/>
      <c r="AE924" s="236"/>
      <c r="AF924" s="236"/>
      <c r="AG924" s="60"/>
      <c r="AH924" s="60"/>
      <c r="AI924" s="236"/>
      <c r="AJ924" s="236"/>
    </row>
    <row r="925">
      <c r="A925" s="61"/>
      <c r="B925" s="60"/>
      <c r="C925" s="236"/>
      <c r="D925" s="236"/>
      <c r="E925" s="60"/>
      <c r="F925" s="60"/>
      <c r="G925" s="236"/>
      <c r="H925" s="60"/>
      <c r="I925" s="60"/>
      <c r="J925" s="236"/>
      <c r="K925" s="236"/>
      <c r="L925" s="60"/>
      <c r="M925" s="60"/>
      <c r="N925" s="236"/>
      <c r="O925" s="60"/>
      <c r="P925" s="60"/>
      <c r="Q925" s="236"/>
      <c r="R925" s="236"/>
      <c r="S925" s="60"/>
      <c r="T925" s="60"/>
      <c r="U925" s="236"/>
      <c r="V925" s="60"/>
      <c r="W925" s="60"/>
      <c r="X925" s="236"/>
      <c r="Y925" s="236"/>
      <c r="Z925" s="60"/>
      <c r="AA925" s="60"/>
      <c r="AB925" s="236"/>
      <c r="AC925" s="60"/>
      <c r="AD925" s="60"/>
      <c r="AE925" s="236"/>
      <c r="AF925" s="236"/>
      <c r="AG925" s="60"/>
      <c r="AH925" s="60"/>
      <c r="AI925" s="236"/>
      <c r="AJ925" s="236"/>
    </row>
    <row r="926">
      <c r="A926" s="61"/>
      <c r="B926" s="60"/>
      <c r="C926" s="236"/>
      <c r="D926" s="236"/>
      <c r="E926" s="60"/>
      <c r="F926" s="60"/>
      <c r="G926" s="236"/>
      <c r="H926" s="60"/>
      <c r="I926" s="60"/>
      <c r="J926" s="236"/>
      <c r="K926" s="236"/>
      <c r="L926" s="60"/>
      <c r="M926" s="60"/>
      <c r="N926" s="236"/>
      <c r="O926" s="60"/>
      <c r="P926" s="60"/>
      <c r="Q926" s="236"/>
      <c r="R926" s="236"/>
      <c r="S926" s="60"/>
      <c r="T926" s="60"/>
      <c r="U926" s="236"/>
      <c r="V926" s="60"/>
      <c r="W926" s="60"/>
      <c r="X926" s="236"/>
      <c r="Y926" s="236"/>
      <c r="Z926" s="60"/>
      <c r="AA926" s="60"/>
      <c r="AB926" s="236"/>
      <c r="AC926" s="60"/>
      <c r="AD926" s="60"/>
      <c r="AE926" s="236"/>
      <c r="AF926" s="236"/>
      <c r="AG926" s="60"/>
      <c r="AH926" s="60"/>
      <c r="AI926" s="236"/>
      <c r="AJ926" s="236"/>
    </row>
    <row r="927">
      <c r="A927" s="61"/>
      <c r="B927" s="60"/>
      <c r="C927" s="236"/>
      <c r="D927" s="236"/>
      <c r="E927" s="60"/>
      <c r="F927" s="60"/>
      <c r="G927" s="236"/>
      <c r="H927" s="60"/>
      <c r="I927" s="60"/>
      <c r="J927" s="236"/>
      <c r="K927" s="236"/>
      <c r="L927" s="60"/>
      <c r="M927" s="60"/>
      <c r="N927" s="236"/>
      <c r="O927" s="60"/>
      <c r="P927" s="60"/>
      <c r="Q927" s="236"/>
      <c r="R927" s="236"/>
      <c r="S927" s="60"/>
      <c r="T927" s="60"/>
      <c r="U927" s="236"/>
      <c r="V927" s="60"/>
      <c r="W927" s="60"/>
      <c r="X927" s="236"/>
      <c r="Y927" s="236"/>
      <c r="Z927" s="60"/>
      <c r="AA927" s="60"/>
      <c r="AB927" s="236"/>
      <c r="AC927" s="60"/>
      <c r="AD927" s="60"/>
      <c r="AE927" s="236"/>
      <c r="AF927" s="236"/>
      <c r="AG927" s="60"/>
      <c r="AH927" s="60"/>
      <c r="AI927" s="236"/>
      <c r="AJ927" s="236"/>
    </row>
    <row r="928">
      <c r="A928" s="61"/>
      <c r="B928" s="60"/>
      <c r="C928" s="236"/>
      <c r="D928" s="236"/>
      <c r="E928" s="60"/>
      <c r="F928" s="60"/>
      <c r="G928" s="236"/>
      <c r="H928" s="60"/>
      <c r="I928" s="60"/>
      <c r="J928" s="236"/>
      <c r="K928" s="236"/>
      <c r="L928" s="60"/>
      <c r="M928" s="60"/>
      <c r="N928" s="236"/>
      <c r="O928" s="60"/>
      <c r="P928" s="60"/>
      <c r="Q928" s="236"/>
      <c r="R928" s="236"/>
      <c r="S928" s="60"/>
      <c r="T928" s="60"/>
      <c r="U928" s="236"/>
      <c r="V928" s="60"/>
      <c r="W928" s="60"/>
      <c r="X928" s="236"/>
      <c r="Y928" s="236"/>
      <c r="Z928" s="60"/>
      <c r="AA928" s="60"/>
      <c r="AB928" s="236"/>
      <c r="AC928" s="60"/>
      <c r="AD928" s="60"/>
      <c r="AE928" s="236"/>
      <c r="AF928" s="236"/>
      <c r="AG928" s="60"/>
      <c r="AH928" s="60"/>
      <c r="AI928" s="236"/>
      <c r="AJ928" s="236"/>
    </row>
    <row r="929">
      <c r="A929" s="61"/>
      <c r="B929" s="60"/>
      <c r="C929" s="236"/>
      <c r="D929" s="236"/>
      <c r="E929" s="60"/>
      <c r="F929" s="60"/>
      <c r="G929" s="236"/>
      <c r="H929" s="60"/>
      <c r="I929" s="60"/>
      <c r="J929" s="236"/>
      <c r="K929" s="236"/>
      <c r="L929" s="60"/>
      <c r="M929" s="60"/>
      <c r="N929" s="236"/>
      <c r="O929" s="60"/>
      <c r="P929" s="60"/>
      <c r="Q929" s="236"/>
      <c r="R929" s="236"/>
      <c r="S929" s="60"/>
      <c r="T929" s="60"/>
      <c r="U929" s="236"/>
      <c r="V929" s="60"/>
      <c r="W929" s="60"/>
      <c r="X929" s="236"/>
      <c r="Y929" s="236"/>
      <c r="Z929" s="60"/>
      <c r="AA929" s="60"/>
      <c r="AB929" s="236"/>
      <c r="AC929" s="60"/>
      <c r="AD929" s="60"/>
      <c r="AE929" s="236"/>
      <c r="AF929" s="236"/>
      <c r="AG929" s="60"/>
      <c r="AH929" s="60"/>
      <c r="AI929" s="236"/>
      <c r="AJ929" s="236"/>
    </row>
    <row r="930">
      <c r="A930" s="61"/>
      <c r="B930" s="60"/>
      <c r="C930" s="236"/>
      <c r="D930" s="236"/>
      <c r="E930" s="60"/>
      <c r="F930" s="60"/>
      <c r="G930" s="236"/>
      <c r="H930" s="60"/>
      <c r="I930" s="60"/>
      <c r="J930" s="236"/>
      <c r="K930" s="236"/>
      <c r="L930" s="60"/>
      <c r="M930" s="60"/>
      <c r="N930" s="236"/>
      <c r="O930" s="60"/>
      <c r="P930" s="60"/>
      <c r="Q930" s="236"/>
      <c r="R930" s="236"/>
      <c r="S930" s="60"/>
      <c r="T930" s="60"/>
      <c r="U930" s="236"/>
      <c r="V930" s="60"/>
      <c r="W930" s="60"/>
      <c r="X930" s="236"/>
      <c r="Y930" s="236"/>
      <c r="Z930" s="60"/>
      <c r="AA930" s="60"/>
      <c r="AB930" s="236"/>
      <c r="AC930" s="60"/>
      <c r="AD930" s="60"/>
      <c r="AE930" s="236"/>
      <c r="AF930" s="236"/>
      <c r="AG930" s="60"/>
      <c r="AH930" s="60"/>
      <c r="AI930" s="236"/>
      <c r="AJ930" s="236"/>
    </row>
    <row r="931">
      <c r="A931" s="61"/>
      <c r="B931" s="60"/>
      <c r="C931" s="236"/>
      <c r="D931" s="236"/>
      <c r="E931" s="60"/>
      <c r="F931" s="60"/>
      <c r="G931" s="236"/>
      <c r="H931" s="60"/>
      <c r="I931" s="60"/>
      <c r="J931" s="236"/>
      <c r="K931" s="236"/>
      <c r="L931" s="60"/>
      <c r="M931" s="60"/>
      <c r="N931" s="236"/>
      <c r="O931" s="60"/>
      <c r="P931" s="60"/>
      <c r="Q931" s="236"/>
      <c r="R931" s="236"/>
      <c r="S931" s="60"/>
      <c r="T931" s="60"/>
      <c r="U931" s="236"/>
      <c r="V931" s="60"/>
      <c r="W931" s="60"/>
      <c r="X931" s="236"/>
      <c r="Y931" s="236"/>
      <c r="Z931" s="60"/>
      <c r="AA931" s="60"/>
      <c r="AB931" s="236"/>
      <c r="AC931" s="60"/>
      <c r="AD931" s="60"/>
      <c r="AE931" s="236"/>
      <c r="AF931" s="236"/>
      <c r="AG931" s="60"/>
      <c r="AH931" s="60"/>
      <c r="AI931" s="236"/>
      <c r="AJ931" s="236"/>
    </row>
    <row r="932">
      <c r="A932" s="61"/>
      <c r="B932" s="60"/>
      <c r="C932" s="236"/>
      <c r="D932" s="236"/>
      <c r="E932" s="60"/>
      <c r="F932" s="60"/>
      <c r="G932" s="236"/>
      <c r="H932" s="60"/>
      <c r="I932" s="60"/>
      <c r="J932" s="236"/>
      <c r="K932" s="236"/>
      <c r="L932" s="60"/>
      <c r="M932" s="60"/>
      <c r="N932" s="236"/>
      <c r="O932" s="60"/>
      <c r="P932" s="60"/>
      <c r="Q932" s="236"/>
      <c r="R932" s="236"/>
      <c r="S932" s="60"/>
      <c r="T932" s="60"/>
      <c r="U932" s="236"/>
      <c r="V932" s="60"/>
      <c r="W932" s="60"/>
      <c r="X932" s="236"/>
      <c r="Y932" s="236"/>
      <c r="Z932" s="60"/>
      <c r="AA932" s="60"/>
      <c r="AB932" s="236"/>
      <c r="AC932" s="60"/>
      <c r="AD932" s="60"/>
      <c r="AE932" s="236"/>
      <c r="AF932" s="236"/>
      <c r="AG932" s="60"/>
      <c r="AH932" s="60"/>
      <c r="AI932" s="236"/>
      <c r="AJ932" s="236"/>
    </row>
    <row r="933">
      <c r="A933" s="61"/>
      <c r="B933" s="60"/>
      <c r="C933" s="236"/>
      <c r="D933" s="236"/>
      <c r="E933" s="60"/>
      <c r="F933" s="60"/>
      <c r="G933" s="236"/>
      <c r="H933" s="60"/>
      <c r="I933" s="60"/>
      <c r="J933" s="236"/>
      <c r="K933" s="236"/>
      <c r="L933" s="60"/>
      <c r="M933" s="60"/>
      <c r="N933" s="236"/>
      <c r="O933" s="60"/>
      <c r="P933" s="60"/>
      <c r="Q933" s="236"/>
      <c r="R933" s="236"/>
      <c r="S933" s="60"/>
      <c r="T933" s="60"/>
      <c r="U933" s="236"/>
      <c r="V933" s="60"/>
      <c r="W933" s="60"/>
      <c r="X933" s="236"/>
      <c r="Y933" s="236"/>
      <c r="Z933" s="60"/>
      <c r="AA933" s="60"/>
      <c r="AB933" s="236"/>
      <c r="AC933" s="60"/>
      <c r="AD933" s="60"/>
      <c r="AE933" s="236"/>
      <c r="AF933" s="236"/>
      <c r="AG933" s="60"/>
      <c r="AH933" s="60"/>
      <c r="AI933" s="236"/>
      <c r="AJ933" s="236"/>
    </row>
    <row r="934">
      <c r="A934" s="61"/>
      <c r="B934" s="60"/>
      <c r="C934" s="236"/>
      <c r="D934" s="236"/>
      <c r="E934" s="60"/>
      <c r="F934" s="60"/>
      <c r="G934" s="236"/>
      <c r="H934" s="60"/>
      <c r="I934" s="60"/>
      <c r="J934" s="236"/>
      <c r="K934" s="236"/>
      <c r="L934" s="60"/>
      <c r="M934" s="60"/>
      <c r="N934" s="236"/>
      <c r="O934" s="60"/>
      <c r="P934" s="60"/>
      <c r="Q934" s="236"/>
      <c r="R934" s="236"/>
      <c r="S934" s="60"/>
      <c r="T934" s="60"/>
      <c r="U934" s="236"/>
      <c r="V934" s="60"/>
      <c r="W934" s="60"/>
      <c r="X934" s="236"/>
      <c r="Y934" s="236"/>
      <c r="Z934" s="60"/>
      <c r="AA934" s="60"/>
      <c r="AB934" s="236"/>
      <c r="AC934" s="60"/>
      <c r="AD934" s="60"/>
      <c r="AE934" s="236"/>
      <c r="AF934" s="236"/>
      <c r="AG934" s="60"/>
      <c r="AH934" s="60"/>
      <c r="AI934" s="236"/>
      <c r="AJ934" s="236"/>
    </row>
    <row r="935">
      <c r="A935" s="61"/>
      <c r="B935" s="60"/>
      <c r="C935" s="236"/>
      <c r="D935" s="236"/>
      <c r="E935" s="60"/>
      <c r="F935" s="60"/>
      <c r="G935" s="236"/>
      <c r="H935" s="60"/>
      <c r="I935" s="60"/>
      <c r="J935" s="236"/>
      <c r="K935" s="236"/>
      <c r="L935" s="60"/>
      <c r="M935" s="60"/>
      <c r="N935" s="236"/>
      <c r="O935" s="60"/>
      <c r="P935" s="60"/>
      <c r="Q935" s="236"/>
      <c r="R935" s="236"/>
      <c r="S935" s="60"/>
      <c r="T935" s="60"/>
      <c r="U935" s="236"/>
      <c r="V935" s="60"/>
      <c r="W935" s="60"/>
      <c r="X935" s="236"/>
      <c r="Y935" s="236"/>
      <c r="Z935" s="60"/>
      <c r="AA935" s="60"/>
      <c r="AB935" s="236"/>
      <c r="AC935" s="60"/>
      <c r="AD935" s="60"/>
      <c r="AE935" s="236"/>
      <c r="AF935" s="236"/>
      <c r="AG935" s="60"/>
      <c r="AH935" s="60"/>
      <c r="AI935" s="236"/>
      <c r="AJ935" s="236"/>
    </row>
    <row r="936">
      <c r="A936" s="61"/>
      <c r="B936" s="60"/>
      <c r="C936" s="236"/>
      <c r="D936" s="236"/>
      <c r="E936" s="60"/>
      <c r="F936" s="60"/>
      <c r="G936" s="236"/>
      <c r="H936" s="60"/>
      <c r="I936" s="60"/>
      <c r="J936" s="236"/>
      <c r="K936" s="236"/>
      <c r="L936" s="60"/>
      <c r="M936" s="60"/>
      <c r="N936" s="236"/>
      <c r="O936" s="60"/>
      <c r="P936" s="60"/>
      <c r="Q936" s="236"/>
      <c r="R936" s="236"/>
      <c r="S936" s="60"/>
      <c r="T936" s="60"/>
      <c r="U936" s="236"/>
      <c r="V936" s="60"/>
      <c r="W936" s="60"/>
      <c r="X936" s="236"/>
      <c r="Y936" s="236"/>
      <c r="Z936" s="60"/>
      <c r="AA936" s="60"/>
      <c r="AB936" s="236"/>
      <c r="AC936" s="60"/>
      <c r="AD936" s="60"/>
      <c r="AE936" s="236"/>
      <c r="AF936" s="236"/>
      <c r="AG936" s="60"/>
      <c r="AH936" s="60"/>
      <c r="AI936" s="236"/>
      <c r="AJ936" s="236"/>
    </row>
    <row r="937">
      <c r="A937" s="61"/>
      <c r="B937" s="60"/>
      <c r="C937" s="236"/>
      <c r="D937" s="236"/>
      <c r="E937" s="60"/>
      <c r="F937" s="60"/>
      <c r="G937" s="236"/>
      <c r="H937" s="60"/>
      <c r="I937" s="60"/>
      <c r="J937" s="236"/>
      <c r="K937" s="236"/>
      <c r="L937" s="60"/>
      <c r="M937" s="60"/>
      <c r="N937" s="236"/>
      <c r="O937" s="60"/>
      <c r="P937" s="60"/>
      <c r="Q937" s="236"/>
      <c r="R937" s="236"/>
      <c r="S937" s="60"/>
      <c r="T937" s="60"/>
      <c r="U937" s="236"/>
      <c r="V937" s="60"/>
      <c r="W937" s="60"/>
      <c r="X937" s="236"/>
      <c r="Y937" s="236"/>
      <c r="Z937" s="60"/>
      <c r="AA937" s="60"/>
      <c r="AB937" s="236"/>
      <c r="AC937" s="60"/>
      <c r="AD937" s="60"/>
      <c r="AE937" s="236"/>
      <c r="AF937" s="236"/>
      <c r="AG937" s="60"/>
      <c r="AH937" s="60"/>
      <c r="AI937" s="236"/>
      <c r="AJ937" s="236"/>
    </row>
    <row r="938">
      <c r="A938" s="61"/>
      <c r="B938" s="60"/>
      <c r="C938" s="236"/>
      <c r="D938" s="236"/>
      <c r="E938" s="60"/>
      <c r="F938" s="60"/>
      <c r="G938" s="236"/>
      <c r="H938" s="60"/>
      <c r="I938" s="60"/>
      <c r="J938" s="236"/>
      <c r="K938" s="236"/>
      <c r="L938" s="60"/>
      <c r="M938" s="60"/>
      <c r="N938" s="236"/>
      <c r="O938" s="60"/>
      <c r="P938" s="60"/>
      <c r="Q938" s="236"/>
      <c r="R938" s="236"/>
      <c r="S938" s="60"/>
      <c r="T938" s="60"/>
      <c r="U938" s="236"/>
      <c r="V938" s="60"/>
      <c r="W938" s="60"/>
      <c r="X938" s="236"/>
      <c r="Y938" s="236"/>
      <c r="Z938" s="60"/>
      <c r="AA938" s="60"/>
      <c r="AB938" s="236"/>
      <c r="AC938" s="60"/>
      <c r="AD938" s="60"/>
      <c r="AE938" s="236"/>
      <c r="AF938" s="236"/>
      <c r="AG938" s="60"/>
      <c r="AH938" s="60"/>
      <c r="AI938" s="236"/>
      <c r="AJ938" s="236"/>
    </row>
    <row r="939">
      <c r="A939" s="61"/>
      <c r="B939" s="60"/>
      <c r="C939" s="236"/>
      <c r="D939" s="236"/>
      <c r="E939" s="60"/>
      <c r="F939" s="60"/>
      <c r="G939" s="236"/>
      <c r="H939" s="60"/>
      <c r="I939" s="60"/>
      <c r="J939" s="236"/>
      <c r="K939" s="236"/>
      <c r="L939" s="60"/>
      <c r="M939" s="60"/>
      <c r="N939" s="236"/>
      <c r="O939" s="60"/>
      <c r="P939" s="60"/>
      <c r="Q939" s="236"/>
      <c r="R939" s="236"/>
      <c r="S939" s="60"/>
      <c r="T939" s="60"/>
      <c r="U939" s="236"/>
      <c r="V939" s="60"/>
      <c r="W939" s="60"/>
      <c r="X939" s="236"/>
      <c r="Y939" s="236"/>
      <c r="Z939" s="60"/>
      <c r="AA939" s="60"/>
      <c r="AB939" s="236"/>
      <c r="AC939" s="60"/>
      <c r="AD939" s="60"/>
      <c r="AE939" s="236"/>
      <c r="AF939" s="236"/>
      <c r="AG939" s="60"/>
      <c r="AH939" s="60"/>
      <c r="AI939" s="236"/>
      <c r="AJ939" s="236"/>
    </row>
    <row r="940">
      <c r="A940" s="61"/>
      <c r="B940" s="60"/>
      <c r="C940" s="236"/>
      <c r="D940" s="236"/>
      <c r="E940" s="60"/>
      <c r="F940" s="60"/>
      <c r="G940" s="236"/>
      <c r="H940" s="60"/>
      <c r="I940" s="60"/>
      <c r="J940" s="236"/>
      <c r="K940" s="236"/>
      <c r="L940" s="60"/>
      <c r="M940" s="60"/>
      <c r="N940" s="236"/>
      <c r="O940" s="60"/>
      <c r="P940" s="60"/>
      <c r="Q940" s="236"/>
      <c r="R940" s="236"/>
      <c r="S940" s="60"/>
      <c r="T940" s="60"/>
      <c r="U940" s="236"/>
      <c r="V940" s="60"/>
      <c r="W940" s="60"/>
      <c r="X940" s="236"/>
      <c r="Y940" s="236"/>
      <c r="Z940" s="60"/>
      <c r="AA940" s="60"/>
      <c r="AB940" s="236"/>
      <c r="AC940" s="60"/>
      <c r="AD940" s="60"/>
      <c r="AE940" s="236"/>
      <c r="AF940" s="236"/>
      <c r="AG940" s="60"/>
      <c r="AH940" s="60"/>
      <c r="AI940" s="236"/>
      <c r="AJ940" s="236"/>
    </row>
    <row r="941">
      <c r="A941" s="61"/>
      <c r="B941" s="60"/>
      <c r="C941" s="236"/>
      <c r="D941" s="236"/>
      <c r="E941" s="60"/>
      <c r="F941" s="60"/>
      <c r="G941" s="236"/>
      <c r="H941" s="60"/>
      <c r="I941" s="60"/>
      <c r="J941" s="236"/>
      <c r="K941" s="236"/>
      <c r="L941" s="60"/>
      <c r="M941" s="60"/>
      <c r="N941" s="236"/>
      <c r="O941" s="60"/>
      <c r="P941" s="60"/>
      <c r="Q941" s="236"/>
      <c r="R941" s="236"/>
      <c r="S941" s="60"/>
      <c r="T941" s="60"/>
      <c r="U941" s="236"/>
      <c r="V941" s="60"/>
      <c r="W941" s="60"/>
      <c r="X941" s="236"/>
      <c r="Y941" s="236"/>
      <c r="Z941" s="60"/>
      <c r="AA941" s="60"/>
      <c r="AB941" s="236"/>
      <c r="AC941" s="60"/>
      <c r="AD941" s="60"/>
      <c r="AE941" s="236"/>
      <c r="AF941" s="236"/>
      <c r="AG941" s="60"/>
      <c r="AH941" s="60"/>
      <c r="AI941" s="236"/>
      <c r="AJ941" s="236"/>
    </row>
    <row r="942">
      <c r="A942" s="61"/>
      <c r="B942" s="60"/>
      <c r="C942" s="236"/>
      <c r="D942" s="236"/>
      <c r="E942" s="60"/>
      <c r="F942" s="60"/>
      <c r="G942" s="236"/>
      <c r="H942" s="60"/>
      <c r="I942" s="60"/>
      <c r="J942" s="236"/>
      <c r="K942" s="236"/>
      <c r="L942" s="60"/>
      <c r="M942" s="60"/>
      <c r="N942" s="236"/>
      <c r="O942" s="60"/>
      <c r="P942" s="60"/>
      <c r="Q942" s="236"/>
      <c r="R942" s="236"/>
      <c r="S942" s="60"/>
      <c r="T942" s="60"/>
      <c r="U942" s="236"/>
      <c r="V942" s="60"/>
      <c r="W942" s="60"/>
      <c r="X942" s="236"/>
      <c r="Y942" s="236"/>
      <c r="Z942" s="60"/>
      <c r="AA942" s="60"/>
      <c r="AB942" s="236"/>
      <c r="AC942" s="60"/>
      <c r="AD942" s="60"/>
      <c r="AE942" s="236"/>
      <c r="AF942" s="236"/>
      <c r="AG942" s="60"/>
      <c r="AH942" s="60"/>
      <c r="AI942" s="236"/>
      <c r="AJ942" s="236"/>
    </row>
    <row r="943">
      <c r="A943" s="61"/>
      <c r="B943" s="60"/>
      <c r="C943" s="236"/>
      <c r="D943" s="236"/>
      <c r="E943" s="60"/>
      <c r="F943" s="60"/>
      <c r="G943" s="236"/>
      <c r="H943" s="60"/>
      <c r="I943" s="60"/>
      <c r="J943" s="236"/>
      <c r="K943" s="236"/>
      <c r="L943" s="60"/>
      <c r="M943" s="60"/>
      <c r="N943" s="236"/>
      <c r="O943" s="60"/>
      <c r="P943" s="60"/>
      <c r="Q943" s="236"/>
      <c r="R943" s="236"/>
      <c r="S943" s="60"/>
      <c r="T943" s="60"/>
      <c r="U943" s="236"/>
      <c r="V943" s="60"/>
      <c r="W943" s="60"/>
      <c r="X943" s="236"/>
      <c r="Y943" s="236"/>
      <c r="Z943" s="60"/>
      <c r="AA943" s="60"/>
      <c r="AB943" s="236"/>
      <c r="AC943" s="60"/>
      <c r="AD943" s="60"/>
      <c r="AE943" s="236"/>
      <c r="AF943" s="236"/>
      <c r="AG943" s="60"/>
      <c r="AH943" s="60"/>
      <c r="AI943" s="236"/>
      <c r="AJ943" s="236"/>
    </row>
    <row r="944">
      <c r="A944" s="61"/>
      <c r="B944" s="60"/>
      <c r="C944" s="236"/>
      <c r="D944" s="236"/>
      <c r="E944" s="60"/>
      <c r="F944" s="60"/>
      <c r="G944" s="236"/>
      <c r="H944" s="60"/>
      <c r="I944" s="60"/>
      <c r="J944" s="236"/>
      <c r="K944" s="236"/>
      <c r="L944" s="60"/>
      <c r="M944" s="60"/>
      <c r="N944" s="236"/>
      <c r="O944" s="60"/>
      <c r="P944" s="60"/>
      <c r="Q944" s="236"/>
      <c r="R944" s="236"/>
      <c r="S944" s="60"/>
      <c r="T944" s="60"/>
      <c r="U944" s="236"/>
      <c r="V944" s="60"/>
      <c r="W944" s="60"/>
      <c r="X944" s="236"/>
      <c r="Y944" s="236"/>
      <c r="Z944" s="60"/>
      <c r="AA944" s="60"/>
      <c r="AB944" s="236"/>
      <c r="AC944" s="60"/>
      <c r="AD944" s="60"/>
      <c r="AE944" s="236"/>
      <c r="AF944" s="236"/>
      <c r="AG944" s="60"/>
      <c r="AH944" s="60"/>
      <c r="AI944" s="236"/>
      <c r="AJ944" s="236"/>
    </row>
    <row r="945">
      <c r="A945" s="61"/>
      <c r="B945" s="60"/>
      <c r="C945" s="236"/>
      <c r="D945" s="236"/>
      <c r="E945" s="60"/>
      <c r="F945" s="60"/>
      <c r="G945" s="236"/>
      <c r="H945" s="60"/>
      <c r="I945" s="60"/>
      <c r="J945" s="236"/>
      <c r="K945" s="236"/>
      <c r="L945" s="60"/>
      <c r="M945" s="60"/>
      <c r="N945" s="236"/>
      <c r="O945" s="60"/>
      <c r="P945" s="60"/>
      <c r="Q945" s="236"/>
      <c r="R945" s="236"/>
      <c r="S945" s="60"/>
      <c r="T945" s="60"/>
      <c r="U945" s="236"/>
      <c r="V945" s="60"/>
      <c r="W945" s="60"/>
      <c r="X945" s="236"/>
      <c r="Y945" s="236"/>
      <c r="Z945" s="60"/>
      <c r="AA945" s="60"/>
      <c r="AB945" s="236"/>
      <c r="AC945" s="60"/>
      <c r="AD945" s="60"/>
      <c r="AE945" s="236"/>
      <c r="AF945" s="236"/>
      <c r="AG945" s="60"/>
      <c r="AH945" s="60"/>
      <c r="AI945" s="236"/>
      <c r="AJ945" s="236"/>
    </row>
    <row r="946">
      <c r="A946" s="61"/>
      <c r="B946" s="60"/>
      <c r="C946" s="236"/>
      <c r="D946" s="236"/>
      <c r="E946" s="60"/>
      <c r="F946" s="60"/>
      <c r="G946" s="236"/>
      <c r="H946" s="60"/>
      <c r="I946" s="60"/>
      <c r="J946" s="236"/>
      <c r="K946" s="236"/>
      <c r="L946" s="60"/>
      <c r="M946" s="60"/>
      <c r="N946" s="236"/>
      <c r="O946" s="60"/>
      <c r="P946" s="60"/>
      <c r="Q946" s="236"/>
      <c r="R946" s="236"/>
      <c r="S946" s="60"/>
      <c r="T946" s="60"/>
      <c r="U946" s="236"/>
      <c r="V946" s="60"/>
      <c r="W946" s="60"/>
      <c r="X946" s="236"/>
      <c r="Y946" s="236"/>
      <c r="Z946" s="60"/>
      <c r="AA946" s="60"/>
      <c r="AB946" s="236"/>
      <c r="AC946" s="60"/>
      <c r="AD946" s="60"/>
      <c r="AE946" s="236"/>
      <c r="AF946" s="236"/>
      <c r="AG946" s="60"/>
      <c r="AH946" s="60"/>
      <c r="AI946" s="236"/>
      <c r="AJ946" s="236"/>
    </row>
    <row r="947">
      <c r="A947" s="61"/>
      <c r="B947" s="60"/>
      <c r="C947" s="236"/>
      <c r="D947" s="236"/>
      <c r="E947" s="60"/>
      <c r="F947" s="60"/>
      <c r="G947" s="236"/>
      <c r="H947" s="60"/>
      <c r="I947" s="60"/>
      <c r="J947" s="236"/>
      <c r="K947" s="236"/>
      <c r="L947" s="60"/>
      <c r="M947" s="60"/>
      <c r="N947" s="236"/>
      <c r="O947" s="60"/>
      <c r="P947" s="60"/>
      <c r="Q947" s="236"/>
      <c r="R947" s="236"/>
      <c r="S947" s="60"/>
      <c r="T947" s="60"/>
      <c r="U947" s="236"/>
      <c r="V947" s="60"/>
      <c r="W947" s="60"/>
      <c r="X947" s="236"/>
      <c r="Y947" s="236"/>
      <c r="Z947" s="60"/>
      <c r="AA947" s="60"/>
      <c r="AB947" s="236"/>
      <c r="AC947" s="60"/>
      <c r="AD947" s="60"/>
      <c r="AE947" s="236"/>
      <c r="AF947" s="236"/>
      <c r="AG947" s="60"/>
      <c r="AH947" s="60"/>
      <c r="AI947" s="236"/>
      <c r="AJ947" s="236"/>
    </row>
    <row r="948">
      <c r="A948" s="61"/>
      <c r="B948" s="60"/>
      <c r="C948" s="236"/>
      <c r="D948" s="236"/>
      <c r="E948" s="60"/>
      <c r="F948" s="60"/>
      <c r="G948" s="236"/>
      <c r="H948" s="60"/>
      <c r="I948" s="60"/>
      <c r="J948" s="236"/>
      <c r="K948" s="236"/>
      <c r="L948" s="60"/>
      <c r="M948" s="60"/>
      <c r="N948" s="236"/>
      <c r="O948" s="60"/>
      <c r="P948" s="60"/>
      <c r="Q948" s="236"/>
      <c r="R948" s="236"/>
      <c r="S948" s="60"/>
      <c r="T948" s="60"/>
      <c r="U948" s="236"/>
      <c r="V948" s="60"/>
      <c r="W948" s="60"/>
      <c r="X948" s="236"/>
      <c r="Y948" s="236"/>
      <c r="Z948" s="60"/>
      <c r="AA948" s="60"/>
      <c r="AB948" s="236"/>
      <c r="AC948" s="60"/>
      <c r="AD948" s="60"/>
      <c r="AE948" s="236"/>
      <c r="AF948" s="236"/>
      <c r="AG948" s="60"/>
      <c r="AH948" s="60"/>
      <c r="AI948" s="236"/>
      <c r="AJ948" s="236"/>
    </row>
    <row r="949">
      <c r="A949" s="61"/>
      <c r="B949" s="60"/>
      <c r="C949" s="236"/>
      <c r="D949" s="236"/>
      <c r="E949" s="60"/>
      <c r="F949" s="60"/>
      <c r="G949" s="236"/>
      <c r="H949" s="60"/>
      <c r="I949" s="60"/>
      <c r="J949" s="236"/>
      <c r="K949" s="236"/>
      <c r="L949" s="60"/>
      <c r="M949" s="60"/>
      <c r="N949" s="236"/>
      <c r="O949" s="60"/>
      <c r="P949" s="60"/>
      <c r="Q949" s="236"/>
      <c r="R949" s="236"/>
      <c r="S949" s="60"/>
      <c r="T949" s="60"/>
      <c r="U949" s="236"/>
      <c r="V949" s="60"/>
      <c r="W949" s="60"/>
      <c r="X949" s="236"/>
      <c r="Y949" s="236"/>
      <c r="Z949" s="60"/>
      <c r="AA949" s="60"/>
      <c r="AB949" s="236"/>
      <c r="AC949" s="60"/>
      <c r="AD949" s="60"/>
      <c r="AE949" s="236"/>
      <c r="AF949" s="236"/>
      <c r="AG949" s="60"/>
      <c r="AH949" s="60"/>
      <c r="AI949" s="236"/>
      <c r="AJ949" s="236"/>
    </row>
    <row r="950">
      <c r="A950" s="61"/>
      <c r="B950" s="60"/>
      <c r="C950" s="236"/>
      <c r="D950" s="236"/>
      <c r="E950" s="60"/>
      <c r="F950" s="60"/>
      <c r="G950" s="236"/>
      <c r="H950" s="60"/>
      <c r="I950" s="60"/>
      <c r="J950" s="236"/>
      <c r="K950" s="236"/>
      <c r="L950" s="60"/>
      <c r="M950" s="60"/>
      <c r="N950" s="236"/>
      <c r="O950" s="60"/>
      <c r="P950" s="60"/>
      <c r="Q950" s="236"/>
      <c r="R950" s="236"/>
      <c r="S950" s="60"/>
      <c r="T950" s="60"/>
      <c r="U950" s="236"/>
      <c r="V950" s="60"/>
      <c r="W950" s="60"/>
      <c r="X950" s="236"/>
      <c r="Y950" s="236"/>
      <c r="Z950" s="60"/>
      <c r="AA950" s="60"/>
      <c r="AB950" s="236"/>
      <c r="AC950" s="60"/>
      <c r="AD950" s="60"/>
      <c r="AE950" s="236"/>
      <c r="AF950" s="236"/>
      <c r="AG950" s="60"/>
      <c r="AH950" s="60"/>
      <c r="AI950" s="236"/>
      <c r="AJ950" s="236"/>
    </row>
    <row r="951">
      <c r="A951" s="61"/>
      <c r="B951" s="60"/>
      <c r="C951" s="236"/>
      <c r="D951" s="236"/>
      <c r="E951" s="60"/>
      <c r="F951" s="60"/>
      <c r="G951" s="236"/>
      <c r="H951" s="60"/>
      <c r="I951" s="60"/>
      <c r="J951" s="236"/>
      <c r="K951" s="236"/>
      <c r="L951" s="60"/>
      <c r="M951" s="60"/>
      <c r="N951" s="236"/>
      <c r="O951" s="60"/>
      <c r="P951" s="60"/>
      <c r="Q951" s="236"/>
      <c r="R951" s="236"/>
      <c r="S951" s="60"/>
      <c r="T951" s="60"/>
      <c r="U951" s="236"/>
      <c r="V951" s="60"/>
      <c r="W951" s="60"/>
      <c r="X951" s="236"/>
      <c r="Y951" s="236"/>
      <c r="Z951" s="60"/>
      <c r="AA951" s="60"/>
      <c r="AB951" s="236"/>
      <c r="AC951" s="60"/>
      <c r="AD951" s="60"/>
      <c r="AE951" s="236"/>
      <c r="AF951" s="236"/>
      <c r="AG951" s="60"/>
      <c r="AH951" s="60"/>
      <c r="AI951" s="236"/>
      <c r="AJ951" s="236"/>
    </row>
    <row r="952">
      <c r="A952" s="61"/>
      <c r="B952" s="60"/>
      <c r="C952" s="236"/>
      <c r="D952" s="236"/>
      <c r="E952" s="60"/>
      <c r="F952" s="60"/>
      <c r="G952" s="236"/>
      <c r="H952" s="60"/>
      <c r="I952" s="60"/>
      <c r="J952" s="236"/>
      <c r="K952" s="236"/>
      <c r="L952" s="60"/>
      <c r="M952" s="60"/>
      <c r="N952" s="236"/>
      <c r="O952" s="60"/>
      <c r="P952" s="60"/>
      <c r="Q952" s="236"/>
      <c r="R952" s="236"/>
      <c r="S952" s="60"/>
      <c r="T952" s="60"/>
      <c r="U952" s="236"/>
      <c r="V952" s="60"/>
      <c r="W952" s="60"/>
      <c r="X952" s="236"/>
      <c r="Y952" s="236"/>
      <c r="Z952" s="60"/>
      <c r="AA952" s="60"/>
      <c r="AB952" s="236"/>
      <c r="AC952" s="60"/>
      <c r="AD952" s="60"/>
      <c r="AE952" s="236"/>
      <c r="AF952" s="236"/>
      <c r="AG952" s="60"/>
      <c r="AH952" s="60"/>
      <c r="AI952" s="236"/>
      <c r="AJ952" s="236"/>
    </row>
    <row r="953">
      <c r="A953" s="61"/>
      <c r="B953" s="60"/>
      <c r="C953" s="236"/>
      <c r="D953" s="236"/>
      <c r="E953" s="60"/>
      <c r="F953" s="60"/>
      <c r="G953" s="236"/>
      <c r="H953" s="60"/>
      <c r="I953" s="60"/>
      <c r="J953" s="236"/>
      <c r="K953" s="236"/>
      <c r="L953" s="60"/>
      <c r="M953" s="60"/>
      <c r="N953" s="236"/>
      <c r="O953" s="60"/>
      <c r="P953" s="60"/>
      <c r="Q953" s="236"/>
      <c r="R953" s="236"/>
      <c r="S953" s="60"/>
      <c r="T953" s="60"/>
      <c r="U953" s="236"/>
      <c r="V953" s="60"/>
      <c r="W953" s="60"/>
      <c r="X953" s="236"/>
      <c r="Y953" s="236"/>
      <c r="Z953" s="60"/>
      <c r="AA953" s="60"/>
      <c r="AB953" s="236"/>
      <c r="AC953" s="60"/>
      <c r="AD953" s="60"/>
      <c r="AE953" s="236"/>
      <c r="AF953" s="236"/>
      <c r="AG953" s="60"/>
      <c r="AH953" s="60"/>
      <c r="AI953" s="236"/>
      <c r="AJ953" s="236"/>
    </row>
    <row r="954">
      <c r="A954" s="61"/>
      <c r="B954" s="60"/>
      <c r="C954" s="236"/>
      <c r="D954" s="236"/>
      <c r="E954" s="60"/>
      <c r="F954" s="60"/>
      <c r="G954" s="236"/>
      <c r="H954" s="60"/>
      <c r="I954" s="60"/>
      <c r="J954" s="236"/>
      <c r="K954" s="236"/>
      <c r="L954" s="60"/>
      <c r="M954" s="60"/>
      <c r="N954" s="236"/>
      <c r="O954" s="60"/>
      <c r="P954" s="60"/>
      <c r="Q954" s="236"/>
      <c r="R954" s="236"/>
      <c r="S954" s="60"/>
      <c r="T954" s="60"/>
      <c r="U954" s="236"/>
      <c r="V954" s="60"/>
      <c r="W954" s="60"/>
      <c r="X954" s="236"/>
      <c r="Y954" s="236"/>
      <c r="Z954" s="60"/>
      <c r="AA954" s="60"/>
      <c r="AB954" s="236"/>
      <c r="AC954" s="60"/>
      <c r="AD954" s="60"/>
      <c r="AE954" s="236"/>
      <c r="AF954" s="236"/>
      <c r="AG954" s="60"/>
      <c r="AH954" s="60"/>
      <c r="AI954" s="236"/>
      <c r="AJ954" s="236"/>
    </row>
    <row r="955">
      <c r="A955" s="61"/>
      <c r="B955" s="60"/>
      <c r="C955" s="236"/>
      <c r="D955" s="236"/>
      <c r="E955" s="60"/>
      <c r="F955" s="60"/>
      <c r="G955" s="236"/>
      <c r="H955" s="60"/>
      <c r="I955" s="60"/>
      <c r="J955" s="236"/>
      <c r="K955" s="236"/>
      <c r="L955" s="60"/>
      <c r="M955" s="60"/>
      <c r="N955" s="236"/>
      <c r="O955" s="60"/>
      <c r="P955" s="60"/>
      <c r="Q955" s="236"/>
      <c r="R955" s="236"/>
      <c r="S955" s="60"/>
      <c r="T955" s="60"/>
      <c r="U955" s="236"/>
      <c r="V955" s="60"/>
      <c r="W955" s="60"/>
      <c r="X955" s="236"/>
      <c r="Y955" s="236"/>
      <c r="Z955" s="60"/>
      <c r="AA955" s="60"/>
      <c r="AB955" s="236"/>
      <c r="AC955" s="60"/>
      <c r="AD955" s="60"/>
      <c r="AE955" s="236"/>
      <c r="AF955" s="236"/>
      <c r="AG955" s="60"/>
      <c r="AH955" s="60"/>
      <c r="AI955" s="236"/>
      <c r="AJ955" s="236"/>
    </row>
    <row r="956">
      <c r="A956" s="61"/>
      <c r="B956" s="60"/>
      <c r="C956" s="236"/>
      <c r="D956" s="236"/>
      <c r="E956" s="60"/>
      <c r="F956" s="60"/>
      <c r="G956" s="236"/>
      <c r="H956" s="60"/>
      <c r="I956" s="60"/>
      <c r="J956" s="236"/>
      <c r="K956" s="236"/>
      <c r="L956" s="60"/>
      <c r="M956" s="60"/>
      <c r="N956" s="236"/>
      <c r="O956" s="60"/>
      <c r="P956" s="60"/>
      <c r="Q956" s="236"/>
      <c r="R956" s="236"/>
      <c r="S956" s="60"/>
      <c r="T956" s="60"/>
      <c r="U956" s="236"/>
      <c r="V956" s="60"/>
      <c r="W956" s="60"/>
      <c r="X956" s="236"/>
      <c r="Y956" s="236"/>
      <c r="Z956" s="60"/>
      <c r="AA956" s="60"/>
      <c r="AB956" s="236"/>
      <c r="AC956" s="60"/>
      <c r="AD956" s="60"/>
      <c r="AE956" s="236"/>
      <c r="AF956" s="236"/>
      <c r="AG956" s="60"/>
      <c r="AH956" s="60"/>
      <c r="AI956" s="236"/>
      <c r="AJ956" s="236"/>
    </row>
    <row r="957">
      <c r="A957" s="61"/>
      <c r="B957" s="60"/>
      <c r="C957" s="236"/>
      <c r="D957" s="236"/>
      <c r="E957" s="60"/>
      <c r="F957" s="60"/>
      <c r="G957" s="236"/>
      <c r="H957" s="60"/>
      <c r="I957" s="60"/>
      <c r="J957" s="236"/>
      <c r="K957" s="236"/>
      <c r="L957" s="60"/>
      <c r="M957" s="60"/>
      <c r="N957" s="236"/>
      <c r="O957" s="60"/>
      <c r="P957" s="60"/>
      <c r="Q957" s="236"/>
      <c r="R957" s="236"/>
      <c r="S957" s="60"/>
      <c r="T957" s="60"/>
      <c r="U957" s="236"/>
      <c r="V957" s="60"/>
      <c r="W957" s="60"/>
      <c r="X957" s="236"/>
      <c r="Y957" s="236"/>
      <c r="Z957" s="60"/>
      <c r="AA957" s="60"/>
      <c r="AB957" s="236"/>
      <c r="AC957" s="60"/>
      <c r="AD957" s="60"/>
      <c r="AE957" s="236"/>
      <c r="AF957" s="236"/>
      <c r="AG957" s="60"/>
      <c r="AH957" s="60"/>
      <c r="AI957" s="236"/>
      <c r="AJ957" s="236"/>
    </row>
    <row r="958">
      <c r="A958" s="61"/>
      <c r="B958" s="60"/>
      <c r="C958" s="236"/>
      <c r="D958" s="236"/>
      <c r="E958" s="60"/>
      <c r="F958" s="60"/>
      <c r="G958" s="236"/>
      <c r="H958" s="60"/>
      <c r="I958" s="60"/>
      <c r="J958" s="236"/>
      <c r="K958" s="236"/>
      <c r="L958" s="60"/>
      <c r="M958" s="60"/>
      <c r="N958" s="236"/>
      <c r="O958" s="60"/>
      <c r="P958" s="60"/>
      <c r="Q958" s="236"/>
      <c r="R958" s="236"/>
      <c r="S958" s="60"/>
      <c r="T958" s="60"/>
      <c r="U958" s="236"/>
      <c r="V958" s="60"/>
      <c r="W958" s="60"/>
      <c r="X958" s="236"/>
      <c r="Y958" s="236"/>
      <c r="Z958" s="60"/>
      <c r="AA958" s="60"/>
      <c r="AB958" s="236"/>
      <c r="AC958" s="60"/>
      <c r="AD958" s="60"/>
      <c r="AE958" s="236"/>
      <c r="AF958" s="236"/>
      <c r="AG958" s="60"/>
      <c r="AH958" s="60"/>
      <c r="AI958" s="236"/>
      <c r="AJ958" s="236"/>
    </row>
    <row r="959">
      <c r="A959" s="61"/>
      <c r="B959" s="60"/>
      <c r="C959" s="236"/>
      <c r="D959" s="236"/>
      <c r="E959" s="60"/>
      <c r="F959" s="60"/>
      <c r="G959" s="236"/>
      <c r="H959" s="60"/>
      <c r="I959" s="60"/>
      <c r="J959" s="236"/>
      <c r="K959" s="236"/>
      <c r="L959" s="60"/>
      <c r="M959" s="60"/>
      <c r="N959" s="236"/>
      <c r="O959" s="60"/>
      <c r="P959" s="60"/>
      <c r="Q959" s="236"/>
      <c r="R959" s="236"/>
      <c r="S959" s="60"/>
      <c r="T959" s="60"/>
      <c r="U959" s="236"/>
      <c r="V959" s="60"/>
      <c r="W959" s="60"/>
      <c r="X959" s="236"/>
      <c r="Y959" s="236"/>
      <c r="Z959" s="60"/>
      <c r="AA959" s="60"/>
      <c r="AB959" s="236"/>
      <c r="AC959" s="60"/>
      <c r="AD959" s="60"/>
      <c r="AE959" s="236"/>
      <c r="AF959" s="236"/>
      <c r="AG959" s="60"/>
      <c r="AH959" s="60"/>
      <c r="AI959" s="236"/>
      <c r="AJ959" s="236"/>
    </row>
    <row r="960">
      <c r="A960" s="61"/>
      <c r="B960" s="60"/>
      <c r="C960" s="236"/>
      <c r="D960" s="236"/>
      <c r="E960" s="60"/>
      <c r="F960" s="60"/>
      <c r="G960" s="236"/>
      <c r="H960" s="60"/>
      <c r="I960" s="60"/>
      <c r="J960" s="236"/>
      <c r="K960" s="236"/>
      <c r="L960" s="60"/>
      <c r="M960" s="60"/>
      <c r="N960" s="236"/>
      <c r="O960" s="60"/>
      <c r="P960" s="60"/>
      <c r="Q960" s="236"/>
      <c r="R960" s="236"/>
      <c r="S960" s="60"/>
      <c r="T960" s="60"/>
      <c r="U960" s="236"/>
      <c r="V960" s="60"/>
      <c r="W960" s="60"/>
      <c r="X960" s="236"/>
      <c r="Y960" s="236"/>
      <c r="Z960" s="60"/>
      <c r="AA960" s="60"/>
      <c r="AB960" s="236"/>
      <c r="AC960" s="60"/>
      <c r="AD960" s="60"/>
      <c r="AE960" s="236"/>
      <c r="AF960" s="236"/>
      <c r="AG960" s="60"/>
      <c r="AH960" s="60"/>
      <c r="AI960" s="236"/>
      <c r="AJ960" s="236"/>
    </row>
    <row r="961">
      <c r="A961" s="61"/>
      <c r="B961" s="60"/>
      <c r="C961" s="236"/>
      <c r="D961" s="236"/>
      <c r="E961" s="60"/>
      <c r="F961" s="60"/>
      <c r="G961" s="236"/>
      <c r="H961" s="60"/>
      <c r="I961" s="60"/>
      <c r="J961" s="236"/>
      <c r="K961" s="236"/>
      <c r="L961" s="60"/>
      <c r="M961" s="60"/>
      <c r="N961" s="236"/>
      <c r="O961" s="60"/>
      <c r="P961" s="60"/>
      <c r="Q961" s="236"/>
      <c r="R961" s="236"/>
      <c r="S961" s="60"/>
      <c r="T961" s="60"/>
      <c r="U961" s="236"/>
      <c r="V961" s="60"/>
      <c r="W961" s="60"/>
      <c r="X961" s="236"/>
      <c r="Y961" s="236"/>
      <c r="Z961" s="60"/>
      <c r="AA961" s="60"/>
      <c r="AB961" s="236"/>
      <c r="AC961" s="60"/>
      <c r="AD961" s="60"/>
      <c r="AE961" s="236"/>
      <c r="AF961" s="236"/>
      <c r="AG961" s="60"/>
      <c r="AH961" s="60"/>
      <c r="AI961" s="236"/>
      <c r="AJ961" s="236"/>
    </row>
    <row r="962">
      <c r="A962" s="61"/>
      <c r="B962" s="60"/>
      <c r="C962" s="236"/>
      <c r="D962" s="236"/>
      <c r="E962" s="60"/>
      <c r="F962" s="60"/>
      <c r="G962" s="236"/>
      <c r="H962" s="60"/>
      <c r="I962" s="60"/>
      <c r="J962" s="236"/>
      <c r="K962" s="236"/>
      <c r="L962" s="60"/>
      <c r="M962" s="60"/>
      <c r="N962" s="236"/>
      <c r="O962" s="60"/>
      <c r="P962" s="60"/>
      <c r="Q962" s="236"/>
      <c r="R962" s="236"/>
      <c r="S962" s="60"/>
      <c r="T962" s="60"/>
      <c r="U962" s="236"/>
      <c r="V962" s="60"/>
      <c r="W962" s="60"/>
      <c r="X962" s="236"/>
      <c r="Y962" s="236"/>
      <c r="Z962" s="60"/>
      <c r="AA962" s="60"/>
      <c r="AB962" s="236"/>
      <c r="AC962" s="60"/>
      <c r="AD962" s="60"/>
      <c r="AE962" s="236"/>
      <c r="AF962" s="236"/>
      <c r="AG962" s="60"/>
      <c r="AH962" s="60"/>
      <c r="AI962" s="236"/>
      <c r="AJ962" s="236"/>
    </row>
    <row r="963">
      <c r="A963" s="61"/>
      <c r="B963" s="60"/>
      <c r="C963" s="236"/>
      <c r="D963" s="236"/>
      <c r="E963" s="60"/>
      <c r="F963" s="60"/>
      <c r="G963" s="236"/>
      <c r="H963" s="60"/>
      <c r="I963" s="60"/>
      <c r="J963" s="236"/>
      <c r="K963" s="236"/>
      <c r="L963" s="60"/>
      <c r="M963" s="60"/>
      <c r="N963" s="236"/>
      <c r="O963" s="60"/>
      <c r="P963" s="60"/>
      <c r="Q963" s="236"/>
      <c r="R963" s="236"/>
      <c r="S963" s="60"/>
      <c r="T963" s="60"/>
      <c r="U963" s="236"/>
      <c r="V963" s="60"/>
      <c r="W963" s="60"/>
      <c r="X963" s="236"/>
      <c r="Y963" s="236"/>
      <c r="Z963" s="60"/>
      <c r="AA963" s="60"/>
      <c r="AB963" s="236"/>
      <c r="AC963" s="60"/>
      <c r="AD963" s="60"/>
      <c r="AE963" s="236"/>
      <c r="AF963" s="236"/>
      <c r="AG963" s="60"/>
      <c r="AH963" s="60"/>
      <c r="AI963" s="236"/>
      <c r="AJ963" s="236"/>
    </row>
    <row r="964">
      <c r="A964" s="61"/>
      <c r="B964" s="60"/>
      <c r="C964" s="236"/>
      <c r="D964" s="236"/>
      <c r="E964" s="60"/>
      <c r="F964" s="60"/>
      <c r="G964" s="236"/>
      <c r="H964" s="60"/>
      <c r="I964" s="60"/>
      <c r="J964" s="236"/>
      <c r="K964" s="236"/>
      <c r="L964" s="60"/>
      <c r="M964" s="60"/>
      <c r="N964" s="236"/>
      <c r="O964" s="60"/>
      <c r="P964" s="60"/>
      <c r="Q964" s="236"/>
      <c r="R964" s="236"/>
      <c r="S964" s="60"/>
      <c r="T964" s="60"/>
      <c r="U964" s="236"/>
      <c r="V964" s="60"/>
      <c r="W964" s="60"/>
      <c r="X964" s="236"/>
      <c r="Y964" s="236"/>
      <c r="Z964" s="60"/>
      <c r="AA964" s="60"/>
      <c r="AB964" s="236"/>
      <c r="AC964" s="60"/>
      <c r="AD964" s="60"/>
      <c r="AE964" s="236"/>
      <c r="AF964" s="236"/>
      <c r="AG964" s="60"/>
      <c r="AH964" s="60"/>
      <c r="AI964" s="236"/>
      <c r="AJ964" s="236"/>
    </row>
    <row r="965">
      <c r="A965" s="61"/>
      <c r="B965" s="61"/>
      <c r="C965" s="285"/>
      <c r="D965" s="285"/>
      <c r="E965" s="61"/>
      <c r="F965" s="61"/>
      <c r="G965" s="285"/>
      <c r="H965" s="61"/>
      <c r="I965" s="61"/>
      <c r="J965" s="285"/>
      <c r="K965" s="285"/>
      <c r="L965" s="61"/>
      <c r="M965" s="61"/>
      <c r="N965" s="285"/>
      <c r="O965" s="61"/>
      <c r="P965" s="61"/>
      <c r="Q965" s="285"/>
      <c r="R965" s="285"/>
      <c r="S965" s="61"/>
      <c r="T965" s="61"/>
      <c r="U965" s="285"/>
      <c r="V965" s="61"/>
      <c r="W965" s="61"/>
      <c r="X965" s="285"/>
      <c r="Y965" s="285"/>
      <c r="Z965" s="61"/>
      <c r="AA965" s="61"/>
      <c r="AB965" s="285"/>
      <c r="AC965" s="61"/>
      <c r="AD965" s="61"/>
      <c r="AE965" s="285"/>
      <c r="AF965" s="285"/>
      <c r="AG965" s="61"/>
      <c r="AH965" s="61"/>
      <c r="AI965" s="285"/>
      <c r="AJ965" s="285"/>
    </row>
    <row r="966">
      <c r="A966" s="61"/>
      <c r="B966" s="61"/>
      <c r="C966" s="285"/>
      <c r="D966" s="285"/>
      <c r="E966" s="61"/>
      <c r="F966" s="61"/>
      <c r="G966" s="285"/>
      <c r="H966" s="61"/>
      <c r="I966" s="61"/>
      <c r="J966" s="285"/>
      <c r="K966" s="285"/>
      <c r="L966" s="61"/>
      <c r="M966" s="61"/>
      <c r="N966" s="285"/>
      <c r="O966" s="61"/>
      <c r="P966" s="61"/>
      <c r="Q966" s="285"/>
      <c r="R966" s="285"/>
      <c r="S966" s="61"/>
      <c r="T966" s="61"/>
      <c r="U966" s="285"/>
      <c r="V966" s="61"/>
      <c r="W966" s="61"/>
      <c r="X966" s="285"/>
      <c r="Y966" s="285"/>
      <c r="Z966" s="61"/>
      <c r="AA966" s="61"/>
      <c r="AB966" s="285"/>
      <c r="AC966" s="61"/>
      <c r="AD966" s="61"/>
      <c r="AE966" s="285"/>
      <c r="AF966" s="285"/>
      <c r="AG966" s="61"/>
      <c r="AH966" s="61"/>
      <c r="AI966" s="285"/>
      <c r="AJ966" s="285"/>
    </row>
    <row r="967">
      <c r="A967" s="61"/>
      <c r="B967" s="61"/>
      <c r="C967" s="285"/>
      <c r="D967" s="285"/>
      <c r="E967" s="61"/>
      <c r="F967" s="61"/>
      <c r="G967" s="285"/>
      <c r="H967" s="61"/>
      <c r="I967" s="61"/>
      <c r="J967" s="285"/>
      <c r="K967" s="285"/>
      <c r="L967" s="61"/>
      <c r="M967" s="61"/>
      <c r="N967" s="285"/>
      <c r="O967" s="61"/>
      <c r="P967" s="61"/>
      <c r="Q967" s="285"/>
      <c r="R967" s="285"/>
      <c r="S967" s="61"/>
      <c r="T967" s="61"/>
      <c r="U967" s="285"/>
      <c r="V967" s="61"/>
      <c r="W967" s="61"/>
      <c r="X967" s="285"/>
      <c r="Y967" s="285"/>
      <c r="Z967" s="61"/>
      <c r="AA967" s="61"/>
      <c r="AB967" s="285"/>
      <c r="AC967" s="61"/>
      <c r="AD967" s="61"/>
      <c r="AE967" s="285"/>
      <c r="AF967" s="285"/>
      <c r="AG967" s="61"/>
      <c r="AH967" s="61"/>
      <c r="AI967" s="285"/>
      <c r="AJ967" s="285"/>
    </row>
    <row r="968">
      <c r="A968" s="61"/>
      <c r="B968" s="61"/>
      <c r="C968" s="285"/>
      <c r="D968" s="285"/>
      <c r="E968" s="61"/>
      <c r="F968" s="61"/>
      <c r="G968" s="285"/>
      <c r="H968" s="61"/>
      <c r="I968" s="61"/>
      <c r="J968" s="285"/>
      <c r="K968" s="285"/>
      <c r="L968" s="61"/>
      <c r="M968" s="61"/>
      <c r="N968" s="285"/>
      <c r="O968" s="61"/>
      <c r="P968" s="61"/>
      <c r="Q968" s="285"/>
      <c r="R968" s="285"/>
      <c r="S968" s="61"/>
      <c r="T968" s="61"/>
      <c r="U968" s="285"/>
      <c r="V968" s="61"/>
      <c r="W968" s="61"/>
      <c r="X968" s="285"/>
      <c r="Y968" s="285"/>
      <c r="Z968" s="61"/>
      <c r="AA968" s="61"/>
      <c r="AB968" s="285"/>
      <c r="AC968" s="61"/>
      <c r="AD968" s="61"/>
      <c r="AE968" s="285"/>
      <c r="AF968" s="285"/>
      <c r="AG968" s="61"/>
      <c r="AH968" s="61"/>
      <c r="AI968" s="285"/>
      <c r="AJ968" s="285"/>
    </row>
  </sheetData>
  <mergeCells count="485">
    <mergeCell ref="X2:Y2"/>
    <mergeCell ref="X3:Y3"/>
    <mergeCell ref="W4:X4"/>
    <mergeCell ref="AD4:AE4"/>
    <mergeCell ref="C2:D2"/>
    <mergeCell ref="J2:K2"/>
    <mergeCell ref="Q2:R2"/>
    <mergeCell ref="AE2:AF2"/>
    <mergeCell ref="J3:K3"/>
    <mergeCell ref="Q3:R3"/>
    <mergeCell ref="AE3:AF3"/>
    <mergeCell ref="I4:J4"/>
    <mergeCell ref="K5:K8"/>
    <mergeCell ref="L5:L8"/>
    <mergeCell ref="M5:M8"/>
    <mergeCell ref="AB5:AB8"/>
    <mergeCell ref="AF5:AF8"/>
    <mergeCell ref="AG5:AG8"/>
    <mergeCell ref="AH5:AH8"/>
    <mergeCell ref="AI5:AI8"/>
    <mergeCell ref="P4:Q4"/>
    <mergeCell ref="R5:R8"/>
    <mergeCell ref="T5:T8"/>
    <mergeCell ref="U5:U8"/>
    <mergeCell ref="Y5:Y8"/>
    <mergeCell ref="Z5:Z8"/>
    <mergeCell ref="AA5:AA8"/>
    <mergeCell ref="Z9:Z12"/>
    <mergeCell ref="AA9:AA12"/>
    <mergeCell ref="AB9:AB12"/>
    <mergeCell ref="AF9:AF12"/>
    <mergeCell ref="AG9:AG12"/>
    <mergeCell ref="AH9:AH12"/>
    <mergeCell ref="AI9:AI12"/>
    <mergeCell ref="L9:L12"/>
    <mergeCell ref="M9:M12"/>
    <mergeCell ref="R9:R12"/>
    <mergeCell ref="S9:S12"/>
    <mergeCell ref="T9:T12"/>
    <mergeCell ref="U9:U12"/>
    <mergeCell ref="Y9:Y12"/>
    <mergeCell ref="C3:D3"/>
    <mergeCell ref="B4:C4"/>
    <mergeCell ref="D5:D12"/>
    <mergeCell ref="E5:E12"/>
    <mergeCell ref="F5:F12"/>
    <mergeCell ref="G5:G8"/>
    <mergeCell ref="N5:N8"/>
    <mergeCell ref="N9:N12"/>
    <mergeCell ref="Y13:Y16"/>
    <mergeCell ref="Z13:Z16"/>
    <mergeCell ref="AA13:AA16"/>
    <mergeCell ref="AB13:AB16"/>
    <mergeCell ref="AF13:AF16"/>
    <mergeCell ref="AG13:AG16"/>
    <mergeCell ref="AH13:AH16"/>
    <mergeCell ref="AI13:AI16"/>
    <mergeCell ref="L13:L16"/>
    <mergeCell ref="M13:M16"/>
    <mergeCell ref="N13:N16"/>
    <mergeCell ref="R13:R16"/>
    <mergeCell ref="S13:S16"/>
    <mergeCell ref="T13:T16"/>
    <mergeCell ref="U13:U16"/>
    <mergeCell ref="G9:G12"/>
    <mergeCell ref="K9:K12"/>
    <mergeCell ref="D13:D16"/>
    <mergeCell ref="E13:E16"/>
    <mergeCell ref="F13:F16"/>
    <mergeCell ref="G13:G16"/>
    <mergeCell ref="K13:K16"/>
    <mergeCell ref="AA17:AA20"/>
    <mergeCell ref="AB17:AB20"/>
    <mergeCell ref="AF17:AF20"/>
    <mergeCell ref="AG17:AG20"/>
    <mergeCell ref="AH17:AH20"/>
    <mergeCell ref="AI17:AI20"/>
    <mergeCell ref="N17:N20"/>
    <mergeCell ref="R17:R20"/>
    <mergeCell ref="S17:S20"/>
    <mergeCell ref="T17:T20"/>
    <mergeCell ref="U17:U20"/>
    <mergeCell ref="Y17:Y20"/>
    <mergeCell ref="Z17:Z20"/>
    <mergeCell ref="D17:D20"/>
    <mergeCell ref="E17:E20"/>
    <mergeCell ref="F17:F20"/>
    <mergeCell ref="G17:G20"/>
    <mergeCell ref="K17:K20"/>
    <mergeCell ref="L17:L20"/>
    <mergeCell ref="M17:M20"/>
    <mergeCell ref="AA29:AA32"/>
    <mergeCell ref="AB29:AB32"/>
    <mergeCell ref="N29:N32"/>
    <mergeCell ref="R29:R32"/>
    <mergeCell ref="S29:S32"/>
    <mergeCell ref="T29:T32"/>
    <mergeCell ref="U29:U32"/>
    <mergeCell ref="Y29:Y32"/>
    <mergeCell ref="Z29:Z32"/>
    <mergeCell ref="AA33:AA36"/>
    <mergeCell ref="AB33:AB36"/>
    <mergeCell ref="N33:N36"/>
    <mergeCell ref="R33:R36"/>
    <mergeCell ref="S33:S36"/>
    <mergeCell ref="T33:T36"/>
    <mergeCell ref="U33:U36"/>
    <mergeCell ref="Y33:Y36"/>
    <mergeCell ref="Z33:Z36"/>
    <mergeCell ref="AB37:AB40"/>
    <mergeCell ref="AF37:AF40"/>
    <mergeCell ref="AG37:AG40"/>
    <mergeCell ref="AH37:AH40"/>
    <mergeCell ref="AI37:AI40"/>
    <mergeCell ref="R37:R40"/>
    <mergeCell ref="S37:S40"/>
    <mergeCell ref="T37:T40"/>
    <mergeCell ref="U37:U40"/>
    <mergeCell ref="Y37:Y40"/>
    <mergeCell ref="Z37:Z40"/>
    <mergeCell ref="AA37:AA40"/>
    <mergeCell ref="AA45:AA48"/>
    <mergeCell ref="AB45:AB48"/>
    <mergeCell ref="N45:N48"/>
    <mergeCell ref="R45:R48"/>
    <mergeCell ref="S45:S48"/>
    <mergeCell ref="T45:T48"/>
    <mergeCell ref="U45:U48"/>
    <mergeCell ref="Y45:Y48"/>
    <mergeCell ref="Z45:Z48"/>
    <mergeCell ref="D37:D40"/>
    <mergeCell ref="D41:D44"/>
    <mergeCell ref="E41:E44"/>
    <mergeCell ref="F41:F44"/>
    <mergeCell ref="G41:G44"/>
    <mergeCell ref="K41:K44"/>
    <mergeCell ref="L41:L44"/>
    <mergeCell ref="D45:D48"/>
    <mergeCell ref="E45:E48"/>
    <mergeCell ref="F45:F48"/>
    <mergeCell ref="G45:G48"/>
    <mergeCell ref="K45:K48"/>
    <mergeCell ref="L45:L48"/>
    <mergeCell ref="M45:M48"/>
    <mergeCell ref="AA49:AA52"/>
    <mergeCell ref="AB49:AB52"/>
    <mergeCell ref="N49:N52"/>
    <mergeCell ref="R49:R52"/>
    <mergeCell ref="S49:S52"/>
    <mergeCell ref="T49:T52"/>
    <mergeCell ref="U49:U52"/>
    <mergeCell ref="Y49:Y52"/>
    <mergeCell ref="Z49:Z52"/>
    <mergeCell ref="N98:N101"/>
    <mergeCell ref="R98:R101"/>
    <mergeCell ref="S98:S101"/>
    <mergeCell ref="T98:T101"/>
    <mergeCell ref="U98:U101"/>
    <mergeCell ref="Y98:Y101"/>
    <mergeCell ref="Z98:Z101"/>
    <mergeCell ref="D98:D101"/>
    <mergeCell ref="E98:E101"/>
    <mergeCell ref="F98:F101"/>
    <mergeCell ref="G98:G101"/>
    <mergeCell ref="K98:K101"/>
    <mergeCell ref="L98:L101"/>
    <mergeCell ref="M98:M101"/>
    <mergeCell ref="G82:G85"/>
    <mergeCell ref="K82:K85"/>
    <mergeCell ref="L82:L85"/>
    <mergeCell ref="M82:M85"/>
    <mergeCell ref="D82:D85"/>
    <mergeCell ref="G86:G89"/>
    <mergeCell ref="K86:K89"/>
    <mergeCell ref="L86:L89"/>
    <mergeCell ref="M86:M89"/>
    <mergeCell ref="D86:D89"/>
    <mergeCell ref="AA94:AA97"/>
    <mergeCell ref="AB94:AB97"/>
    <mergeCell ref="AF94:AF97"/>
    <mergeCell ref="AG94:AG97"/>
    <mergeCell ref="AH94:AH97"/>
    <mergeCell ref="AI94:AI97"/>
    <mergeCell ref="N94:N97"/>
    <mergeCell ref="R94:R97"/>
    <mergeCell ref="S94:S97"/>
    <mergeCell ref="T94:T97"/>
    <mergeCell ref="U94:U97"/>
    <mergeCell ref="Y94:Y97"/>
    <mergeCell ref="Z94:Z97"/>
    <mergeCell ref="D94:D97"/>
    <mergeCell ref="E94:E97"/>
    <mergeCell ref="F94:F97"/>
    <mergeCell ref="G94:G97"/>
    <mergeCell ref="K94:K97"/>
    <mergeCell ref="L94:L97"/>
    <mergeCell ref="M94:M97"/>
    <mergeCell ref="F90:F93"/>
    <mergeCell ref="AA98:AA101"/>
    <mergeCell ref="AB98:AB101"/>
    <mergeCell ref="AF98:AF101"/>
    <mergeCell ref="AG98:AG101"/>
    <mergeCell ref="AH98:AH101"/>
    <mergeCell ref="AI98:AI101"/>
    <mergeCell ref="D90:D93"/>
    <mergeCell ref="E90:E93"/>
    <mergeCell ref="G90:G93"/>
    <mergeCell ref="K90:K93"/>
    <mergeCell ref="L90:L93"/>
    <mergeCell ref="M90:M93"/>
    <mergeCell ref="E86:E89"/>
    <mergeCell ref="F86:F89"/>
    <mergeCell ref="AA78:AA81"/>
    <mergeCell ref="AB78:AB81"/>
    <mergeCell ref="AF78:AF81"/>
    <mergeCell ref="AG78:AG81"/>
    <mergeCell ref="AH78:AH81"/>
    <mergeCell ref="AI78:AI81"/>
    <mergeCell ref="N78:N81"/>
    <mergeCell ref="R78:R81"/>
    <mergeCell ref="S78:S81"/>
    <mergeCell ref="T78:T81"/>
    <mergeCell ref="U78:U81"/>
    <mergeCell ref="Y78:Y81"/>
    <mergeCell ref="Z78:Z81"/>
    <mergeCell ref="G78:G81"/>
    <mergeCell ref="K78:K81"/>
    <mergeCell ref="L78:L81"/>
    <mergeCell ref="M78:M81"/>
    <mergeCell ref="D78:D81"/>
    <mergeCell ref="E78:E81"/>
    <mergeCell ref="F78:F81"/>
    <mergeCell ref="AG86:AG89"/>
    <mergeCell ref="AH86:AH89"/>
    <mergeCell ref="AF90:AF93"/>
    <mergeCell ref="AG90:AG93"/>
    <mergeCell ref="AH90:AH93"/>
    <mergeCell ref="AI90:AI93"/>
    <mergeCell ref="AA82:AA85"/>
    <mergeCell ref="AB82:AB85"/>
    <mergeCell ref="AF82:AF85"/>
    <mergeCell ref="AG82:AG85"/>
    <mergeCell ref="AH82:AH85"/>
    <mergeCell ref="AI82:AI85"/>
    <mergeCell ref="AF86:AF89"/>
    <mergeCell ref="AI86:AI89"/>
    <mergeCell ref="E82:E85"/>
    <mergeCell ref="F82:F85"/>
    <mergeCell ref="N82:N85"/>
    <mergeCell ref="R82:R85"/>
    <mergeCell ref="S82:S85"/>
    <mergeCell ref="T82:T85"/>
    <mergeCell ref="U82:U85"/>
    <mergeCell ref="Y82:Y85"/>
    <mergeCell ref="Z82:Z85"/>
    <mergeCell ref="AA21:AA24"/>
    <mergeCell ref="AB21:AB24"/>
    <mergeCell ref="AF21:AF24"/>
    <mergeCell ref="AG21:AG24"/>
    <mergeCell ref="AH21:AH24"/>
    <mergeCell ref="AI21:AI24"/>
    <mergeCell ref="N21:N24"/>
    <mergeCell ref="R21:R24"/>
    <mergeCell ref="S21:S24"/>
    <mergeCell ref="T21:T24"/>
    <mergeCell ref="U21:U24"/>
    <mergeCell ref="Y21:Y24"/>
    <mergeCell ref="Z21:Z24"/>
    <mergeCell ref="D21:D24"/>
    <mergeCell ref="E21:E24"/>
    <mergeCell ref="F21:F24"/>
    <mergeCell ref="G21:G24"/>
    <mergeCell ref="K21:K24"/>
    <mergeCell ref="L21:L24"/>
    <mergeCell ref="M21:M24"/>
    <mergeCell ref="N25:N28"/>
    <mergeCell ref="R25:R28"/>
    <mergeCell ref="S25:S28"/>
    <mergeCell ref="T25:T28"/>
    <mergeCell ref="U25:U28"/>
    <mergeCell ref="Y25:Y28"/>
    <mergeCell ref="Z25:Z28"/>
    <mergeCell ref="AG29:AG32"/>
    <mergeCell ref="AH29:AH32"/>
    <mergeCell ref="AF33:AF36"/>
    <mergeCell ref="AG33:AG36"/>
    <mergeCell ref="AH33:AH36"/>
    <mergeCell ref="AI33:AI36"/>
    <mergeCell ref="AA25:AA28"/>
    <mergeCell ref="AB25:AB28"/>
    <mergeCell ref="AF25:AF28"/>
    <mergeCell ref="AG25:AG28"/>
    <mergeCell ref="AH25:AH28"/>
    <mergeCell ref="AI25:AI28"/>
    <mergeCell ref="AF29:AF32"/>
    <mergeCell ref="AI29:AI32"/>
    <mergeCell ref="D33:D36"/>
    <mergeCell ref="E33:E36"/>
    <mergeCell ref="F33:F36"/>
    <mergeCell ref="G33:G36"/>
    <mergeCell ref="K33:K36"/>
    <mergeCell ref="L33:L36"/>
    <mergeCell ref="M33:M36"/>
    <mergeCell ref="D25:D28"/>
    <mergeCell ref="E25:E28"/>
    <mergeCell ref="F25:F28"/>
    <mergeCell ref="G25:G28"/>
    <mergeCell ref="K25:K28"/>
    <mergeCell ref="L25:L28"/>
    <mergeCell ref="M25:M28"/>
    <mergeCell ref="D29:D32"/>
    <mergeCell ref="E29:E32"/>
    <mergeCell ref="F29:F32"/>
    <mergeCell ref="G29:G32"/>
    <mergeCell ref="K29:K32"/>
    <mergeCell ref="L29:L32"/>
    <mergeCell ref="M29:M32"/>
    <mergeCell ref="E37:E40"/>
    <mergeCell ref="F37:F40"/>
    <mergeCell ref="G37:G40"/>
    <mergeCell ref="K37:K40"/>
    <mergeCell ref="L37:L40"/>
    <mergeCell ref="M37:M40"/>
    <mergeCell ref="N37:N40"/>
    <mergeCell ref="M41:M44"/>
    <mergeCell ref="N41:N44"/>
    <mergeCell ref="R41:R44"/>
    <mergeCell ref="S41:S44"/>
    <mergeCell ref="T41:T44"/>
    <mergeCell ref="U41:U44"/>
    <mergeCell ref="Y41:Y44"/>
    <mergeCell ref="AF45:AF48"/>
    <mergeCell ref="AG45:AG48"/>
    <mergeCell ref="AH45:AH48"/>
    <mergeCell ref="AI45:AI48"/>
    <mergeCell ref="AF49:AF52"/>
    <mergeCell ref="AG49:AG52"/>
    <mergeCell ref="AH49:AH52"/>
    <mergeCell ref="AI49:AI52"/>
    <mergeCell ref="Z41:Z44"/>
    <mergeCell ref="AA41:AA44"/>
    <mergeCell ref="AB41:AB44"/>
    <mergeCell ref="AF41:AF44"/>
    <mergeCell ref="AG41:AG44"/>
    <mergeCell ref="AH41:AH44"/>
    <mergeCell ref="AI41:AI44"/>
    <mergeCell ref="D49:D52"/>
    <mergeCell ref="E49:E52"/>
    <mergeCell ref="F49:F52"/>
    <mergeCell ref="G49:G52"/>
    <mergeCell ref="K49:K52"/>
    <mergeCell ref="L49:L52"/>
    <mergeCell ref="M49:M52"/>
    <mergeCell ref="AA53:AA56"/>
    <mergeCell ref="AB53:AB56"/>
    <mergeCell ref="AF53:AF56"/>
    <mergeCell ref="AG53:AG56"/>
    <mergeCell ref="AH53:AH56"/>
    <mergeCell ref="AI53:AI56"/>
    <mergeCell ref="N53:N56"/>
    <mergeCell ref="R53:R56"/>
    <mergeCell ref="S53:S56"/>
    <mergeCell ref="T53:T56"/>
    <mergeCell ref="U53:U56"/>
    <mergeCell ref="Y53:Y56"/>
    <mergeCell ref="Z53:Z56"/>
    <mergeCell ref="D53:D56"/>
    <mergeCell ref="E53:E56"/>
    <mergeCell ref="F53:F56"/>
    <mergeCell ref="G53:G56"/>
    <mergeCell ref="K53:K56"/>
    <mergeCell ref="L53:L56"/>
    <mergeCell ref="M53:M56"/>
    <mergeCell ref="AA57:AA60"/>
    <mergeCell ref="AB57:AB60"/>
    <mergeCell ref="AF57:AF60"/>
    <mergeCell ref="AG57:AG60"/>
    <mergeCell ref="AH57:AH60"/>
    <mergeCell ref="AI57:AI60"/>
    <mergeCell ref="N57:N60"/>
    <mergeCell ref="R57:R60"/>
    <mergeCell ref="S57:S60"/>
    <mergeCell ref="T57:T60"/>
    <mergeCell ref="U57:U60"/>
    <mergeCell ref="Y57:Y60"/>
    <mergeCell ref="Z57:Z60"/>
    <mergeCell ref="D57:D60"/>
    <mergeCell ref="E57:E60"/>
    <mergeCell ref="F57:F60"/>
    <mergeCell ref="G57:G60"/>
    <mergeCell ref="K57:K60"/>
    <mergeCell ref="L57:L60"/>
    <mergeCell ref="M57:M60"/>
    <mergeCell ref="C64:D64"/>
    <mergeCell ref="B65:C65"/>
    <mergeCell ref="I65:J65"/>
    <mergeCell ref="P65:Q65"/>
    <mergeCell ref="W65:X65"/>
    <mergeCell ref="AD65:AE65"/>
    <mergeCell ref="C63:D63"/>
    <mergeCell ref="J63:K63"/>
    <mergeCell ref="Q63:R63"/>
    <mergeCell ref="AE63:AF63"/>
    <mergeCell ref="J64:K64"/>
    <mergeCell ref="Q64:R64"/>
    <mergeCell ref="AE64:AF64"/>
    <mergeCell ref="L66:L69"/>
    <mergeCell ref="M66:M69"/>
    <mergeCell ref="N66:N69"/>
    <mergeCell ref="R66:R69"/>
    <mergeCell ref="T66:T69"/>
    <mergeCell ref="U66:U69"/>
    <mergeCell ref="K66:K69"/>
    <mergeCell ref="K70:K73"/>
    <mergeCell ref="D66:D69"/>
    <mergeCell ref="D70:D73"/>
    <mergeCell ref="E70:E73"/>
    <mergeCell ref="F70:F73"/>
    <mergeCell ref="E66:E69"/>
    <mergeCell ref="F66:F69"/>
    <mergeCell ref="L70:L73"/>
    <mergeCell ref="M70:M73"/>
    <mergeCell ref="Z66:Z69"/>
    <mergeCell ref="Z70:Z73"/>
    <mergeCell ref="AA70:AA73"/>
    <mergeCell ref="AB70:AB73"/>
    <mergeCell ref="AF70:AF73"/>
    <mergeCell ref="AG70:AG73"/>
    <mergeCell ref="AH70:AH73"/>
    <mergeCell ref="AI70:AI73"/>
    <mergeCell ref="Y66:Y69"/>
    <mergeCell ref="AA66:AA69"/>
    <mergeCell ref="AB66:AB69"/>
    <mergeCell ref="AF66:AF69"/>
    <mergeCell ref="AG66:AG69"/>
    <mergeCell ref="AH66:AH69"/>
    <mergeCell ref="AI66:AI69"/>
    <mergeCell ref="N70:N73"/>
    <mergeCell ref="R70:R73"/>
    <mergeCell ref="S70:S73"/>
    <mergeCell ref="T70:T73"/>
    <mergeCell ref="U70:U73"/>
    <mergeCell ref="Y70:Y73"/>
    <mergeCell ref="X63:Y63"/>
    <mergeCell ref="X64:Y64"/>
    <mergeCell ref="G66:G69"/>
    <mergeCell ref="G70:G73"/>
    <mergeCell ref="AA74:AA77"/>
    <mergeCell ref="AB74:AB77"/>
    <mergeCell ref="AF74:AF77"/>
    <mergeCell ref="AG74:AG77"/>
    <mergeCell ref="AH74:AH77"/>
    <mergeCell ref="AI74:AI77"/>
    <mergeCell ref="N74:N77"/>
    <mergeCell ref="R74:R77"/>
    <mergeCell ref="S74:S77"/>
    <mergeCell ref="T74:T77"/>
    <mergeCell ref="U74:U77"/>
    <mergeCell ref="Y74:Y77"/>
    <mergeCell ref="Z74:Z77"/>
    <mergeCell ref="G74:G77"/>
    <mergeCell ref="K74:K77"/>
    <mergeCell ref="L74:L77"/>
    <mergeCell ref="M74:M77"/>
    <mergeCell ref="D74:D77"/>
    <mergeCell ref="F74:F77"/>
    <mergeCell ref="E74:E77"/>
    <mergeCell ref="AA86:AA89"/>
    <mergeCell ref="AB86:AB89"/>
    <mergeCell ref="N86:N89"/>
    <mergeCell ref="R86:R89"/>
    <mergeCell ref="S86:S89"/>
    <mergeCell ref="T86:T89"/>
    <mergeCell ref="U86:U89"/>
    <mergeCell ref="Y86:Y89"/>
    <mergeCell ref="Z86:Z89"/>
    <mergeCell ref="AA90:AA93"/>
    <mergeCell ref="AB90:AB93"/>
    <mergeCell ref="N90:N93"/>
    <mergeCell ref="R90:R93"/>
    <mergeCell ref="S90:S93"/>
    <mergeCell ref="T90:T93"/>
    <mergeCell ref="U90:U93"/>
    <mergeCell ref="Y90:Y93"/>
    <mergeCell ref="Z90:Z93"/>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4.0" topLeftCell="J5" activePane="bottomRight" state="frozen"/>
      <selection activeCell="J1" sqref="J1" pane="topRight"/>
      <selection activeCell="A5" sqref="A5" pane="bottomLeft"/>
      <selection activeCell="J5" sqref="J5" pane="bottomRight"/>
    </sheetView>
  </sheetViews>
  <sheetFormatPr customHeight="1" defaultColWidth="12.63" defaultRowHeight="15.75"/>
  <cols>
    <col customWidth="1" min="1" max="1" width="0.63"/>
    <col customWidth="1" min="2" max="2" width="5.5"/>
    <col customWidth="1" min="3" max="3" width="7.88"/>
    <col customWidth="1" min="4" max="4" width="10.63"/>
    <col customWidth="1" min="5" max="5" width="4.38"/>
    <col customWidth="1" min="8" max="9" width="6.0"/>
    <col customWidth="1" min="12" max="12" width="6.0"/>
    <col customWidth="1" min="13" max="13" width="4.75"/>
    <col customWidth="1" min="14" max="14" width="13.0"/>
    <col customWidth="1" min="15" max="15" width="7.75"/>
    <col customWidth="1" min="16" max="18" width="7.0"/>
    <col customWidth="1" min="19" max="19" width="6.0"/>
    <col customWidth="1" min="20" max="20" width="7.75"/>
    <col customWidth="1" min="21" max="21" width="37.63"/>
    <col customWidth="1" min="23" max="23" width="43.0"/>
    <col customWidth="1" min="24" max="24" width="61.5"/>
    <col customWidth="1" min="25" max="25" width="3.25"/>
    <col customWidth="1" min="27" max="27" width="19.25"/>
  </cols>
  <sheetData>
    <row r="1">
      <c r="A1" s="286"/>
      <c r="B1" s="287" t="s">
        <v>204</v>
      </c>
      <c r="C1" s="287">
        <v>100.0</v>
      </c>
      <c r="D1" s="287" t="s">
        <v>625</v>
      </c>
      <c r="E1" s="286"/>
      <c r="F1" s="288"/>
      <c r="G1" s="288"/>
      <c r="H1" s="288"/>
      <c r="I1" s="288"/>
      <c r="J1" s="288"/>
      <c r="K1" s="289"/>
      <c r="L1" s="289"/>
      <c r="M1" s="290"/>
      <c r="N1" s="288"/>
      <c r="O1" s="288"/>
      <c r="P1" s="288"/>
      <c r="Q1" s="288"/>
      <c r="R1" s="288"/>
      <c r="S1" s="288"/>
      <c r="T1" s="288"/>
      <c r="U1" s="288"/>
      <c r="V1" s="291"/>
      <c r="W1" s="291"/>
      <c r="X1" s="291"/>
      <c r="Y1" s="292"/>
      <c r="Z1" s="292"/>
      <c r="AA1" s="292"/>
      <c r="AB1" s="292"/>
      <c r="AC1" s="293"/>
      <c r="AD1" s="292"/>
      <c r="AE1" s="292"/>
      <c r="AF1" s="292"/>
      <c r="AG1" s="292"/>
      <c r="AH1" s="292"/>
    </row>
    <row r="2">
      <c r="A2" s="286"/>
      <c r="B2" s="287" t="s">
        <v>626</v>
      </c>
      <c r="C2" s="294">
        <f>COUNTA(C7:C1006)</f>
        <v>104</v>
      </c>
      <c r="D2" s="295">
        <f>C2/C1</f>
        <v>1.04</v>
      </c>
      <c r="E2" s="286"/>
      <c r="F2" s="288"/>
      <c r="G2" s="288"/>
      <c r="H2" s="288"/>
      <c r="I2" s="288"/>
      <c r="J2" s="288"/>
      <c r="K2" s="289"/>
      <c r="L2" s="289"/>
      <c r="M2" s="290"/>
      <c r="N2" s="288"/>
      <c r="O2" s="288"/>
      <c r="P2" s="288"/>
      <c r="Q2" s="288"/>
      <c r="R2" s="288"/>
      <c r="S2" s="288"/>
      <c r="T2" s="288"/>
      <c r="U2" s="288"/>
      <c r="V2" s="291"/>
      <c r="W2" s="291"/>
      <c r="X2" s="291"/>
      <c r="Y2" s="292"/>
      <c r="Z2" s="292"/>
      <c r="AA2" s="292"/>
      <c r="AB2" s="292"/>
      <c r="AC2" s="293"/>
      <c r="AD2" s="293"/>
      <c r="AE2" s="292"/>
      <c r="AF2" s="292"/>
      <c r="AG2" s="292"/>
      <c r="AH2" s="292"/>
    </row>
    <row r="3">
      <c r="A3" s="286"/>
      <c r="B3" s="296"/>
      <c r="C3" s="296"/>
      <c r="D3" s="296"/>
      <c r="E3" s="296"/>
      <c r="F3" s="297" t="s">
        <v>627</v>
      </c>
      <c r="G3" s="43"/>
      <c r="H3" s="43"/>
      <c r="I3" s="44"/>
      <c r="J3" s="298" t="s">
        <v>628</v>
      </c>
      <c r="K3" s="43"/>
      <c r="L3" s="44"/>
      <c r="M3" s="299"/>
      <c r="N3" s="300" t="s">
        <v>629</v>
      </c>
      <c r="O3" s="43"/>
      <c r="P3" s="43"/>
      <c r="Q3" s="43"/>
      <c r="R3" s="43"/>
      <c r="S3" s="43"/>
      <c r="T3" s="43"/>
      <c r="U3" s="44"/>
      <c r="V3" s="301"/>
      <c r="W3" s="301"/>
      <c r="X3" s="302"/>
      <c r="Y3" s="303"/>
      <c r="Z3" s="304"/>
      <c r="AA3" s="305"/>
      <c r="AB3" s="306"/>
      <c r="AC3" s="304"/>
      <c r="AD3" s="304"/>
      <c r="AE3" s="304"/>
      <c r="AF3" s="304"/>
      <c r="AG3" s="304"/>
      <c r="AH3" s="304"/>
    </row>
    <row r="4">
      <c r="A4" s="288"/>
      <c r="B4" s="307" t="s">
        <v>270</v>
      </c>
      <c r="C4" s="307" t="s">
        <v>134</v>
      </c>
      <c r="D4" s="307" t="s">
        <v>630</v>
      </c>
      <c r="E4" s="307" t="s">
        <v>4</v>
      </c>
      <c r="F4" s="308" t="s">
        <v>455</v>
      </c>
      <c r="G4" s="308" t="s">
        <v>631</v>
      </c>
      <c r="H4" s="309" t="s">
        <v>632</v>
      </c>
      <c r="I4" s="309" t="s">
        <v>633</v>
      </c>
      <c r="J4" s="310" t="s">
        <v>432</v>
      </c>
      <c r="K4" s="310" t="s">
        <v>634</v>
      </c>
      <c r="L4" s="310" t="s">
        <v>635</v>
      </c>
      <c r="M4" s="310" t="s">
        <v>636</v>
      </c>
      <c r="N4" s="311" t="s">
        <v>637</v>
      </c>
      <c r="O4" s="311" t="s">
        <v>638</v>
      </c>
      <c r="P4" s="311" t="s">
        <v>639</v>
      </c>
      <c r="Q4" s="311" t="s">
        <v>640</v>
      </c>
      <c r="R4" s="311" t="s">
        <v>641</v>
      </c>
      <c r="S4" s="311" t="s">
        <v>642</v>
      </c>
      <c r="T4" s="311" t="s">
        <v>643</v>
      </c>
      <c r="U4" s="311" t="s">
        <v>644</v>
      </c>
      <c r="V4" s="312" t="s">
        <v>645</v>
      </c>
      <c r="W4" s="313" t="s">
        <v>646</v>
      </c>
      <c r="X4" s="314" t="s">
        <v>647</v>
      </c>
      <c r="Y4" s="303"/>
      <c r="Z4" s="315"/>
      <c r="AA4" s="316" t="s">
        <v>648</v>
      </c>
      <c r="AB4" s="317">
        <f>sum(AB6:AB14)</f>
        <v>104</v>
      </c>
      <c r="AC4" s="318" t="str">
        <f>IF(AB4=C2,"","check")</f>
        <v/>
      </c>
      <c r="AD4" s="318"/>
      <c r="AE4" s="318"/>
      <c r="AF4" s="318"/>
      <c r="AG4" s="318"/>
      <c r="AH4" s="318"/>
    </row>
    <row r="5">
      <c r="A5" s="319"/>
      <c r="B5" s="320" t="s">
        <v>649</v>
      </c>
      <c r="C5" s="320" t="s">
        <v>650</v>
      </c>
      <c r="D5" s="320" t="s">
        <v>651</v>
      </c>
      <c r="E5" s="320" t="s">
        <v>118</v>
      </c>
      <c r="F5" s="320" t="s">
        <v>652</v>
      </c>
      <c r="G5" s="320" t="s">
        <v>653</v>
      </c>
      <c r="H5" s="320">
        <v>17.0</v>
      </c>
      <c r="I5" s="320">
        <v>32.0</v>
      </c>
      <c r="J5" s="320" t="s">
        <v>654</v>
      </c>
      <c r="K5" s="320">
        <v>2023.08</v>
      </c>
      <c r="L5" s="320">
        <v>2990.0</v>
      </c>
      <c r="M5" s="321">
        <f t="shared" ref="M5:M69" si="2">year(today())-K5+1</f>
        <v>3.92</v>
      </c>
      <c r="N5" s="320" t="s">
        <v>655</v>
      </c>
      <c r="O5" s="322">
        <v>24.0</v>
      </c>
      <c r="P5" s="322">
        <v>270000.0</v>
      </c>
      <c r="Q5" s="322">
        <v>120000.0</v>
      </c>
      <c r="R5" s="323">
        <f>P5-Q5</f>
        <v>150000</v>
      </c>
      <c r="S5" s="323">
        <f t="shared" ref="S5:T5" si="1">P5/O5</f>
        <v>11250</v>
      </c>
      <c r="T5" s="324">
        <f t="shared" si="1"/>
        <v>0.4444444444</v>
      </c>
      <c r="U5" s="325" t="s">
        <v>656</v>
      </c>
      <c r="V5" s="325" t="s">
        <v>657</v>
      </c>
      <c r="W5" s="326"/>
      <c r="X5" s="327"/>
      <c r="Y5" s="303"/>
      <c r="Z5" s="328" t="s">
        <v>134</v>
      </c>
      <c r="AA5" s="328" t="s">
        <v>658</v>
      </c>
      <c r="AB5" s="328" t="s">
        <v>626</v>
      </c>
      <c r="AC5" s="328" t="s">
        <v>625</v>
      </c>
      <c r="AD5" s="329"/>
      <c r="AE5" s="329"/>
      <c r="AF5" s="329"/>
      <c r="AG5" s="329"/>
      <c r="AH5" s="329"/>
    </row>
    <row r="6" ht="37.5" customHeight="1">
      <c r="A6" s="319"/>
      <c r="B6" s="330">
        <v>1.0</v>
      </c>
      <c r="C6" s="330" t="s">
        <v>659</v>
      </c>
      <c r="D6" s="330" t="s">
        <v>660</v>
      </c>
      <c r="E6" s="330" t="s">
        <v>112</v>
      </c>
      <c r="F6" s="330" t="s">
        <v>661</v>
      </c>
      <c r="G6" s="290" t="s">
        <v>662</v>
      </c>
      <c r="H6" s="330">
        <v>70.0</v>
      </c>
      <c r="I6" s="330">
        <v>14.0</v>
      </c>
      <c r="J6" s="330" t="s">
        <v>663</v>
      </c>
      <c r="K6" s="330">
        <v>2021.12</v>
      </c>
      <c r="L6" s="330">
        <v>1000.0</v>
      </c>
      <c r="M6" s="331">
        <f t="shared" si="2"/>
        <v>5.88</v>
      </c>
      <c r="N6" s="330" t="s">
        <v>664</v>
      </c>
      <c r="O6" s="332">
        <v>24.0</v>
      </c>
      <c r="P6" s="332">
        <v>70000.0</v>
      </c>
      <c r="Q6" s="332">
        <v>50000.0</v>
      </c>
      <c r="R6" s="323">
        <f t="shared" ref="R6:R69" si="4">if(and(P6 &lt;&gt; "", Q6 &lt;&gt; ""), P6-Q6, "")</f>
        <v>20000</v>
      </c>
      <c r="S6" s="323">
        <f t="shared" ref="S6:T6" si="3">if(and(P6 &lt;&gt; "", O6 &lt;&gt; ""), P6/O6, "")</f>
        <v>2916.666667</v>
      </c>
      <c r="T6" s="324">
        <f t="shared" si="3"/>
        <v>0.7142857143</v>
      </c>
      <c r="U6" s="333" t="s">
        <v>665</v>
      </c>
      <c r="V6" s="333" t="s">
        <v>666</v>
      </c>
      <c r="W6" s="333" t="s">
        <v>667</v>
      </c>
      <c r="X6" s="334" t="str">
        <f t="shared" ref="X6:X14" si="6">if(OR(U6 &lt;&gt;"", V6&lt;&gt;"", W6 &lt;&gt; ""), TEXTJOIN("", TRUE, J6, " ", K6, " ", L6, "^", char(10), F6, " ", G6,  char(10), O6, "p ",N6, " ", P6, " / ", Q6 , " ", CHAR(10),CHAR(10), U6,  CHAR(10),CHAR(10), "&lt;부동산 평가&gt;",CHAR(10),CHAR(10), V6,  CHAR(10),CHAR(10), "&lt;얻은 정보&gt;", CHAR(10),CHAR(10),W6), "")
</f>
        <v>🐕편한세상 2021.12 1000^
왜이제왔어공인 02-1234-5678
24p 1동 7층 남향 70,000 / 50,000 
집주인거주. 입주일 협의. 특올수리
&lt;부동산 평가&gt;
엄청 친절하신 일잘러 사장님
&lt;얻은 정보&gt;
1단지는 지주연결이 되어 있는데 2단지는 안되어 있음.
최근 2단지가 6.9억에 거래됐고 아직 실거래는 안올라옴</v>
      </c>
      <c r="Y6" s="303"/>
      <c r="Z6" s="335" t="s">
        <v>23</v>
      </c>
      <c r="AA6" s="336">
        <v>40.0</v>
      </c>
      <c r="AB6" s="336">
        <f t="shared" ref="AB6:AB14" si="7">COUNTIF($C:$C,$Z6)</f>
        <v>18</v>
      </c>
      <c r="AC6" s="337">
        <f t="shared" ref="AC6:AC14" si="8">AB6/AA6</f>
        <v>0.45</v>
      </c>
      <c r="AD6" s="338"/>
      <c r="AE6" s="338"/>
      <c r="AF6" s="338"/>
      <c r="AG6" s="338"/>
      <c r="AH6" s="338"/>
    </row>
    <row r="7" ht="37.5" customHeight="1">
      <c r="A7" s="319"/>
      <c r="B7" s="339">
        <f t="shared" ref="B7:B29" si="9">B6+1</f>
        <v>2</v>
      </c>
      <c r="C7" s="340" t="s">
        <v>37</v>
      </c>
      <c r="D7" s="340" t="s">
        <v>668</v>
      </c>
      <c r="E7" s="340" t="s">
        <v>114</v>
      </c>
      <c r="F7" s="340" t="s">
        <v>669</v>
      </c>
      <c r="G7" s="341" t="s">
        <v>670</v>
      </c>
      <c r="H7" s="340" t="s">
        <v>671</v>
      </c>
      <c r="I7" s="340" t="s">
        <v>671</v>
      </c>
      <c r="J7" s="340" t="s">
        <v>485</v>
      </c>
      <c r="K7" s="342">
        <v>2018.0</v>
      </c>
      <c r="L7" s="343"/>
      <c r="M7" s="331">
        <f t="shared" si="2"/>
        <v>9</v>
      </c>
      <c r="N7" s="344"/>
      <c r="O7" s="345">
        <v>34.0</v>
      </c>
      <c r="P7" s="345">
        <v>52000.0</v>
      </c>
      <c r="Q7" s="345">
        <v>38000.0</v>
      </c>
      <c r="R7" s="323">
        <f t="shared" si="4"/>
        <v>14000</v>
      </c>
      <c r="S7" s="323">
        <f t="shared" ref="S7:T7" si="5">if(and(P7 &lt;&gt; "", O7 &lt;&gt; ""), P7/O7, "")</f>
        <v>1529.411765</v>
      </c>
      <c r="T7" s="324">
        <f t="shared" si="5"/>
        <v>0.7307692308</v>
      </c>
      <c r="U7" s="346" t="s">
        <v>672</v>
      </c>
      <c r="V7" s="346" t="s">
        <v>673</v>
      </c>
      <c r="W7" s="346" t="s">
        <v>674</v>
      </c>
      <c r="X7" s="334" t="str">
        <f t="shared" si="6"/>
        <v>이스트시티 2018 ^
태양공인중개사 010-8631-0785
34p  52,000 / 38,000 
단지 특정하지 않고 전세 시세와 전세 매물 추천 요청
현재 전세 시세 3.8-4.0. SK 전세 3.7짜리 2개가 있는데 하나는 에어컨 있고 하나는 에어컨 없는거다. 둘다 천변 보이는쪽이 RR이고 이스트시티는 철길쪽이랑 철길 아닌쪽이랑 전세가도 차이 난다(천만원정도) 현재 전세가 많지 않다. 두개 보고 자녀있으면 이스트시티 선택하는데 SK도 104.105.106 쪽은 학교랑 가깝다
SK가 비싼 이유는 연식 때문이다. 
단지가 대전역에서 걸어서 얼마걸리나? 15분 정도 걸린다. 보통 여기는 둘중에 한명이 KTX 타고 다른곳 (김천구미.동대구,서울) 이용해야 하는 사람들이 중간 합의점으로 찾는 곳이다. 
&lt;부동산 평가&gt;
친절 일잘러
&lt;얻은 정보&gt;
두개 선호요소가 명확하다. 이스트-초품아, SK-연식
매임으로 SK들어왔을때 주변 분위기도 물어 봐야겠다.
이스트는 철길쪽과 철길아닌쪽 전세 최근실거래좀 찾아봐야겠다.</v>
      </c>
      <c r="Y7" s="347"/>
      <c r="Z7" s="335" t="s">
        <v>110</v>
      </c>
      <c r="AA7" s="336">
        <v>32.0</v>
      </c>
      <c r="AB7" s="336">
        <f t="shared" si="7"/>
        <v>12</v>
      </c>
      <c r="AC7" s="337">
        <f t="shared" si="8"/>
        <v>0.375</v>
      </c>
      <c r="AD7" s="338"/>
      <c r="AE7" s="338"/>
      <c r="AF7" s="338"/>
      <c r="AG7" s="338"/>
      <c r="AH7" s="338"/>
    </row>
    <row r="8" ht="37.5" customHeight="1">
      <c r="A8" s="319"/>
      <c r="B8" s="339">
        <f t="shared" si="9"/>
        <v>3</v>
      </c>
      <c r="C8" s="340" t="s">
        <v>110</v>
      </c>
      <c r="D8" s="348" t="s">
        <v>675</v>
      </c>
      <c r="E8" s="349" t="s">
        <v>114</v>
      </c>
      <c r="F8" s="340" t="s">
        <v>676</v>
      </c>
      <c r="G8" s="350" t="s">
        <v>677</v>
      </c>
      <c r="H8" s="340">
        <v>26.0</v>
      </c>
      <c r="I8" s="340">
        <v>0.0</v>
      </c>
      <c r="J8" s="340" t="s">
        <v>678</v>
      </c>
      <c r="K8" s="342">
        <v>2022.04</v>
      </c>
      <c r="L8" s="342">
        <v>1588.0</v>
      </c>
      <c r="M8" s="331">
        <f t="shared" si="2"/>
        <v>4.96</v>
      </c>
      <c r="N8" s="269" t="s">
        <v>679</v>
      </c>
      <c r="O8" s="345">
        <v>34.0</v>
      </c>
      <c r="P8" s="345">
        <v>56000.0</v>
      </c>
      <c r="Q8" s="345">
        <v>35000.0</v>
      </c>
      <c r="R8" s="323">
        <f t="shared" si="4"/>
        <v>21000</v>
      </c>
      <c r="S8" s="323">
        <f t="shared" ref="S8:T8" si="10">if(and(P8 &lt;&gt; "", O8 &lt;&gt; ""), P8/O8, "")</f>
        <v>1647.058824</v>
      </c>
      <c r="T8" s="324">
        <f t="shared" si="10"/>
        <v>0.625</v>
      </c>
      <c r="U8" s="346" t="s">
        <v>680</v>
      </c>
      <c r="V8" s="346" t="s">
        <v>681</v>
      </c>
      <c r="W8" s="346" t="s">
        <v>682</v>
      </c>
      <c r="X8" s="334" t="str">
        <f t="shared" si="6"/>
        <v>신흥SKVIEW 2022.04 1588^
sk진공인중개 010-9677-0709
34p 103동/고(탑층아님)/남동향 56,000 / 35,000 
투자자컨셉
현재 저층 탑층 제외 가장 저렴한 물건. 
월세입자 5000/100만, 월세입자가 관리 잘했고 따로 인테리어 하신 건 없으심. 
26.12.하순 월세 계약 만료(갱신X) 더 산다고 하시면 협의 해볼 물건임. 
그래도 집을 보여주신다고 함. 
그외 101동 15층 59000원 말씀하시는 데 더 저렴하게 할 수 있을 물건 있음. 분양받아서 주인이 가야하는 물건임. 101동은 뻥뷰. 주인거주중
 조합원 세대 물건(선호)
&lt;부동산 평가&gt;
사장님 친절 일잘러느낌
&lt;얻은 정보&gt;
현재 단지들에 전세가 잘 안나가고 있는 상황임. 3.5억은 생각해야 함. 3.6억 이상으로 나와있으나, 그전에도 3.3-3.5까지 나갔는데, 요즘 전세가 없다보니 살짝 높여 나왔으나 전세 찾는 손님이 없음. 
주변 단지 중에서는 재개발 지역의 대장 아파트라, 가격이 빠지지 않았고 주변 LH, 여기만 브랜드라 관심이 높다. 
20평대에 신혼부부들이 좋아하고, 20평대가 더 선호도가 좋다. 대동역 10분 내 도보 등으로 대전역이 가까워 젊은 사람들의 선호가 높다. 
조합원 세대와 일반분양 세대가 있는데 조합원 선호가 있고, 109동이 제일 로얄동, 다음 109동이 좋고, 108, 109동은 남서향, 101동도 조합원동으로 남동향. </v>
      </c>
      <c r="Y8" s="347"/>
      <c r="Z8" s="335" t="s">
        <v>37</v>
      </c>
      <c r="AA8" s="336">
        <v>40.0</v>
      </c>
      <c r="AB8" s="336">
        <f t="shared" si="7"/>
        <v>19</v>
      </c>
      <c r="AC8" s="337">
        <f t="shared" si="8"/>
        <v>0.475</v>
      </c>
      <c r="AD8" s="338"/>
      <c r="AE8" s="338"/>
      <c r="AF8" s="338"/>
      <c r="AG8" s="338"/>
      <c r="AH8" s="338"/>
    </row>
    <row r="9" ht="37.5" customHeight="1">
      <c r="A9" s="319"/>
      <c r="B9" s="339">
        <f t="shared" si="9"/>
        <v>4</v>
      </c>
      <c r="C9" s="340" t="s">
        <v>110</v>
      </c>
      <c r="D9" s="340" t="s">
        <v>683</v>
      </c>
      <c r="E9" s="340" t="s">
        <v>684</v>
      </c>
      <c r="F9" s="340" t="s">
        <v>685</v>
      </c>
      <c r="G9" s="351" t="s">
        <v>686</v>
      </c>
      <c r="H9" s="340">
        <v>122.0</v>
      </c>
      <c r="I9" s="340">
        <v>4.0</v>
      </c>
      <c r="J9" s="340" t="s">
        <v>687</v>
      </c>
      <c r="K9" s="342">
        <v>2024.12</v>
      </c>
      <c r="L9" s="342">
        <v>2135.0</v>
      </c>
      <c r="M9" s="331">
        <f t="shared" si="2"/>
        <v>2.88</v>
      </c>
      <c r="N9" s="269" t="s">
        <v>688</v>
      </c>
      <c r="O9" s="345">
        <v>34.0</v>
      </c>
      <c r="P9" s="345">
        <v>50000.0</v>
      </c>
      <c r="Q9" s="345">
        <v>28000.0</v>
      </c>
      <c r="R9" s="323">
        <f t="shared" si="4"/>
        <v>22000</v>
      </c>
      <c r="S9" s="323">
        <f t="shared" ref="S9:T9" si="11">if(and(P9 &lt;&gt; "", O9 &lt;&gt; ""), P9/O9, "")</f>
        <v>1470.588235</v>
      </c>
      <c r="T9" s="324">
        <f t="shared" si="11"/>
        <v>0.56</v>
      </c>
      <c r="U9" s="346" t="s">
        <v>689</v>
      </c>
      <c r="V9" s="346" t="s">
        <v>690</v>
      </c>
      <c r="W9" s="346" t="s">
        <v>691</v>
      </c>
      <c r="X9" s="334" t="str">
        <f t="shared" si="6"/>
        <v>리더스시티5BL 2024.12 2135^
위드힐탑 042-282-3349
34p 505동/중/남동 50,000 / 28,000 
전세낀 물건, 28000에 들어있고, 내년 27년 1월 30일 만기. 집은 보여주실 수 있다고 함. 에어컨 4대
501동 로얄동 로얄층 전세 28000 물건 있으나 보여주지는 않는다고 하심. 에어컨 3대, 중문, 주방 수납 등 
현재 지금 전세 받는다면 3.2억 정도에서 거래될 수 있으나, 손님이 많지는 않음. 
현재 실거래가 잘 이뤄지지 않아,  거래가가 제대로 나와있지 않고, 주인분들이 원하시는 희망 호가가 올라가있는 경향이 있음. 
&lt;부동산 평가&gt;
전반적으로 묻는 질문에 답은 하시나, 적극적이진 않으심
&lt;얻은 정보&gt;
죄송합니다. 제대로 못물어봤네요~^^</v>
      </c>
      <c r="Y9" s="347"/>
      <c r="Z9" s="335" t="s">
        <v>108</v>
      </c>
      <c r="AA9" s="336">
        <v>30.0</v>
      </c>
      <c r="AB9" s="336">
        <f t="shared" si="7"/>
        <v>14</v>
      </c>
      <c r="AC9" s="337">
        <f t="shared" si="8"/>
        <v>0.4666666667</v>
      </c>
      <c r="AD9" s="338"/>
      <c r="AE9" s="338"/>
      <c r="AF9" s="338"/>
      <c r="AG9" s="338"/>
      <c r="AH9" s="338"/>
    </row>
    <row r="10" ht="37.5" customHeight="1">
      <c r="A10" s="352"/>
      <c r="B10" s="339">
        <f t="shared" si="9"/>
        <v>5</v>
      </c>
      <c r="C10" s="340" t="s">
        <v>23</v>
      </c>
      <c r="D10" s="353">
        <v>46113.0</v>
      </c>
      <c r="E10" s="340" t="s">
        <v>114</v>
      </c>
      <c r="F10" s="340" t="s">
        <v>692</v>
      </c>
      <c r="G10" s="351" t="s">
        <v>677</v>
      </c>
      <c r="H10" s="340">
        <v>26.0</v>
      </c>
      <c r="I10" s="340">
        <v>0.0</v>
      </c>
      <c r="J10" s="340" t="s">
        <v>450</v>
      </c>
      <c r="K10" s="342">
        <v>2022.04</v>
      </c>
      <c r="L10" s="342">
        <v>1588.0</v>
      </c>
      <c r="M10" s="331">
        <f t="shared" si="2"/>
        <v>4.96</v>
      </c>
      <c r="N10" s="269" t="s">
        <v>693</v>
      </c>
      <c r="O10" s="345">
        <v>34.0</v>
      </c>
      <c r="P10" s="345">
        <v>56000.0</v>
      </c>
      <c r="Q10" s="345">
        <v>37000.0</v>
      </c>
      <c r="R10" s="323">
        <f t="shared" si="4"/>
        <v>19000</v>
      </c>
      <c r="S10" s="323">
        <f t="shared" ref="S10:T10" si="12">if(and(P10 &lt;&gt; "", O10 &lt;&gt; ""), P10/O10, "")</f>
        <v>1647.058824</v>
      </c>
      <c r="T10" s="324">
        <f t="shared" si="12"/>
        <v>0.6607142857</v>
      </c>
      <c r="U10" s="346" t="s">
        <v>694</v>
      </c>
      <c r="V10" s="346" t="s">
        <v>695</v>
      </c>
      <c r="W10" s="354" t="s">
        <v>696</v>
      </c>
      <c r="X10" s="334" t="str">
        <f t="shared" si="6"/>
        <v>신흥SK뷰 2022.04 1588^
SK진공인  010-9677-0709
34p 103동 고/24층 남동향 56,000 / 37,000 
[매물 정보]
- 103동 고/24층 남동향 : 5.6억
- 102, 103동은 조망이 살짝 막힘 (특히 남동), 101동이 앞동에 남서향이 전망 좋은 편인데 5.9억부터
- 다른 매물 추천 : 101동 7층인데 5.9 -&gt; 5.8 가능
&lt;부동산 평가&gt;
친절, 일잘러는 아니시지만 손님과 유대감 쌓기 좋을 스타일
&lt;얻은 정보&gt;
[시세/분위기]
- 현재 전세 고층 3.6 (3/24에 1천 내림) &amp; 저층 3.7
- 부사님 처음에 전세 3.8~3.9 말씀하시다가 3.5가 안전선이라고 말바꾸심
- 전세 문의가 활발하고 빠르게 나가는 편은 아닐 것으로 예상 </v>
      </c>
      <c r="Y10" s="347"/>
      <c r="Z10" s="335" t="s">
        <v>39</v>
      </c>
      <c r="AA10" s="336">
        <v>50.0</v>
      </c>
      <c r="AB10" s="336">
        <f t="shared" si="7"/>
        <v>14</v>
      </c>
      <c r="AC10" s="337">
        <f t="shared" si="8"/>
        <v>0.28</v>
      </c>
      <c r="AD10" s="338"/>
      <c r="AE10" s="338"/>
      <c r="AF10" s="338"/>
      <c r="AG10" s="338"/>
      <c r="AH10" s="338"/>
    </row>
    <row r="11" ht="37.5" customHeight="1">
      <c r="A11" s="319"/>
      <c r="B11" s="339">
        <f t="shared" si="9"/>
        <v>6</v>
      </c>
      <c r="C11" s="340" t="s">
        <v>23</v>
      </c>
      <c r="D11" s="353">
        <v>46113.0</v>
      </c>
      <c r="E11" s="340" t="s">
        <v>114</v>
      </c>
      <c r="F11" s="340" t="s">
        <v>697</v>
      </c>
      <c r="G11" s="350" t="s">
        <v>506</v>
      </c>
      <c r="H11" s="355"/>
      <c r="I11" s="355"/>
      <c r="J11" s="340" t="s">
        <v>477</v>
      </c>
      <c r="K11" s="342">
        <v>2018.0</v>
      </c>
      <c r="L11" s="343"/>
      <c r="M11" s="331">
        <f t="shared" si="2"/>
        <v>9</v>
      </c>
      <c r="N11" s="269" t="s">
        <v>698</v>
      </c>
      <c r="O11" s="345">
        <v>34.0</v>
      </c>
      <c r="P11" s="345">
        <v>50000.0</v>
      </c>
      <c r="Q11" s="356">
        <v>29000.0</v>
      </c>
      <c r="R11" s="323">
        <f t="shared" si="4"/>
        <v>21000</v>
      </c>
      <c r="S11" s="323">
        <f t="shared" ref="S11:T11" si="13">if(and(P11 &lt;&gt; "", O11 &lt;&gt; ""), P11/O11, "")</f>
        <v>1470.588235</v>
      </c>
      <c r="T11" s="324">
        <f t="shared" si="13"/>
        <v>0.58</v>
      </c>
      <c r="U11" s="346" t="s">
        <v>699</v>
      </c>
      <c r="V11" s="346" t="s">
        <v>700</v>
      </c>
      <c r="W11" s="346" t="s">
        <v>701</v>
      </c>
      <c r="X11" s="334" t="str">
        <f t="shared" si="6"/>
        <v>이스트시티1단지 2018 ^
이스트시티공인  010-7477-0355
34p 109동 고/29층 50,000 / 29,000 
5억 세안고 (3억 미만, 말씀안해주심 ㅠ)
[전세 시세]
- 전세 현재 전세 3.8 &amp; 4.0 &amp; 4.5
- 최근에 3.95에 나간 적이 있어 다들 높게 내놓았지만 3.9 이상은 살짝 저항감있고, 3.5~3.7 사이는 안전선
&lt;부동산 평가&gt;
일잘러 매물 빠삭 
&lt;얻은 정보&gt;
- 자녀 있으면 연식좋은 sk보다 이스트, 코레일 직원들도 이스트 (걸어서 출근), sk와 수요층이 다름
- 이주 수요 있어 전월세 수요 빵빵함
- 대전 신축 입주 있어도 동구와는 크게 관계없어서 (특히 이주수요) 앞으로도 전월세는 유지 혹은 상승할 것이라 생각하심</v>
      </c>
      <c r="Y11" s="357"/>
      <c r="Z11" s="335" t="s">
        <v>54</v>
      </c>
      <c r="AA11" s="336">
        <v>20.0</v>
      </c>
      <c r="AB11" s="336">
        <f t="shared" si="7"/>
        <v>0</v>
      </c>
      <c r="AC11" s="337">
        <f t="shared" si="8"/>
        <v>0</v>
      </c>
      <c r="AD11" s="338"/>
      <c r="AE11" s="338"/>
      <c r="AF11" s="338"/>
      <c r="AG11" s="338"/>
      <c r="AH11" s="338"/>
    </row>
    <row r="12" ht="37.5" customHeight="1">
      <c r="A12" s="319"/>
      <c r="B12" s="339">
        <f t="shared" si="9"/>
        <v>7</v>
      </c>
      <c r="C12" s="340" t="s">
        <v>110</v>
      </c>
      <c r="D12" s="340" t="s">
        <v>675</v>
      </c>
      <c r="E12" s="340" t="s">
        <v>115</v>
      </c>
      <c r="F12" s="340" t="s">
        <v>702</v>
      </c>
      <c r="G12" s="350" t="s">
        <v>564</v>
      </c>
      <c r="H12" s="340">
        <v>54.0</v>
      </c>
      <c r="I12" s="340">
        <v>1.0</v>
      </c>
      <c r="J12" s="269" t="s">
        <v>703</v>
      </c>
      <c r="K12" s="342">
        <v>2020.0</v>
      </c>
      <c r="L12" s="342">
        <v>2267.0</v>
      </c>
      <c r="M12" s="331">
        <f t="shared" si="2"/>
        <v>7</v>
      </c>
      <c r="N12" s="269" t="s">
        <v>704</v>
      </c>
      <c r="O12" s="345">
        <v>33.0</v>
      </c>
      <c r="P12" s="345">
        <v>42500.0</v>
      </c>
      <c r="Q12" s="345">
        <v>28000.0</v>
      </c>
      <c r="R12" s="323">
        <f t="shared" si="4"/>
        <v>14500</v>
      </c>
      <c r="S12" s="323">
        <f t="shared" ref="S12:T12" si="14">if(and(P12 &lt;&gt; "", O12 &lt;&gt; ""), P12/O12, "")</f>
        <v>1287.878788</v>
      </c>
      <c r="T12" s="324">
        <f t="shared" si="14"/>
        <v>0.6588235294</v>
      </c>
      <c r="U12" s="346" t="s">
        <v>705</v>
      </c>
      <c r="V12" s="346" t="s">
        <v>706</v>
      </c>
      <c r="W12" s="346" t="s">
        <v>707</v>
      </c>
      <c r="X12" s="334" t="str">
        <f t="shared" si="6"/>
        <v>e편한세상 대전 에코포레 2020 2267^
대청에코포레 010-7444-1130
33p 104동/중/남동향 42,500 / 28,000 
급매. 6월 입주, 중문, 인덕션, 남동향에 일조권 좋은 집(동간거리 멀), 엘베 2대, 가격 낮춘 적 있음.  방 4개(알파룸), 세입자님이 6월에 나가기로 정해진 물건. 그래서 가격이 쌈.  다른 이유는 없음. 현재 전세 2.8억이면 나가지만, 전세손님이 많거나 대기자가 있는 상황은 아님. 30평대도 2.8억 전세가 있어서, 2.7억에 내놓으면 나갈 수도(?)있다고 하심. 
&lt;부동산 평가&gt;
친절하신 편임.
&lt;얻은 정보&gt;
-단지 내 2세대인 경우 엘베 1, 3 세대인 경우 엘베 2대씩 배치되어 있음. 
-현재 전세 손님이 많지 않음. </v>
      </c>
      <c r="Y12" s="357"/>
      <c r="Z12" s="335" t="s">
        <v>21</v>
      </c>
      <c r="AA12" s="336">
        <v>30.0</v>
      </c>
      <c r="AB12" s="336">
        <f t="shared" si="7"/>
        <v>4</v>
      </c>
      <c r="AC12" s="337">
        <f t="shared" si="8"/>
        <v>0.1333333333</v>
      </c>
      <c r="AD12" s="338"/>
      <c r="AE12" s="338"/>
      <c r="AF12" s="338"/>
      <c r="AG12" s="338"/>
      <c r="AH12" s="338"/>
    </row>
    <row r="13" ht="37.5" customHeight="1">
      <c r="A13" s="319"/>
      <c r="B13" s="339">
        <f t="shared" si="9"/>
        <v>8</v>
      </c>
      <c r="C13" s="340" t="s">
        <v>37</v>
      </c>
      <c r="D13" s="340" t="s">
        <v>708</v>
      </c>
      <c r="E13" s="340" t="s">
        <v>115</v>
      </c>
      <c r="F13" s="340" t="s">
        <v>525</v>
      </c>
      <c r="G13" s="340" t="s">
        <v>528</v>
      </c>
      <c r="H13" s="355"/>
      <c r="I13" s="355"/>
      <c r="J13" s="340" t="s">
        <v>687</v>
      </c>
      <c r="K13" s="342">
        <v>2024.12</v>
      </c>
      <c r="L13" s="342">
        <v>2135.0</v>
      </c>
      <c r="M13" s="331">
        <f t="shared" si="2"/>
        <v>2.88</v>
      </c>
      <c r="N13" s="269" t="s">
        <v>709</v>
      </c>
      <c r="O13" s="345">
        <v>34.0</v>
      </c>
      <c r="P13" s="345">
        <v>50000.0</v>
      </c>
      <c r="Q13" s="345">
        <v>25000.0</v>
      </c>
      <c r="R13" s="323">
        <f t="shared" si="4"/>
        <v>25000</v>
      </c>
      <c r="S13" s="323">
        <f t="shared" ref="S13:T13" si="15">if(and(P13 &lt;&gt; "", O13 &lt;&gt; ""), P13/O13, "")</f>
        <v>1470.588235</v>
      </c>
      <c r="T13" s="324">
        <f t="shared" si="15"/>
        <v>0.5</v>
      </c>
      <c r="U13" s="346" t="s">
        <v>710</v>
      </c>
      <c r="V13" s="346" t="s">
        <v>711</v>
      </c>
      <c r="W13" s="346" t="s">
        <v>712</v>
      </c>
      <c r="X13" s="334" t="str">
        <f t="shared" si="6"/>
        <v>리더스시티5BL 2024.12 2135^
리더스시티공인 010-6759-9050
34p 505동 중층 50,000 / 25,000 
전세낀물건.2.5에 들어있음.전세 시세는 4억은 너무 세고 3.5 정도는 봐야함. 투자는 대부분 59가 아닌 84를 함. 철길동과 철긱아닌동 가격차이가 남. 전세 선호도도 차이나지만 전세금에서 차이가 나는건 아님. 요즘은 전세도 많이 업고 4단지 만기일이 8월이고, 5단지는 내년 2월 만기다.
&lt;부동산 평가&gt;
엄청 친절은 아니지만 그래도 묻는말엔 대답 잘해주심.
&lt;얻은 정보&gt;
4,5단지 보다도 철길을 기피하는것으로 보아 역과의 거리는 그렇게 중요하진 않은 듯 하다.
판암역이 1호선 마지막 정류장이네.
상가인접동쪽을 더 좋아함.</v>
      </c>
      <c r="Y13" s="358"/>
      <c r="Z13" s="335" t="s">
        <v>38</v>
      </c>
      <c r="AA13" s="336">
        <v>10.0</v>
      </c>
      <c r="AB13" s="336">
        <f t="shared" si="7"/>
        <v>13</v>
      </c>
      <c r="AC13" s="337">
        <f t="shared" si="8"/>
        <v>1.3</v>
      </c>
      <c r="AD13" s="338"/>
      <c r="AE13" s="338"/>
      <c r="AF13" s="338"/>
      <c r="AG13" s="338"/>
      <c r="AH13" s="338"/>
    </row>
    <row r="14" ht="37.5" customHeight="1">
      <c r="A14" s="319"/>
      <c r="B14" s="339">
        <f t="shared" si="9"/>
        <v>9</v>
      </c>
      <c r="C14" s="340" t="s">
        <v>37</v>
      </c>
      <c r="D14" s="340" t="s">
        <v>708</v>
      </c>
      <c r="E14" s="340" t="s">
        <v>115</v>
      </c>
      <c r="F14" s="340" t="s">
        <v>713</v>
      </c>
      <c r="G14" s="340" t="s">
        <v>714</v>
      </c>
      <c r="H14" s="355"/>
      <c r="I14" s="355"/>
      <c r="J14" s="269" t="s">
        <v>617</v>
      </c>
      <c r="K14" s="342">
        <v>2024.06</v>
      </c>
      <c r="L14" s="343"/>
      <c r="M14" s="331">
        <f t="shared" si="2"/>
        <v>2.94</v>
      </c>
      <c r="N14" s="269" t="s">
        <v>671</v>
      </c>
      <c r="O14" s="345">
        <v>34.0</v>
      </c>
      <c r="P14" s="345">
        <v>49700.0</v>
      </c>
      <c r="Q14" s="345">
        <v>35000.0</v>
      </c>
      <c r="R14" s="323">
        <f t="shared" si="4"/>
        <v>14700</v>
      </c>
      <c r="S14" s="323">
        <f t="shared" ref="S14:T14" si="16">if(and(P14 &lt;&gt; "", O14 &lt;&gt; ""), P14/O14, "")</f>
        <v>1461.764706</v>
      </c>
      <c r="T14" s="324">
        <f t="shared" si="16"/>
        <v>0.7042253521</v>
      </c>
      <c r="U14" s="346" t="s">
        <v>715</v>
      </c>
      <c r="V14" s="346" t="s">
        <v>716</v>
      </c>
      <c r="W14" s="346" t="s">
        <v>717</v>
      </c>
      <c r="X14" s="334" t="str">
        <f t="shared" si="6"/>
        <v>힐스테이트가양더와이즈 2024.06 ^
성공부동산24시 010-7788-2955
34p - 49,700 / 35,000 
84 분양권 문의함. 계약금 5퍼에 잔금 5개월로 보고있다. 신혼부부라면 돈을 조금 더 주더라도 105타입이 전부 남향으로 되어있어서 괜찮다. 84는 서북동북으로 되어있다. 거실기준 103동이 남서고 옆건물에 가려지는 라인은 일단 와서 봐라 (사장님 이걸 알고싶었다구요 ㅠㅠ) 
신혼부부 현재 많이살고있다.
&lt;부동산 평가&gt;
큰일났다 사장님 계속 전화주실듯
&lt;얻은 정보&gt;
신축 주복을 4억 후반으로 가져가는 것에 메리트는 있지만 더 상위급지인 중구에 4억후반이 있으면 겟할듯 (하늘채스카이앤이 5.3이라 좀더 돈을 더 주고 사더라도 이걸 사는게 맞는것 같기도 하고 이건 봐야 알거같다)</v>
      </c>
      <c r="Y14" s="357"/>
      <c r="Z14" s="335" t="s">
        <v>55</v>
      </c>
      <c r="AA14" s="336">
        <v>30.0</v>
      </c>
      <c r="AB14" s="336">
        <f t="shared" si="7"/>
        <v>10</v>
      </c>
      <c r="AC14" s="337">
        <f t="shared" si="8"/>
        <v>0.3333333333</v>
      </c>
      <c r="AD14" s="338"/>
      <c r="AE14" s="338"/>
      <c r="AF14" s="338"/>
      <c r="AG14" s="338"/>
      <c r="AH14" s="338"/>
    </row>
    <row r="15">
      <c r="A15" s="319"/>
      <c r="B15" s="339">
        <f t="shared" si="9"/>
        <v>10</v>
      </c>
      <c r="C15" s="269" t="s">
        <v>21</v>
      </c>
      <c r="D15" s="359">
        <v>46114.0</v>
      </c>
      <c r="E15" s="340" t="s">
        <v>115</v>
      </c>
      <c r="F15" s="269" t="s">
        <v>718</v>
      </c>
      <c r="G15" s="340" t="s">
        <v>463</v>
      </c>
      <c r="H15" s="269"/>
      <c r="I15" s="269"/>
      <c r="J15" s="269" t="s">
        <v>719</v>
      </c>
      <c r="K15" s="360">
        <v>2024.07</v>
      </c>
      <c r="L15" s="360">
        <v>1328.0</v>
      </c>
      <c r="M15" s="331">
        <f t="shared" si="2"/>
        <v>2.93</v>
      </c>
      <c r="N15" s="269"/>
      <c r="O15" s="345">
        <v>34.0</v>
      </c>
      <c r="P15" s="361">
        <v>53000.0</v>
      </c>
      <c r="Q15" s="361">
        <v>40000.0</v>
      </c>
      <c r="R15" s="323">
        <f t="shared" si="4"/>
        <v>13000</v>
      </c>
      <c r="S15" s="323">
        <f t="shared" ref="S15:T15" si="17">if(and(P15 &lt;&gt; "", O15 &lt;&gt; ""), P15/O15, "")</f>
        <v>1558.823529</v>
      </c>
      <c r="T15" s="324">
        <f t="shared" si="17"/>
        <v>0.7547169811</v>
      </c>
      <c r="U15" s="346" t="s">
        <v>720</v>
      </c>
      <c r="V15" s="346"/>
      <c r="W15" s="346"/>
      <c r="X15" s="334"/>
      <c r="Y15" s="357"/>
      <c r="Z15" s="291"/>
      <c r="AA15" s="291"/>
      <c r="AB15" s="291"/>
      <c r="AC15" s="291"/>
      <c r="AD15" s="291"/>
      <c r="AE15" s="291"/>
      <c r="AF15" s="291"/>
      <c r="AG15" s="291"/>
      <c r="AH15" s="291"/>
    </row>
    <row r="16">
      <c r="A16" s="319"/>
      <c r="B16" s="339">
        <f t="shared" si="9"/>
        <v>11</v>
      </c>
      <c r="C16" s="269" t="s">
        <v>110</v>
      </c>
      <c r="D16" s="269" t="s">
        <v>721</v>
      </c>
      <c r="E16" s="269" t="s">
        <v>116</v>
      </c>
      <c r="F16" s="269" t="s">
        <v>722</v>
      </c>
      <c r="G16" s="340" t="s">
        <v>723</v>
      </c>
      <c r="H16" s="269">
        <v>107.0</v>
      </c>
      <c r="I16" s="269">
        <v>3.0</v>
      </c>
      <c r="J16" s="269" t="s">
        <v>724</v>
      </c>
      <c r="K16" s="360">
        <v>2018.7</v>
      </c>
      <c r="L16" s="360">
        <v>1245.0</v>
      </c>
      <c r="M16" s="331">
        <f t="shared" si="2"/>
        <v>8.3</v>
      </c>
      <c r="N16" s="269" t="s">
        <v>725</v>
      </c>
      <c r="O16" s="361">
        <v>29.0</v>
      </c>
      <c r="P16" s="361">
        <v>38500.0</v>
      </c>
      <c r="Q16" s="361">
        <v>28000.0</v>
      </c>
      <c r="R16" s="323">
        <f t="shared" si="4"/>
        <v>10500</v>
      </c>
      <c r="S16" s="323">
        <f t="shared" ref="S16:T16" si="18">if(and(P16 &lt;&gt; "", O16 &lt;&gt; ""), P16/O16, "")</f>
        <v>1327.586207</v>
      </c>
      <c r="T16" s="324">
        <f t="shared" si="18"/>
        <v>0.7272727273</v>
      </c>
      <c r="U16" s="346" t="s">
        <v>726</v>
      </c>
      <c r="V16" s="346" t="s">
        <v>727</v>
      </c>
      <c r="W16" s="346" t="s">
        <v>728</v>
      </c>
      <c r="X16" s="334" t="str">
        <f t="shared" ref="X16:X29" si="20">if(OR(U16 &lt;&gt;"", V16&lt;&gt;"", W16 &lt;&gt; ""), TEXTJOIN("", TRUE, J16, " ", K16, " ", L16, "^", char(10), F16, " ", G16,  char(10), O16, "p ",N16, " ", P16, " / ", Q16 , " ", CHAR(10),CHAR(10), U16,  CHAR(10),CHAR(10), "&lt;부동산 평가&gt;",CHAR(10),CHAR(10), V16,  CHAR(10),CHAR(10), "&lt;얻은 정보&gt;", CHAR(10),CHAR(10),W16), "")
</f>
        <v>삼정그린코아포레스트 2018.7 1245^
조은 010-3734-2280
29p 115/10층/남서향 38,500 / 28,000 
내 놓으신 뒤에 가격을 내려놓으신 물건. 거의 한 달. 주인분 거주 물건. 아직 가보시진 않았지만 투인원 에어컨에 줄눈, led. 
 106/13/남서향 십장산쪽 조망.. 물건 상태는 따님이 살고 계시다고 했는데, 깔끔하다고. 보지는 못하셨다. 
전세가 별로 없다. 전세 손님들은 그래도 매매보다는 전세나 월세가 좀 더 있다. 대기자까지 있진 않다... 지금 있는 전세가 1층이라 안빠지고 있는 것. 가격은 가격은 2.8억.. 정도로.
주인분들이라 날짜는 편하게 협의하여 결정하면 됨. 
&lt;부동산 평가&gt;
물건이 너무 많나... 기억은 못하시는데, 이해가 안되는 바도 아니긴... 친절하지만, 묻는 말에만 답해주시는 스타일
&lt;얻은 정보&gt;
101동도 조망은 나오고 103-107 선호도 차이가 
단지내부는 조금 들어가있어 답답할 수 있고, 도로변에서 멀어서 나름.. 나쁘지 않다. </v>
      </c>
      <c r="Y16" s="357"/>
      <c r="Z16" s="291"/>
      <c r="AA16" s="291"/>
      <c r="AB16" s="291"/>
      <c r="AC16" s="291"/>
      <c r="AD16" s="291"/>
      <c r="AE16" s="291"/>
      <c r="AF16" s="291"/>
      <c r="AG16" s="291"/>
      <c r="AH16" s="291"/>
    </row>
    <row r="17">
      <c r="A17" s="319"/>
      <c r="B17" s="339">
        <f t="shared" si="9"/>
        <v>12</v>
      </c>
      <c r="C17" s="269" t="s">
        <v>55</v>
      </c>
      <c r="D17" s="269" t="s">
        <v>721</v>
      </c>
      <c r="E17" s="269" t="s">
        <v>116</v>
      </c>
      <c r="F17" s="269" t="s">
        <v>601</v>
      </c>
      <c r="G17" s="362" t="s">
        <v>729</v>
      </c>
      <c r="H17" s="344"/>
      <c r="I17" s="269">
        <v>2.0</v>
      </c>
      <c r="J17" s="269" t="s">
        <v>599</v>
      </c>
      <c r="K17" s="360">
        <v>2024.07</v>
      </c>
      <c r="L17" s="360">
        <v>934.0</v>
      </c>
      <c r="M17" s="331">
        <f t="shared" si="2"/>
        <v>2.93</v>
      </c>
      <c r="N17" s="363" t="s">
        <v>730</v>
      </c>
      <c r="O17" s="361">
        <v>33.0</v>
      </c>
      <c r="P17" s="361">
        <v>47000.0</v>
      </c>
      <c r="Q17" s="361">
        <v>35000.0</v>
      </c>
      <c r="R17" s="323">
        <f t="shared" si="4"/>
        <v>12000</v>
      </c>
      <c r="S17" s="323">
        <f t="shared" ref="S17:T17" si="19">if(and(P17 &lt;&gt; "", O17 &lt;&gt; ""), P17/O17, "")</f>
        <v>1424.242424</v>
      </c>
      <c r="T17" s="324">
        <f t="shared" si="19"/>
        <v>0.7446808511</v>
      </c>
      <c r="U17" s="346" t="s">
        <v>731</v>
      </c>
      <c r="V17" s="346" t="s">
        <v>732</v>
      </c>
      <c r="W17" s="346" t="s">
        <v>733</v>
      </c>
      <c r="X17" s="334" t="str">
        <f t="shared" si="20"/>
        <v>은어송하늘채리버뷰 2024.07 934^
하늘채박사공인 042-285-1114, 
010-9490-7442
33p 105동/28층/남서향 47,000 / 35,000 
26.10 만기, 월세입자 3,000/100 거주.
집주인이 사정이 생겨서 팔려고 내놨는데 해결이 되었는지 다시 거둔다고 함.
&lt;부동산 평가&gt;
선호도 잘 알고 매우 친절하신 편, 투자자들한테 연락만 오고 거래는 안되서 기대는 안한다고 하심..ㅎ
&lt;얻은 정보&gt;
문의한 물건보다 조건 좋은데 가격이 괜찮은 물건은?
- 107동 15층(A타입)은 4.65억까지 조율해놨던 물건, 매수자가 중간에 안한다고 해서 남아있는데 4.65까지 조율된다고 함.
- 101동 5층(C타입) 4.55억까지 된다고 함, 4억 5,340만원에 매매, 그래서 4.55억 아래로는 힘들 것 같다고 함, 에어컨 4대, 코팅, 실리콘 등 옵션이 많은 매물, 들어갈 때 2,000 주고 옵션 추가했다고 함. 혼자 살고 계셔서 방 2개는 새거, 컨디션 매우 좋음. 무슨 사유인지는 모르겠는데 급한 분인듯. 
- 101동~104동까지 선호, 그 뒤는 약간의 단절감. 107-108동은 올라가있음.(언덕인듯)
- C타입은 어르신들 선호, A,B타입은 젊은층들이 선호한다고 함. (부사님 개인적인 의견)
- 전세는 3.5억이면 무난히 나감. 전세가 없어서 찾는분들 많고 대기자도 있다고 함. 
- 전세 3.2억, 4.5억 2개가 호가로 나와있는데 3.2억은 왜 낮은지 모르겠음. 부사님이 전세 대기자 있어서 공동중개하려고 문의해보니 공동중개 안하겠다고 하심. 4.5억 전세는 탑층인데 다락방 있어서 비싸게 내놓은거. 부사님 입장에서도 비싼 가격이라고 잘안나갈거라고 함.</v>
      </c>
      <c r="Y17" s="357"/>
      <c r="Z17" s="304"/>
      <c r="AA17" s="304"/>
      <c r="AB17" s="304"/>
      <c r="AC17" s="304"/>
      <c r="AD17" s="304"/>
      <c r="AE17" s="304"/>
      <c r="AF17" s="304"/>
      <c r="AG17" s="304"/>
      <c r="AH17" s="304"/>
    </row>
    <row r="18">
      <c r="A18" s="319"/>
      <c r="B18" s="339">
        <f t="shared" si="9"/>
        <v>13</v>
      </c>
      <c r="C18" s="269" t="s">
        <v>23</v>
      </c>
      <c r="D18" s="364">
        <v>46115.0</v>
      </c>
      <c r="E18" s="269" t="s">
        <v>116</v>
      </c>
      <c r="F18" s="269" t="s">
        <v>734</v>
      </c>
      <c r="G18" s="365" t="s">
        <v>735</v>
      </c>
      <c r="H18" s="269">
        <v>28.0</v>
      </c>
      <c r="I18" s="269">
        <v>1.0</v>
      </c>
      <c r="J18" s="269" t="s">
        <v>719</v>
      </c>
      <c r="K18" s="360">
        <v>2024.07</v>
      </c>
      <c r="L18" s="360">
        <v>1328.0</v>
      </c>
      <c r="M18" s="331">
        <f t="shared" si="2"/>
        <v>2.93</v>
      </c>
      <c r="N18" s="269" t="s">
        <v>736</v>
      </c>
      <c r="O18" s="361">
        <v>33.0</v>
      </c>
      <c r="P18" s="361">
        <v>55000.0</v>
      </c>
      <c r="Q18" s="366">
        <v>40000.0</v>
      </c>
      <c r="R18" s="323">
        <f t="shared" si="4"/>
        <v>15000</v>
      </c>
      <c r="S18" s="323">
        <f t="shared" ref="S18:T18" si="21">if(and(P18 &lt;&gt; "", O18 &lt;&gt; ""), P18/O18, "")</f>
        <v>1666.666667</v>
      </c>
      <c r="T18" s="324">
        <f t="shared" si="21"/>
        <v>0.7272727273</v>
      </c>
      <c r="U18" s="346" t="s">
        <v>737</v>
      </c>
      <c r="V18" s="346" t="s">
        <v>738</v>
      </c>
      <c r="W18" s="346" t="s">
        <v>739</v>
      </c>
      <c r="X18" s="334" t="str">
        <f t="shared" si="20"/>
        <v>리더스시티4BL 2024.07 1328^
리더스시티행복한공인 010-2790-8675
33p 409동 19/23층 남서향 55,000 / 40,000 
[매물 정보]
- 로얄동 로얄층 시에 설치 / 주인 거주
[전세 시세]
- 26.02 전세 4억 실거래 찍혔지만, 부사님 둥절. 원래 3.5에 내놨다가 주인분이 올리셨는데 그게 나갔다고 함
- 전세 4억 "해봐야죠~"의 반응, 자신감 없음
- 전세는 이스트시티/SK뷰와 동일한 수준에 가능할거라고 (현재 4.0~4.5는 호가, 실거래는 3.8~4.0 사이)
- 현재 리더스시티 84 전세 매물이 0개라 문의는 없다고 ..
[다른 추천 매물]
- 502동 14/20층 5.6억 : 선호동
- 501동 고/27층 5.5 (세안고) : 진짜 살 마음 있어야 물건 볼수 있다고
- 5블럭은 아직 2년 되려면 좀 남아서 매물이 적은 편이라 함
&lt;부동산 평가&gt;
친절, 공감력 굿
적극성은 덜하지만 의지가 아예없진 않은, 물건 상황도 꽤 잘 아심
&lt;얻은 정보&gt;
[단지 정보]
- 리더스시티4블럭 로얄동 : 408, 409동 (84 only, 앞동은 경부선 소음)
- 리더스시티5블럭 로얄동 : 501, 502, 503동 (천동초 &amp; 상권 가깝, 74 &amp; 84 구성)
- A타입 방4개 vs B타입 방 3개 : A타입 선호 (A 중 확장된 집 없고 전부 방 4개로 고정)
- 리더스시티 4블럭 vs 5블럭 : 준공 6개월 차이 &amp; 4 vs 5블럭 선호 차이 크게 없고 비슷하게 바라봄 / 5블럭이 세대수는 많지만 임대 함께 포함
- 5블럭 임대 712세대 10년 분양 전환 
- 이스트시티 vs SK뷰 vs 리더스시티 : 선호 요소에 따라 좌지우지 ~ 이스트 (대전역 가깝), SK뷰 (브랜드), 리더스 (초신축)</v>
      </c>
      <c r="Y18" s="357"/>
      <c r="Z18" s="304"/>
      <c r="AA18" s="304"/>
      <c r="AB18" s="304"/>
      <c r="AC18" s="304"/>
      <c r="AD18" s="304"/>
      <c r="AE18" s="304"/>
      <c r="AF18" s="304"/>
      <c r="AG18" s="304"/>
      <c r="AH18" s="304"/>
    </row>
    <row r="19">
      <c r="A19" s="319"/>
      <c r="B19" s="339">
        <f t="shared" si="9"/>
        <v>14</v>
      </c>
      <c r="C19" s="367" t="s">
        <v>108</v>
      </c>
      <c r="D19" s="364">
        <v>46115.0</v>
      </c>
      <c r="E19" s="269" t="s">
        <v>116</v>
      </c>
      <c r="F19" s="269" t="s">
        <v>740</v>
      </c>
      <c r="G19" s="365" t="s">
        <v>741</v>
      </c>
      <c r="H19" s="269">
        <v>110.0</v>
      </c>
      <c r="I19" s="269">
        <v>4.0</v>
      </c>
      <c r="J19" s="269" t="s">
        <v>742</v>
      </c>
      <c r="K19" s="360">
        <v>2022.0</v>
      </c>
      <c r="L19" s="360">
        <v>1588.0</v>
      </c>
      <c r="M19" s="331">
        <f t="shared" si="2"/>
        <v>5</v>
      </c>
      <c r="N19" s="269" t="s">
        <v>743</v>
      </c>
      <c r="O19" s="361">
        <v>25.0</v>
      </c>
      <c r="P19" s="361">
        <v>38500.0</v>
      </c>
      <c r="Q19" s="361">
        <v>30000.0</v>
      </c>
      <c r="R19" s="323">
        <f t="shared" si="4"/>
        <v>8500</v>
      </c>
      <c r="S19" s="323">
        <f t="shared" ref="S19:T19" si="22">if(and(P19 &lt;&gt; "", O19 &lt;&gt; ""), P19/O19, "")</f>
        <v>1540</v>
      </c>
      <c r="T19" s="324">
        <f t="shared" si="22"/>
        <v>0.7792207792</v>
      </c>
      <c r="U19" s="346" t="s">
        <v>744</v>
      </c>
      <c r="V19" s="346" t="s">
        <v>745</v>
      </c>
      <c r="W19" s="346" t="s">
        <v>746</v>
      </c>
      <c r="X19" s="334" t="str">
        <f t="shared" si="20"/>
        <v>신흥sk뷰 2022 1588^
신흥SK꽃길 010-3452-2747
25p 110동 4층 38,500 / 30,000 
전세입자인데 전세가에 화들짝 놀라 매매도 같이 알아보는 컨셉
112동 18층 전세 3억 전용59
입주 6/12 고정 물건이라 싸다. 다음은 3.2억
전세가 조절가능 ? 요즘 전월세가 귀하다보니 점점점.. 
110동 4층 매매 3.85억 전용59
이 물건이 가격은 가장 괜찮다
로얄은 107-110 동 라인
보문산 보이고 천보이고 뷰 좋음 
그래서 4층이라도 뷰가 나쁘지 않다
RR로 가려면 4.1-4.2억 정도 줘야함
&lt;부동산 평가&gt;
친절, 쉬는 날 없음. 일요일도 굳이 원하면 보여주심
&lt;얻은 정보&gt;
전세 없다,, 가격 조절 힘들수도</v>
      </c>
      <c r="Y19" s="357"/>
      <c r="Z19" s="304"/>
      <c r="AA19" s="304"/>
      <c r="AB19" s="304"/>
      <c r="AC19" s="304"/>
      <c r="AD19" s="304"/>
      <c r="AE19" s="304"/>
      <c r="AF19" s="304"/>
      <c r="AG19" s="304"/>
      <c r="AH19" s="304"/>
    </row>
    <row r="20">
      <c r="A20" s="319"/>
      <c r="B20" s="339">
        <f t="shared" si="9"/>
        <v>15</v>
      </c>
      <c r="C20" s="367" t="s">
        <v>108</v>
      </c>
      <c r="D20" s="364">
        <v>46115.0</v>
      </c>
      <c r="E20" s="269" t="s">
        <v>116</v>
      </c>
      <c r="F20" s="269" t="s">
        <v>458</v>
      </c>
      <c r="G20" s="269" t="s">
        <v>747</v>
      </c>
      <c r="H20" s="269">
        <v>105.0</v>
      </c>
      <c r="I20" s="269">
        <v>5.0</v>
      </c>
      <c r="J20" s="269" t="s">
        <v>742</v>
      </c>
      <c r="K20" s="360">
        <v>2022.0</v>
      </c>
      <c r="L20" s="360">
        <v>1588.0</v>
      </c>
      <c r="M20" s="331">
        <f t="shared" si="2"/>
        <v>5</v>
      </c>
      <c r="N20" s="269" t="s">
        <v>748</v>
      </c>
      <c r="O20" s="361">
        <v>34.0</v>
      </c>
      <c r="P20" s="361">
        <v>57000.0</v>
      </c>
      <c r="Q20" s="361">
        <v>3500.0</v>
      </c>
      <c r="R20" s="323">
        <f t="shared" si="4"/>
        <v>53500</v>
      </c>
      <c r="S20" s="323">
        <f t="shared" ref="S20:T20" si="23">if(and(P20 &lt;&gt; "", O20 &lt;&gt; ""), P20/O20, "")</f>
        <v>1676.470588</v>
      </c>
      <c r="T20" s="324">
        <f t="shared" si="23"/>
        <v>0.06140350877</v>
      </c>
      <c r="U20" s="346" t="s">
        <v>749</v>
      </c>
      <c r="V20" s="346" t="s">
        <v>750</v>
      </c>
      <c r="W20" s="346" t="s">
        <v>751</v>
      </c>
      <c r="X20" s="334" t="str">
        <f t="shared" si="20"/>
        <v>신흥sk뷰 2022 1588^
이스트사랑 010-9767-3823
34p 103동 12층 57,000 / 3,500 
SK뷰 103동 12층 전용84 5.7억
천뷰나 101동은 선호해서 6억 넘어가야 한다
이스트 로얄동 101 102 103동
대전역을 이용할거면 이스트가 훨 낫다
이스트가 연식이 빠지지만 대전역 도보로 이용 가능해 가격이 어느 정도 비빈다 
최근에 올라서 철길 소음 있는 곳도 5.5억에 내놨다 그래서 가격이 겹처버림
그래서 사람들은 철길쪽 집 안 봄
이스트는 이제 나이가 좀 들어 도배 정도는 해야한다
동구오실거면 이스트, SK뷰 둘 중 하나 가야한다
&lt;부동산 평가&gt;
젊은 남자사장님 (여자사장님 같이 일하시는 듯). 나름 설명 잘 해주심
&lt;얻은 정보&gt;
대전역 접근성도 고려 ? 철도공사 직원들 많이거주할 듯 대전에 5억대 대체지가 없으려나</v>
      </c>
      <c r="Y20" s="347"/>
      <c r="Z20" s="304"/>
      <c r="AA20" s="304"/>
      <c r="AB20" s="304"/>
      <c r="AC20" s="304"/>
      <c r="AD20" s="304"/>
      <c r="AE20" s="304"/>
      <c r="AF20" s="304"/>
      <c r="AG20" s="304"/>
      <c r="AH20" s="304"/>
    </row>
    <row r="21">
      <c r="A21" s="319"/>
      <c r="B21" s="339">
        <f t="shared" si="9"/>
        <v>16</v>
      </c>
      <c r="C21" s="367" t="s">
        <v>108</v>
      </c>
      <c r="D21" s="364">
        <v>46115.0</v>
      </c>
      <c r="E21" s="269" t="s">
        <v>116</v>
      </c>
      <c r="F21" s="269" t="s">
        <v>511</v>
      </c>
      <c r="G21" s="269" t="s">
        <v>508</v>
      </c>
      <c r="H21" s="269">
        <v>14.0</v>
      </c>
      <c r="I21" s="269">
        <v>1.0</v>
      </c>
      <c r="J21" s="269" t="s">
        <v>752</v>
      </c>
      <c r="K21" s="360">
        <v>2010.0</v>
      </c>
      <c r="L21" s="360">
        <v>897.0</v>
      </c>
      <c r="M21" s="331">
        <f t="shared" si="2"/>
        <v>17</v>
      </c>
      <c r="N21" s="269" t="s">
        <v>753</v>
      </c>
      <c r="O21" s="361">
        <v>34.0</v>
      </c>
      <c r="P21" s="361">
        <v>42500.0</v>
      </c>
      <c r="Q21" s="361">
        <v>35000.0</v>
      </c>
      <c r="R21" s="323">
        <f t="shared" si="4"/>
        <v>7500</v>
      </c>
      <c r="S21" s="323">
        <f t="shared" ref="S21:T21" si="24">if(and(P21 &lt;&gt; "", O21 &lt;&gt; ""), P21/O21, "")</f>
        <v>1250</v>
      </c>
      <c r="T21" s="324">
        <f t="shared" si="24"/>
        <v>0.8235294118</v>
      </c>
      <c r="U21" s="346" t="s">
        <v>754</v>
      </c>
      <c r="V21" s="346" t="s">
        <v>755</v>
      </c>
      <c r="W21" s="368"/>
      <c r="X21" s="334" t="str">
        <f t="shared" si="20"/>
        <v>새들뫼휴먼시아1단지 2010 897^
새들뫼 010-3270-6200
34p 101동 15층 남동 42,500 / 35,000 
101동 15층 4.25억 남동향
110동 9층 4.3억 남향 이렇게 괜찮음 
101동은 앞동 전망이 괜찮고
3베이 일반 판상형
110동도 동간격 넓어서 나쁘지 않다 
특이한 타입 유럽스타일 호불호 나뉨 (보통 이러면 별로였음)
펜타뷰는 좀 더 가격이 빠진다 
전세 3억짜리 있는데 8월 입주 가능 
펜타뷰는 주변에 뭐가 없다.. 큰길가도 건너야 하고 
SK뷰보다 입지는 새들뫼가 나음 생활 환경도 더 괜찮음 
이스트시티2단지는 비추.. 안 팔려 
임대 섞여있고 철길 있음
&lt;부동산 평가&gt;
친절 여사장님
&lt;얻은 정보&gt;
</v>
      </c>
      <c r="Y21" s="347"/>
      <c r="Z21" s="304"/>
      <c r="AA21" s="304"/>
      <c r="AB21" s="304"/>
      <c r="AC21" s="304"/>
      <c r="AD21" s="304"/>
      <c r="AE21" s="304"/>
      <c r="AF21" s="304"/>
      <c r="AG21" s="304"/>
      <c r="AH21" s="304"/>
    </row>
    <row r="22">
      <c r="A22" s="319"/>
      <c r="B22" s="339">
        <f t="shared" si="9"/>
        <v>17</v>
      </c>
      <c r="C22" s="269" t="s">
        <v>38</v>
      </c>
      <c r="D22" s="364">
        <v>46115.0</v>
      </c>
      <c r="E22" s="269" t="s">
        <v>116</v>
      </c>
      <c r="F22" s="269" t="s">
        <v>756</v>
      </c>
      <c r="G22" s="269" t="s">
        <v>686</v>
      </c>
      <c r="H22" s="269">
        <v>7.0</v>
      </c>
      <c r="I22" s="269">
        <v>1.0</v>
      </c>
      <c r="J22" s="269" t="s">
        <v>687</v>
      </c>
      <c r="K22" s="360">
        <v>2024.0</v>
      </c>
      <c r="L22" s="360">
        <v>2135.0</v>
      </c>
      <c r="M22" s="331">
        <f t="shared" si="2"/>
        <v>3</v>
      </c>
      <c r="N22" s="269" t="s">
        <v>757</v>
      </c>
      <c r="O22" s="361">
        <v>24.0</v>
      </c>
      <c r="P22" s="361">
        <v>39000.0</v>
      </c>
      <c r="Q22" s="361">
        <v>28000.0</v>
      </c>
      <c r="R22" s="323">
        <f t="shared" si="4"/>
        <v>11000</v>
      </c>
      <c r="S22" s="323">
        <f t="shared" ref="S22:T22" si="25">if(and(P22 &lt;&gt; "", O22 &lt;&gt; ""), P22/O22, "")</f>
        <v>1625</v>
      </c>
      <c r="T22" s="324">
        <f t="shared" si="25"/>
        <v>0.7179487179</v>
      </c>
      <c r="U22" s="346" t="s">
        <v>758</v>
      </c>
      <c r="V22" s="369" t="s">
        <v>759</v>
      </c>
      <c r="W22" s="346" t="s">
        <v>760</v>
      </c>
      <c r="X22" s="334" t="str">
        <f t="shared" si="20"/>
        <v>리더스시티5BL 2024 2135^
워드힐탑 042-282-3349
24p 507동 고층 39,000 / 28,000 
24평 전세 3억 밑으로 봐야한다. 
전세가 없다보니, 세입자들이 구하러 방문하다가 전세 3억에 고민
507동 고층 집주인 거주, 27년 1월에 매도 하고 싶어함
철도라인 7,8,9,10,11라인 빼고는 괜찮다
대전역 중심과 가까운 것이 대전 동구에서 큰 메리트
5단지가 더 늦게 지어져서 분양가가 더 높게 시작했고, 4단지랑 가격이 같다면 5단지를 선택하는 것이 좋겠다고 말씀하심 아무래도 뷰가 나오면 좋아하는 듯
매물마다 옵션이 다른데 507동 고층 매물은 에어컨 4대, 중문, 인덕션 설치되어 있어, 대전 동구에서 전세 잘빼려면 에어컨 많으면 굿! 그치만 24평 전세 3억은 힘들다
&lt;부동산 평가&gt;
워드힐 탑 부동산 차분하게 설명 잘해주심
&lt;얻은 정보&gt;
투자자에게 굉장히 호의적이어서 놀랐다. 통화 끊기니까 다시 콜백해주는 부사님의 적극성에 놀랐다. 대전 동구는 돈있으면 진행하기 수월하겠다는 생각이 들었고, 세입자들이 매매가와 얼마 차이나지 않는 전세가에 부담을 느끼고 있어 2.8억으로 전세 세팅해도 1억으로 투자할 수 있겠다는 생각!</v>
      </c>
      <c r="Y22" s="370"/>
      <c r="Z22" s="304"/>
      <c r="AA22" s="304"/>
      <c r="AB22" s="304"/>
      <c r="AC22" s="304"/>
      <c r="AD22" s="304"/>
      <c r="AE22" s="304"/>
      <c r="AF22" s="304"/>
      <c r="AG22" s="304"/>
      <c r="AH22" s="304"/>
    </row>
    <row r="23">
      <c r="A23" s="319"/>
      <c r="B23" s="339">
        <f t="shared" si="9"/>
        <v>18</v>
      </c>
      <c r="C23" s="269" t="s">
        <v>38</v>
      </c>
      <c r="D23" s="364">
        <v>46115.0</v>
      </c>
      <c r="E23" s="269" t="s">
        <v>116</v>
      </c>
      <c r="F23" s="269" t="s">
        <v>761</v>
      </c>
      <c r="G23" s="269" t="s">
        <v>762</v>
      </c>
      <c r="H23" s="269">
        <v>25.0</v>
      </c>
      <c r="I23" s="269">
        <v>3.0</v>
      </c>
      <c r="J23" s="269" t="s">
        <v>599</v>
      </c>
      <c r="K23" s="360">
        <v>2024.0</v>
      </c>
      <c r="L23" s="360">
        <v>934.0</v>
      </c>
      <c r="M23" s="331">
        <f t="shared" si="2"/>
        <v>3</v>
      </c>
      <c r="N23" s="269" t="s">
        <v>763</v>
      </c>
      <c r="O23" s="361">
        <v>33.0</v>
      </c>
      <c r="P23" s="361">
        <v>48000.0</v>
      </c>
      <c r="Q23" s="361">
        <v>35000.0</v>
      </c>
      <c r="R23" s="323">
        <f t="shared" si="4"/>
        <v>13000</v>
      </c>
      <c r="S23" s="323">
        <f t="shared" ref="S23:T23" si="26">if(and(P23 &lt;&gt; "", O23 &lt;&gt; ""), P23/O23, "")</f>
        <v>1454.545455</v>
      </c>
      <c r="T23" s="324">
        <f t="shared" si="26"/>
        <v>0.7291666667</v>
      </c>
      <c r="U23" s="346" t="s">
        <v>764</v>
      </c>
      <c r="V23" s="346" t="s">
        <v>765</v>
      </c>
      <c r="W23" s="346" t="s">
        <v>766</v>
      </c>
      <c r="X23" s="334" t="str">
        <f t="shared" si="20"/>
        <v>은어송하늘채리버뷰 2024 934^
풍림사랑 010-9731-4500
33p 106동 중층 48,000 / 35,000 
전세 3.5억에도 나갈 수 있다는 부사님 의견
106동 중층 물건 세입자 5천 100에 들어가있음 매도인이 세입자 내보내려고 하고, 사고 싶다면 공실로 전세 빼게 해줄 수 있다
103동 104동 천변이라 천만원은 더 받을 수 있다고 한다
아무래도 여기가 신축말고는 볼게 없으니 천변 보이면 좋다고 한다
106동 중층 매물 풀옵션이라 전세 뻬기 수월할거다라고 말씀해주심, 냉장고도 옵션으로 들어가있다고! 무엇보다 매도인이 적극적이라고 말씀
&lt;부동산 평가&gt;
호쾌하시고 운전중이신데 물건을 그냥 얘기해주심
&lt;얻은 정보&gt;
은어송단지에서 멀어진 신축 단지이지만 이 단지도 매도인이 적극적이라 투자하기에 수월할 것 같다는 생각 매도인도 적극적이고, 세입자도 내보내주시고 공실도 가능하다니, 전세빼기 수월할 것 같다는 생각! 대전 동구에서의 킥은 위치, 연식 주변 환경이 정말 중요하다는 것을 한번더 알게 됐다</v>
      </c>
      <c r="Y23" s="347"/>
      <c r="Z23" s="304"/>
      <c r="AA23" s="304"/>
      <c r="AB23" s="304"/>
      <c r="AC23" s="304"/>
      <c r="AD23" s="304"/>
      <c r="AE23" s="304"/>
      <c r="AF23" s="304"/>
      <c r="AG23" s="304"/>
      <c r="AH23" s="304"/>
    </row>
    <row r="24">
      <c r="A24" s="319"/>
      <c r="B24" s="339">
        <f t="shared" si="9"/>
        <v>19</v>
      </c>
      <c r="C24" s="269" t="s">
        <v>39</v>
      </c>
      <c r="D24" s="364">
        <v>46118.0</v>
      </c>
      <c r="E24" s="269" t="s">
        <v>112</v>
      </c>
      <c r="F24" s="269" t="s">
        <v>767</v>
      </c>
      <c r="G24" s="269" t="s">
        <v>583</v>
      </c>
      <c r="H24" s="269">
        <v>9.0</v>
      </c>
      <c r="I24" s="269">
        <v>1.0</v>
      </c>
      <c r="J24" s="269" t="s">
        <v>768</v>
      </c>
      <c r="K24" s="360">
        <v>2010.0</v>
      </c>
      <c r="L24" s="360">
        <v>897.0</v>
      </c>
      <c r="M24" s="331">
        <f t="shared" si="2"/>
        <v>17</v>
      </c>
      <c r="N24" s="269" t="s">
        <v>769</v>
      </c>
      <c r="O24" s="361">
        <v>34.0</v>
      </c>
      <c r="P24" s="361">
        <v>42000.0</v>
      </c>
      <c r="Q24" s="361">
        <v>35000.0</v>
      </c>
      <c r="R24" s="323">
        <f t="shared" si="4"/>
        <v>7000</v>
      </c>
      <c r="S24" s="323">
        <f t="shared" ref="S24:T24" si="27">if(and(P24 &lt;&gt; "", O24 &lt;&gt; ""), P24/O24, "")</f>
        <v>1235.294118</v>
      </c>
      <c r="T24" s="324">
        <f t="shared" si="27"/>
        <v>0.8333333333</v>
      </c>
      <c r="U24" s="346" t="s">
        <v>770</v>
      </c>
      <c r="V24" s="346" t="s">
        <v>771</v>
      </c>
      <c r="W24" s="346" t="s">
        <v>772</v>
      </c>
      <c r="X24" s="334" t="str">
        <f t="shared" si="20"/>
        <v>새들뫼휴먼시아
1단지 2010 897^
새들뫼으뜸공인 010-7330-3662
34p 102동 /23층 /남서 42,000 / 35,000 
-로얄동: 대단지가 아니라서 로얄동이라고 할 것은 없지만, 천변뷰 / 식장산 뷰 선호 (개인 취향이지만, 젊은사람들은 트여있는 천변뷰 선호)
104,105 버스 지하철 가까움
110,111 마트, 신흥초 가까움
-102동 1,2,3,4호 라인만 비확장으로 분양 함 (베란다 있는 것 선호하는 사람들 위함)
-타입: A,B,C 판상형 (기본구조) 선호타입 / D 주방 한쪽으로 있는 타입 : ABC 타입 선호
- 매매: 4.1~4.4억 / 전세 3.5억 (1개 / 26.4월 말)
*매매 1500~2000만원 정도 네고 가능 
-장점 : 동구 내 입지가 좋음, 
교통 좋음 (1호선 대동역 역세권 5분, 대전역 도보 15분,단지 앞 버스정류장 노선 10개, 대전ic 10분, 판암ic 7분)
대동천 조깅, 마트이용편리 (남쪽, 서쪽 출입구에 중형마트 각 1개, 이스트에선 클길을 건너야 함)
초등 준초품아: 남쪽 출입구에서 초등정문까지 50미터, 일부동은 이스트 웬만한 동보다 가까움) 
넓은 거실과 거실방향 개수대, 별도 전실이 있음, 아이 키우기 최고 
10년차 이지만 각종 디지털시스템 잘 갖춰짐 
-단점: 10년차로 연식이 기축. 아쉬운 조경관리, 느린 엘리베이터 
- 새들뫼 34평 vs 이스트시티2단지 31평 
입지는 새들뫼가 좋고 선호도도 더 높음.
이스트2단지는 기차 소음이 있고 동 거의다 있음. 202동은 가장 조용한 동. 
추후 갈아타기 할거면 가성비로 괜찮음. 구조가 4베이로 잘 빠져서 평형 넓어 보이고 학교 가까움. 
이스트시티2단지 : 전세x (3.1~3.2억 정도) 
&lt;부동산 평가&gt;
친절도 상. 
단지와 매물에 대한 정보를 잘 알고 계셨고 친절 하심. 
&lt;얻은 정보&gt;
- 전임 후 생각: 아이 있는 가족은 연식이 있는 이스트2단지 보다 기축이라도 새들뫼를 먼저 찾는 경향이 있음. 
신흥에서는 연식도 중요한 요소라고 생각했고 새들뫼는 휴먼시아(LH)라서 브랜드에 대한 안좋은 인식이 있지 않을까 했고 이스트2단지가 선호도가 훨씬 좋을거라고 생각했는데, 의외로 새들뫼가 거주민들에게는 선호도가 높다는 것을 확인. 
동구 내에서는 LH단지도 꽤 많아서 사람들이 엄청 안좋게 보지는 않는구나?! 
- 선호도 : 새들뫼 &gt; 이스트2단지 </v>
      </c>
      <c r="Y24" s="303"/>
      <c r="Z24" s="304"/>
      <c r="AA24" s="304"/>
      <c r="AB24" s="304"/>
      <c r="AC24" s="304"/>
      <c r="AD24" s="304"/>
      <c r="AE24" s="304"/>
      <c r="AF24" s="304"/>
      <c r="AG24" s="304"/>
      <c r="AH24" s="304"/>
    </row>
    <row r="25">
      <c r="A25" s="319"/>
      <c r="B25" s="339">
        <f t="shared" si="9"/>
        <v>20</v>
      </c>
      <c r="C25" s="269" t="s">
        <v>39</v>
      </c>
      <c r="D25" s="364">
        <v>46118.0</v>
      </c>
      <c r="E25" s="269" t="s">
        <v>112</v>
      </c>
      <c r="F25" s="371" t="s">
        <v>773</v>
      </c>
      <c r="G25" s="371" t="s">
        <v>547</v>
      </c>
      <c r="H25" s="371">
        <v>12.0</v>
      </c>
      <c r="I25" s="371">
        <v>1.0</v>
      </c>
      <c r="J25" s="371" t="s">
        <v>774</v>
      </c>
      <c r="K25" s="372">
        <v>2024.0</v>
      </c>
      <c r="L25" s="372">
        <v>1328.0</v>
      </c>
      <c r="M25" s="331">
        <f t="shared" si="2"/>
        <v>3</v>
      </c>
      <c r="N25" s="371" t="s">
        <v>775</v>
      </c>
      <c r="O25" s="373">
        <v>33.0</v>
      </c>
      <c r="P25" s="373">
        <v>52000.0</v>
      </c>
      <c r="Q25" s="373">
        <v>38000.0</v>
      </c>
      <c r="R25" s="323">
        <f t="shared" si="4"/>
        <v>14000</v>
      </c>
      <c r="S25" s="323">
        <f t="shared" ref="S25:T25" si="28">if(and(P25 &lt;&gt; "", O25 &lt;&gt; ""), P25/O25, "")</f>
        <v>1575.757576</v>
      </c>
      <c r="T25" s="324">
        <f t="shared" si="28"/>
        <v>0.7307692308</v>
      </c>
      <c r="U25" s="374" t="s">
        <v>776</v>
      </c>
      <c r="V25" s="374" t="s">
        <v>777</v>
      </c>
      <c r="W25" s="346" t="s">
        <v>778</v>
      </c>
      <c r="X25" s="334" t="str">
        <f t="shared" si="20"/>
        <v>리더스시티4단지 2024 1328^
천동공인  010-9429-9177
33p 409동/중층/남동향  52,000 / 38,000 
- 4단지 8월 입주, 5단지 12월 입주 
- 지금 물건이 없음. 나오면 바로바로 거래가 됨. 물건 좋은 거 나오면 연락 주신다고 함. 
- 4단지 vs 5단지 선호도가 어디가 더 좋은가? 
사장님은 45년 찐 원주민이라고 하셨고 리더스 분양받아서 자녀에게 증여 하심. 
본인은 4단지가 위치가 더 나은 것 같고 이유는 4단지 가깝게 큰 상권이 들어오고 천동중학교 (27.3월) 가까움
초등학교는 4,5단지 거리 비슷. 
단점은 기찻길 가까운 동은 소음. 
선호동 : 408.409동. 소음이 적고 트여있어서 가장 좋아 함. 
5단지도 선호도는 비슷한데 아이가 있으면 산책로가 잘 되어 있어서 5단지도 괜찮음. 
5단지는 공기는 더 좋지만 조망권 동이 없음. 
4,5단지 옵션은 기본은 없고 선택이였음 (시스템에어컨, 환기시스템, 중문, 비데) 
5단지 임대 있는 것에 대해서는 크게 선호도 영향은 아직은 없음 (아직 입주도 안했기에..)
-리더스힐 vs 이스트시티1단지 ??  
리더스힐은 주변 환경이나 학교 등 점점 개선되고 좋아지는 곳이다. 이스트시티는 주변이 번잡스럽다고 한다고.. 
연식도 빠지고 있고 비슷한것 같다고 이야기 하심. 
이스트시티에서 리더스힐로 이사 온 사람도 있다고 함.
&lt;부동산 평가&gt;
친절, 
지역에 대해 잘 아심
&lt;얻은 정보&gt;
-전임 후 생각: 가장 선호도가 높은 신흥 생활권에서 연식이 빠지고 있는 이스트시티1단지에 거주하는 거주민이 대전역을 선호하는 경향이 강하다고 보여지고 
신흥 SK에 가지 못하거나 대전역 이용이 문제가 되지 않는다면 아이들 키우기 좋은 리더스힐을 차선책으로 생각해 볼 수 있겠구나! 
랜드마크가 리더스힐로 옮겨질 수 있을까 라는 질문을 한다면? 동구에서는 신흥SK뷰의 선호 요소가 훨씬 많기 때문에 그러지는 않을 것이라고 생각 함.  
</v>
      </c>
      <c r="Y25" s="347"/>
      <c r="Z25" s="304"/>
      <c r="AA25" s="304"/>
      <c r="AB25" s="304"/>
      <c r="AC25" s="304"/>
      <c r="AD25" s="304"/>
      <c r="AE25" s="304"/>
      <c r="AF25" s="304"/>
      <c r="AG25" s="304"/>
      <c r="AH25" s="304"/>
    </row>
    <row r="26">
      <c r="A26" s="319"/>
      <c r="B26" s="339">
        <f t="shared" si="9"/>
        <v>21</v>
      </c>
      <c r="C26" s="269" t="s">
        <v>37</v>
      </c>
      <c r="D26" s="364">
        <v>46118.0</v>
      </c>
      <c r="E26" s="269" t="s">
        <v>112</v>
      </c>
      <c r="F26" s="269" t="s">
        <v>779</v>
      </c>
      <c r="G26" s="269" t="s">
        <v>780</v>
      </c>
      <c r="H26" s="344"/>
      <c r="I26" s="344"/>
      <c r="J26" s="269" t="s">
        <v>703</v>
      </c>
      <c r="K26" s="342">
        <v>2020.0</v>
      </c>
      <c r="L26" s="360">
        <v>2267.0</v>
      </c>
      <c r="M26" s="331">
        <f t="shared" si="2"/>
        <v>7</v>
      </c>
      <c r="N26" s="269" t="s">
        <v>781</v>
      </c>
      <c r="O26" s="361">
        <v>34.0</v>
      </c>
      <c r="P26" s="361">
        <v>45000.0</v>
      </c>
      <c r="Q26" s="361">
        <v>30000.0</v>
      </c>
      <c r="R26" s="323">
        <f t="shared" si="4"/>
        <v>15000</v>
      </c>
      <c r="S26" s="323">
        <f t="shared" ref="S26:T26" si="29">if(and(P26 &lt;&gt; "", O26 &lt;&gt; ""), P26/O26, "")</f>
        <v>1323.529412</v>
      </c>
      <c r="T26" s="324">
        <f t="shared" si="29"/>
        <v>0.6666666667</v>
      </c>
      <c r="U26" s="346" t="s">
        <v>782</v>
      </c>
      <c r="V26" s="346" t="s">
        <v>783</v>
      </c>
      <c r="W26" s="346" t="s">
        <v>784</v>
      </c>
      <c r="X26" s="334" t="str">
        <f t="shared" si="20"/>
        <v>e편한세상 대전 에코포레 2020 2267^
에코포레부동산 010-6825-9100
34p 117동 중층 45,000 / 30,000 
*실거주 매수로 전화함
RR : 106.107.104.113 (이쪽동을 맨 앞동이라고 함- 사이조망,뚫린동, 학교영구조망)
최근 실거래가 : 4.5-6 / 8 최근에는 4.58까지 계약
RR과 비RR 1천-2천. 매도할때 고려해서라도 RR사는것 추천.
추천물건 
106동 남서향 4.6 15층 
107동 29층 4.55 방3 (방4개 물건 확인필요)
방4vs방3 : 살기 좋은건 방3 알파룸+펜트리 구조 (추가옵션) 조합원 물건 의미 없음
에어컨 대부분 없고 들어오면서 시에+2in1 (드신분들은 안함)
여긴 보통 어떤사람들이 오는가 : 새집 사고싶은데 돈때문에 못 사는 사람들이 단지 찍어서 옴
24평 신혼부부 다수
34평 애기 1-2이상 / 24-&gt;34 갈아타기 많이함.
VS 삼정그린코아 : 전철 빼고는 메리트 1도 없다. 거긴 31평이다. 34평 없다.
학군은 e편한,선호도 높음 (이건 걸러듣겠다)
판암이 저렴한 아파트가 많이 몰려있는 곳이다 보니 선호도가 떨어지는건 맞다 
보통 거래는 신축이어서 투자로 샀다가 2년지나서 주인이 정리하면서 팔고 세입자가 실거주로 눌러앉는 경우가 많다 그리고 여기 실거주 하는 사람들은 팔면 돈 좀더모아서 
유성구나 서구 이런곳으로 많이 간다 
나:SK나 이스트로 가는 사람들은 없어요? 
사장님 : 이스트는 연식이 좀 아쉽다, SK는 구조 봐라
(그래서 구조를 보았습니다..)
sk는 전세 살다가 매수하는 확률은 거의 없음
&lt;부동산 평가&gt;
친절
&lt;얻은 정보&gt;
전세 매수가도 어쩌면 삼정그린코아보다 여기가 더 붙겠다는 생각을 했다. 어쨌든 연식과 저렴한 금액 (기금대출 대출한도 3억!!!!) 때문에 찍어서 온다. 반면 투자 입장에서는 3억에서 전세가가 드라마틱하게 올라갈 수는 없을것 같긴 하다.
어쨌든 손바뀜이 있는 단지이고  유성구 도안신도시 전세가 떨어지면 수요 뺏길수도 있겠다는 생각을 했다.
</v>
      </c>
      <c r="Y26" s="347"/>
      <c r="Z26" s="304"/>
      <c r="AA26" s="304"/>
      <c r="AB26" s="304"/>
      <c r="AC26" s="304"/>
      <c r="AD26" s="304"/>
      <c r="AE26" s="304"/>
      <c r="AF26" s="304"/>
      <c r="AG26" s="304"/>
      <c r="AH26" s="304"/>
    </row>
    <row r="27">
      <c r="A27" s="319"/>
      <c r="B27" s="339">
        <f t="shared" si="9"/>
        <v>22</v>
      </c>
      <c r="C27" s="269" t="s">
        <v>108</v>
      </c>
      <c r="D27" s="364">
        <v>46118.0</v>
      </c>
      <c r="E27" s="269" t="s">
        <v>112</v>
      </c>
      <c r="F27" s="269" t="s">
        <v>702</v>
      </c>
      <c r="G27" s="371" t="s">
        <v>564</v>
      </c>
      <c r="H27" s="344"/>
      <c r="I27" s="344"/>
      <c r="J27" s="269" t="s">
        <v>703</v>
      </c>
      <c r="K27" s="342">
        <v>2020.0</v>
      </c>
      <c r="L27" s="360">
        <v>2267.0</v>
      </c>
      <c r="M27" s="331">
        <f t="shared" si="2"/>
        <v>7</v>
      </c>
      <c r="N27" s="269" t="s">
        <v>785</v>
      </c>
      <c r="O27" s="361">
        <v>34.0</v>
      </c>
      <c r="P27" s="361">
        <v>42500.0</v>
      </c>
      <c r="Q27" s="361">
        <v>30000.0</v>
      </c>
      <c r="R27" s="323">
        <f t="shared" si="4"/>
        <v>12500</v>
      </c>
      <c r="S27" s="323">
        <f t="shared" ref="S27:T27" si="30">if(and(P27 &lt;&gt; "", O27 &lt;&gt; ""), P27/O27, "")</f>
        <v>1250</v>
      </c>
      <c r="T27" s="324">
        <f t="shared" si="30"/>
        <v>0.7058823529</v>
      </c>
      <c r="U27" s="346" t="s">
        <v>786</v>
      </c>
      <c r="V27" s="346" t="s">
        <v>787</v>
      </c>
      <c r="W27" s="346" t="s">
        <v>788</v>
      </c>
      <c r="X27" s="334" t="str">
        <f t="shared" si="20"/>
        <v>e편한세상 대전 에코포레 2020 2267^
대청에코포레 010-7444-1130
34p 104동 중층 4.25 42,500 / 30,000 
104동 중층 4.25억 / 수리는 해도 도배 정도만 하면 됨
좋은동 매물은 ? 107동
에어컨 없는거 4.5억 / 있는거 4.59억
시에 있는 집 없는 집 반반,, 없는 집이 조금 더 많은 거 같기도
하다고 함
4베이 단일구조
vs 은어송하늘채리버뷰 
확실히 그쪽이 좀 더 멀긴하다
새 아파트라 좋긴 한데 금방 파실거면 e편한이 나을거다
전세가 많이 없다
&lt;부동산 평가&gt;
친절 약간 귀찮을랑 말랑 하지만 손님 없어서 말씀 잘 해주시는 느낌
&lt;얻은 정보&gt;
 확실히 아래로는 더 외곽이라 느끼는 듯</v>
      </c>
      <c r="Y27" s="347"/>
      <c r="Z27" s="304"/>
      <c r="AA27" s="304"/>
      <c r="AB27" s="304"/>
      <c r="AC27" s="304"/>
      <c r="AD27" s="304"/>
      <c r="AE27" s="304"/>
      <c r="AF27" s="304"/>
      <c r="AG27" s="304"/>
      <c r="AH27" s="304"/>
    </row>
    <row r="28">
      <c r="A28" s="319"/>
      <c r="B28" s="339">
        <f t="shared" si="9"/>
        <v>23</v>
      </c>
      <c r="C28" s="269" t="s">
        <v>108</v>
      </c>
      <c r="D28" s="364">
        <v>46118.0</v>
      </c>
      <c r="E28" s="269" t="s">
        <v>112</v>
      </c>
      <c r="F28" s="269" t="s">
        <v>789</v>
      </c>
      <c r="G28" s="269" t="s">
        <v>578</v>
      </c>
      <c r="H28" s="344"/>
      <c r="I28" s="344"/>
      <c r="J28" s="269" t="s">
        <v>599</v>
      </c>
      <c r="K28" s="360">
        <v>2024.0</v>
      </c>
      <c r="L28" s="360">
        <v>934.0</v>
      </c>
      <c r="M28" s="331">
        <f t="shared" si="2"/>
        <v>3</v>
      </c>
      <c r="N28" s="269" t="s">
        <v>763</v>
      </c>
      <c r="O28" s="361">
        <v>34.0</v>
      </c>
      <c r="P28" s="361">
        <v>48000.0</v>
      </c>
      <c r="Q28" s="361">
        <v>35000.0</v>
      </c>
      <c r="R28" s="323">
        <f t="shared" si="4"/>
        <v>13000</v>
      </c>
      <c r="S28" s="323">
        <f t="shared" ref="S28:T28" si="31">if(and(P28 &lt;&gt; "", O28 &lt;&gt; ""), P28/O28, "")</f>
        <v>1411.764706</v>
      </c>
      <c r="T28" s="324">
        <f t="shared" si="31"/>
        <v>0.7291666667</v>
      </c>
      <c r="U28" s="346" t="s">
        <v>790</v>
      </c>
      <c r="V28" s="346" t="s">
        <v>791</v>
      </c>
      <c r="W28" s="346" t="s">
        <v>792</v>
      </c>
      <c r="X28" s="334" t="str">
        <f t="shared" si="20"/>
        <v>은어송하늘채리버뷰 2024 934^
리버뷰 010-3460-6176
34p 106동 중층 48,000 / 35,000 
대전역 이용하는 실거주 컨셉
106동 중층 4.8억 A타입
천변뷰 or 식장산뷰 
106동 A타입은 산뷰
천변뷰 or 산뷰 다 좋아한다 취향 차이
A-B타입 똑같다 포베이
C타입 거실 좀 좁다 방이 여러방향이라 좋다 그리고 작은방 하나가 좀 큼
사람들 대전역 많이 다님
VS 에코포레
에코포레보다는 여기가 생활권이 더 좋아요 
&lt;부동산 평가&gt;
친절 여사장님. 쉬는 날 없음 일욜도 나와요
&lt;얻은 정보&gt;
좀 더 나은 생활권 외곽 신축 VS 좀 덜 좋은 생활권 덜 외곽 (준)신축. 에코포레 승이었는데 갑자기 또 헷갈리네</v>
      </c>
      <c r="Y28" s="347"/>
      <c r="Z28" s="304"/>
      <c r="AA28" s="304"/>
      <c r="AB28" s="304"/>
      <c r="AC28" s="304"/>
      <c r="AD28" s="304"/>
      <c r="AE28" s="304"/>
      <c r="AF28" s="304"/>
      <c r="AG28" s="304"/>
      <c r="AH28" s="304"/>
    </row>
    <row r="29">
      <c r="A29" s="319"/>
      <c r="B29" s="339">
        <f t="shared" si="9"/>
        <v>24</v>
      </c>
      <c r="C29" s="269" t="s">
        <v>108</v>
      </c>
      <c r="D29" s="364">
        <v>46118.0</v>
      </c>
      <c r="E29" s="269" t="s">
        <v>112</v>
      </c>
      <c r="F29" s="371" t="s">
        <v>541</v>
      </c>
      <c r="G29" s="269" t="s">
        <v>545</v>
      </c>
      <c r="H29" s="344"/>
      <c r="I29" s="344"/>
      <c r="J29" s="269" t="s">
        <v>703</v>
      </c>
      <c r="K29" s="342">
        <v>2020.0</v>
      </c>
      <c r="L29" s="360">
        <v>2267.0</v>
      </c>
      <c r="M29" s="331">
        <f t="shared" si="2"/>
        <v>7</v>
      </c>
      <c r="N29" s="344"/>
      <c r="O29" s="375"/>
      <c r="P29" s="375"/>
      <c r="Q29" s="375"/>
      <c r="R29" s="323" t="str">
        <f t="shared" si="4"/>
        <v/>
      </c>
      <c r="S29" s="323" t="str">
        <f t="shared" ref="S29:T29" si="32">if(and(P29 &lt;&gt; "", O29 &lt;&gt; ""), P29/O29, "")</f>
        <v/>
      </c>
      <c r="T29" s="324" t="str">
        <f t="shared" si="32"/>
        <v/>
      </c>
      <c r="U29" s="346" t="s">
        <v>793</v>
      </c>
      <c r="V29" s="346" t="s">
        <v>794</v>
      </c>
      <c r="W29" s="368"/>
      <c r="X29" s="334" t="str">
        <f t="shared" si="20"/>
        <v>e편한세상 대전 에코포레 2020 2267^
용운E편한 010-3462-1291
p   /  
이편항 6,7,13동 로얄 
환금성 생각하명 이편한
VS하늘채리버뷰 / 거기도 새아파트라 괜찮긴 해도
&lt;부동산 평가&gt;
남자 사장님 친절
&lt;얻은 정보&gt;
</v>
      </c>
      <c r="Y29" s="347"/>
      <c r="Z29" s="304"/>
      <c r="AA29" s="304"/>
      <c r="AB29" s="304"/>
      <c r="AC29" s="304"/>
      <c r="AD29" s="304"/>
      <c r="AE29" s="304"/>
      <c r="AF29" s="304"/>
      <c r="AG29" s="304"/>
      <c r="AH29" s="304"/>
    </row>
    <row r="30" ht="133.5" customHeight="1">
      <c r="A30" s="319"/>
      <c r="B30" s="376">
        <v>25.0</v>
      </c>
      <c r="C30" s="269" t="s">
        <v>38</v>
      </c>
      <c r="D30" s="364">
        <v>46119.0</v>
      </c>
      <c r="E30" s="269" t="s">
        <v>113</v>
      </c>
      <c r="F30" s="371" t="s">
        <v>795</v>
      </c>
      <c r="G30" s="377" t="s">
        <v>796</v>
      </c>
      <c r="H30" s="269">
        <v>10.0</v>
      </c>
      <c r="I30" s="269">
        <v>0.0</v>
      </c>
      <c r="J30" s="269" t="s">
        <v>797</v>
      </c>
      <c r="K30" s="342">
        <v>2006.0</v>
      </c>
      <c r="L30" s="360">
        <v>670.0</v>
      </c>
      <c r="M30" s="331">
        <f t="shared" si="2"/>
        <v>21</v>
      </c>
      <c r="N30" s="269" t="s">
        <v>798</v>
      </c>
      <c r="O30" s="361">
        <v>30.0</v>
      </c>
      <c r="P30" s="361">
        <v>28000.0</v>
      </c>
      <c r="Q30" s="361">
        <v>22000.0</v>
      </c>
      <c r="R30" s="323">
        <f t="shared" si="4"/>
        <v>6000</v>
      </c>
      <c r="S30" s="323">
        <f t="shared" ref="S30:T30" si="33">if(and(P30 &lt;&gt; "", O30 &lt;&gt; ""), P30/O30, "")</f>
        <v>933.3333333</v>
      </c>
      <c r="T30" s="324">
        <f t="shared" si="33"/>
        <v>0.7857142857</v>
      </c>
      <c r="U30" s="346" t="s">
        <v>799</v>
      </c>
      <c r="V30" s="346" t="s">
        <v>800</v>
      </c>
      <c r="W30" s="346" t="s">
        <v>801</v>
      </c>
      <c r="X30" s="334"/>
      <c r="Y30" s="347"/>
      <c r="Z30" s="304"/>
      <c r="AA30" s="304"/>
      <c r="AB30" s="304"/>
      <c r="AC30" s="304"/>
      <c r="AD30" s="304"/>
      <c r="AE30" s="304"/>
      <c r="AF30" s="304"/>
      <c r="AG30" s="304"/>
      <c r="AH30" s="304"/>
    </row>
    <row r="31" ht="133.5" customHeight="1">
      <c r="A31" s="319"/>
      <c r="B31" s="376">
        <v>26.0</v>
      </c>
      <c r="C31" s="269" t="s">
        <v>38</v>
      </c>
      <c r="D31" s="364">
        <v>46119.0</v>
      </c>
      <c r="E31" s="269" t="s">
        <v>113</v>
      </c>
      <c r="F31" s="371" t="s">
        <v>802</v>
      </c>
      <c r="G31" s="269" t="s">
        <v>803</v>
      </c>
      <c r="H31" s="269">
        <v>132.0</v>
      </c>
      <c r="I31" s="269">
        <v>3.0</v>
      </c>
      <c r="J31" s="269" t="s">
        <v>804</v>
      </c>
      <c r="K31" s="342">
        <v>2020.0</v>
      </c>
      <c r="L31" s="360">
        <v>2267.0</v>
      </c>
      <c r="M31" s="331">
        <f t="shared" si="2"/>
        <v>7</v>
      </c>
      <c r="N31" s="269" t="s">
        <v>805</v>
      </c>
      <c r="O31" s="361">
        <v>33.0</v>
      </c>
      <c r="P31" s="361">
        <v>42500.0</v>
      </c>
      <c r="Q31" s="361">
        <v>30000.0</v>
      </c>
      <c r="R31" s="323">
        <f t="shared" si="4"/>
        <v>12500</v>
      </c>
      <c r="S31" s="323">
        <f t="shared" ref="S31:T31" si="34">if(and(P31 &lt;&gt; "", O31 &lt;&gt; ""), P31/O31, "")</f>
        <v>1287.878788</v>
      </c>
      <c r="T31" s="324">
        <f t="shared" si="34"/>
        <v>0.7058823529</v>
      </c>
      <c r="U31" s="346" t="s">
        <v>806</v>
      </c>
      <c r="V31" s="346" t="s">
        <v>783</v>
      </c>
      <c r="W31" s="346" t="s">
        <v>807</v>
      </c>
      <c r="X31" s="334"/>
      <c r="Y31" s="347"/>
      <c r="Z31" s="304"/>
      <c r="AA31" s="304"/>
      <c r="AB31" s="304"/>
      <c r="AC31" s="304"/>
      <c r="AD31" s="304"/>
      <c r="AE31" s="304"/>
      <c r="AF31" s="304"/>
      <c r="AG31" s="304"/>
      <c r="AH31" s="304"/>
    </row>
    <row r="32">
      <c r="A32" s="319"/>
      <c r="B32" s="376">
        <v>27.0</v>
      </c>
      <c r="C32" s="269" t="s">
        <v>110</v>
      </c>
      <c r="D32" s="364">
        <v>46119.0</v>
      </c>
      <c r="E32" s="269" t="s">
        <v>113</v>
      </c>
      <c r="F32" s="269" t="s">
        <v>458</v>
      </c>
      <c r="G32" s="378" t="s">
        <v>747</v>
      </c>
      <c r="H32" s="269">
        <v>99.0</v>
      </c>
      <c r="I32" s="269">
        <v>10.0</v>
      </c>
      <c r="J32" s="269" t="s">
        <v>477</v>
      </c>
      <c r="K32" s="360">
        <v>2018.0</v>
      </c>
      <c r="L32" s="360">
        <v>1345.0</v>
      </c>
      <c r="M32" s="331">
        <f t="shared" si="2"/>
        <v>9</v>
      </c>
      <c r="N32" s="269" t="s">
        <v>808</v>
      </c>
      <c r="O32" s="361">
        <v>34.0</v>
      </c>
      <c r="P32" s="361">
        <v>49500.0</v>
      </c>
      <c r="Q32" s="361">
        <v>30000.0</v>
      </c>
      <c r="R32" s="323">
        <f t="shared" si="4"/>
        <v>19500</v>
      </c>
      <c r="S32" s="323">
        <f t="shared" ref="S32:T32" si="35">if(and(P32 &lt;&gt; "", O32 &lt;&gt; ""), P32/O32, "")</f>
        <v>1455.882353</v>
      </c>
      <c r="T32" s="324">
        <f t="shared" si="35"/>
        <v>0.6060606061</v>
      </c>
      <c r="U32" s="346" t="s">
        <v>809</v>
      </c>
      <c r="V32" s="346" t="s">
        <v>810</v>
      </c>
      <c r="W32" s="346" t="s">
        <v>811</v>
      </c>
      <c r="X32" s="334" t="str">
        <f t="shared" ref="X32:X69" si="37">if(OR(U32 &lt;&gt;"", V32&lt;&gt;"", W32 &lt;&gt; ""), TEXTJOIN("", TRUE, J32, " ", K32, " ", L32, "^", char(10), F32, " ", G32,  char(10), O32, "p ",N32, " ", P32, " / ", Q32 , " ", CHAR(10),CHAR(10), U32,  CHAR(10),CHAR(10), "&lt;부동산 평가&gt;",CHAR(10),CHAR(10), V32,  CHAR(10),CHAR(10), "&lt;얻은 정보&gt;", CHAR(10),CHAR(10),W32), "")
</f>
        <v>이스트시티1단지 2018 1345^
이스트사랑 010-9767-3823
34p 102동/4층/남동향 49,500 / 30,000 
전세끼고 물건. 3억/ 현 전세는 3억6천-4억선. 지금 전세 높게 나와있지만 희망가다. 최근 110동 3억6천에 거래. 이건 102동이니까 좀 더 받을 수 있다. 서울사는 주인분들이 다주택자라서 처분하시려고 저렴하게 내놓으신 것. 
집 상태는 사장님이 보기에는 크게 건드릴 거 없다 도배정도만 하면 된다. 애들 키우는 분들이 살고 계신다. 이미 갱신된 물건이라 내년 7월 만료다. 안나가고 계속 살고 싶은 마음도 있으신 것 같다. 물어는 봐야 한다. 아이들은 초등,유아 정도 또래. 세입자분들 집 잘 보여주신다. 
&lt;부동산 평가&gt;
남자사장님, 적극적이심. 다음주에 콜백주신다고까지...
&lt;얻은 정보&gt;
 동이 1,2,3동이 로얄동이라서. SK뷰에서 대전역까지는 솔직히 매일 은 못걸어다린다. 이스트 시티에는 10-12분정도 걸림(하도 사람들이 물어봐서 사장님이 직접 걸어보셨다고 함). 
이스트시티에 코레일 많이 사시냐는 질문에, 많이사셔서 소문으로는 철도아파트라고 불린다. 하도 많이 사셔서. 대전역 출퇴근하시는 분들도 많다. </v>
      </c>
      <c r="Y32" s="347"/>
      <c r="Z32" s="304"/>
      <c r="AA32" s="304"/>
      <c r="AB32" s="304"/>
      <c r="AC32" s="304"/>
      <c r="AD32" s="304"/>
      <c r="AE32" s="304"/>
      <c r="AF32" s="304"/>
      <c r="AG32" s="304"/>
      <c r="AH32" s="304"/>
    </row>
    <row r="33">
      <c r="A33" s="319"/>
      <c r="B33" s="339">
        <f t="shared" ref="B33:B61" si="38">B32+1</f>
        <v>28</v>
      </c>
      <c r="C33" s="269" t="s">
        <v>23</v>
      </c>
      <c r="D33" s="364">
        <v>46119.0</v>
      </c>
      <c r="E33" s="269" t="s">
        <v>113</v>
      </c>
      <c r="F33" s="269" t="s">
        <v>812</v>
      </c>
      <c r="G33" s="269" t="s">
        <v>813</v>
      </c>
      <c r="H33" s="344"/>
      <c r="I33" s="344"/>
      <c r="J33" s="269" t="s">
        <v>622</v>
      </c>
      <c r="K33" s="360">
        <v>2023.0</v>
      </c>
      <c r="L33" s="360">
        <v>430.0</v>
      </c>
      <c r="M33" s="331">
        <f t="shared" si="2"/>
        <v>4</v>
      </c>
      <c r="N33" s="269" t="s">
        <v>814</v>
      </c>
      <c r="O33" s="361">
        <v>32.0</v>
      </c>
      <c r="P33" s="361">
        <v>38000.0</v>
      </c>
      <c r="Q33" s="375"/>
      <c r="R33" s="323" t="str">
        <f t="shared" si="4"/>
        <v/>
      </c>
      <c r="S33" s="323">
        <f t="shared" ref="S33:T33" si="36">if(and(P33 &lt;&gt; "", O33 &lt;&gt; ""), P33/O33, "")</f>
        <v>1187.5</v>
      </c>
      <c r="T33" s="324" t="str">
        <f t="shared" si="36"/>
        <v/>
      </c>
      <c r="U33" s="346" t="s">
        <v>815</v>
      </c>
      <c r="V33" s="346" t="s">
        <v>816</v>
      </c>
      <c r="W33" s="346" t="s">
        <v>817</v>
      </c>
      <c r="X33" s="334" t="str">
        <f t="shared" si="37"/>
        <v>고운하이플러스 2023 430^
신도공인 010-5664-0289
32p 104동 6층 남향 38,000 /  
[매물정보] 연세 있는 주인분 급매, 정리하고 지방(더 지방, 시골) 내려가려하신다고. 근저당 있긴 한데 말소 가능한 수준, 부사님이 이 집주인분 물건 여럿(?) 팔아줬어서 3.8보다 더 네고 가능하실 거라함.
[시세] 전세는 2.8 정도 ~ 매물 없으니 높게 해보면 3.0억 / 본 매물 3.8 (네고 가능), 세안은 물건 3.9억, 실입주물 4.0억 / 세낀 매물 전세 2.5~2.6 수준 / 최근 4.0억에 2건 거래돼서 호가를 내리지 않는 편이라고.. 
[분위기] 호가 얘기와는 달리 비밀번호를 맡기는 편이라 함 (= 부사님이 엄청난 일잘러시거나 혹은 집주인들이 빨리 처분하려는 의지가 상당한 것으로 느껴졌음)   24평은 신혼부부 or 1인 가구, 32평은 짐 많은 분들 35-36평은 복층 펜트하우스 5억.
&lt;부동산 평가&gt;
무뚝뚝한 것 같은데 엄청 적극적인, 물건 잘꿰고 계심, 일잘러(? 혹은 허세?)
전화끊고 콜백옴, 내가 간만의 연락인듯
&lt;얻은 정보&gt;
[단지 정보] 32평은 101동 빼고는 다 괜찮. 101동 3호 라인이 조망이 막혀서 // 24평은 세대수가 많다보니 가격이 좀 더 잘 깎이는 편이라고..
[매매 분위기] 실거주자 위주, 투자자는 왔다가 그냥 갔음, 요즘 뜸함, 전세는 물건이 없어서 문의가 없음</v>
      </c>
      <c r="Y33" s="347"/>
      <c r="Z33" s="304"/>
      <c r="AA33" s="304"/>
      <c r="AB33" s="304"/>
      <c r="AC33" s="304"/>
      <c r="AD33" s="304"/>
      <c r="AE33" s="304"/>
      <c r="AF33" s="304"/>
      <c r="AG33" s="304"/>
      <c r="AH33" s="304"/>
    </row>
    <row r="34">
      <c r="A34" s="319"/>
      <c r="B34" s="339">
        <f t="shared" si="38"/>
        <v>29</v>
      </c>
      <c r="C34" s="269" t="s">
        <v>21</v>
      </c>
      <c r="D34" s="364">
        <v>46119.0</v>
      </c>
      <c r="E34" s="269" t="s">
        <v>113</v>
      </c>
      <c r="F34" s="269" t="s">
        <v>818</v>
      </c>
      <c r="G34" s="269" t="s">
        <v>819</v>
      </c>
      <c r="H34" s="344"/>
      <c r="I34" s="344"/>
      <c r="J34" s="269" t="s">
        <v>820</v>
      </c>
      <c r="K34" s="360">
        <v>2011.08</v>
      </c>
      <c r="L34" s="360">
        <v>1025.0</v>
      </c>
      <c r="M34" s="331">
        <f t="shared" si="2"/>
        <v>15.92</v>
      </c>
      <c r="N34" s="269" t="s">
        <v>821</v>
      </c>
      <c r="O34" s="361">
        <v>34.0</v>
      </c>
      <c r="P34" s="361">
        <v>35000.0</v>
      </c>
      <c r="Q34" s="361">
        <v>28000.0</v>
      </c>
      <c r="R34" s="323">
        <f t="shared" si="4"/>
        <v>7000</v>
      </c>
      <c r="S34" s="323">
        <f t="shared" ref="S34:T34" si="39">if(and(P34 &lt;&gt; "", O34 &lt;&gt; ""), P34/O34, "")</f>
        <v>1029.411765</v>
      </c>
      <c r="T34" s="324">
        <f t="shared" si="39"/>
        <v>0.8</v>
      </c>
      <c r="U34" s="346" t="s">
        <v>822</v>
      </c>
      <c r="V34" s="346" t="s">
        <v>823</v>
      </c>
      <c r="W34" s="368"/>
      <c r="X34" s="334" t="str">
        <f t="shared" si="37"/>
        <v>아침LH 2011.08 1025^
양지부동산 010-8246-5554
34p 113동 5층 남동향 35,000 / 28,000 
은어송보다는 연식 좋고 교통 좋아서 더 선호함
(은어송 쪽 풍림아이원, 아이파크보다도 가격 높아서 물어봄)
Q. 은어송 쪽보다 여기가 더 좋나여? 
A. 은어송은 지금 살고 있으면 괜찮지만 지금 들어가기에는 연식때문에 아침LH가 낫다. 
Q. 전세 잘나가나요? 시세는? 
A. 전세 없어서 기다리는 중, 전세 내면 바로 나간다. 33평 전세 시세는 2.8 
Q. 로얄동은? 
A. 103동, 역에서부터 가까워서라기보다는 앞 뒤 다 트여있어서 103동 선호 
&lt;궁금증&gt;
1. 역과 가까워서 교통 좋다고 자꾸 하시는데 역이 정말 그정도로 선호도에 영향 많이 끼칠까? 
다른 역은 그렇다 쳐도 대전역은 좀 의미 있을지도? 
2. 30평에 매매가 6억 올려놓은 거 있던데 물어보는 거 까먹었다. 
&lt;부동산 평가&gt;
묻는 말에만 대답해주시고 너어무 시크함 
&lt;얻은 정보&gt;
</v>
      </c>
      <c r="Y34" s="347"/>
      <c r="Z34" s="304"/>
      <c r="AA34" s="304"/>
      <c r="AB34" s="304"/>
      <c r="AC34" s="304"/>
      <c r="AD34" s="304"/>
      <c r="AE34" s="304"/>
      <c r="AF34" s="304"/>
      <c r="AG34" s="304"/>
      <c r="AH34" s="304"/>
    </row>
    <row r="35">
      <c r="A35" s="319"/>
      <c r="B35" s="339">
        <f t="shared" si="38"/>
        <v>30</v>
      </c>
      <c r="C35" s="269" t="s">
        <v>23</v>
      </c>
      <c r="D35" s="364">
        <v>46119.0</v>
      </c>
      <c r="E35" s="269" t="s">
        <v>113</v>
      </c>
      <c r="F35" s="269" t="s">
        <v>824</v>
      </c>
      <c r="G35" s="269" t="s">
        <v>803</v>
      </c>
      <c r="H35" s="269">
        <v>39.0</v>
      </c>
      <c r="I35" s="269">
        <v>1.0</v>
      </c>
      <c r="J35" s="269" t="s">
        <v>825</v>
      </c>
      <c r="K35" s="360">
        <v>2020.11</v>
      </c>
      <c r="L35" s="360">
        <v>2267.0</v>
      </c>
      <c r="M35" s="331">
        <f t="shared" si="2"/>
        <v>6.89</v>
      </c>
      <c r="N35" s="269" t="s">
        <v>826</v>
      </c>
      <c r="O35" s="361">
        <v>33.0</v>
      </c>
      <c r="P35" s="361">
        <v>42500.0</v>
      </c>
      <c r="Q35" s="361">
        <v>30000.0</v>
      </c>
      <c r="R35" s="323">
        <f t="shared" si="4"/>
        <v>12500</v>
      </c>
      <c r="S35" s="323">
        <f t="shared" ref="S35:T35" si="40">if(and(P35 &lt;&gt; "", O35 &lt;&gt; ""), P35/O35, "")</f>
        <v>1287.878788</v>
      </c>
      <c r="T35" s="324">
        <f t="shared" si="40"/>
        <v>0.7058823529</v>
      </c>
      <c r="U35" s="346" t="s">
        <v>827</v>
      </c>
      <c r="V35" s="346" t="s">
        <v>828</v>
      </c>
      <c r="W35" s="346" t="s">
        <v>829</v>
      </c>
      <c r="X35" s="334" t="str">
        <f t="shared" si="37"/>
        <v>e편한세상대전에코포레 2020.11 2267^
원탑공인중개사사무소 010-7506-8792
33p 104동 중/33층 남동향 (13층) 42,500 / 30,000 
[매물정보]
세입자가 빨리 나가게 돼서 급매, 다만 9월까지 입주 시기는 협의 가능함
에어컨 없어서 3.1~3.4는 어려울 것 같고 보수적으로 3.0 추천
[시세/분위기]
전세 2개 2.8 &amp; 3.0 있던데 안나가는 이유? 입주 날짜가 안맞거나 집주인 사정이 있을 것 (들었는데 까먹으셨다고). 스치는 말로 "그래도 전세는 매매보다 잘되니까"라고  하신걸로 봐서 현재 거래가 활발하다고 보긴 어렵다.
개학 직전에 거래 많았고 지금은 뜸한.. 
&lt;부동산 평가&gt;
단지 타입에 대해선 빠삭하지만 매물 상황에 대해선 잘 모르심
&lt;얻은 정보&gt;
[얻은 정보]
- 로얄동 : 106, 107, 113 ~ 조망 확보돼서. 104는 좀 가림
- 방3 vs 방4 : 방3은 작은방 확장해서 거실이 엄청 넓은 구조 vs 방4는 알파룸처럼 구성, 보통 펜트리로 사용하신다고. 선호도 비슷하지만, 굳이 따지자면 방4가 더 빨리 빠졌다. (현재 남아있는 매물 방3이 많은 이유) 애기 키우고 하면 짐이 많아서 펜트리를 더 선호
[내생각]
6월에 대전역 e편한센텀비스타, 주복이긴 하지만 400^에 현재 전세 매물 58개 ~ 전세 최저 3.0 부터 3.2~3.4 사이 포진.. 주변 환경이 별로라 애기 키우기엔 꺼려지지만 신축 전세로 저렴하다보니 상대적으로 e편한에코포레가 전세 높게 빼기는 다소 어려울 듯.
잔금 시기를 9월로 미뤄서 입주 마무리된 후가 낫지 않을까,, </v>
      </c>
      <c r="Y35" s="347"/>
      <c r="Z35" s="304"/>
      <c r="AA35" s="304"/>
      <c r="AB35" s="304"/>
      <c r="AC35" s="304"/>
      <c r="AD35" s="304"/>
      <c r="AE35" s="304"/>
      <c r="AF35" s="304"/>
      <c r="AG35" s="304"/>
      <c r="AH35" s="304"/>
    </row>
    <row r="36">
      <c r="A36" s="319"/>
      <c r="B36" s="339">
        <f t="shared" si="38"/>
        <v>31</v>
      </c>
      <c r="C36" s="269" t="s">
        <v>110</v>
      </c>
      <c r="D36" s="364">
        <v>46120.0</v>
      </c>
      <c r="E36" s="269" t="s">
        <v>114</v>
      </c>
      <c r="F36" s="269" t="s">
        <v>830</v>
      </c>
      <c r="G36" s="269" t="s">
        <v>831</v>
      </c>
      <c r="H36" s="269">
        <v>81.0</v>
      </c>
      <c r="I36" s="269">
        <v>2.0</v>
      </c>
      <c r="J36" s="269" t="s">
        <v>832</v>
      </c>
      <c r="K36" s="360">
        <v>2007.0</v>
      </c>
      <c r="L36" s="360">
        <v>664.0</v>
      </c>
      <c r="M36" s="331">
        <f t="shared" si="2"/>
        <v>20</v>
      </c>
      <c r="N36" s="269" t="s">
        <v>833</v>
      </c>
      <c r="O36" s="361">
        <v>34.0</v>
      </c>
      <c r="P36" s="361">
        <v>32000.0</v>
      </c>
      <c r="Q36" s="375"/>
      <c r="R36" s="323" t="str">
        <f t="shared" si="4"/>
        <v/>
      </c>
      <c r="S36" s="323">
        <f t="shared" ref="S36:T36" si="41">if(and(P36 &lt;&gt; "", O36 &lt;&gt; ""), P36/O36, "")</f>
        <v>941.1764706</v>
      </c>
      <c r="T36" s="324" t="str">
        <f t="shared" si="41"/>
        <v/>
      </c>
      <c r="U36" s="346" t="s">
        <v>834</v>
      </c>
      <c r="V36" s="346" t="s">
        <v>835</v>
      </c>
      <c r="W36" s="346" t="s">
        <v>836</v>
      </c>
      <c r="X36" s="334" t="str">
        <f t="shared" si="37"/>
        <v>1차풍림아이원 2007 664^
코오롱하늘채 010-5463-2025
34p 104동/21층/남서향 32,000 /  
사놓고 나중에 들어가겠다는 컨셉)
전세가..2.5억에  도배 정도하면 나갈 것 같음. 전세대기자까지는 없음
전망 앞뒤로 뚫려있, 뒤로 십장산 앞으로는 보문산. 최근에 거래되려다 실패하면서 집주인이 2천 내려놓은 것.
주인분사시는데. 분양받아서 빨리팔고 나가고 싶어하심.
3억1천, 105동 19층(B형)은 6월 세입자만기 급매라는데. B형이라고 추천하지 않으심.  
RR 사둘거면 이게 맞음. 
&lt;부동산 평가&gt;
친절하심.
&lt;얻은 정보&gt;
7동 가장 선호동 막힘없는1동 3동 4동 5동 식장산 조망되는 동이 로얄. A구조 선호도 높음. </v>
      </c>
      <c r="Y36" s="347"/>
      <c r="Z36" s="304"/>
      <c r="AA36" s="304"/>
      <c r="AB36" s="304"/>
      <c r="AC36" s="304"/>
      <c r="AD36" s="304"/>
      <c r="AE36" s="304"/>
      <c r="AF36" s="304"/>
      <c r="AG36" s="304"/>
      <c r="AH36" s="304"/>
    </row>
    <row r="37">
      <c r="A37" s="319"/>
      <c r="B37" s="339">
        <f t="shared" si="38"/>
        <v>32</v>
      </c>
      <c r="C37" s="269" t="s">
        <v>110</v>
      </c>
      <c r="D37" s="364">
        <v>46120.0</v>
      </c>
      <c r="E37" s="269" t="s">
        <v>114</v>
      </c>
      <c r="F37" s="269" t="s">
        <v>837</v>
      </c>
      <c r="G37" s="269" t="s">
        <v>838</v>
      </c>
      <c r="H37" s="269">
        <v>25.0</v>
      </c>
      <c r="I37" s="269">
        <v>0.0</v>
      </c>
      <c r="J37" s="269" t="s">
        <v>839</v>
      </c>
      <c r="K37" s="360">
        <v>2016.0</v>
      </c>
      <c r="L37" s="360">
        <v>408.0</v>
      </c>
      <c r="M37" s="331">
        <f t="shared" si="2"/>
        <v>11</v>
      </c>
      <c r="N37" s="269" t="s">
        <v>840</v>
      </c>
      <c r="O37" s="361">
        <v>35.0</v>
      </c>
      <c r="P37" s="361">
        <v>36000.0</v>
      </c>
      <c r="Q37" s="361">
        <v>28000.0</v>
      </c>
      <c r="R37" s="323">
        <f t="shared" si="4"/>
        <v>8000</v>
      </c>
      <c r="S37" s="323">
        <f t="shared" ref="S37:T37" si="42">if(and(P37 &lt;&gt; "", O37 &lt;&gt; ""), P37/O37, "")</f>
        <v>1028.571429</v>
      </c>
      <c r="T37" s="324">
        <f t="shared" si="42"/>
        <v>0.7777777778</v>
      </c>
      <c r="U37" s="346" t="s">
        <v>841</v>
      </c>
      <c r="V37" s="346" t="s">
        <v>842</v>
      </c>
      <c r="W37" s="346" t="s">
        <v>843</v>
      </c>
      <c r="X37" s="334" t="str">
        <f t="shared" si="37"/>
        <v>은어송코오롱하늘채2차 2016 408^
하늘채우리집 010-9898-5466
35p 102동/8층/남동향 36,000 / 28,000 
B타입 물건. 로얄동물건 중 지금 102동 8층이 제일 상태 좋다. 하지만 3.6억에서 전혀 네고 가능성 없고 그 외 RR은 네고 가능할 것 같다.  전세는 현재2.8억에 나와있으나 2.5-6억이면 바로 나간다. 
&lt;부동산 평가&gt;
사장님 경매도 하시는 분. 아주 적극적이심. 
&lt;얻은 정보&gt;
A형이 귀한 인기구조 이유는 4BAY라서, 하지만 조금 좁아보이는 경향이 있어 그건 와서 봐야 안다. 그리고  101,102동 상가쪽이 로얄동.  들어올 때 드레스룸 옵션이 있어서 드레스룸+방/방크게 두 스타일이있음. 각자 선호도 다름. </v>
      </c>
      <c r="Y37" s="347"/>
      <c r="Z37" s="304"/>
      <c r="AA37" s="304"/>
      <c r="AB37" s="304"/>
      <c r="AC37" s="304"/>
      <c r="AD37" s="304"/>
      <c r="AE37" s="304"/>
      <c r="AF37" s="304"/>
      <c r="AG37" s="304"/>
      <c r="AH37" s="304"/>
    </row>
    <row r="38">
      <c r="A38" s="319"/>
      <c r="B38" s="339">
        <f t="shared" si="38"/>
        <v>33</v>
      </c>
      <c r="C38" s="269" t="s">
        <v>37</v>
      </c>
      <c r="D38" s="364">
        <v>46120.0</v>
      </c>
      <c r="E38" s="269" t="s">
        <v>114</v>
      </c>
      <c r="F38" s="269" t="s">
        <v>844</v>
      </c>
      <c r="G38" s="269" t="s">
        <v>544</v>
      </c>
      <c r="H38" s="344"/>
      <c r="I38" s="269">
        <v>0.0</v>
      </c>
      <c r="J38" s="269" t="s">
        <v>845</v>
      </c>
      <c r="K38" s="360">
        <v>2007.0</v>
      </c>
      <c r="L38" s="379">
        <v>813.0</v>
      </c>
      <c r="M38" s="331">
        <f t="shared" si="2"/>
        <v>20</v>
      </c>
      <c r="N38" s="269" t="s">
        <v>846</v>
      </c>
      <c r="O38" s="361">
        <v>34.0</v>
      </c>
      <c r="P38" s="361">
        <v>32000.0</v>
      </c>
      <c r="Q38" s="361">
        <v>25000.0</v>
      </c>
      <c r="R38" s="323">
        <f t="shared" si="4"/>
        <v>7000</v>
      </c>
      <c r="S38" s="323">
        <f t="shared" ref="S38:T38" si="43">if(and(P38 &lt;&gt; "", O38 &lt;&gt; ""), P38/O38, "")</f>
        <v>941.1764706</v>
      </c>
      <c r="T38" s="324">
        <f t="shared" si="43"/>
        <v>0.78125</v>
      </c>
      <c r="U38" s="346" t="s">
        <v>847</v>
      </c>
      <c r="V38" s="346" t="s">
        <v>848</v>
      </c>
      <c r="W38" s="380" t="s">
        <v>849</v>
      </c>
      <c r="X38" s="334" t="str">
        <f t="shared" si="37"/>
        <v>어진마을 2007 813^
어진마을공인중개 010-9784-3360
34p 104동 11층 남동향 32,000 / 25,000 
전세 시세 2.5. 전세는 똑같이 찾지만 어진이 먼저 올라갔고 팔렸다. 신흥은 아직 싸다고 생각한다. 낀평형과 34평 전세 나가는건 똑같다. 현재 어진은 물건이 많진 않지만 104동 11층 3.2-&gt;3.1로 할 가능성 있다. 완전 기본이다. 
&lt;부동산 평가&gt;
적극적
&lt;얻은 정보&gt;
신흥이 아직 싸다고 생각한다 = 신흥이 덜 팔렸다? 일단 어진은 34평 거래가 됬다. 물건도 많이 없다. 두개 세대수 비교를 좀 해봐야겠다. 그래도 어진&gt;신흥이라고 생각하시는것 같다. 근데 전세놓는건 똑같다. 
여기는 연식이 떨어지기 때문에 둘을 똑같이 놓고 물건상태 보고 접근해야할것같다.  </v>
      </c>
      <c r="Y38" s="347"/>
      <c r="Z38" s="304"/>
      <c r="AA38" s="304"/>
      <c r="AB38" s="304"/>
      <c r="AC38" s="304"/>
      <c r="AD38" s="304"/>
      <c r="AE38" s="304"/>
      <c r="AF38" s="304"/>
      <c r="AG38" s="304"/>
      <c r="AH38" s="304"/>
    </row>
    <row r="39">
      <c r="A39" s="319"/>
      <c r="B39" s="339">
        <f t="shared" si="38"/>
        <v>34</v>
      </c>
      <c r="C39" s="269" t="s">
        <v>55</v>
      </c>
      <c r="D39" s="364">
        <v>46120.0</v>
      </c>
      <c r="E39" s="269" t="s">
        <v>114</v>
      </c>
      <c r="F39" s="269" t="s">
        <v>850</v>
      </c>
      <c r="G39" s="269" t="s">
        <v>851</v>
      </c>
      <c r="H39" s="344"/>
      <c r="I39" s="344"/>
      <c r="J39" s="269" t="s">
        <v>852</v>
      </c>
      <c r="K39" s="360">
        <v>1985.1</v>
      </c>
      <c r="L39" s="379">
        <v>460.0</v>
      </c>
      <c r="M39" s="331">
        <f t="shared" si="2"/>
        <v>41.9</v>
      </c>
      <c r="N39" s="269" t="s">
        <v>853</v>
      </c>
      <c r="O39" s="361">
        <v>19.0</v>
      </c>
      <c r="P39" s="361">
        <v>16000.0</v>
      </c>
      <c r="Q39" s="375"/>
      <c r="R39" s="323" t="str">
        <f t="shared" si="4"/>
        <v/>
      </c>
      <c r="S39" s="323">
        <f t="shared" ref="S39:T39" si="44">if(and(P39 &lt;&gt; "", O39 &lt;&gt; ""), P39/O39, "")</f>
        <v>842.1052632</v>
      </c>
      <c r="T39" s="324" t="str">
        <f t="shared" si="44"/>
        <v/>
      </c>
      <c r="U39" s="346" t="s">
        <v>854</v>
      </c>
      <c r="V39" s="346" t="s">
        <v>783</v>
      </c>
      <c r="W39" s="346" t="s">
        <v>855</v>
      </c>
      <c r="X39" s="334" t="str">
        <f t="shared" si="37"/>
        <v>가오주공 1985.1 460^
우미린공인 042-286-8090,
010-3462-0733
19p 114동 고층 16,000 /  
재건축 진행 과정 중간 단계까지 왔는데 안맞는 부분있어서 딜레이되고 있음. 이사나가고 하는 단계는 아니라서 시간을 오래가져야 함. 투자로 보고 있다고 하니 부동산 경기가 안좋고 불투명해서 투자를 권하지는 않음. 투자자 거래 요즘 한 건도 없고 문의도 없다고 함. 본인들이야 팔면 되지만 투자 권하지 않음.
Q. 재건축 말고 다른 단지는? - 투자 자체를 보수적으로 봄.
&lt;부동산 평가&gt;
친절
&lt;얻은 정보&gt;
투자를 하지말라는 듯이 말씀하셔서 입지 얘기는 꺼내지도 못했다. 다른 부동산과 크로스체크해봐야겠지만 이동네 부동산 시장 분위기가 안좋은건가?</v>
      </c>
      <c r="Y39" s="347"/>
      <c r="Z39" s="304"/>
      <c r="AA39" s="304"/>
      <c r="AB39" s="304"/>
      <c r="AC39" s="304"/>
      <c r="AD39" s="304"/>
      <c r="AE39" s="304"/>
      <c r="AF39" s="304"/>
      <c r="AG39" s="304"/>
      <c r="AH39" s="304"/>
    </row>
    <row r="40">
      <c r="A40" s="319"/>
      <c r="B40" s="339">
        <f t="shared" si="38"/>
        <v>35</v>
      </c>
      <c r="C40" s="269" t="s">
        <v>55</v>
      </c>
      <c r="D40" s="364">
        <v>46120.0</v>
      </c>
      <c r="E40" s="269" t="s">
        <v>114</v>
      </c>
      <c r="F40" s="269" t="s">
        <v>610</v>
      </c>
      <c r="G40" s="269" t="s">
        <v>856</v>
      </c>
      <c r="H40" s="344"/>
      <c r="I40" s="344"/>
      <c r="J40" s="269" t="s">
        <v>857</v>
      </c>
      <c r="K40" s="360">
        <v>2017.02</v>
      </c>
      <c r="L40" s="360">
        <v>1241.0</v>
      </c>
      <c r="M40" s="331">
        <f t="shared" si="2"/>
        <v>9.98</v>
      </c>
      <c r="N40" s="269" t="s">
        <v>858</v>
      </c>
      <c r="O40" s="361">
        <v>35.0</v>
      </c>
      <c r="P40" s="361">
        <v>33500.0</v>
      </c>
      <c r="Q40" s="361">
        <v>27000.0</v>
      </c>
      <c r="R40" s="323">
        <f t="shared" si="4"/>
        <v>6500</v>
      </c>
      <c r="S40" s="323">
        <f t="shared" ref="S40:T40" si="45">if(and(P40 &lt;&gt; "", O40 &lt;&gt; ""), P40/O40, "")</f>
        <v>957.1428571</v>
      </c>
      <c r="T40" s="324">
        <f t="shared" si="45"/>
        <v>0.8059701493</v>
      </c>
      <c r="U40" s="346" t="s">
        <v>859</v>
      </c>
      <c r="V40" s="346" t="s">
        <v>783</v>
      </c>
      <c r="W40" s="346" t="s">
        <v>860</v>
      </c>
      <c r="X40" s="334" t="str">
        <f t="shared" si="37"/>
        <v>은어송2단지코오롱하늘채 2017.02 1241^
코오롱하늘채공인 042-286-0114,010-5463-2025
35p 206동 중층 33,500 / 27,000 
[실거주자 컨셉] 세입자 만기 4월, 7월까지 더 살고 나감. 거실만 확장되어있고 수리는 화장실부터 싱크대까지 다 수리해야한다. 206동이 앞동이고 초등학교가 가까워서 좋다. 3단지 아이파크랑 같이 보고 있다고 하니 2단지가 초등학교를 끼고 있어서 더 좋다고 하셨다. 신혼부부들은 신축으로 가지 여기로 안들어온다.
&lt;부동산 평가&gt;
친절
&lt;얻은 정보&gt;
2단지가 단지 분위기가 좋아서 젊은 층들이 선호할 것 같았는데 신혼부부가 들어오는 단지는 아니라니 의외였다. 선호도는 확실히 신축인가.</v>
      </c>
      <c r="Y40" s="381"/>
      <c r="Z40" s="304"/>
      <c r="AA40" s="304"/>
      <c r="AB40" s="304"/>
      <c r="AC40" s="304"/>
      <c r="AD40" s="304"/>
      <c r="AE40" s="304"/>
      <c r="AF40" s="304"/>
      <c r="AG40" s="304"/>
      <c r="AH40" s="304"/>
    </row>
    <row r="41">
      <c r="A41" s="319"/>
      <c r="B41" s="339">
        <f t="shared" si="38"/>
        <v>36</v>
      </c>
      <c r="C41" s="269" t="s">
        <v>23</v>
      </c>
      <c r="D41" s="364">
        <v>46120.0</v>
      </c>
      <c r="E41" s="269" t="s">
        <v>114</v>
      </c>
      <c r="F41" s="269" t="s">
        <v>861</v>
      </c>
      <c r="G41" s="269">
        <v>-3360.0</v>
      </c>
      <c r="H41" s="344"/>
      <c r="I41" s="344"/>
      <c r="J41" s="269" t="s">
        <v>845</v>
      </c>
      <c r="K41" s="382">
        <v>2007.0</v>
      </c>
      <c r="L41" s="360">
        <v>813.0</v>
      </c>
      <c r="M41" s="331">
        <f t="shared" si="2"/>
        <v>20</v>
      </c>
      <c r="N41" s="269" t="s">
        <v>862</v>
      </c>
      <c r="O41" s="361">
        <v>34.0</v>
      </c>
      <c r="P41" s="361">
        <v>33000.0</v>
      </c>
      <c r="Q41" s="361">
        <v>25000.0</v>
      </c>
      <c r="R41" s="323">
        <f t="shared" si="4"/>
        <v>8000</v>
      </c>
      <c r="S41" s="323">
        <f t="shared" ref="S41:T41" si="46">if(and(P41 &lt;&gt; "", O41 &lt;&gt; ""), P41/O41, "")</f>
        <v>970.5882353</v>
      </c>
      <c r="T41" s="324">
        <f t="shared" si="46"/>
        <v>0.7575757576</v>
      </c>
      <c r="U41" s="346" t="s">
        <v>863</v>
      </c>
      <c r="V41" s="346" t="s">
        <v>864</v>
      </c>
      <c r="W41" s="346" t="s">
        <v>865</v>
      </c>
      <c r="X41" s="334" t="str">
        <f t="shared" si="37"/>
        <v>어진마을 2007 813^
어진마을공인중개사  -3360
34p 106동 고/25층 33,000 / 25,000 
어진 전세는 2.5에 가능
부사님 바쁘셔서 낼 연락주시기로
&lt;부동산 평가&gt;
아직 콜백 없지만 (4/9) 문자로 명함은 보내주심
&lt;얻은 정보&gt;
n/a</v>
      </c>
      <c r="Y41" s="347"/>
      <c r="Z41" s="304"/>
      <c r="AA41" s="304"/>
      <c r="AB41" s="304"/>
      <c r="AC41" s="304"/>
      <c r="AD41" s="304"/>
      <c r="AE41" s="304"/>
      <c r="AF41" s="304"/>
      <c r="AG41" s="304"/>
      <c r="AH41" s="304"/>
    </row>
    <row r="42">
      <c r="A42" s="319"/>
      <c r="B42" s="339">
        <f t="shared" si="38"/>
        <v>37</v>
      </c>
      <c r="C42" s="269" t="s">
        <v>23</v>
      </c>
      <c r="D42" s="364">
        <v>46120.0</v>
      </c>
      <c r="E42" s="269" t="s">
        <v>114</v>
      </c>
      <c r="F42" s="383" t="s">
        <v>866</v>
      </c>
      <c r="G42" s="371" t="s">
        <v>463</v>
      </c>
      <c r="H42" s="384">
        <v>50.0</v>
      </c>
      <c r="I42" s="384">
        <v>0.0</v>
      </c>
      <c r="J42" s="384" t="s">
        <v>845</v>
      </c>
      <c r="K42" s="382">
        <v>2007.0</v>
      </c>
      <c r="L42" s="360">
        <v>813.0</v>
      </c>
      <c r="M42" s="331">
        <f t="shared" si="2"/>
        <v>20</v>
      </c>
      <c r="N42" s="269" t="s">
        <v>862</v>
      </c>
      <c r="O42" s="361">
        <v>34.0</v>
      </c>
      <c r="P42" s="385">
        <v>32000.0</v>
      </c>
      <c r="Q42" s="385">
        <v>25000.0</v>
      </c>
      <c r="R42" s="323">
        <f t="shared" si="4"/>
        <v>7000</v>
      </c>
      <c r="S42" s="323">
        <f t="shared" ref="S42:T42" si="47">if(and(P42 &lt;&gt; "", O42 &lt;&gt; ""), P42/O42, "")</f>
        <v>941.1764706</v>
      </c>
      <c r="T42" s="324">
        <f t="shared" si="47"/>
        <v>0.78125</v>
      </c>
      <c r="U42" s="346" t="s">
        <v>867</v>
      </c>
      <c r="V42" s="346" t="s">
        <v>868</v>
      </c>
      <c r="W42" s="346" t="s">
        <v>869</v>
      </c>
      <c r="X42" s="334" t="str">
        <f t="shared" si="37"/>
        <v>어진마을 2007 813^
부동산이즈리더스시티대표공인  010-4488-2820
34p 106동 고/25층 32,000.0 / 25,000.0 
[매물 정보]
- 주인분 매도 후 전세 거주 희망 (2.5억)
- 매도 사유는 확실히 모르지만 신축 입주는 아닌 것 같다고, 48년생?으로 연세 매우 많으시고 현금 필요하셔서인 것 같다는 부사님 추측
&lt;부동산 평가&gt;
성격 좋으신, 말 많으심 (전세 잘구해주실 느낌)
+ 적극적 (전화 끊고 장문의 문자)
&lt;얻은 정보&gt;
[얻은 정보]
- 어진 vs 신흥 : 콕 짚을 순 없는데 그냥 신흥을 좀 안좋게 본다 (거주민 인식). 굳이 꼽자면 신흥은 대각선으로 건너야 함(..??)
- 새들뫼 전세 3.5 가능하냐? 매전차만 놓고 보면 둘이 같은데 그럼 새들뫼가 낫지 않냐? &gt;&gt;&gt; 기간만 충분히 있다면 (=잔금 가능하다면) 3.5에 나갈 수 있다. 전세 워낙 없으니까, 본인이 생각하기에도 투자금 같으면 어진보다 새들뫼가 훨낫다.
- 새들뫼 선호 이유 : 대동역 더블역세권 호재 기대, 대동역 3분컷 &amp; 평수 넓게 잘빠짐 &amp; 어진보다 괜찮은 연식 &amp; 인식/선호도 높은 단지</v>
      </c>
      <c r="Y42" s="347"/>
      <c r="Z42" s="304"/>
      <c r="AA42" s="304"/>
      <c r="AB42" s="304"/>
      <c r="AC42" s="304"/>
      <c r="AD42" s="304"/>
      <c r="AE42" s="304"/>
      <c r="AF42" s="304"/>
      <c r="AG42" s="304"/>
      <c r="AH42" s="304"/>
    </row>
    <row r="43">
      <c r="A43" s="319"/>
      <c r="B43" s="339">
        <f t="shared" si="38"/>
        <v>38</v>
      </c>
      <c r="C43" s="269" t="s">
        <v>23</v>
      </c>
      <c r="D43" s="364">
        <v>46121.0</v>
      </c>
      <c r="E43" s="371" t="s">
        <v>114</v>
      </c>
      <c r="F43" s="371" t="s">
        <v>866</v>
      </c>
      <c r="G43" s="371" t="s">
        <v>463</v>
      </c>
      <c r="H43" s="384">
        <v>50.0</v>
      </c>
      <c r="I43" s="384">
        <v>0.0</v>
      </c>
      <c r="J43" s="371" t="s">
        <v>870</v>
      </c>
      <c r="K43" s="386"/>
      <c r="L43" s="386"/>
      <c r="M43" s="331">
        <f t="shared" si="2"/>
        <v>2027</v>
      </c>
      <c r="N43" s="387"/>
      <c r="O43" s="388"/>
      <c r="P43" s="389"/>
      <c r="Q43" s="389"/>
      <c r="R43" s="323" t="str">
        <f t="shared" si="4"/>
        <v/>
      </c>
      <c r="S43" s="323" t="str">
        <f t="shared" ref="S43:T43" si="48">if(and(P43 &lt;&gt; "", O43 &lt;&gt; ""), P43/O43, "")</f>
        <v/>
      </c>
      <c r="T43" s="324" t="str">
        <f t="shared" si="48"/>
        <v/>
      </c>
      <c r="U43" s="374" t="s">
        <v>871</v>
      </c>
      <c r="V43" s="374" t="s">
        <v>872</v>
      </c>
      <c r="W43" s="346" t="s">
        <v>873</v>
      </c>
      <c r="X43" s="334" t="str">
        <f t="shared" si="37"/>
        <v>SK뷰, 리더스시티45  ^
부동산이즈리더스시티대표공인  010-4488-2820
p   /  
[부사님 피셜]
- 동구는 거쳐가는 아파트, 그렇다보니 59 수요가 상당히 많음 (84는 정말 눌러앉은 동구 지역민 느낌, 59는 거쳐가는 신혼부부들)
→ 투자로 59 추천하는 이유, 다만 이스트는 59가 철길 바로 앞에 있어서 비추..
- 리더스시티 : 가성비 신축, 분양가 쌌었음. 서구/유성구 살던 젊은 사람들이 대출 많이 받아서 많이 들어옴
- 최근 리더스 전세 4억 빠짐 (어느부동산인지 모르심)
- 리더스 vs SK뷰 : 매매가는 당연히 SK뷰가 더 높겠지만, 전세는 비슷할 수 있다 생각 
&lt;부동산 평가&gt;
초 적극적 (다음날 SK뷰 급매 연락)
+
솔직, 과한 영업X (리더스 사장님 인데 SK뷰 추천, 공동중개)
&lt;얻은 정보&gt;
- 리더스5 10층 5억 다운 계약 (원래 5.5)
- 2026.01 4억 (22층/30일) : 피 안깎고 등기 안친 물건</v>
      </c>
      <c r="Y43" s="347"/>
      <c r="Z43" s="304"/>
      <c r="AA43" s="304"/>
      <c r="AB43" s="304"/>
      <c r="AC43" s="304"/>
      <c r="AD43" s="304"/>
      <c r="AE43" s="304"/>
      <c r="AF43" s="304"/>
      <c r="AG43" s="304"/>
      <c r="AH43" s="304"/>
    </row>
    <row r="44" ht="227.25" customHeight="1">
      <c r="A44" s="319"/>
      <c r="B44" s="339">
        <f t="shared" si="38"/>
        <v>39</v>
      </c>
      <c r="C44" s="269" t="s">
        <v>38</v>
      </c>
      <c r="D44" s="364">
        <v>46122.0</v>
      </c>
      <c r="E44" s="371" t="s">
        <v>116</v>
      </c>
      <c r="F44" s="269" t="s">
        <v>874</v>
      </c>
      <c r="G44" s="269" t="s">
        <v>875</v>
      </c>
      <c r="H44" s="269">
        <v>21.0</v>
      </c>
      <c r="I44" s="269">
        <v>0.0</v>
      </c>
      <c r="J44" s="269" t="s">
        <v>876</v>
      </c>
      <c r="K44" s="360">
        <v>2007.0</v>
      </c>
      <c r="L44" s="360">
        <v>451.0</v>
      </c>
      <c r="M44" s="331">
        <f t="shared" si="2"/>
        <v>20</v>
      </c>
      <c r="N44" s="269" t="s">
        <v>877</v>
      </c>
      <c r="O44" s="361">
        <v>34.0</v>
      </c>
      <c r="P44" s="385">
        <v>29000.0</v>
      </c>
      <c r="Q44" s="385">
        <v>25000.0</v>
      </c>
      <c r="R44" s="323">
        <f t="shared" si="4"/>
        <v>4000</v>
      </c>
      <c r="S44" s="323">
        <f t="shared" ref="S44:T44" si="49">if(and(P44 &lt;&gt; "", O44 &lt;&gt; ""), P44/O44, "")</f>
        <v>852.9411765</v>
      </c>
      <c r="T44" s="324">
        <f t="shared" si="49"/>
        <v>0.8620689655</v>
      </c>
      <c r="U44" s="346" t="s">
        <v>878</v>
      </c>
      <c r="V44" s="346" t="s">
        <v>879</v>
      </c>
      <c r="W44" s="390" t="s">
        <v>880</v>
      </c>
      <c r="X44" s="334" t="str">
        <f t="shared" si="37"/>
        <v>은어송6단지풍림아이원 2007 451^
현대아이파크 010-5068-7547
34p 601동 4층 29,000.0 / 25,000.0 
전세는 2.5억이면 나간다
전세 알아보러 오시는 분들 계시긴 하다?
세입자가 4년 넘게 살았고 새아파트로 이사가고 싶어서 언제든 협조 가능하다고 하신다. 어디로 이사갈지는 모른다.
로얄동은 601동, 602동, 603동 뻥뷰라서 좋아한다
여기는 실거주 위주라는 느낌이 드는게, 보통 본인이 살다가 세주고 나가기에, 이렇게 투자하러 여기 오는 것을 이상하게 생각하셨다.
사장님이 이번에 2.4억에 전세거래 한거 아직 신고안하셨다고 한다. 전세가 없어서 안 나가는 것이지 있으면 나갈 거다
도배 장판만 해도 세입자 들어온다. 여기 소득 수준을 알 것 같다. 싱크대 찌그러지지만 않으면 세입자들 들어온다고 한다.
&lt;부동산 평가&gt;
투자자 시큰둥
&lt;얻은 정보&gt;
은어송 구축 택지는 본인이 거주하다가 나가면서 세를 주는 경우는 있지만 직접 투자하러 오는 경우는 거의 드물다고 한다. 그리고 놀라운 것은 그렇게 올수리 안해도 세입자가 들어온다는 말에 진짜일까? 의문이 들었고 그럼에도 얼마전에 2.4억에 2층 전세 거래가 됐다니 전세가 싸면 충분히 거래가 되긴 하나보다</v>
      </c>
      <c r="Y44" s="347"/>
      <c r="Z44" s="304"/>
      <c r="AA44" s="304"/>
      <c r="AB44" s="304"/>
      <c r="AC44" s="304"/>
      <c r="AD44" s="304"/>
      <c r="AE44" s="304"/>
      <c r="AF44" s="304"/>
      <c r="AG44" s="304"/>
      <c r="AH44" s="304"/>
    </row>
    <row r="45" ht="140.25" customHeight="1">
      <c r="A45" s="319"/>
      <c r="B45" s="339">
        <f t="shared" si="38"/>
        <v>40</v>
      </c>
      <c r="C45" s="269" t="s">
        <v>38</v>
      </c>
      <c r="D45" s="364">
        <v>46122.0</v>
      </c>
      <c r="E45" s="371" t="s">
        <v>116</v>
      </c>
      <c r="F45" s="269" t="s">
        <v>881</v>
      </c>
      <c r="G45" s="269" t="s">
        <v>882</v>
      </c>
      <c r="H45" s="269">
        <v>39.0</v>
      </c>
      <c r="I45" s="269">
        <v>1.0</v>
      </c>
      <c r="J45" s="377" t="s">
        <v>883</v>
      </c>
      <c r="K45" s="360">
        <v>2018.0</v>
      </c>
      <c r="L45" s="360">
        <v>1245.0</v>
      </c>
      <c r="M45" s="331">
        <f t="shared" si="2"/>
        <v>9</v>
      </c>
      <c r="N45" s="269" t="s">
        <v>884</v>
      </c>
      <c r="O45" s="361">
        <v>24.0</v>
      </c>
      <c r="P45" s="385">
        <v>33500.0</v>
      </c>
      <c r="Q45" s="385">
        <v>25000.0</v>
      </c>
      <c r="R45" s="323">
        <f t="shared" si="4"/>
        <v>8500</v>
      </c>
      <c r="S45" s="323">
        <f t="shared" ref="S45:T45" si="50">if(and(P45 &lt;&gt; "", O45 &lt;&gt; ""), P45/O45, "")</f>
        <v>1395.833333</v>
      </c>
      <c r="T45" s="324">
        <f t="shared" si="50"/>
        <v>0.7462686567</v>
      </c>
      <c r="U45" s="346" t="s">
        <v>885</v>
      </c>
      <c r="V45" s="368"/>
      <c r="W45" s="391" t="s">
        <v>886</v>
      </c>
      <c r="X45" s="334" t="str">
        <f t="shared" si="37"/>
        <v>삼정그린코아포레스트1단지 2018 1245^
삼정포레스트 010-4460-2347
24p 102동 404호 33,500.0 / 25,000.0 
전세 2.5억이면 바로 나간다 2.7억은 장담 못하신다고
전세 손님은 자주 문의가 오는 편이다. 전세 가격만 합리적이라면 전세 놓는 것은 걱정 안하셔도 된다고..
집주인이 파시는 것고, 왜 파는지는 이유는 모르겠으나, 3.35에 네고가 안되는 물건! 부사님께서 이 물건을 팔려고 했던게 느껴졌다. 
101,102,103,104는 출입문에서 멀지만 뷰가 나오고, 105,106,107,108동은 출입문과 가까운 장점이 있다
이 단지는 실거주가 훨씬 많은 단지이나, 전세도 잘 나가는 단지 
전세 3.2억에 안나가는 것은 전세 가격이 세서 그런거 같다. 본인도 거래 하는 편이라고 하시는데 얘기를 안해주셨다
시에 그런거 안해도 전세 잘 나가는 편! 이편한과 매임을 통해 확실히 정해질 듯!
&lt;부동산 평가&gt;
&lt;얻은 정보&gt;
판암 삼정그린포레스트가 이편한 에코보다 전세 빼기가 더 수월하겠다는 생각이 들었다. 이편한 에코는 시에 얘기부터 하셨는데 여기는 에어컨 안 달아줘도 나간다는 말씀! 그렇지만 이런거로 선호도를 파악하기는 어렵기에 직접 매임!!! 필요!</v>
      </c>
      <c r="Y45" s="347"/>
      <c r="Z45" s="304"/>
      <c r="AA45" s="304"/>
      <c r="AB45" s="304"/>
      <c r="AC45" s="304"/>
      <c r="AD45" s="304"/>
      <c r="AE45" s="304"/>
      <c r="AF45" s="304"/>
      <c r="AG45" s="304"/>
      <c r="AH45" s="304"/>
    </row>
    <row r="46">
      <c r="A46" s="319"/>
      <c r="B46" s="339">
        <f t="shared" si="38"/>
        <v>41</v>
      </c>
      <c r="C46" s="269" t="s">
        <v>39</v>
      </c>
      <c r="D46" s="364">
        <v>46120.0</v>
      </c>
      <c r="E46" s="371" t="s">
        <v>114</v>
      </c>
      <c r="F46" s="269" t="s">
        <v>850</v>
      </c>
      <c r="G46" s="269" t="s">
        <v>887</v>
      </c>
      <c r="H46" s="269">
        <v>27.0</v>
      </c>
      <c r="I46" s="269">
        <v>1.0</v>
      </c>
      <c r="J46" s="269" t="s">
        <v>888</v>
      </c>
      <c r="K46" s="360">
        <v>2007.0</v>
      </c>
      <c r="L46" s="360">
        <v>653.0</v>
      </c>
      <c r="M46" s="331">
        <f t="shared" si="2"/>
        <v>20</v>
      </c>
      <c r="N46" s="344"/>
      <c r="O46" s="361">
        <v>89.0</v>
      </c>
      <c r="P46" s="385">
        <v>22500.0</v>
      </c>
      <c r="Q46" s="385">
        <v>21000.0</v>
      </c>
      <c r="R46" s="323">
        <f t="shared" si="4"/>
        <v>1500</v>
      </c>
      <c r="S46" s="323">
        <f t="shared" ref="S46:T46" si="51">if(and(P46 &lt;&gt; "", O46 &lt;&gt; ""), P46/O46, "")</f>
        <v>252.8089888</v>
      </c>
      <c r="T46" s="324">
        <f t="shared" si="51"/>
        <v>0.9333333333</v>
      </c>
      <c r="U46" s="368"/>
      <c r="V46" s="346" t="s">
        <v>783</v>
      </c>
      <c r="W46" s="368"/>
      <c r="X46" s="334" t="str">
        <f t="shared" si="37"/>
        <v>은어송5단지우미린 2007 653^
우미린공인 010-3462-0733
89p  22,500.0 / 21,000.0 
&lt;부동산 평가&gt;
친절
&lt;얻은 정보&gt;
</v>
      </c>
      <c r="Y46" s="347"/>
      <c r="Z46" s="304"/>
      <c r="AA46" s="304"/>
      <c r="AB46" s="304"/>
      <c r="AC46" s="304"/>
      <c r="AD46" s="304"/>
      <c r="AE46" s="304"/>
      <c r="AF46" s="304"/>
      <c r="AG46" s="304"/>
      <c r="AH46" s="304"/>
    </row>
    <row r="47">
      <c r="A47" s="319"/>
      <c r="B47" s="339">
        <f t="shared" si="38"/>
        <v>42</v>
      </c>
      <c r="C47" s="269" t="s">
        <v>39</v>
      </c>
      <c r="D47" s="364">
        <v>46120.0</v>
      </c>
      <c r="E47" s="371" t="s">
        <v>114</v>
      </c>
      <c r="F47" s="371" t="s">
        <v>889</v>
      </c>
      <c r="G47" s="371" t="s">
        <v>890</v>
      </c>
      <c r="H47" s="371">
        <v>25.0</v>
      </c>
      <c r="I47" s="371">
        <v>3.0</v>
      </c>
      <c r="J47" s="371" t="s">
        <v>599</v>
      </c>
      <c r="K47" s="372">
        <v>2024.0</v>
      </c>
      <c r="L47" s="372">
        <v>934.0</v>
      </c>
      <c r="M47" s="331">
        <f t="shared" si="2"/>
        <v>3</v>
      </c>
      <c r="N47" s="387"/>
      <c r="O47" s="373">
        <v>33.0</v>
      </c>
      <c r="P47" s="392">
        <v>46000.0</v>
      </c>
      <c r="Q47" s="392">
        <v>32000.0</v>
      </c>
      <c r="R47" s="323">
        <f t="shared" si="4"/>
        <v>14000</v>
      </c>
      <c r="S47" s="323">
        <f t="shared" ref="S47:T47" si="52">if(and(P47 &lt;&gt; "", O47 &lt;&gt; ""), P47/O47, "")</f>
        <v>1393.939394</v>
      </c>
      <c r="T47" s="324">
        <f t="shared" si="52"/>
        <v>0.6956521739</v>
      </c>
      <c r="U47" s="393"/>
      <c r="V47" s="374" t="s">
        <v>891</v>
      </c>
      <c r="W47" s="368"/>
      <c r="X47" s="334" t="str">
        <f t="shared" si="37"/>
        <v>은어송하늘채리버뷰 2024 934^
하늘채탑공인 010-9415-9571
33p  46,000.0 / 32,000.0 
&lt;부동산 평가&gt;
매우친절,일잘러 (40분)
&lt;얻은 정보&gt;
</v>
      </c>
      <c r="Y47" s="347"/>
      <c r="Z47" s="304"/>
      <c r="AA47" s="304"/>
      <c r="AB47" s="304"/>
      <c r="AC47" s="304"/>
      <c r="AD47" s="304"/>
      <c r="AE47" s="304"/>
      <c r="AF47" s="304"/>
      <c r="AG47" s="304"/>
      <c r="AH47" s="304"/>
    </row>
    <row r="48">
      <c r="A48" s="286"/>
      <c r="B48" s="339">
        <f t="shared" si="38"/>
        <v>43</v>
      </c>
      <c r="C48" s="269" t="s">
        <v>39</v>
      </c>
      <c r="D48" s="364">
        <v>46122.0</v>
      </c>
      <c r="E48" s="269" t="s">
        <v>116</v>
      </c>
      <c r="F48" s="269" t="s">
        <v>892</v>
      </c>
      <c r="G48" s="394" t="s">
        <v>893</v>
      </c>
      <c r="H48" s="269">
        <v>13.0</v>
      </c>
      <c r="I48" s="269">
        <v>1.0</v>
      </c>
      <c r="J48" s="269" t="s">
        <v>894</v>
      </c>
      <c r="K48" s="360">
        <v>1991.0</v>
      </c>
      <c r="L48" s="360">
        <v>633.0</v>
      </c>
      <c r="M48" s="331">
        <f t="shared" si="2"/>
        <v>36</v>
      </c>
      <c r="N48" s="269" t="s">
        <v>895</v>
      </c>
      <c r="O48" s="373">
        <v>30.0</v>
      </c>
      <c r="P48" s="361">
        <v>14500.0</v>
      </c>
      <c r="Q48" s="375"/>
      <c r="R48" s="323" t="str">
        <f t="shared" si="4"/>
        <v/>
      </c>
      <c r="S48" s="323">
        <f t="shared" ref="S48:T48" si="53">if(and(P48 &lt;&gt; "", O48 &lt;&gt; ""), P48/O48, "")</f>
        <v>483.3333333</v>
      </c>
      <c r="T48" s="324" t="str">
        <f t="shared" si="53"/>
        <v/>
      </c>
      <c r="U48" s="368"/>
      <c r="V48" s="368"/>
      <c r="W48" s="368"/>
      <c r="X48" s="334" t="str">
        <f t="shared" si="37"/>
        <v/>
      </c>
      <c r="Y48" s="347"/>
      <c r="Z48" s="304"/>
      <c r="AA48" s="304"/>
      <c r="AB48" s="304"/>
      <c r="AC48" s="304"/>
      <c r="AD48" s="304"/>
      <c r="AE48" s="304"/>
      <c r="AF48" s="304"/>
      <c r="AG48" s="304"/>
      <c r="AH48" s="304"/>
    </row>
    <row r="49">
      <c r="A49" s="286"/>
      <c r="B49" s="339">
        <f t="shared" si="38"/>
        <v>44</v>
      </c>
      <c r="C49" s="269" t="s">
        <v>39</v>
      </c>
      <c r="D49" s="364">
        <v>46122.0</v>
      </c>
      <c r="E49" s="269" t="s">
        <v>116</v>
      </c>
      <c r="F49" s="269" t="s">
        <v>896</v>
      </c>
      <c r="G49" s="269" t="s">
        <v>897</v>
      </c>
      <c r="H49" s="269">
        <v>21.0</v>
      </c>
      <c r="I49" s="269">
        <v>0.0</v>
      </c>
      <c r="J49" s="269" t="s">
        <v>898</v>
      </c>
      <c r="K49" s="360">
        <v>2011.0</v>
      </c>
      <c r="L49" s="360">
        <v>713.0</v>
      </c>
      <c r="M49" s="331">
        <f t="shared" si="2"/>
        <v>16</v>
      </c>
      <c r="N49" s="269" t="s">
        <v>899</v>
      </c>
      <c r="O49" s="361">
        <v>33.0</v>
      </c>
      <c r="P49" s="361">
        <v>29000.0</v>
      </c>
      <c r="Q49" s="361">
        <v>22000.0</v>
      </c>
      <c r="R49" s="323">
        <f t="shared" si="4"/>
        <v>7000</v>
      </c>
      <c r="S49" s="323">
        <f t="shared" ref="S49:T49" si="54">if(and(P49 &lt;&gt; "", O49 &lt;&gt; ""), P49/O49, "")</f>
        <v>878.7878788</v>
      </c>
      <c r="T49" s="324">
        <f t="shared" si="54"/>
        <v>0.7586206897</v>
      </c>
      <c r="U49" s="368"/>
      <c r="V49" s="346" t="s">
        <v>900</v>
      </c>
      <c r="W49" s="368"/>
      <c r="X49" s="334" t="str">
        <f t="shared" si="37"/>
        <v>남대전이편한 2011 713^
대영이편한공인중개사 010-2563-9205
33p 106동/13층/남향 29,000 / 22,000 
&lt;부동산 평가&gt;
친절 보통
&lt;얻은 정보&gt;
</v>
      </c>
      <c r="Y49" s="347"/>
      <c r="Z49" s="304"/>
      <c r="AA49" s="304"/>
      <c r="AB49" s="304"/>
      <c r="AC49" s="304"/>
      <c r="AD49" s="304"/>
      <c r="AE49" s="304"/>
      <c r="AF49" s="304"/>
      <c r="AG49" s="304"/>
      <c r="AH49" s="304"/>
    </row>
    <row r="50">
      <c r="A50" s="286"/>
      <c r="B50" s="339">
        <f t="shared" si="38"/>
        <v>45</v>
      </c>
      <c r="C50" s="269" t="s">
        <v>37</v>
      </c>
      <c r="D50" s="364">
        <v>46122.0</v>
      </c>
      <c r="E50" s="269" t="s">
        <v>116</v>
      </c>
      <c r="F50" s="371" t="s">
        <v>901</v>
      </c>
      <c r="G50" s="371" t="s">
        <v>882</v>
      </c>
      <c r="H50" s="387"/>
      <c r="I50" s="387"/>
      <c r="J50" s="371" t="s">
        <v>883</v>
      </c>
      <c r="K50" s="372">
        <v>2018.0</v>
      </c>
      <c r="L50" s="372">
        <v>1245.0</v>
      </c>
      <c r="M50" s="331">
        <f t="shared" si="2"/>
        <v>9</v>
      </c>
      <c r="N50" s="387"/>
      <c r="O50" s="361">
        <v>29.0</v>
      </c>
      <c r="P50" s="388"/>
      <c r="Q50" s="373">
        <v>26000.0</v>
      </c>
      <c r="R50" s="323" t="str">
        <f t="shared" si="4"/>
        <v/>
      </c>
      <c r="S50" s="323" t="str">
        <f t="shared" ref="S50:T50" si="55">if(and(P50 &lt;&gt; "", O50 &lt;&gt; ""), P50/O50, "")</f>
        <v/>
      </c>
      <c r="T50" s="324" t="str">
        <f t="shared" si="55"/>
        <v/>
      </c>
      <c r="U50" s="346" t="s">
        <v>902</v>
      </c>
      <c r="V50" s="346" t="s">
        <v>903</v>
      </c>
      <c r="W50" s="368"/>
      <c r="X50" s="334" t="str">
        <f t="shared" si="37"/>
        <v>삼정그린코아포레스트1단지 2018 1245^
삼정포레스트공인중개 010-4460-2347
29p   / 26,000 
뷰를볼라면 앞동. 조용하면 가운데동. 집에 머물러 있는 사람들은 전세 시세 2.7 선호도는 평형 2개다 비슷함.  얼른들은 남동 젊은사람은 남서
115.116동을 중간동이라고함
다른부동산에 다시 전화해봐야겠다
&lt;부동산 평가&gt;
뚜렷한 선호도가 없이 그냥 취향차이라고 함 사장님 이거 들을려고 전화한건 아닌데
사장님 차분한데 물건 와다다다 나오는 스타일은 아님
&lt;얻은 정보&gt;
</v>
      </c>
      <c r="Y50" s="347"/>
      <c r="Z50" s="304"/>
      <c r="AA50" s="304"/>
      <c r="AB50" s="304"/>
      <c r="AC50" s="304"/>
      <c r="AD50" s="304"/>
      <c r="AE50" s="304"/>
      <c r="AF50" s="304"/>
      <c r="AG50" s="304"/>
      <c r="AH50" s="304"/>
    </row>
    <row r="51">
      <c r="A51" s="286"/>
      <c r="B51" s="339">
        <f t="shared" si="38"/>
        <v>46</v>
      </c>
      <c r="C51" s="269" t="s">
        <v>37</v>
      </c>
      <c r="D51" s="364">
        <v>46122.0</v>
      </c>
      <c r="E51" s="269" t="s">
        <v>116</v>
      </c>
      <c r="F51" s="395" t="s">
        <v>466</v>
      </c>
      <c r="G51" s="395" t="s">
        <v>460</v>
      </c>
      <c r="H51" s="395"/>
      <c r="I51" s="396"/>
      <c r="J51" s="371" t="s">
        <v>883</v>
      </c>
      <c r="K51" s="372">
        <v>2018.0</v>
      </c>
      <c r="L51" s="372">
        <v>1245.0</v>
      </c>
      <c r="M51" s="331">
        <f t="shared" si="2"/>
        <v>9</v>
      </c>
      <c r="N51" s="395" t="s">
        <v>904</v>
      </c>
      <c r="O51" s="373">
        <v>29.0</v>
      </c>
      <c r="P51" s="397">
        <v>37700.0</v>
      </c>
      <c r="Q51" s="398">
        <v>30000.0</v>
      </c>
      <c r="R51" s="323">
        <f t="shared" si="4"/>
        <v>7700</v>
      </c>
      <c r="S51" s="323">
        <f t="shared" ref="S51:T51" si="56">if(and(P51 &lt;&gt; "", O51 &lt;&gt; ""), P51/O51, "")</f>
        <v>1300</v>
      </c>
      <c r="T51" s="324">
        <f t="shared" si="56"/>
        <v>0.7957559682</v>
      </c>
      <c r="U51" s="346" t="s">
        <v>905</v>
      </c>
      <c r="V51" s="346" t="s">
        <v>906</v>
      </c>
      <c r="W51" s="346" t="s">
        <v>907</v>
      </c>
      <c r="X51" s="334" t="str">
        <f t="shared" si="37"/>
        <v>삼정그린코아포레스트1단지 2018 1245^
삼정코아행복공인중개 010-5388-8266
29p 116동 7층(저) 37,700 / 30,000 
116-702  3.7 702 (세입자)
전세 더 살고 싶은데 세입자 전세대출 연장이 안되서 나가는 거임-&gt;  그럼 전세 세로 맞춰야 겠네요 (O)
찾는사람들 신혼부부,나이드신분 골고루. 
IC랑 지하철역이 가깝다. 사두는것도 나쁘진 않다. 
116동 도 인기동이다. 적당한걸 싸게 사는것도 나쁘진 않다. 
104-1903 4.0 (주인) 뷰와 층이 좋다.
RR 상가 앞동 (104-107)
원하는 만큼 가격 조정은 가능.
전세 시세 : 최근 층과 동이 좋지 않은 전세가 않았는데 3억에 나감. 
25평도 2.75에 나감. (한참전) 
E편한은 실거주 위주. 외졌다. 삼정은 출퇴근 하는 사람들이 좋아하는 위치다.
2단지보다는 투자보다는 1단지 추천
1단지 24평 전세낀 물건 있음 (사장님 단독물건)
&lt;부동산 평가&gt;
차분 일잘러 위에 부동산 사장님보다 나음
&lt;얻은 정보&gt;
대박사건 전세 시세가 3억이라고? 최근 실거래가도 1층이 2.8을 찍었다. 확실한건 전세가 진짜 씨가 마르긴 했다. 투자적으로도 유의미하게 봐도 되겠다. 일단 집을 보자.</v>
      </c>
      <c r="Y51" s="347"/>
      <c r="Z51" s="304"/>
      <c r="AA51" s="304"/>
      <c r="AB51" s="304"/>
      <c r="AC51" s="304"/>
      <c r="AD51" s="304"/>
      <c r="AE51" s="304"/>
      <c r="AF51" s="304"/>
      <c r="AG51" s="304"/>
      <c r="AH51" s="304"/>
    </row>
    <row r="52">
      <c r="A52" s="286"/>
      <c r="B52" s="339">
        <f t="shared" si="38"/>
        <v>47</v>
      </c>
      <c r="C52" s="269" t="s">
        <v>37</v>
      </c>
      <c r="D52" s="364">
        <v>46122.0</v>
      </c>
      <c r="E52" s="269" t="s">
        <v>116</v>
      </c>
      <c r="F52" s="395" t="s">
        <v>908</v>
      </c>
      <c r="G52" s="383" t="s">
        <v>909</v>
      </c>
      <c r="H52" s="396"/>
      <c r="I52" s="396"/>
      <c r="J52" s="395" t="s">
        <v>910</v>
      </c>
      <c r="K52" s="399">
        <v>2011.0</v>
      </c>
      <c r="L52" s="399">
        <v>767.0</v>
      </c>
      <c r="M52" s="331">
        <f t="shared" si="2"/>
        <v>16</v>
      </c>
      <c r="N52" s="395" t="s">
        <v>911</v>
      </c>
      <c r="O52" s="397">
        <v>34.0</v>
      </c>
      <c r="P52" s="397">
        <v>40000.0</v>
      </c>
      <c r="Q52" s="397">
        <v>30000.0</v>
      </c>
      <c r="R52" s="323">
        <f t="shared" si="4"/>
        <v>10000</v>
      </c>
      <c r="S52" s="323">
        <f t="shared" ref="S52:T52" si="57">if(and(P52 &lt;&gt; "", O52 &lt;&gt; ""), P52/O52, "")</f>
        <v>1176.470588</v>
      </c>
      <c r="T52" s="324">
        <f t="shared" si="57"/>
        <v>0.75</v>
      </c>
      <c r="U52" s="346" t="s">
        <v>912</v>
      </c>
      <c r="V52" s="346" t="s">
        <v>913</v>
      </c>
      <c r="W52" s="346" t="s">
        <v>914</v>
      </c>
      <c r="X52" s="334" t="str">
        <f t="shared" si="37"/>
        <v>펜타뷰 2011 767^
펜타뷰
(투넘버) 010-5435-3160
34p 15층 남서 40,000 / 30,000 
옛날에 이집이 5.5에 샀음.
원래 108동 4호 라인이 비확장인데 (연세드신분때문에 비확장) 이집은 확장되어있음. 
RR 101,108,110 정남향은 없음. 
위치때문에 새들뫼가 더 비싸다. 새들뫼는 초등학교도 있고 대전역이 가까워서. 코레일 직원들이 많이살고 서울출퇴근간다. 서울로도 가는데 부산으로도간다. 
펜타뷰도 대동2구역 분양으로 환경이 더 좋아짐. 
역세권이라서 동구중에선 제일좋은 위치다.
가격이 새들뫼가 2천 정도 (원래도 이정도)
&lt;부동산 평가&gt;
사장님 말 많음 사장님 한국부동산원 소속
&lt;얻은 정보&gt;
동구가 진짜 거래가 없긴 하나보다. 전화하면 다 친절하다. 새들뫼가 1년 먼저 지어졌는데도 2천이 비싼건 위치 때문이다. 사장님 입에서 위치와 학교가 바로 튀어나왔다. 상승장때도 먼저 올랐다고 하니 이건 그래프 붙여보면서 확인해봐야겠다.</v>
      </c>
      <c r="Y52" s="357"/>
      <c r="Z52" s="304"/>
      <c r="AA52" s="304"/>
      <c r="AB52" s="304"/>
      <c r="AC52" s="304"/>
      <c r="AD52" s="304"/>
      <c r="AE52" s="304"/>
      <c r="AF52" s="304"/>
      <c r="AG52" s="304"/>
      <c r="AH52" s="304"/>
    </row>
    <row r="53">
      <c r="A53" s="286"/>
      <c r="B53" s="339">
        <f t="shared" si="38"/>
        <v>48</v>
      </c>
      <c r="C53" s="269" t="s">
        <v>37</v>
      </c>
      <c r="D53" s="364">
        <v>46122.0</v>
      </c>
      <c r="E53" s="269" t="s">
        <v>116</v>
      </c>
      <c r="F53" s="396"/>
      <c r="G53" s="400"/>
      <c r="H53" s="396"/>
      <c r="I53" s="396"/>
      <c r="J53" s="396"/>
      <c r="K53" s="401"/>
      <c r="L53" s="401"/>
      <c r="M53" s="331">
        <f t="shared" si="2"/>
        <v>2027</v>
      </c>
      <c r="N53" s="396"/>
      <c r="O53" s="402"/>
      <c r="P53" s="402"/>
      <c r="Q53" s="402"/>
      <c r="R53" s="323" t="str">
        <f t="shared" si="4"/>
        <v/>
      </c>
      <c r="S53" s="323" t="str">
        <f t="shared" ref="S53:T53" si="58">if(and(P53 &lt;&gt; "", O53 &lt;&gt; ""), P53/O53, "")</f>
        <v/>
      </c>
      <c r="T53" s="324" t="str">
        <f t="shared" si="58"/>
        <v/>
      </c>
      <c r="U53" s="368"/>
      <c r="V53" s="368"/>
      <c r="W53" s="368"/>
      <c r="X53" s="334" t="str">
        <f t="shared" si="37"/>
        <v/>
      </c>
      <c r="Y53" s="357"/>
      <c r="Z53" s="304"/>
      <c r="AA53" s="304"/>
      <c r="AB53" s="304"/>
      <c r="AC53" s="304"/>
      <c r="AD53" s="304"/>
      <c r="AE53" s="304"/>
      <c r="AF53" s="304"/>
      <c r="AG53" s="304"/>
      <c r="AH53" s="304"/>
    </row>
    <row r="54">
      <c r="A54" s="286"/>
      <c r="B54" s="339">
        <f t="shared" si="38"/>
        <v>49</v>
      </c>
      <c r="C54" s="269" t="s">
        <v>55</v>
      </c>
      <c r="D54" s="364">
        <v>46125.0</v>
      </c>
      <c r="E54" s="269" t="s">
        <v>112</v>
      </c>
      <c r="F54" s="395" t="s">
        <v>915</v>
      </c>
      <c r="G54" s="383" t="s">
        <v>916</v>
      </c>
      <c r="H54" s="396"/>
      <c r="I54" s="396"/>
      <c r="J54" s="395" t="s">
        <v>624</v>
      </c>
      <c r="K54" s="399">
        <v>2011.12</v>
      </c>
      <c r="L54" s="399">
        <v>1115.0</v>
      </c>
      <c r="M54" s="331">
        <f t="shared" si="2"/>
        <v>15.88</v>
      </c>
      <c r="N54" s="395" t="s">
        <v>917</v>
      </c>
      <c r="O54" s="397">
        <v>34.0</v>
      </c>
      <c r="P54" s="397">
        <v>34000.0</v>
      </c>
      <c r="Q54" s="397">
        <v>28000.0</v>
      </c>
      <c r="R54" s="323">
        <f t="shared" si="4"/>
        <v>6000</v>
      </c>
      <c r="S54" s="323">
        <f t="shared" ref="S54:T54" si="59">if(and(P54 &lt;&gt; "", O54 &lt;&gt; ""), P54/O54, "")</f>
        <v>1000</v>
      </c>
      <c r="T54" s="324">
        <f t="shared" si="59"/>
        <v>0.8235294118</v>
      </c>
      <c r="U54" s="346" t="s">
        <v>918</v>
      </c>
      <c r="V54" s="346" t="s">
        <v>919</v>
      </c>
      <c r="W54" s="368"/>
      <c r="X54" s="334" t="str">
        <f t="shared" si="37"/>
        <v>스마트뷰 2011.12 1115^
스마트뷰대박공인 042-635-4545, 
010-5428-4005
34p 103동 23층 남동향 34,000 / 28,000 
세입자 거주 7월 만기, 어머니와 아들 거주, 어머니는 일때문에 자주 나가있는다고 함. 
스마트뷰는 바닥이 나무마루임, 해당 매물은 주방쪽 마루 수리 필요, 관리 소홀로 베란다 한쪽 곰팡이 있다, 화장실/싱크대 모두 입주 그대로, 깨끗하게 사용하긴 했는데 사용감은 당연히 있다함.
실거래엔 안찍혔는데 주말에 B타입 전세 2.8억 나감. 동 차이보다는 타입 선호도가 더 큼. A,C타입 선호 B타입은 수리 잘되어있고 괜찮은 매물이 3.7억 정도, A,C타입은 비싼건 4.2억까지 나와있어 가격차이 좀 있음. 
전세 대기자는 없지만 찾는 사람들은 있다.
&lt;부동산 평가&gt;
친절 
&lt;얻은 정보&gt;
</v>
      </c>
      <c r="Y54" s="357"/>
      <c r="Z54" s="304"/>
      <c r="AA54" s="304"/>
      <c r="AB54" s="304"/>
      <c r="AC54" s="304"/>
      <c r="AD54" s="304"/>
      <c r="AE54" s="304"/>
      <c r="AF54" s="304"/>
      <c r="AG54" s="304"/>
      <c r="AH54" s="304"/>
    </row>
    <row r="55">
      <c r="A55" s="286"/>
      <c r="B55" s="339">
        <f t="shared" si="38"/>
        <v>50</v>
      </c>
      <c r="C55" s="269" t="s">
        <v>55</v>
      </c>
      <c r="D55" s="364">
        <v>46125.0</v>
      </c>
      <c r="E55" s="269" t="s">
        <v>112</v>
      </c>
      <c r="F55" s="269" t="s">
        <v>920</v>
      </c>
      <c r="G55" s="269" t="s">
        <v>921</v>
      </c>
      <c r="H55" s="344"/>
      <c r="I55" s="344"/>
      <c r="J55" s="269" t="s">
        <v>922</v>
      </c>
      <c r="K55" s="360">
        <v>2007.09</v>
      </c>
      <c r="L55" s="360">
        <v>613.0</v>
      </c>
      <c r="M55" s="331">
        <f t="shared" si="2"/>
        <v>19.91</v>
      </c>
      <c r="N55" s="269" t="s">
        <v>923</v>
      </c>
      <c r="O55" s="361">
        <v>34.0</v>
      </c>
      <c r="P55" s="361">
        <v>30000.0</v>
      </c>
      <c r="Q55" s="361">
        <v>24000.0</v>
      </c>
      <c r="R55" s="323">
        <f t="shared" si="4"/>
        <v>6000</v>
      </c>
      <c r="S55" s="323">
        <f t="shared" ref="S55:T55" si="60">if(and(P55 &lt;&gt; "", O55 &lt;&gt; ""), P55/O55, "")</f>
        <v>882.3529412</v>
      </c>
      <c r="T55" s="324">
        <f t="shared" si="60"/>
        <v>0.8</v>
      </c>
      <c r="U55" s="346" t="s">
        <v>924</v>
      </c>
      <c r="V55" s="346" t="s">
        <v>783</v>
      </c>
      <c r="W55" s="368"/>
      <c r="X55" s="334" t="str">
        <f t="shared" si="37"/>
        <v>주공삼성타운 2007.09 613^
신흥SK꽃길공인 042-272-1000, 010-3452-2747
34p 201동 4층 30,000 / 24,000 
주인 전세 희망. 재개발 지역에 집 갖고 있는데 거기가 지어지면 들어가려고 하심. (어딘지는 못물어봤네) 당장 2년 뒤에 갈 집은 없고 전세로 계속 거주하길 희망하심. 시세보다 높은 전세 가능. 신흥쪽 부동산이라 매물을 관리 못하고 있었다며 알아보고 다시 연락주심.
&lt;부동산 평가&gt;
친절
&lt;얻은 정보&gt;
</v>
      </c>
      <c r="Y55" s="357"/>
      <c r="Z55" s="304"/>
      <c r="AA55" s="304"/>
      <c r="AB55" s="304"/>
      <c r="AC55" s="304"/>
      <c r="AD55" s="304"/>
      <c r="AE55" s="304"/>
      <c r="AF55" s="304"/>
      <c r="AG55" s="304"/>
      <c r="AH55" s="304"/>
    </row>
    <row r="56">
      <c r="A56" s="286"/>
      <c r="B56" s="339">
        <f t="shared" si="38"/>
        <v>51</v>
      </c>
      <c r="C56" s="269" t="s">
        <v>37</v>
      </c>
      <c r="D56" s="364">
        <v>46125.0</v>
      </c>
      <c r="E56" s="269" t="s">
        <v>112</v>
      </c>
      <c r="F56" s="269" t="s">
        <v>925</v>
      </c>
      <c r="G56" s="269" t="s">
        <v>897</v>
      </c>
      <c r="H56" s="344"/>
      <c r="I56" s="344"/>
      <c r="J56" s="269" t="s">
        <v>926</v>
      </c>
      <c r="K56" s="330"/>
      <c r="L56" s="330"/>
      <c r="M56" s="331">
        <f t="shared" si="2"/>
        <v>2027</v>
      </c>
      <c r="N56" s="344"/>
      <c r="O56" s="375"/>
      <c r="P56" s="375"/>
      <c r="Q56" s="375"/>
      <c r="R56" s="323" t="str">
        <f t="shared" si="4"/>
        <v/>
      </c>
      <c r="S56" s="323" t="str">
        <f t="shared" ref="S56:T56" si="61">if(and(P56 &lt;&gt; "", O56 &lt;&gt; ""), P56/O56, "")</f>
        <v/>
      </c>
      <c r="T56" s="324" t="str">
        <f t="shared" si="61"/>
        <v/>
      </c>
      <c r="U56" s="346" t="s">
        <v>927</v>
      </c>
      <c r="V56" s="346" t="s">
        <v>783</v>
      </c>
      <c r="W56" s="368"/>
      <c r="X56" s="334" t="str">
        <f t="shared" si="37"/>
        <v>오투그란데  ^
대영부동산 010-2563-9205
p   /  
110,111이 로얄동이다. E편한이랑 전세가 차이 3천정도남(2.3). 손바뀜은 오투도 괜찮아서 소액으로 갈거면 오투 추천. 이편한 전세 대기자 있다. 지금 전세나와있는거 날짜가 안 맞아서 못감
&lt;부동산 평가&gt;
친절
&lt;얻은 정보&gt;
</v>
      </c>
      <c r="Y56" s="357"/>
      <c r="Z56" s="304"/>
      <c r="AA56" s="304"/>
      <c r="AB56" s="304"/>
      <c r="AC56" s="304"/>
      <c r="AD56" s="304"/>
      <c r="AE56" s="304"/>
      <c r="AF56" s="304"/>
      <c r="AG56" s="304"/>
      <c r="AH56" s="304"/>
    </row>
    <row r="57">
      <c r="A57" s="286"/>
      <c r="B57" s="339">
        <f t="shared" si="38"/>
        <v>52</v>
      </c>
      <c r="C57" s="269" t="s">
        <v>108</v>
      </c>
      <c r="D57" s="364">
        <v>46119.0</v>
      </c>
      <c r="E57" s="269" t="s">
        <v>113</v>
      </c>
      <c r="F57" s="269" t="s">
        <v>541</v>
      </c>
      <c r="G57" s="269" t="s">
        <v>545</v>
      </c>
      <c r="H57" s="344"/>
      <c r="I57" s="344"/>
      <c r="J57" s="269" t="s">
        <v>928</v>
      </c>
      <c r="K57" s="360">
        <v>2020.0</v>
      </c>
      <c r="L57" s="360">
        <v>2267.0</v>
      </c>
      <c r="M57" s="331">
        <f t="shared" si="2"/>
        <v>7</v>
      </c>
      <c r="N57" s="344"/>
      <c r="O57" s="375"/>
      <c r="P57" s="375"/>
      <c r="Q57" s="375"/>
      <c r="R57" s="323" t="str">
        <f t="shared" si="4"/>
        <v/>
      </c>
      <c r="S57" s="323" t="str">
        <f t="shared" ref="S57:T57" si="62">if(and(P57 &lt;&gt; "", O57 &lt;&gt; ""), P57/O57, "")</f>
        <v/>
      </c>
      <c r="T57" s="324" t="str">
        <f t="shared" si="62"/>
        <v/>
      </c>
      <c r="U57" s="346" t="s">
        <v>929</v>
      </c>
      <c r="V57" s="368"/>
      <c r="W57" s="368"/>
      <c r="X57" s="334" t="str">
        <f t="shared" si="37"/>
        <v>E편한세상에코포레 2020 2267^
용운E편한 010-3462-1291
p   /  
이편항 6,7,13동 로얄 
환금성 생각하명 이편한
거기도 새아파트라 괜찮긴 해도
&lt;부동산 평가&gt;
&lt;얻은 정보&gt;
</v>
      </c>
      <c r="Y57" s="347"/>
      <c r="Z57" s="304"/>
      <c r="AA57" s="304"/>
      <c r="AB57" s="304"/>
      <c r="AC57" s="304"/>
      <c r="AD57" s="304"/>
      <c r="AE57" s="304"/>
      <c r="AF57" s="304"/>
      <c r="AG57" s="304"/>
      <c r="AH57" s="304"/>
    </row>
    <row r="58">
      <c r="A58" s="286"/>
      <c r="B58" s="339">
        <f t="shared" si="38"/>
        <v>53</v>
      </c>
      <c r="C58" s="269" t="s">
        <v>108</v>
      </c>
      <c r="D58" s="364">
        <v>46125.0</v>
      </c>
      <c r="E58" s="269" t="s">
        <v>112</v>
      </c>
      <c r="F58" s="269" t="s">
        <v>930</v>
      </c>
      <c r="G58" s="269" t="s">
        <v>893</v>
      </c>
      <c r="H58" s="344"/>
      <c r="I58" s="344"/>
      <c r="J58" s="269" t="s">
        <v>839</v>
      </c>
      <c r="K58" s="360">
        <v>2016.0</v>
      </c>
      <c r="L58" s="360">
        <v>408.0</v>
      </c>
      <c r="M58" s="331">
        <f t="shared" si="2"/>
        <v>11</v>
      </c>
      <c r="N58" s="269" t="s">
        <v>931</v>
      </c>
      <c r="O58" s="361">
        <v>33.0</v>
      </c>
      <c r="P58" s="361">
        <v>38500.0</v>
      </c>
      <c r="Q58" s="361">
        <v>30000.0</v>
      </c>
      <c r="R58" s="323">
        <f t="shared" si="4"/>
        <v>8500</v>
      </c>
      <c r="S58" s="323">
        <f t="shared" ref="S58:T58" si="63">if(and(P58 &lt;&gt; "", O58 &lt;&gt; ""), P58/O58, "")</f>
        <v>1166.666667</v>
      </c>
      <c r="T58" s="324">
        <f t="shared" si="63"/>
        <v>0.7792207792</v>
      </c>
      <c r="U58" s="346" t="s">
        <v>932</v>
      </c>
      <c r="V58" s="346" t="s">
        <v>794</v>
      </c>
      <c r="W58" s="368"/>
      <c r="X58" s="334" t="str">
        <f t="shared" si="37"/>
        <v>은어송코오롱하늘채2차 2016 408^
삼익 010-8429-6100
33p 103동 8층 남동 38,500 / 30,000 
실거주자 컨셉
날짜 협의 수리는 안 해도 된다 도배도 안 해도 됨
시스템 에어컨 있는 집은 현재 없다
A타입이 4베이라 선호도가 좋다 103동에 5-6호라인 밖에 없어서 여기 가격대가 높다
B타입은 3베이 판상형 200세대 정도 나쁘지 않다
&lt;부동산 평가&gt;
남자 사장님 친절
&lt;얻은 정보&gt;
</v>
      </c>
      <c r="Y58" s="347"/>
      <c r="Z58" s="304"/>
      <c r="AA58" s="304"/>
      <c r="AB58" s="304"/>
      <c r="AC58" s="304"/>
      <c r="AD58" s="304"/>
      <c r="AE58" s="304"/>
      <c r="AF58" s="304"/>
      <c r="AG58" s="304"/>
      <c r="AH58" s="304"/>
    </row>
    <row r="59">
      <c r="A59" s="286"/>
      <c r="B59" s="339">
        <f t="shared" si="38"/>
        <v>54</v>
      </c>
      <c r="C59" s="269" t="s">
        <v>108</v>
      </c>
      <c r="D59" s="364">
        <v>46125.0</v>
      </c>
      <c r="E59" s="269" t="s">
        <v>112</v>
      </c>
      <c r="F59" s="269" t="s">
        <v>933</v>
      </c>
      <c r="G59" s="269" t="s">
        <v>934</v>
      </c>
      <c r="H59" s="344"/>
      <c r="I59" s="344"/>
      <c r="J59" s="269" t="s">
        <v>857</v>
      </c>
      <c r="K59" s="360">
        <v>2007.0</v>
      </c>
      <c r="L59" s="360">
        <v>1241.0</v>
      </c>
      <c r="M59" s="331">
        <f t="shared" si="2"/>
        <v>20</v>
      </c>
      <c r="N59" s="269" t="s">
        <v>935</v>
      </c>
      <c r="O59" s="361">
        <v>35.0</v>
      </c>
      <c r="P59" s="361">
        <v>40000.0</v>
      </c>
      <c r="Q59" s="361">
        <v>30000.0</v>
      </c>
      <c r="R59" s="323">
        <f t="shared" si="4"/>
        <v>10000</v>
      </c>
      <c r="S59" s="323">
        <f t="shared" ref="S59:T59" si="64">if(and(P59 &lt;&gt; "", O59 &lt;&gt; ""), P59/O59, "")</f>
        <v>1142.857143</v>
      </c>
      <c r="T59" s="324">
        <f t="shared" si="64"/>
        <v>0.75</v>
      </c>
      <c r="U59" s="346" t="s">
        <v>936</v>
      </c>
      <c r="V59" s="346" t="s">
        <v>937</v>
      </c>
      <c r="W59" s="368"/>
      <c r="X59" s="334" t="str">
        <f t="shared" si="37"/>
        <v>은어송2단지코오롱하늘채 2007 1241^
고래등 010-6685-0101
35p 204동 중층 40,000 / 30,000 
실거주자 컨셉
여기는 주인이 비싸게 내놓음 깔끔하긴 하지만 오래 사신 주인분이라 최신 수리 안 되어있음
203동 27층 정남향 수리중인 물건 추천. 광고 안올라와있고 팔려고 수리하심 3.55억에 한다고 한 사람있었는데 조율 X
211동 2504호도 괜찮음 3.9억 리모델링 최근에 했음
뒤쪽 40평대 몇몇 동은 선호 X 근데 84는 전체적으로 동간 호불호 크지 않다 
1단지 VS 2단지 좀 여유있으면 2단지를 먼저 간다 돈 좀 모자란 신혼부부들이 1단지 옴
33평과 35평 차이도 좀 느껴질거다
&lt;부동산 평가&gt;
여 사장님
일 잘하시는 듯 
잘 말해주심
&lt;얻은 정보&gt;
</v>
      </c>
      <c r="Y59" s="347"/>
      <c r="Z59" s="304"/>
      <c r="AA59" s="304"/>
      <c r="AB59" s="304"/>
      <c r="AC59" s="304"/>
      <c r="AD59" s="304"/>
      <c r="AE59" s="304"/>
      <c r="AF59" s="304"/>
      <c r="AG59" s="304"/>
      <c r="AH59" s="304"/>
    </row>
    <row r="60">
      <c r="A60" s="286"/>
      <c r="B60" s="339">
        <f t="shared" si="38"/>
        <v>55</v>
      </c>
      <c r="C60" s="269" t="s">
        <v>108</v>
      </c>
      <c r="D60" s="364">
        <v>46125.0</v>
      </c>
      <c r="E60" s="269" t="s">
        <v>112</v>
      </c>
      <c r="F60" s="269" t="s">
        <v>938</v>
      </c>
      <c r="G60" s="269" t="s">
        <v>939</v>
      </c>
      <c r="H60" s="344"/>
      <c r="I60" s="344"/>
      <c r="J60" s="269" t="s">
        <v>940</v>
      </c>
      <c r="K60" s="360">
        <v>2007.0</v>
      </c>
      <c r="L60" s="360">
        <v>664.0</v>
      </c>
      <c r="M60" s="331">
        <f t="shared" si="2"/>
        <v>20</v>
      </c>
      <c r="N60" s="269" t="s">
        <v>941</v>
      </c>
      <c r="O60" s="361">
        <v>33.0</v>
      </c>
      <c r="P60" s="361">
        <v>32000.0</v>
      </c>
      <c r="Q60" s="361">
        <v>27000.0</v>
      </c>
      <c r="R60" s="323">
        <f t="shared" si="4"/>
        <v>5000</v>
      </c>
      <c r="S60" s="323">
        <f t="shared" ref="S60:T60" si="65">if(and(P60 &lt;&gt; "", O60 &lt;&gt; ""), P60/O60, "")</f>
        <v>969.6969697</v>
      </c>
      <c r="T60" s="324">
        <f t="shared" si="65"/>
        <v>0.84375</v>
      </c>
      <c r="U60" s="346" t="s">
        <v>942</v>
      </c>
      <c r="V60" s="346" t="s">
        <v>943</v>
      </c>
      <c r="W60" s="368"/>
      <c r="X60" s="334" t="str">
        <f t="shared" si="37"/>
        <v>은어송1단지풍림아이원 2007 664^
가오드림 010-3451-8500
33p 104동 23층 남향 32,000 / 27,000 
실거주자 컨셉
1단지는 로얄동 보다는 그 물건의 상태차이가 가격을 결정한다
시세 차익을 누리려면 리버뷰나 리더스 신축 가야함
&lt;부동산 평가&gt;
남자사장님
단지 내 사장님이 아니고 토지 많이 하시는 사장님이라 빠싹하지 못함
&lt;얻은 정보&gt;
</v>
      </c>
      <c r="Y60" s="347"/>
      <c r="Z60" s="304"/>
      <c r="AA60" s="304"/>
      <c r="AB60" s="304"/>
      <c r="AC60" s="304"/>
      <c r="AD60" s="304"/>
      <c r="AE60" s="304"/>
      <c r="AF60" s="304"/>
      <c r="AG60" s="304"/>
      <c r="AH60" s="304"/>
    </row>
    <row r="61">
      <c r="A61" s="286"/>
      <c r="B61" s="339">
        <f t="shared" si="38"/>
        <v>56</v>
      </c>
      <c r="C61" s="269" t="s">
        <v>108</v>
      </c>
      <c r="D61" s="364">
        <v>46125.0</v>
      </c>
      <c r="E61" s="269" t="s">
        <v>112</v>
      </c>
      <c r="F61" s="269" t="s">
        <v>944</v>
      </c>
      <c r="G61" s="269" t="s">
        <v>945</v>
      </c>
      <c r="H61" s="344"/>
      <c r="I61" s="344"/>
      <c r="J61" s="269" t="s">
        <v>946</v>
      </c>
      <c r="K61" s="360">
        <v>2006.0</v>
      </c>
      <c r="L61" s="360">
        <v>696.0</v>
      </c>
      <c r="M61" s="331">
        <f t="shared" si="2"/>
        <v>21</v>
      </c>
      <c r="N61" s="269" t="s">
        <v>947</v>
      </c>
      <c r="O61" s="361">
        <v>36.0</v>
      </c>
      <c r="P61" s="361">
        <v>34000.0</v>
      </c>
      <c r="Q61" s="361">
        <v>31000.0</v>
      </c>
      <c r="R61" s="323">
        <f t="shared" si="4"/>
        <v>3000</v>
      </c>
      <c r="S61" s="323">
        <f t="shared" ref="S61:T61" si="66">if(and(P61 &lt;&gt; "", O61 &lt;&gt; ""), P61/O61, "")</f>
        <v>944.4444444</v>
      </c>
      <c r="T61" s="324">
        <f t="shared" si="66"/>
        <v>0.9117647059</v>
      </c>
      <c r="U61" s="346" t="s">
        <v>948</v>
      </c>
      <c r="V61" s="346" t="s">
        <v>949</v>
      </c>
      <c r="W61" s="368"/>
      <c r="X61" s="334" t="str">
        <f t="shared" si="37"/>
        <v>은어송3단지아이파크 2006 696^
크라운 010-9285-5115
36p 304동 17층 34,000 / 31,000 
실거주자 컨셉
6단지는 84단일, 3단지는 대형평형
초등학교 가까운 3단지 좋아함
어르신들은 뒤쪽 동 좋아하고
앞라인들 다 로얄 동
나중에 전세주고 나가도 괜찮음
&lt;부동산 평가&gt;
여자 사장님
브리핑 잘해주심
&lt;얻은 정보&gt;
</v>
      </c>
      <c r="Y61" s="347"/>
      <c r="Z61" s="304"/>
      <c r="AA61" s="304"/>
      <c r="AB61" s="304"/>
      <c r="AC61" s="304"/>
      <c r="AD61" s="304"/>
      <c r="AE61" s="304"/>
      <c r="AF61" s="304"/>
      <c r="AG61" s="304"/>
      <c r="AH61" s="304"/>
    </row>
    <row r="62">
      <c r="A62" s="286"/>
      <c r="B62" s="340">
        <v>57.0</v>
      </c>
      <c r="C62" s="269" t="s">
        <v>110</v>
      </c>
      <c r="D62" s="364">
        <v>46126.0</v>
      </c>
      <c r="E62" s="269" t="s">
        <v>113</v>
      </c>
      <c r="F62" s="269" t="s">
        <v>950</v>
      </c>
      <c r="G62" s="269" t="s">
        <v>951</v>
      </c>
      <c r="H62" s="269">
        <v>54.0</v>
      </c>
      <c r="I62" s="269">
        <v>3.0</v>
      </c>
      <c r="J62" s="269" t="s">
        <v>624</v>
      </c>
      <c r="K62" s="360">
        <v>2011.0</v>
      </c>
      <c r="L62" s="360">
        <v>1115.0</v>
      </c>
      <c r="M62" s="331">
        <f t="shared" si="2"/>
        <v>16</v>
      </c>
      <c r="N62" s="344"/>
      <c r="O62" s="375"/>
      <c r="P62" s="375"/>
      <c r="Q62" s="375"/>
      <c r="R62" s="323" t="str">
        <f t="shared" si="4"/>
        <v/>
      </c>
      <c r="S62" s="323" t="str">
        <f t="shared" ref="S62:T62" si="67">if(and(P62 &lt;&gt; "", O62 &lt;&gt; ""), P62/O62, "")</f>
        <v/>
      </c>
      <c r="T62" s="324" t="str">
        <f t="shared" si="67"/>
        <v/>
      </c>
      <c r="U62" s="403" t="s">
        <v>952</v>
      </c>
      <c r="V62" s="346" t="s">
        <v>953</v>
      </c>
      <c r="W62" s="346" t="s">
        <v>954</v>
      </c>
      <c r="X62" s="334" t="str">
        <f t="shared" si="37"/>
        <v>스마트뷰 2011 1115^
효성공인 010-7524-7712
p   /  
실거주컨셉
&lt;부동산 평가&gt;
여자사장님 친절
&lt;얻은 정보&gt;
110-112동 까지가 로얄동, 112동의 1,2라인은 도로 소음으로 좋아하지 않음. 단지 내 분위기 좋지만 전세는 잘 나오지도 나가지도 않음. 
101-104동쪽을 선호하지 않아 가격 차이가 항상 5억 이상 벌어짐. 
대전역 접근 가능하긴 하지만, 차없이 가기엔 멀어서  출퇴근 용도로는 의미 없음. 초등학교까지는 괜찮지만 중학교는 여기서 보내기는 아쉽. 
타입에 대한 선호 명확함. A형이 제일 무난하게 인기있음. B형은 젊은이들을 위한 타입이나 구조가 꺾여있어 환기가 어려움. C형도 괜찮은 편. 안방이 넓게 빠져있음. 
(한밭자이 사장님께 현재 집 타입이 안좋아 파는데 고생했다고 했더니 바로 스마트뷰B타입 아니냐고...하셨음..ㅎㅎㅎ)</v>
      </c>
      <c r="Y62" s="347"/>
      <c r="Z62" s="304"/>
      <c r="AA62" s="304"/>
      <c r="AB62" s="304"/>
      <c r="AC62" s="304"/>
      <c r="AD62" s="304"/>
      <c r="AE62" s="304"/>
      <c r="AF62" s="304"/>
      <c r="AG62" s="304"/>
      <c r="AH62" s="304"/>
    </row>
    <row r="63">
      <c r="A63" s="286"/>
      <c r="B63" s="340">
        <v>58.0</v>
      </c>
      <c r="C63" s="269" t="s">
        <v>37</v>
      </c>
      <c r="D63" s="364">
        <v>46126.0</v>
      </c>
      <c r="E63" s="269" t="s">
        <v>113</v>
      </c>
      <c r="F63" s="269" t="s">
        <v>955</v>
      </c>
      <c r="G63" s="269" t="s">
        <v>956</v>
      </c>
      <c r="H63" s="269">
        <v>28.0</v>
      </c>
      <c r="I63" s="269">
        <v>0.0</v>
      </c>
      <c r="J63" s="269" t="s">
        <v>624</v>
      </c>
      <c r="K63" s="360">
        <v>2011.0</v>
      </c>
      <c r="L63" s="360">
        <v>1115.0</v>
      </c>
      <c r="M63" s="331">
        <f t="shared" si="2"/>
        <v>16</v>
      </c>
      <c r="N63" s="269" t="s">
        <v>957</v>
      </c>
      <c r="O63" s="361">
        <v>34.0</v>
      </c>
      <c r="P63" s="361">
        <v>36000.0</v>
      </c>
      <c r="Q63" s="361">
        <v>27500.0</v>
      </c>
      <c r="R63" s="323">
        <f t="shared" si="4"/>
        <v>8500</v>
      </c>
      <c r="S63" s="323">
        <f t="shared" ref="S63:T63" si="68">if(and(P63 &lt;&gt; "", O63 &lt;&gt; ""), P63/O63, "")</f>
        <v>1058.823529</v>
      </c>
      <c r="T63" s="324">
        <f t="shared" si="68"/>
        <v>0.7638888889</v>
      </c>
      <c r="U63" s="346" t="s">
        <v>958</v>
      </c>
      <c r="V63" s="346" t="s">
        <v>959</v>
      </c>
      <c r="W63" s="346" t="s">
        <v>960</v>
      </c>
      <c r="X63" s="334" t="str">
        <f t="shared" si="37"/>
        <v>스마트뷰 2011 1115^
구성스마트공인 010-9778-6169
34p 101동 17층 36,000 / 27,500 
수리되어있는게 없다. 나온집중에서 한두집정도는 되어있는데 전세 시세는 2.75-2.8
수리된거 3.8 이상 (봄에 3.95에 나감)
b형같은건 저렴한게 있긴한데 a,c 3.5 할만한게 
rr은 천변뷰 a,c &gt;&gt;&gt;b (이건 구조가 이상함)
&lt;부동산 평가&gt;
뭐 묻는말엔 대답 해주는데..
대전 지금 투자할 시기냐 ㅎㅎ
보수적으로 봐라.
현재는 전세가 없어서 나가긴 나간다.
&lt;얻은 정보&gt;
109-112 천변뷰 
112동 1-2호는 대로변 소음있음
수리된물건 3.95까지 찍었는데 지금 3.5-6 정도는 할만한거 없다. 조금더 금액 주더라도 a,c 가 나중에 팔때도 낫다.
소득수준이 그리 높진 않은것 같다. 수리된 물건이 많이 있다고 하진 않는다.
다른물건) 105동 3.6에 내놓은거 분양권이랑 스마트뷰랑 물건 같이 내놨는데 분양권이 정리되서 여기서 눌러살거 같음</v>
      </c>
      <c r="Y63" s="347"/>
      <c r="Z63" s="304"/>
      <c r="AA63" s="304"/>
      <c r="AB63" s="304"/>
      <c r="AC63" s="304"/>
      <c r="AD63" s="304"/>
      <c r="AE63" s="304"/>
      <c r="AF63" s="304"/>
      <c r="AG63" s="304"/>
      <c r="AH63" s="304"/>
    </row>
    <row r="64">
      <c r="A64" s="286"/>
      <c r="B64" s="340">
        <v>59.0</v>
      </c>
      <c r="C64" s="269" t="s">
        <v>110</v>
      </c>
      <c r="D64" s="364">
        <v>46126.0</v>
      </c>
      <c r="E64" s="269" t="s">
        <v>113</v>
      </c>
      <c r="F64" s="269" t="s">
        <v>961</v>
      </c>
      <c r="G64" s="269" t="s">
        <v>962</v>
      </c>
      <c r="H64" s="269">
        <v>26.0</v>
      </c>
      <c r="I64" s="269">
        <v>0.0</v>
      </c>
      <c r="J64" s="269" t="s">
        <v>443</v>
      </c>
      <c r="K64" s="360">
        <v>2006.0</v>
      </c>
      <c r="L64" s="360">
        <v>1063.0</v>
      </c>
      <c r="M64" s="331">
        <f t="shared" si="2"/>
        <v>21</v>
      </c>
      <c r="N64" s="269" t="s">
        <v>963</v>
      </c>
      <c r="O64" s="361">
        <v>34.0</v>
      </c>
      <c r="P64" s="361">
        <v>33000.0</v>
      </c>
      <c r="Q64" s="361">
        <v>27000.0</v>
      </c>
      <c r="R64" s="323">
        <f t="shared" si="4"/>
        <v>6000</v>
      </c>
      <c r="S64" s="323">
        <f t="shared" ref="S64:T64" si="69">if(and(P64 &lt;&gt; "", O64 &lt;&gt; ""), P64/O64, "")</f>
        <v>970.5882353</v>
      </c>
      <c r="T64" s="324">
        <f t="shared" si="69"/>
        <v>0.8181818182</v>
      </c>
      <c r="U64" s="346" t="s">
        <v>964</v>
      </c>
      <c r="V64" s="346" t="s">
        <v>965</v>
      </c>
      <c r="W64" s="346" t="s">
        <v>966</v>
      </c>
      <c r="X64" s="334" t="str">
        <f t="shared" si="37"/>
        <v>한밭자이 2006 1063^
삼성자이공인 010-7627-4247
34p 102동4층남동향 33,000 / 27,000 
4층이라도 102동 로얄동. 해도 잘 들고
로얄동은 102동과 109동. 앞이 트였고. 둘 다 3-4라인이 좋다. 도롯가 안쪽이고. 
이 물건은 입주 내년 2월 말경.-3월 초 물건. (2억8천 인가 3억 들어있음) 
&lt;부동산 평가&gt;
수더분하고 편하게말씀해주신다.
&lt;얻은 정보&gt;
한밭자이가 스마트뷰보다 좋은 이유
-&gt;초등학교 단지내 있고, 평지고, 교통도 더 좋고, 거긴 경사에 LH다. 지하주차장 연결 안 되어있다. 한받자이는 아래 통으로 연결되어 있다. 아파트부지만큼. 지하 1층까지지만 주차 힘들지 않다. 2대든 3대든 주차요금 별도 없다. 그건 주차하기 쉽다는 것.  자이는 LH와 급이 다르다. 그러니까 연식이 아쉬워도 이 값 하는 것!
전세는 잘 나오지도 않고, 자가로 사는 사람이 많고, 나와도 잘 나간다. 지금 있는 전세도 오늘 다 나갔다.
30평과 26평 둘다 선호 좋다. 구조는 똑같고 26평도 화장실 2개고, 둘 다 선호가 있다. </v>
      </c>
      <c r="Y64" s="347"/>
      <c r="Z64" s="304"/>
      <c r="AA64" s="304"/>
      <c r="AB64" s="304"/>
      <c r="AC64" s="304"/>
      <c r="AD64" s="304"/>
      <c r="AE64" s="304"/>
      <c r="AF64" s="304"/>
      <c r="AG64" s="304"/>
      <c r="AH64" s="304"/>
    </row>
    <row r="65">
      <c r="A65" s="286"/>
      <c r="B65" s="340">
        <v>60.0</v>
      </c>
      <c r="C65" s="269" t="s">
        <v>37</v>
      </c>
      <c r="D65" s="364">
        <v>46126.0</v>
      </c>
      <c r="E65" s="269" t="s">
        <v>113</v>
      </c>
      <c r="F65" s="269" t="s">
        <v>950</v>
      </c>
      <c r="G65" s="269" t="s">
        <v>951</v>
      </c>
      <c r="H65" s="269">
        <v>54.0</v>
      </c>
      <c r="I65" s="269">
        <v>3.0</v>
      </c>
      <c r="J65" s="269" t="s">
        <v>967</v>
      </c>
      <c r="K65" s="360">
        <v>2003.0</v>
      </c>
      <c r="L65" s="360">
        <v>818.0</v>
      </c>
      <c r="M65" s="331">
        <f t="shared" si="2"/>
        <v>24</v>
      </c>
      <c r="N65" s="269" t="s">
        <v>968</v>
      </c>
      <c r="O65" s="361">
        <v>34.0</v>
      </c>
      <c r="P65" s="361">
        <v>33000.0</v>
      </c>
      <c r="Q65" s="361">
        <v>26000.0</v>
      </c>
      <c r="R65" s="323">
        <f t="shared" si="4"/>
        <v>7000</v>
      </c>
      <c r="S65" s="323">
        <f t="shared" ref="S65:T65" si="70">if(and(P65 &lt;&gt; "", O65 &lt;&gt; ""), P65/O65, "")</f>
        <v>970.5882353</v>
      </c>
      <c r="T65" s="324">
        <f t="shared" si="70"/>
        <v>0.7878787879</v>
      </c>
      <c r="U65" s="346" t="s">
        <v>969</v>
      </c>
      <c r="V65" s="346" t="s">
        <v>970</v>
      </c>
      <c r="W65" s="346" t="s">
        <v>971</v>
      </c>
      <c r="X65" s="334" t="str">
        <f t="shared" si="37"/>
        <v>효촌마을 2003 818^
효성공인 010-7524-7712
34p 207동 12층 33,000 / 26,000 
전세시세 2.5-2.6
스마트뷰 전세시세 2.7-2.8
205동 13층 3.3 거래됨
207동 12층 3.3은 남아있음
RR 206.207
집보고있으니 좀이따통화해요~
&lt;부동산 평가&gt;
이사장님 일잘러
&lt;얻은 정보&gt;
효촌마을 거래가 된다. 누가 거래할까? 실거주가 거래할까? 일단은 가서 보자.</v>
      </c>
      <c r="Y65" s="347"/>
      <c r="Z65" s="304"/>
      <c r="AA65" s="304"/>
      <c r="AB65" s="304"/>
      <c r="AC65" s="304"/>
      <c r="AD65" s="304"/>
      <c r="AE65" s="304"/>
      <c r="AF65" s="304"/>
      <c r="AG65" s="304"/>
      <c r="AH65" s="304"/>
    </row>
    <row r="66">
      <c r="A66" s="286"/>
      <c r="B66" s="340">
        <v>61.0</v>
      </c>
      <c r="C66" s="269" t="s">
        <v>23</v>
      </c>
      <c r="D66" s="359">
        <v>46126.0</v>
      </c>
      <c r="E66" s="269" t="s">
        <v>113</v>
      </c>
      <c r="F66" s="269" t="s">
        <v>837</v>
      </c>
      <c r="G66" s="269" t="s">
        <v>838</v>
      </c>
      <c r="H66" s="269">
        <v>16.0</v>
      </c>
      <c r="I66" s="269">
        <v>0.0</v>
      </c>
      <c r="J66" s="269" t="s">
        <v>839</v>
      </c>
      <c r="K66" s="360">
        <v>2016.0</v>
      </c>
      <c r="L66" s="360">
        <v>408.0</v>
      </c>
      <c r="M66" s="331">
        <f t="shared" si="2"/>
        <v>11</v>
      </c>
      <c r="N66" s="269" t="s">
        <v>972</v>
      </c>
      <c r="O66" s="361">
        <v>35.0</v>
      </c>
      <c r="P66" s="361">
        <v>36000.0</v>
      </c>
      <c r="Q66" s="361">
        <v>30000.0</v>
      </c>
      <c r="R66" s="323">
        <f t="shared" si="4"/>
        <v>6000</v>
      </c>
      <c r="S66" s="323">
        <f t="shared" ref="S66:T66" si="71">if(and(P66 &lt;&gt; "", O66 &lt;&gt; ""), P66/O66, "")</f>
        <v>1028.571429</v>
      </c>
      <c r="T66" s="324">
        <f t="shared" si="71"/>
        <v>0.8333333333</v>
      </c>
      <c r="U66" s="346" t="s">
        <v>973</v>
      </c>
      <c r="V66" s="346" t="s">
        <v>974</v>
      </c>
      <c r="W66" s="346" t="s">
        <v>975</v>
      </c>
      <c r="X66" s="334" t="str">
        <f t="shared" si="37"/>
        <v>은어송코오롱하늘채2차 2016 408^
하늘채우리집 010-9898-5466
35p 103동15층 36,000 / 30,000 
[매물 정보]
- 인테리어한지 몇 년 안되서 수리할 곳 없음. 안방 화장실에 바닥 타일 떨어져있는 거 정도 (수리한 타일)
- 27년 신축 입주라서 당장 입주는 어렵다 - 그 시점에 전세 맞추기 어렵지 않겠냐 - 동구는 그렇지 않다. 유성구/서구랑 거리도 멀고 - 아 그러면 혹시 주전은 어떨 거 같냐 - 1년밖에 거주안하는데 왜? 나중에 어떻게 될 줄 알고? 차라리 잔금을 뒤로 - 1년으로 하고 특약에 써두면 되지 않냐 - 계약 기간 안에 나가면 자기 돈으로 임차인 구해줘야하는데 - 그것도 특약에 넣으면 되지 않냐 - 그런데 내 (부사님) 생각에 그렇게까지 해서 팔고 싶어하지 않을 것 같다, 잔금을 뒤로가 제일 깔끔하다 (((부사님께서 잘 모르시는구나))) - 전세는 아까 동구는 영향권이 아니라 얘기하셨는데 왜그러냐? - 동구는 그렇지 않다. - 그러니까 왜 - 네이버 부동산 봤냐 - ㅇㅇ - 전세 있더냐 - 없는데 그건 지금이고, 27년엔 다르지 않냐 - "그러면 내일 지구가 멸망할지도 모르는데 집은 왜사요?" - ^^;; 
&lt;부동산 평가&gt;
"지구가 멸망할지 모르는데 살거냐" ㅋㅋ T에 아주 빠삭하게 알고 계시진 않지만 진짜 살거라면 협조적으로 도움주실 느낌
&lt;얻은 정보&gt;
- 포인트 : 해당 매물은 인테리어 매물
&gt;&gt; 매임 시, 본 매물과 기본 매물 비교 (상태 대비 가격 등)
- 동구는 신축 영향권 밖!
&gt;&gt; 이 부사님도 비슷한 소리 하심
&gt;&gt; 과거 유성구 도안신도시, 서구 관저, 세종, 청주 공급량 多 당시 영향 확인해보자</v>
      </c>
      <c r="Y66" s="347"/>
      <c r="Z66" s="304"/>
      <c r="AA66" s="304"/>
      <c r="AB66" s="304"/>
      <c r="AC66" s="304"/>
      <c r="AD66" s="304"/>
      <c r="AE66" s="304"/>
      <c r="AF66" s="304"/>
      <c r="AG66" s="304"/>
      <c r="AH66" s="304"/>
    </row>
    <row r="67">
      <c r="A67" s="286"/>
      <c r="B67" s="340">
        <v>62.0</v>
      </c>
      <c r="C67" s="269" t="s">
        <v>23</v>
      </c>
      <c r="D67" s="359">
        <v>46126.0</v>
      </c>
      <c r="E67" s="269" t="s">
        <v>113</v>
      </c>
      <c r="F67" s="404" t="s">
        <v>976</v>
      </c>
      <c r="G67" s="269" t="s">
        <v>762</v>
      </c>
      <c r="H67" s="269">
        <v>92.0</v>
      </c>
      <c r="I67" s="269">
        <v>2.0</v>
      </c>
      <c r="J67" s="269" t="s">
        <v>839</v>
      </c>
      <c r="K67" s="360">
        <v>2016.0</v>
      </c>
      <c r="L67" s="360">
        <v>408.0</v>
      </c>
      <c r="M67" s="331">
        <f t="shared" si="2"/>
        <v>11</v>
      </c>
      <c r="N67" s="269" t="s">
        <v>977</v>
      </c>
      <c r="O67" s="361">
        <v>34.0</v>
      </c>
      <c r="P67" s="361">
        <v>36000.0</v>
      </c>
      <c r="Q67" s="375"/>
      <c r="R67" s="323" t="str">
        <f t="shared" si="4"/>
        <v/>
      </c>
      <c r="S67" s="323">
        <f t="shared" ref="S67:T67" si="72">if(and(P67 &lt;&gt; "", O67 &lt;&gt; ""), P67/O67, "")</f>
        <v>1058.823529</v>
      </c>
      <c r="T67" s="324" t="str">
        <f t="shared" si="72"/>
        <v/>
      </c>
      <c r="U67" s="346" t="s">
        <v>978</v>
      </c>
      <c r="V67" s="346" t="s">
        <v>979</v>
      </c>
      <c r="W67" s="346" t="s">
        <v>865</v>
      </c>
      <c r="X67" s="334" t="str">
        <f t="shared" si="37"/>
        <v>은어송코오롱하늘채2차 2016 408^
풍림사랑공인중개사사무소 010-9731-4500
34p 104동12층 36,000 /  
[매물 정보]
- 네부 광고에는 '관리잘되고 깨끗 전세도 가능'이라고 되어 있는데, 광고를 올린 사장님이 해당 물건에 대해 인지하지 못하고 있음
- 물건이 여러개라 코오롱하늘채2단지와 헷갈리시는 듯... 2016년식 하늘채 2차라 누차 말씀드려도 못알아들으심ㅠ
- 해당 매물이 풍림 사장님만 가지고 계셔서 매물 파악 어려움
&lt;부동산 평가&gt;
물건은 많은데 잘 알고 계시진 못함 (동네 마당발일지도). 네부는 남자 사장님인데 전화는 여자 부사님. 다만 여러번 콜백하시며 적극성은 확인
&lt;얻은 정보&gt;
n/a</v>
      </c>
      <c r="Y67" s="347"/>
      <c r="Z67" s="304"/>
      <c r="AA67" s="304"/>
      <c r="AB67" s="304"/>
      <c r="AC67" s="304"/>
      <c r="AD67" s="304"/>
      <c r="AE67" s="304"/>
      <c r="AF67" s="304"/>
      <c r="AG67" s="304"/>
      <c r="AH67" s="304"/>
    </row>
    <row r="68">
      <c r="A68" s="286"/>
      <c r="B68" s="340">
        <v>63.0</v>
      </c>
      <c r="C68" s="269" t="s">
        <v>110</v>
      </c>
      <c r="D68" s="269" t="s">
        <v>980</v>
      </c>
      <c r="E68" s="269" t="s">
        <v>114</v>
      </c>
      <c r="F68" s="269" t="s">
        <v>981</v>
      </c>
      <c r="G68" s="269" t="s">
        <v>982</v>
      </c>
      <c r="H68" s="344"/>
      <c r="I68" s="344"/>
      <c r="J68" s="269" t="s">
        <v>450</v>
      </c>
      <c r="K68" s="360">
        <v>2022.0</v>
      </c>
      <c r="L68" s="360">
        <v>1588.0</v>
      </c>
      <c r="M68" s="331">
        <f t="shared" si="2"/>
        <v>5</v>
      </c>
      <c r="N68" s="344"/>
      <c r="O68" s="375"/>
      <c r="P68" s="375"/>
      <c r="Q68" s="375"/>
      <c r="R68" s="323" t="str">
        <f t="shared" si="4"/>
        <v/>
      </c>
      <c r="S68" s="323" t="str">
        <f t="shared" ref="S68:T68" si="73">if(and(P68 &lt;&gt; "", O68 &lt;&gt; ""), P68/O68, "")</f>
        <v/>
      </c>
      <c r="T68" s="324" t="str">
        <f t="shared" si="73"/>
        <v/>
      </c>
      <c r="U68" s="368"/>
      <c r="V68" s="368"/>
      <c r="W68" s="346" t="s">
        <v>983</v>
      </c>
      <c r="X68" s="334" t="str">
        <f t="shared" si="37"/>
        <v>신흥SK뷰 2022 1588^
이스트박사공인 010-6471-5951
p   /  
&lt;부동산 평가&gt;
&lt;얻은 정보&gt;
전세수요))
전세가 없었는데 갑자기 몇 개가 나왔다. 36500에 내놓은 게 있는데 안나온다. 학교가 있다보니까 겨울보다는 안 맞춰진다. 4월 말 입주였기 때문에 요 시기에 나오는 사람들이 있긴 하다. 
평수선호도))
30평이 토요일1, 어제1 계약 됐다. 84가 매물이 많다. 신혼부부가 많아서 24평도 많이 거래됐고, 작년에 전세원하는 신혼부부들이 있었는데 전세가 없어서 30평 매매가 작년 가을에 아주 많이 나갔다. 84 매물이 쌓이는 느낌이라 조절 가능할 것. </v>
      </c>
      <c r="Y68" s="347"/>
      <c r="Z68" s="304"/>
      <c r="AA68" s="304"/>
      <c r="AB68" s="304"/>
      <c r="AC68" s="304"/>
      <c r="AD68" s="304"/>
      <c r="AE68" s="304"/>
      <c r="AF68" s="304"/>
      <c r="AG68" s="304"/>
      <c r="AH68" s="304"/>
    </row>
    <row r="69">
      <c r="A69" s="286"/>
      <c r="B69" s="340">
        <v>64.0</v>
      </c>
      <c r="C69" s="269" t="s">
        <v>55</v>
      </c>
      <c r="D69" s="359">
        <v>46127.0</v>
      </c>
      <c r="E69" s="269" t="s">
        <v>114</v>
      </c>
      <c r="F69" s="269" t="s">
        <v>457</v>
      </c>
      <c r="G69" s="269" t="s">
        <v>464</v>
      </c>
      <c r="H69" s="344"/>
      <c r="I69" s="344"/>
      <c r="J69" s="269" t="s">
        <v>443</v>
      </c>
      <c r="K69" s="360">
        <v>2007.0</v>
      </c>
      <c r="L69" s="330"/>
      <c r="M69" s="331">
        <f t="shared" si="2"/>
        <v>20</v>
      </c>
      <c r="N69" s="269" t="s">
        <v>984</v>
      </c>
      <c r="O69" s="375"/>
      <c r="P69" s="361">
        <v>35000.0</v>
      </c>
      <c r="Q69" s="361">
        <v>28000.0</v>
      </c>
      <c r="R69" s="323">
        <f t="shared" si="4"/>
        <v>7000</v>
      </c>
      <c r="S69" s="323" t="str">
        <f t="shared" ref="S69:T69" si="74">if(and(P69 &lt;&gt; "", O69 &lt;&gt; ""), P69/O69, "")</f>
        <v/>
      </c>
      <c r="T69" s="324">
        <f t="shared" si="74"/>
        <v>0.8</v>
      </c>
      <c r="U69" s="346" t="s">
        <v>985</v>
      </c>
      <c r="V69" s="346" t="s">
        <v>986</v>
      </c>
      <c r="W69" s="368"/>
      <c r="X69" s="334" t="str">
        <f t="shared" si="37"/>
        <v>한밭자이 2007 ^
엘지공인 010-5450-3301
p 104동 25층 35,000 / 28,000 
주인거주, 내년 2월 다른 아파트 입주 &gt; 주인전세가능 
안쪽동 선호, 전세 2.6-2.7억에서 거래되다가 최근에 전세가 없으니 2.8억에도 거래되고 있음.
130-2층(필로티) 3.9억 - 최신 레모델링
103-1205 - 3.6억/2.6억 세입자 묵시적갱신 - 계속 거주할 의사 O
사장님이 15분동안 거의 강의해주심.. 임장하러 오는거면 세입자 있는 집은 보여기 꺼려진다, 갭투는 다들 보고 사지를 않으니까 집 보여주기 좀 그렇다..부터 시작해서 물건만 보러온다고 될 게 아니라 그 지역 전체분위기를 보고 여기에 투자해도 되겠다고 판단이 들어야한다, 물건을 보고 판단할 시장이 아님, 지방은 부동산이 올라가는 분위기가 아니다, 정책때문에 오르기 쉽지 않다 &gt; 물론 구도심/신도심 차이는 있지만 지방은 갭투자 할 시기가 아니다, 대전은 현재 정체되어 있는 분위기. 자기도 갭투자해봐서 안다, 그래도 뭐 보고 싶다면 집주인 물건 보여줄 수는 있다~~~~~ 네~~~~
&lt;부동산 평가&gt;
친절은 하심
&lt;얻은 정보&gt;
</v>
      </c>
      <c r="Y69" s="347"/>
      <c r="Z69" s="304"/>
      <c r="AA69" s="304"/>
      <c r="AB69" s="304"/>
      <c r="AC69" s="304"/>
      <c r="AD69" s="304"/>
      <c r="AE69" s="304"/>
      <c r="AF69" s="304"/>
      <c r="AG69" s="304"/>
      <c r="AH69" s="304"/>
    </row>
    <row r="70">
      <c r="A70" s="286"/>
      <c r="B70" s="340">
        <v>65.0</v>
      </c>
      <c r="C70" s="269" t="s">
        <v>55</v>
      </c>
      <c r="D70" s="359">
        <v>46127.0</v>
      </c>
      <c r="E70" s="269" t="s">
        <v>114</v>
      </c>
      <c r="F70" s="269"/>
      <c r="G70" s="269"/>
      <c r="H70" s="344"/>
      <c r="I70" s="344"/>
      <c r="J70" s="269" t="s">
        <v>624</v>
      </c>
      <c r="K70" s="360"/>
      <c r="L70" s="330"/>
      <c r="M70" s="331"/>
      <c r="N70" s="269"/>
      <c r="O70" s="375"/>
      <c r="P70" s="361"/>
      <c r="Q70" s="361"/>
      <c r="R70" s="323"/>
      <c r="S70" s="323"/>
      <c r="T70" s="324"/>
      <c r="U70" s="346"/>
      <c r="V70" s="346"/>
      <c r="W70" s="368"/>
      <c r="X70" s="334"/>
      <c r="Y70" s="347"/>
      <c r="Z70" s="304"/>
      <c r="AA70" s="304"/>
      <c r="AB70" s="304"/>
      <c r="AC70" s="304"/>
      <c r="AD70" s="304"/>
      <c r="AE70" s="304"/>
      <c r="AF70" s="304"/>
      <c r="AG70" s="304"/>
      <c r="AH70" s="304"/>
    </row>
    <row r="71">
      <c r="A71" s="286"/>
      <c r="B71" s="340">
        <v>66.0</v>
      </c>
      <c r="C71" s="269" t="s">
        <v>39</v>
      </c>
      <c r="D71" s="269" t="s">
        <v>987</v>
      </c>
      <c r="E71" s="269" t="s">
        <v>113</v>
      </c>
      <c r="F71" s="344"/>
      <c r="G71" s="344"/>
      <c r="H71" s="344"/>
      <c r="I71" s="344"/>
      <c r="J71" s="269" t="s">
        <v>774</v>
      </c>
      <c r="K71" s="330"/>
      <c r="L71" s="330"/>
      <c r="M71" s="331">
        <f t="shared" ref="M71:M233" si="76">year(today())-K71+1</f>
        <v>2027</v>
      </c>
      <c r="N71" s="344"/>
      <c r="O71" s="375"/>
      <c r="P71" s="375"/>
      <c r="Q71" s="375"/>
      <c r="R71" s="323" t="str">
        <f t="shared" ref="R71:R233" si="77">if(and(P71 &lt;&gt; "", Q71 &lt;&gt; ""), P71-Q71, "")</f>
        <v/>
      </c>
      <c r="S71" s="323" t="str">
        <f t="shared" ref="S71:T71" si="75">if(and(P71 &lt;&gt; "", O71 &lt;&gt; ""), P71/O71, "")</f>
        <v/>
      </c>
      <c r="T71" s="324" t="str">
        <f t="shared" si="75"/>
        <v/>
      </c>
      <c r="U71" s="368"/>
      <c r="V71" s="346" t="s">
        <v>988</v>
      </c>
      <c r="W71" s="346"/>
      <c r="X71" s="334" t="str">
        <f t="shared" ref="X71:X91" si="79">if(OR(U71 &lt;&gt;"", V71&lt;&gt;"", W71 &lt;&gt; ""), TEXTJOIN("", TRUE, J71, " ", K71, " ", L71, "^", char(10), F71, " ", G71,  char(10), O71, "p ",N71, " ", P71, " / ", Q71 , " ", CHAR(10),CHAR(10), U71,  CHAR(10),CHAR(10), "&lt;부동산 평가&gt;",CHAR(10),CHAR(10), V71,  CHAR(10),CHAR(10), "&lt;얻은 정보&gt;", CHAR(10),CHAR(10),W71), "")
</f>
        <v>리더스시티4단지  ^
p   /  
&lt;부동산 평가&gt;
일잘러인데 시크
&lt;얻은 정보&gt;
</v>
      </c>
      <c r="Y71" s="347"/>
      <c r="Z71" s="304"/>
      <c r="AA71" s="304"/>
      <c r="AB71" s="304"/>
      <c r="AC71" s="304"/>
      <c r="AD71" s="304"/>
      <c r="AE71" s="304"/>
      <c r="AF71" s="304"/>
      <c r="AG71" s="304"/>
      <c r="AH71" s="304"/>
    </row>
    <row r="72">
      <c r="A72" s="286"/>
      <c r="B72" s="340">
        <v>67.0</v>
      </c>
      <c r="C72" s="269" t="s">
        <v>39</v>
      </c>
      <c r="D72" s="269" t="s">
        <v>989</v>
      </c>
      <c r="E72" s="269" t="s">
        <v>114</v>
      </c>
      <c r="F72" s="344"/>
      <c r="G72" s="344"/>
      <c r="H72" s="344"/>
      <c r="I72" s="344"/>
      <c r="J72" s="269" t="s">
        <v>928</v>
      </c>
      <c r="K72" s="330"/>
      <c r="L72" s="330"/>
      <c r="M72" s="331">
        <f t="shared" si="76"/>
        <v>2027</v>
      </c>
      <c r="N72" s="344"/>
      <c r="O72" s="375"/>
      <c r="P72" s="375"/>
      <c r="Q72" s="375"/>
      <c r="R72" s="323" t="str">
        <f t="shared" si="77"/>
        <v/>
      </c>
      <c r="S72" s="323" t="str">
        <f t="shared" ref="S72:T72" si="78">if(and(P72 &lt;&gt; "", O72 &lt;&gt; ""), P72/O72, "")</f>
        <v/>
      </c>
      <c r="T72" s="324" t="str">
        <f t="shared" si="78"/>
        <v/>
      </c>
      <c r="U72" s="368"/>
      <c r="V72" s="346" t="s">
        <v>990</v>
      </c>
      <c r="W72" s="368"/>
      <c r="X72" s="334" t="str">
        <f t="shared" si="79"/>
        <v>E편한세상에코포레  ^
p   /  
&lt;부동산 평가&gt;
친절하신데 매물정보 장부 봐야 아심
&lt;얻은 정보&gt;
</v>
      </c>
      <c r="Y72" s="347"/>
      <c r="Z72" s="304"/>
      <c r="AA72" s="304"/>
      <c r="AB72" s="304"/>
      <c r="AC72" s="304"/>
      <c r="AD72" s="304"/>
      <c r="AE72" s="304"/>
      <c r="AF72" s="304"/>
      <c r="AG72" s="304"/>
      <c r="AH72" s="304"/>
    </row>
    <row r="73">
      <c r="A73" s="286"/>
      <c r="B73" s="340">
        <v>68.0</v>
      </c>
      <c r="C73" s="269" t="s">
        <v>39</v>
      </c>
      <c r="D73" s="269" t="s">
        <v>989</v>
      </c>
      <c r="E73" s="269" t="s">
        <v>114</v>
      </c>
      <c r="F73" s="344"/>
      <c r="G73" s="344"/>
      <c r="H73" s="344"/>
      <c r="I73" s="344"/>
      <c r="J73" s="269" t="s">
        <v>991</v>
      </c>
      <c r="K73" s="330"/>
      <c r="L73" s="330"/>
      <c r="M73" s="331">
        <f t="shared" si="76"/>
        <v>2027</v>
      </c>
      <c r="N73" s="344"/>
      <c r="O73" s="375"/>
      <c r="P73" s="375"/>
      <c r="Q73" s="375"/>
      <c r="R73" s="323" t="str">
        <f t="shared" si="77"/>
        <v/>
      </c>
      <c r="S73" s="323" t="str">
        <f t="shared" ref="S73:T73" si="80">if(and(P73 &lt;&gt; "", O73 &lt;&gt; ""), P73/O73, "")</f>
        <v/>
      </c>
      <c r="T73" s="324" t="str">
        <f t="shared" si="80"/>
        <v/>
      </c>
      <c r="U73" s="368"/>
      <c r="V73" s="346" t="s">
        <v>992</v>
      </c>
      <c r="W73" s="368"/>
      <c r="X73" s="334" t="str">
        <f t="shared" si="79"/>
        <v>삼정그린코아1단지  ^
p   /  
&lt;부동산 평가&gt;
일잘러, 친절, 적극적
&lt;얻은 정보&gt;
</v>
      </c>
      <c r="Y73" s="347"/>
      <c r="Z73" s="304"/>
      <c r="AA73" s="304"/>
      <c r="AB73" s="304"/>
      <c r="AC73" s="304"/>
      <c r="AD73" s="304"/>
      <c r="AE73" s="304"/>
      <c r="AF73" s="304"/>
      <c r="AG73" s="304"/>
      <c r="AH73" s="304"/>
    </row>
    <row r="74">
      <c r="A74" s="286"/>
      <c r="B74" s="340">
        <v>69.0</v>
      </c>
      <c r="C74" s="269" t="s">
        <v>21</v>
      </c>
      <c r="D74" s="269" t="s">
        <v>989</v>
      </c>
      <c r="E74" s="269" t="s">
        <v>114</v>
      </c>
      <c r="F74" s="269" t="s">
        <v>502</v>
      </c>
      <c r="G74" s="269" t="s">
        <v>506</v>
      </c>
      <c r="H74" s="269" t="s">
        <v>993</v>
      </c>
      <c r="I74" s="269" t="s">
        <v>994</v>
      </c>
      <c r="J74" s="269" t="s">
        <v>477</v>
      </c>
      <c r="K74" s="360">
        <v>2018.0</v>
      </c>
      <c r="L74" s="360">
        <v>1345.0</v>
      </c>
      <c r="M74" s="331">
        <f t="shared" si="76"/>
        <v>9</v>
      </c>
      <c r="N74" s="269" t="s">
        <v>995</v>
      </c>
      <c r="O74" s="361">
        <v>34.0</v>
      </c>
      <c r="P74" s="361">
        <v>5.0</v>
      </c>
      <c r="Q74" s="385">
        <v>2.8</v>
      </c>
      <c r="R74" s="405">
        <f t="shared" si="77"/>
        <v>2.2</v>
      </c>
      <c r="S74" s="323">
        <f t="shared" ref="S74:T74" si="81">if(and(P74 &lt;&gt; "", O74 &lt;&gt; ""), P74/O74, "")</f>
        <v>0.1470588235</v>
      </c>
      <c r="T74" s="324">
        <f t="shared" si="81"/>
        <v>0.56</v>
      </c>
      <c r="U74" s="346" t="s">
        <v>996</v>
      </c>
      <c r="V74" s="346" t="s">
        <v>997</v>
      </c>
      <c r="W74" s="346" t="s">
        <v>998</v>
      </c>
      <c r="X74" s="334" t="str">
        <f t="shared" si="79"/>
        <v>이스트시티1단지 2018 1345^
이스트시티공인 010-7477-0355
34p 남동향 5 / 2.8 
세안고 2.8에 껴있고 만기 1년 더 남았음. 
탑층이 4.97에 거래되어서 고층 5.0에 매도하기를 희망하심.
급매라 싼 것.
근데 껴있는 게 좀 돈이 많아서 다른 물건 추천.
&lt;부동산 평가&gt;
친절하시긴 한데 묻는 거에만 대답해주시는 스타일
&lt;얻은 정보&gt;
34평 111동 27층 매 5.4 / 전 3.5-3.7 [1.5-1.7]
이거는 공실이라 보여주기 쉬움. 
바로 전세 빼면 투자금도 적게 들어서 추천. 
전세는 현재 단지 내 2개정도밖에 없어서 전세 내면 바로 나갈 것. 34평은 3.5-3.7정도에 내면 좋겠다고 하심. 
지금 나와있는 전세는 4억, 4.5억 짜리 있는데 너무 야망전세라고 생각. 너무 높게 불러서 지금 잘 안나가고 있는 중임.
맞벌이가 많아서 평일에 오면 잘 안보여줄 수 있음 주의. 
아무래도 대전역 근처 동으로 선호 </v>
      </c>
      <c r="Y74" s="347"/>
      <c r="Z74" s="304"/>
      <c r="AA74" s="304"/>
      <c r="AB74" s="304"/>
      <c r="AC74" s="304"/>
      <c r="AD74" s="304"/>
      <c r="AE74" s="304"/>
      <c r="AF74" s="304"/>
      <c r="AG74" s="304"/>
      <c r="AH74" s="304"/>
    </row>
    <row r="75">
      <c r="A75" s="286"/>
      <c r="B75" s="340">
        <v>70.0</v>
      </c>
      <c r="C75" s="269" t="s">
        <v>21</v>
      </c>
      <c r="D75" s="269" t="s">
        <v>989</v>
      </c>
      <c r="E75" s="269" t="s">
        <v>114</v>
      </c>
      <c r="F75" s="269" t="s">
        <v>999</v>
      </c>
      <c r="G75" s="269" t="s">
        <v>1000</v>
      </c>
      <c r="H75" s="269" t="s">
        <v>1001</v>
      </c>
      <c r="I75" s="269" t="s">
        <v>1002</v>
      </c>
      <c r="J75" s="269" t="s">
        <v>926</v>
      </c>
      <c r="K75" s="360">
        <v>2008.0</v>
      </c>
      <c r="L75" s="360">
        <v>877.0</v>
      </c>
      <c r="M75" s="331">
        <f t="shared" si="76"/>
        <v>19</v>
      </c>
      <c r="N75" s="269" t="s">
        <v>995</v>
      </c>
      <c r="O75" s="361">
        <v>34.0</v>
      </c>
      <c r="P75" s="385">
        <v>2.7</v>
      </c>
      <c r="Q75" s="385">
        <v>2.1</v>
      </c>
      <c r="R75" s="405">
        <f t="shared" si="77"/>
        <v>0.6</v>
      </c>
      <c r="S75" s="323">
        <f t="shared" ref="S75:T75" si="82">if(and(P75 &lt;&gt; "", O75 &lt;&gt; ""), P75/O75, "")</f>
        <v>0.07941176471</v>
      </c>
      <c r="T75" s="324">
        <f t="shared" si="82"/>
        <v>0.7777777778</v>
      </c>
      <c r="U75" s="346" t="s">
        <v>1003</v>
      </c>
      <c r="V75" s="346" t="s">
        <v>1004</v>
      </c>
      <c r="W75" s="346" t="s">
        <v>1005</v>
      </c>
      <c r="X75" s="334" t="str">
        <f t="shared" si="79"/>
        <v>오투그란데 2008 877^
오투제일공인 010-5401-3382
34p 남동향 2.7 / 2.1 
34평 104동 저층(-&gt;9층) 남동향 매 2.7 / 회사 기숙사
[조건]
현재 회사 기숙사로 사용중. 올해 5월이 2년 만기인데 더 쓰고 싶다고 함. (얼마 껴있는지 못물), 실거주도 좀 있다고 함 
전세권설정 안되어 있음. 
&lt;부동산 평가&gt;
묻는 말에 친절하게 대답해주심. 근데 단지가 아쉽다. 
&lt;얻은 정보&gt;
가격이 여기가 넘 저렴해서 다른데로 이사가고 싶어도 잘 못가는 사람들도 많음. 
34평 전세 내면 2~2.1 정도에 내면 잘나갈듯. 
34평보다 43평을 더 찾거나 그러지는 않음. 34평을 더 많이 찾는다. 
비선호 : '소년원' 은 길건너에 있는데 그렇게까지 막 기피하거나 그러지 않고 다들 신경 잘 안쓴다. 
RR : 딱히 있지 않은데 천뷰 좋아하면 110동, 111동. 남서향은 모두 천뷰다. 
</v>
      </c>
      <c r="Y75" s="347"/>
      <c r="Z75" s="304"/>
      <c r="AA75" s="304"/>
      <c r="AB75" s="304"/>
      <c r="AC75" s="304"/>
      <c r="AD75" s="304"/>
      <c r="AE75" s="304"/>
      <c r="AF75" s="304"/>
      <c r="AG75" s="304"/>
      <c r="AH75" s="304"/>
    </row>
    <row r="76">
      <c r="A76" s="286"/>
      <c r="B76" s="340">
        <v>71.0</v>
      </c>
      <c r="C76" s="269" t="s">
        <v>37</v>
      </c>
      <c r="D76" s="269" t="s">
        <v>989</v>
      </c>
      <c r="E76" s="269" t="s">
        <v>114</v>
      </c>
      <c r="F76" s="269" t="s">
        <v>1006</v>
      </c>
      <c r="G76" s="269" t="s">
        <v>547</v>
      </c>
      <c r="H76" s="344"/>
      <c r="I76" s="344"/>
      <c r="J76" s="269" t="s">
        <v>539</v>
      </c>
      <c r="K76" s="330"/>
      <c r="L76" s="330"/>
      <c r="M76" s="331">
        <f t="shared" si="76"/>
        <v>2027</v>
      </c>
      <c r="N76" s="344"/>
      <c r="O76" s="361">
        <v>34.0</v>
      </c>
      <c r="P76" s="361">
        <v>36000.0</v>
      </c>
      <c r="Q76" s="361">
        <v>28000.0</v>
      </c>
      <c r="R76" s="323">
        <f t="shared" si="77"/>
        <v>8000</v>
      </c>
      <c r="S76" s="323">
        <f t="shared" ref="S76:T76" si="83">if(and(P76 &lt;&gt; "", O76 &lt;&gt; ""), P76/O76, "")</f>
        <v>1058.823529</v>
      </c>
      <c r="T76" s="324">
        <f t="shared" si="83"/>
        <v>0.7777777778</v>
      </c>
      <c r="U76" s="346" t="s">
        <v>1007</v>
      </c>
      <c r="V76" s="346" t="s">
        <v>1008</v>
      </c>
      <c r="W76" s="368"/>
      <c r="X76" s="334" t="str">
        <f t="shared" si="79"/>
        <v>위드힐  ^
천동부동산 010-9429-9177
34p  36,000 / 28,000 
이분 갈 날짜가 정해져있다. (27년 2월) 여기는 B타입을 제일 좋아한다. 물건 상태는 꺠끗하다. 전세귀해서 전세는 잘 맞춘다.
&lt;부동산 평가&gt;
사장님..말이좀 많다 근데 지역 이해하는데는 괜찮을 것 같다 
&lt;얻은 정보&gt;
</v>
      </c>
      <c r="Y76" s="347"/>
      <c r="Z76" s="304"/>
      <c r="AA76" s="304"/>
      <c r="AB76" s="304"/>
      <c r="AC76" s="304"/>
      <c r="AD76" s="304"/>
      <c r="AE76" s="304"/>
      <c r="AF76" s="304"/>
      <c r="AG76" s="304"/>
      <c r="AH76" s="304"/>
    </row>
    <row r="77">
      <c r="A77" s="286"/>
      <c r="B77" s="340">
        <v>72.0</v>
      </c>
      <c r="C77" s="269" t="s">
        <v>37</v>
      </c>
      <c r="D77" s="269" t="s">
        <v>989</v>
      </c>
      <c r="E77" s="269" t="s">
        <v>114</v>
      </c>
      <c r="F77" s="269" t="s">
        <v>1009</v>
      </c>
      <c r="G77" s="269" t="s">
        <v>1010</v>
      </c>
      <c r="H77" s="344"/>
      <c r="I77" s="344"/>
      <c r="J77" s="269" t="s">
        <v>820</v>
      </c>
      <c r="K77" s="330"/>
      <c r="L77" s="330"/>
      <c r="M77" s="331">
        <f t="shared" si="76"/>
        <v>2027</v>
      </c>
      <c r="N77" s="344"/>
      <c r="O77" s="375"/>
      <c r="P77" s="361">
        <v>36000.0</v>
      </c>
      <c r="Q77" s="361">
        <v>28000.0</v>
      </c>
      <c r="R77" s="323">
        <f t="shared" si="77"/>
        <v>8000</v>
      </c>
      <c r="S77" s="323" t="str">
        <f t="shared" ref="S77:T77" si="84">if(and(P77 &lt;&gt; "", O77 &lt;&gt; ""), P77/O77, "")</f>
        <v/>
      </c>
      <c r="T77" s="324">
        <f t="shared" si="84"/>
        <v>0.7777777778</v>
      </c>
      <c r="U77" s="346" t="s">
        <v>1011</v>
      </c>
      <c r="V77" s="346" t="s">
        <v>1012</v>
      </c>
      <c r="W77" s="346" t="s">
        <v>1013</v>
      </c>
      <c r="X77" s="334" t="str">
        <f t="shared" si="79"/>
        <v>아침LH  ^
아침현대공인중개사 010-3062-8207
p  36,000 / 28,000 
(전화받자마자) 105동 3층 경매물건이냐.  요즘 그거문의많이온다. 
아니다 115동 중층  3.6 보고 전화한거다.
여기는 학교 인접동도 괜찮다. 최근 수리된 3.6-7은 거의다 빠졌다. 지금 남은건 기본만 남았다. 여기 갭투자는 잘 안한다. 다들 실거주 위주이다.
(RR 물어보니 학교 인접동이라고 함)
전세 시세는 2.8이다
&lt;부동산 평가&gt;
투자자 정중하게 거절
&lt;얻은 정보&gt;
같은 가격이면 위드힐일까? LH일까? 아님 둘다아닐까? 어쨌든 매물 보고 판단하자.</v>
      </c>
      <c r="Y77" s="347"/>
      <c r="Z77" s="304"/>
      <c r="AA77" s="304"/>
      <c r="AB77" s="304"/>
      <c r="AC77" s="304"/>
      <c r="AD77" s="304"/>
      <c r="AE77" s="304"/>
      <c r="AF77" s="304"/>
      <c r="AG77" s="304"/>
      <c r="AH77" s="304"/>
    </row>
    <row r="78">
      <c r="A78" s="286"/>
      <c r="B78" s="340">
        <v>73.0</v>
      </c>
      <c r="C78" s="269" t="s">
        <v>37</v>
      </c>
      <c r="D78" s="269" t="s">
        <v>989</v>
      </c>
      <c r="E78" s="269" t="s">
        <v>114</v>
      </c>
      <c r="F78" s="269" t="s">
        <v>584</v>
      </c>
      <c r="G78" s="269" t="s">
        <v>583</v>
      </c>
      <c r="H78" s="344"/>
      <c r="I78" s="344"/>
      <c r="J78" s="344"/>
      <c r="K78" s="330"/>
      <c r="L78" s="330"/>
      <c r="M78" s="331">
        <f t="shared" si="76"/>
        <v>2027</v>
      </c>
      <c r="N78" s="344"/>
      <c r="O78" s="375"/>
      <c r="P78" s="375"/>
      <c r="Q78" s="375"/>
      <c r="R78" s="323" t="str">
        <f t="shared" si="77"/>
        <v/>
      </c>
      <c r="S78" s="323" t="str">
        <f t="shared" ref="S78:T78" si="85">if(and(P78 &lt;&gt; "", O78 &lt;&gt; ""), P78/O78, "")</f>
        <v/>
      </c>
      <c r="T78" s="324" t="str">
        <f t="shared" si="85"/>
        <v/>
      </c>
      <c r="U78" s="346" t="s">
        <v>1014</v>
      </c>
      <c r="V78" s="346" t="s">
        <v>1015</v>
      </c>
      <c r="W78" s="368"/>
      <c r="X78" s="334" t="str">
        <f t="shared" si="79"/>
        <v>  ^
새들뫼으뜸 010-7330-3662
p   /  
세들뫼 전세 3.0-3.2인데 지금 학기 끝나고 나니까 전세 찾는사람 줄었다. 펜타뷰  3.0에 나와있는데 이거 안나간다. 전세 나온지는 한달정도 됬고 층도 괜찮다. 세들뫼는 비확장 선호도 떨어진다. 지금 시세는 확장된게 4.25정도 봐야한다. 펜타뷰는 새들뫼랑 3천정도 차이나는데 전세 시세는 똑같다. 전세 먼저 찾는거는 새들뫼가 맞다. 왜? 위치 때문에
&lt;부동산 평가&gt;
투자로 본다고 하니 급격하게 말투가 바뀜
&lt;얻은 정보&gt;
</v>
      </c>
      <c r="Y78" s="347"/>
      <c r="Z78" s="304"/>
      <c r="AA78" s="304"/>
      <c r="AB78" s="304"/>
      <c r="AC78" s="304"/>
      <c r="AD78" s="304"/>
      <c r="AE78" s="304"/>
      <c r="AF78" s="304"/>
      <c r="AG78" s="304"/>
      <c r="AH78" s="304"/>
    </row>
    <row r="79">
      <c r="A79" s="286"/>
      <c r="B79" s="340">
        <v>74.0</v>
      </c>
      <c r="C79" s="269" t="s">
        <v>23</v>
      </c>
      <c r="D79" s="269" t="s">
        <v>989</v>
      </c>
      <c r="E79" s="269" t="s">
        <v>114</v>
      </c>
      <c r="F79" s="269" t="s">
        <v>1016</v>
      </c>
      <c r="G79" s="269" t="s">
        <v>564</v>
      </c>
      <c r="H79" s="269">
        <v>53.0</v>
      </c>
      <c r="I79" s="269">
        <v>0.0</v>
      </c>
      <c r="J79" s="269" t="s">
        <v>825</v>
      </c>
      <c r="K79" s="360">
        <v>2020.0</v>
      </c>
      <c r="L79" s="360">
        <v>2267.0</v>
      </c>
      <c r="M79" s="331">
        <f t="shared" si="76"/>
        <v>7</v>
      </c>
      <c r="N79" s="269" t="s">
        <v>1017</v>
      </c>
      <c r="O79" s="361">
        <v>33.0</v>
      </c>
      <c r="P79" s="361">
        <v>42500.0</v>
      </c>
      <c r="Q79" s="361">
        <v>34000.0</v>
      </c>
      <c r="R79" s="323">
        <f t="shared" si="77"/>
        <v>8500</v>
      </c>
      <c r="S79" s="323">
        <f t="shared" ref="S79:T79" si="86">if(and(P79 &lt;&gt; "", O79 &lt;&gt; ""), P79/O79, "")</f>
        <v>1287.878788</v>
      </c>
      <c r="T79" s="324">
        <f t="shared" si="86"/>
        <v>0.8</v>
      </c>
      <c r="U79" s="346" t="s">
        <v>1018</v>
      </c>
      <c r="V79" s="346" t="s">
        <v>1019</v>
      </c>
      <c r="W79" s="346" t="s">
        <v>1020</v>
      </c>
      <c r="X79" s="334" t="str">
        <f t="shared" si="79"/>
        <v>e편한세상대전에코포레 2020 2267^
대청에코포레공인중개사사무소 010-7444-1130
33p 104동중층 42,500 / 34,000 
[매물정보]
- 세입자 만기 26.06 중순 이사나가야함, 이사 일정 픽스인지 아닌지는 모름 
- 부사님이 "물건 나온지가 얼마 안됐다" 하셨는데, 그 얼마안된 게 [3주]였음.. (응?)
- 오늘 매도자분과 왜케 아무런 연락없냐고 통화하셨다고
[시세/분위기]
- 전세 문의하니, 현재 광고는 3억, 최대 실거래는 3.4억, 가장 최근 거래는 2.8 진짜 빨리 나감~ 너무 범위가 크다
- 3억은 왜 안나감? 7월 입주, 시기가 안맞아
- 3.4억은 왜? 빈집이었고, 원하는 일정대로 들어갈 수 있어서 였다
&gt;&gt; 입주 시기 조율이 가능하도록 협의가 된다면 (매도인이 전세금 반환 후 기간 넉넉하다면) 전세가도 상당히 높게 받을 수 있을 듯
&lt;부동산 평가&gt;
첨에 사장님 반응 애매하셔서 잘 모르시나 했는데, 임장하러 오시냐 묻고 왜 동구를 투자로 생각하는지 물으셔서 대답했더니 그 다음부터 갑자기 적극적으로 설명 좌르르르 (알고보니 동구에 무슨 투자? 라는 생각하셨다고..)
-
부동산 경력 30년 이상 ~ 재개발재건축 +  지금은 20년 넘게 부동산
-
물건 상황 잘 알고 매도자와도 연락 자주하시는 느낌
근데 동구에 엄청 부정적 ㅎㅎ 
&lt;얻은 정보&gt;
[얻은 정보]
- 사는 사람 : 조합원 40% 신혼부부 5~60% ~~~ 애들 4-5살까지 키우고 학교갈 때쯤 나가고 또 다른 신혼부부들 들어온다.
- 신혼부부 어디서 왔다가 어디로 가냐? 일단 대전 분양가가 비싼 편. 만약 돈이 있으면 근처 중구, 서구 신축 갈수도 있긴하지만- 분양가 너무 높으면 움직이지 않는다. 신축 전세 24평이 2.8~3.0억.. 금리가 떨어지지 않는 한 사람들이 동구 외부로 나가지 않는다.
- 현재 에코포레가 전세 구하러 왔다가 매매랑 크게 차이나지 않아 매수하는 분들이 많다. 그래서 거래량이 많은 것 
- 에코포레는 6년차, 내부 컨디션 다 비슷하다. 대부분 다 관리 잘한 편이라고. 특수하게 정말 안좋은 집 빼곤 대체로 다 상태 좋다. 
- 동호수 따지는 건 무조건 뷰, 서향, 남동향 이런 특별한 선호 조건 때문이고 그게 없다면 가격 저렴한게 좋다고 (부사님) 생각
[추천 매물]
- 107동 5층 4.55 짜리 ~~ 있긴 한데.. 매도자님 집관리 훌륭하지만 시에 없음, **에코포레는 시에 없는 경우가 더 많음** ((104동과 3천 차이.. 그렇게까진 좀..))
- 113동 25층 세입자 
[부사님 피셜]
- "에코포레는 더 이상 오를 건덕지가 없다."
- 대전 올해 6천세대, 내년 1만 세대 입주다. (Q. 서구, 유성구던데 동구는 괜찮지 않냐) 그렇긴 하다, 동구는 거기 입주들어온다고 매매/전세 빠지거나 그러지 않는다. 그래도 신축 전세 많이 나올텐데 보수적으로 봐야지 않겠냐. 의료원은 말 나온지 15년, 국회의원 공약일뿐, 아~~~무런 움직임 없다.
&gt;&gt; 이 부사님도 서구/유성구의 입주에 동구가 영향을 받지 않을거라 예상하시지만, 전세 세팅엔 더 보수적인 반응 (이게 맞다고 생각. 너무 안일하게 안전할거라 관망하기엔 리스크가 상당히 크다)
- 브랜드 아파트로 매매 거래량 제일 많음. 전세구하러 왔다가 매수.</v>
      </c>
      <c r="Y79" s="347"/>
      <c r="Z79" s="304"/>
      <c r="AA79" s="304"/>
      <c r="AB79" s="304"/>
      <c r="AC79" s="304"/>
      <c r="AD79" s="304"/>
      <c r="AE79" s="304"/>
      <c r="AF79" s="304"/>
      <c r="AG79" s="304"/>
      <c r="AH79" s="304"/>
    </row>
    <row r="80">
      <c r="A80" s="286"/>
      <c r="B80" s="340">
        <v>75.0</v>
      </c>
      <c r="C80" s="269" t="s">
        <v>23</v>
      </c>
      <c r="D80" s="269" t="s">
        <v>989</v>
      </c>
      <c r="E80" s="269" t="s">
        <v>114</v>
      </c>
      <c r="F80" s="269" t="s">
        <v>1021</v>
      </c>
      <c r="G80" s="269" t="s">
        <v>572</v>
      </c>
      <c r="H80" s="269">
        <v>29.0</v>
      </c>
      <c r="I80" s="269">
        <v>0.0</v>
      </c>
      <c r="J80" s="269" t="s">
        <v>883</v>
      </c>
      <c r="K80" s="360">
        <v>2018.0</v>
      </c>
      <c r="L80" s="360">
        <v>1245.0</v>
      </c>
      <c r="M80" s="331">
        <f t="shared" si="76"/>
        <v>9</v>
      </c>
      <c r="N80" s="269" t="s">
        <v>1022</v>
      </c>
      <c r="O80" s="361">
        <v>28.0</v>
      </c>
      <c r="P80" s="361">
        <v>37000.0</v>
      </c>
      <c r="Q80" s="375"/>
      <c r="R80" s="323" t="str">
        <f t="shared" si="77"/>
        <v/>
      </c>
      <c r="S80" s="323">
        <f t="shared" ref="S80:T80" si="87">if(and(P80 &lt;&gt; "", O80 &lt;&gt; ""), P80/O80, "")</f>
        <v>1321.428571</v>
      </c>
      <c r="T80" s="324" t="str">
        <f t="shared" si="87"/>
        <v/>
      </c>
      <c r="U80" s="346" t="s">
        <v>1023</v>
      </c>
      <c r="V80" s="346" t="s">
        <v>1024</v>
      </c>
      <c r="W80" s="346" t="s">
        <v>1025</v>
      </c>
      <c r="X80" s="334" t="str">
        <f t="shared" si="79"/>
        <v>삼정그린코아포레스트1단지 2018 1245^
삼정복돼지공인 010-6330-3993
28p 115동 고(22)층 37,000 /  
[매물정보]
- 상태 괜찮, 고층(22층)이라 뷰도 좋음
- 8년차, 수리가 필요하진 않지만 도배만 해도 새집같다, 근데 짐이 좀 많은
- 구조는 다 똑같은 (4베이, 드레스룸 더 큰)
- vs 31평 : 방/거실 크고
- 과거 계약 직전까지 갔다가, 매수자 상황으로 엎어진 적 있었음
&lt;부동산 평가&gt;
라니님 떠올리게 하는 말투, 꼼꼼한 여부사님
&lt;얻은 정보&gt;
[얻은 정보]
- 29평 vs 31평 : 구조가 확연히 다르다 (가격대도 다름), 부사님 피셜 29평 4베이라 구조만 놓고 봤을 때 29평 스타일을 더 좋아했다고 함
&gt;&gt; 4/15 기준 29평 3.7~4.0억 vs. 31평 4.0~4.6억
&gt;&gt; 4베이가 완전 4베이는 아님,,, </v>
      </c>
      <c r="Y80" s="347"/>
      <c r="Z80" s="304"/>
      <c r="AA80" s="304"/>
      <c r="AB80" s="304"/>
      <c r="AC80" s="304"/>
      <c r="AD80" s="304"/>
      <c r="AE80" s="304"/>
      <c r="AF80" s="304"/>
      <c r="AG80" s="304"/>
      <c r="AH80" s="304"/>
    </row>
    <row r="81">
      <c r="A81" s="286"/>
      <c r="B81" s="340">
        <v>76.0</v>
      </c>
      <c r="C81" s="269" t="s">
        <v>23</v>
      </c>
      <c r="D81" s="269" t="s">
        <v>989</v>
      </c>
      <c r="E81" s="269" t="s">
        <v>114</v>
      </c>
      <c r="F81" s="404" t="s">
        <v>1026</v>
      </c>
      <c r="G81" s="269" t="s">
        <v>1027</v>
      </c>
      <c r="H81" s="344"/>
      <c r="I81" s="344"/>
      <c r="J81" s="269" t="s">
        <v>883</v>
      </c>
      <c r="K81" s="360">
        <v>2018.0</v>
      </c>
      <c r="L81" s="360">
        <v>1245.0</v>
      </c>
      <c r="M81" s="331">
        <f t="shared" si="76"/>
        <v>9</v>
      </c>
      <c r="N81" s="269" t="s">
        <v>1028</v>
      </c>
      <c r="O81" s="361">
        <v>29.0</v>
      </c>
      <c r="P81" s="361">
        <v>38500.0</v>
      </c>
      <c r="Q81" s="375"/>
      <c r="R81" s="323" t="str">
        <f t="shared" si="77"/>
        <v/>
      </c>
      <c r="S81" s="323">
        <f t="shared" ref="S81:T81" si="88">if(and(P81 &lt;&gt; "", O81 &lt;&gt; ""), P81/O81, "")</f>
        <v>1327.586207</v>
      </c>
      <c r="T81" s="324" t="str">
        <f t="shared" si="88"/>
        <v/>
      </c>
      <c r="U81" s="346" t="s">
        <v>1029</v>
      </c>
      <c r="V81" s="346" t="s">
        <v>1030</v>
      </c>
      <c r="W81" s="346" t="s">
        <v>1031</v>
      </c>
      <c r="X81" s="334" t="str">
        <f t="shared" si="79"/>
        <v>삼정그린코아포레스트1단지 2018 1245^
조은공인 010-7797-2280
29p 115동 1003호 38,500 /  
가히 : 주인분 거주하시나요? 
부사님 : 글쎄 나야 모르지????
가히 : 아.. 네!~~ 감사합니다~~~
&lt;부동산 평가&gt;
남부사님
&gt;&gt; 악의는 없지만 거르자..
&lt;얻은 정보&gt;
나중에 문자 주심▼
삼정115-1003호 주인거주 .01077972280으로문의해주세요.
***
나쁜 분은 아니시다. 그치만 거르자...</v>
      </c>
      <c r="Y81" s="347"/>
      <c r="Z81" s="304"/>
      <c r="AA81" s="304"/>
      <c r="AB81" s="304"/>
      <c r="AC81" s="304"/>
      <c r="AD81" s="304"/>
      <c r="AE81" s="304"/>
      <c r="AF81" s="304"/>
      <c r="AG81" s="304"/>
      <c r="AH81" s="304"/>
    </row>
    <row r="82">
      <c r="A82" s="286"/>
      <c r="B82" s="340">
        <v>77.0</v>
      </c>
      <c r="C82" s="269" t="s">
        <v>23</v>
      </c>
      <c r="D82" s="269" t="s">
        <v>989</v>
      </c>
      <c r="E82" s="269" t="s">
        <v>114</v>
      </c>
      <c r="F82" s="404" t="s">
        <v>1032</v>
      </c>
      <c r="G82" s="269" t="s">
        <v>1033</v>
      </c>
      <c r="H82" s="344"/>
      <c r="I82" s="344"/>
      <c r="J82" s="269" t="s">
        <v>883</v>
      </c>
      <c r="K82" s="360">
        <v>2018.0</v>
      </c>
      <c r="L82" s="360">
        <v>1245.0</v>
      </c>
      <c r="M82" s="331">
        <f t="shared" si="76"/>
        <v>9</v>
      </c>
      <c r="N82" s="269" t="s">
        <v>1034</v>
      </c>
      <c r="O82" s="361">
        <v>29.0</v>
      </c>
      <c r="P82" s="361">
        <v>37000.0</v>
      </c>
      <c r="Q82" s="375"/>
      <c r="R82" s="323" t="str">
        <f t="shared" si="77"/>
        <v/>
      </c>
      <c r="S82" s="323">
        <f t="shared" ref="S82:T82" si="89">if(and(P82 &lt;&gt; "", O82 &lt;&gt; ""), P82/O82, "")</f>
        <v>1275.862069</v>
      </c>
      <c r="T82" s="324" t="str">
        <f t="shared" si="89"/>
        <v/>
      </c>
      <c r="U82" s="346" t="s">
        <v>1035</v>
      </c>
      <c r="V82" s="346" t="s">
        <v>1036</v>
      </c>
      <c r="W82" s="346" t="s">
        <v>1037</v>
      </c>
      <c r="X82" s="334" t="str">
        <f t="shared" si="79"/>
        <v>삼정그린코아포레스트1단지 2018 1245^
삼정그린코아공인 010-2732-3176
29p 115동 고층 37,000 /  
[매물정보]
- 도배만 해도 됨
- 특정 날짜 정해진 건 아니고 협의 가능
&lt;부동산 평가&gt;
투자로 본다하니 조금 방어적
&lt;얻은 정보&gt;
[다른 매물 추천]
- "공실 정도?" (투자 밝힌 후 사장님이 방어적인 태도로)
</v>
      </c>
      <c r="Y82" s="347"/>
      <c r="Z82" s="304"/>
      <c r="AA82" s="304"/>
      <c r="AB82" s="304"/>
      <c r="AC82" s="304"/>
      <c r="AD82" s="304"/>
      <c r="AE82" s="304"/>
      <c r="AF82" s="304"/>
      <c r="AG82" s="304"/>
      <c r="AH82" s="304"/>
    </row>
    <row r="83" ht="100.5" customHeight="1">
      <c r="A83" s="286"/>
      <c r="B83" s="340">
        <v>78.0</v>
      </c>
      <c r="C83" s="269" t="s">
        <v>38</v>
      </c>
      <c r="D83" s="269" t="s">
        <v>980</v>
      </c>
      <c r="E83" s="269" t="s">
        <v>114</v>
      </c>
      <c r="F83" s="269" t="s">
        <v>1038</v>
      </c>
      <c r="G83" s="269" t="s">
        <v>596</v>
      </c>
      <c r="H83" s="269">
        <v>33.0</v>
      </c>
      <c r="I83" s="269">
        <v>1.0</v>
      </c>
      <c r="J83" s="269" t="s">
        <v>450</v>
      </c>
      <c r="K83" s="360">
        <v>2022.0</v>
      </c>
      <c r="L83" s="360">
        <v>1588.0</v>
      </c>
      <c r="M83" s="331">
        <f t="shared" si="76"/>
        <v>5</v>
      </c>
      <c r="N83" s="269" t="s">
        <v>1039</v>
      </c>
      <c r="O83" s="361">
        <v>24.0</v>
      </c>
      <c r="P83" s="361">
        <v>38700.0</v>
      </c>
      <c r="Q83" s="361">
        <v>26000.0</v>
      </c>
      <c r="R83" s="323">
        <f t="shared" si="77"/>
        <v>12700</v>
      </c>
      <c r="S83" s="323">
        <f t="shared" ref="S83:T83" si="90">if(and(P83 &lt;&gt; "", O83 &lt;&gt; ""), P83/O83, "")</f>
        <v>1612.5</v>
      </c>
      <c r="T83" s="324">
        <f t="shared" si="90"/>
        <v>0.6718346253</v>
      </c>
      <c r="U83" s="346" t="s">
        <v>1040</v>
      </c>
      <c r="V83" s="346" t="s">
        <v>1041</v>
      </c>
      <c r="W83" s="346" t="s">
        <v>1042</v>
      </c>
      <c r="X83" s="334" t="str">
        <f t="shared" si="79"/>
        <v>신흥SK뷰 2022 1588^
SK나라 010-7266-7889
24p 105동 중층 38,700 / 26,000 
요새 전세 24평 기준으로 3억에서 3.2억도 가능
전세 손님 신흥SK는 많다
세입자 갱신권썼고 재계약 여부 미정, 매도 사유 모름
아무래도 신흥SK는 대전역 이용하려는 수요때문에 오기에 정문 가까운게 최고
전세보러 왔다가 매수하시는 분들도 많다
신흥SK는 옵션이 선택 사항이라 집마다 다른데 여기는 시에2개 설치
&lt;부동산 평가&gt;
사장님 엄청 까칠
&lt;얻은 정보&gt;
대전 동구에서 대전역이 얼마나 중요한지 알게 됐다. 대전역을 이용해서 출퇴근 하는 사람들이 동구에 상당히 많다 그래서 걸어서 대전역 이용하는게 정말 중요하구나!</v>
      </c>
      <c r="Y83" s="347"/>
      <c r="Z83" s="304"/>
      <c r="AA83" s="304"/>
      <c r="AB83" s="304"/>
      <c r="AC83" s="304"/>
      <c r="AD83" s="304"/>
      <c r="AE83" s="304"/>
      <c r="AF83" s="304"/>
      <c r="AG83" s="304"/>
      <c r="AH83" s="304"/>
    </row>
    <row r="84" ht="76.5" customHeight="1">
      <c r="A84" s="286"/>
      <c r="B84" s="340">
        <v>79.0</v>
      </c>
      <c r="C84" s="269" t="s">
        <v>38</v>
      </c>
      <c r="D84" s="269" t="s">
        <v>980</v>
      </c>
      <c r="E84" s="269" t="s">
        <v>114</v>
      </c>
      <c r="F84" s="269" t="s">
        <v>1043</v>
      </c>
      <c r="G84" s="269" t="s">
        <v>1044</v>
      </c>
      <c r="H84" s="269">
        <v>51.0</v>
      </c>
      <c r="I84" s="269">
        <v>4.0</v>
      </c>
      <c r="J84" s="269" t="s">
        <v>477</v>
      </c>
      <c r="K84" s="360">
        <v>2018.0</v>
      </c>
      <c r="L84" s="360">
        <v>1345.0</v>
      </c>
      <c r="M84" s="331">
        <f t="shared" si="76"/>
        <v>9</v>
      </c>
      <c r="N84" s="269" t="s">
        <v>1045</v>
      </c>
      <c r="O84" s="361">
        <v>26.0</v>
      </c>
      <c r="P84" s="361">
        <v>37000.0</v>
      </c>
      <c r="Q84" s="361">
        <v>24000.0</v>
      </c>
      <c r="R84" s="323">
        <f t="shared" si="77"/>
        <v>13000</v>
      </c>
      <c r="S84" s="323">
        <f t="shared" ref="S84:T84" si="91">if(and(P84 &lt;&gt; "", O84 &lt;&gt; ""), P84/O84, "")</f>
        <v>1423.076923</v>
      </c>
      <c r="T84" s="324">
        <f t="shared" si="91"/>
        <v>0.6486486486</v>
      </c>
      <c r="U84" s="346" t="s">
        <v>1046</v>
      </c>
      <c r="V84" s="403" t="s">
        <v>1047</v>
      </c>
      <c r="W84" s="346" t="s">
        <v>1048</v>
      </c>
      <c r="X84" s="334" t="str">
        <f t="shared" si="79"/>
        <v>이스트시티1단지 2018 1345^
이스트시티박사 010-9244-4895
26p 107동 고층 37,000 / 24,000 
이스트1단지 26평 전세 2.9억도 비싸다는 느낌 신흥SK보다는 싸야 한다
20평, 30평 비슷하게 보는 느낌 어디가 더 잘 나간다는 느낌은 없다, 전세손님도 많다는 느낌은 없다
세입자 갱신권 썼고! 27년 만기 매도 사유 모르겠다.
26평은 다 철길따라 배치 30평이 앞동
아무래도 전세 손님이 더 많은 거 같은데 요새는 전세가 비싸서 매수도 물어보는 느낌
얼마전 26평 3.85억에 거래 본인이 한것은 아님
이스트1단지는 따로 옵션 요구하는 세입자는 없다. 전동이 에어컨 옵션으로 안 달려 있음.
&lt;부동산 평가&gt;
친절하시나 의욕이 없다
&lt;얻은 정보&gt;
대전역이 가지는 힘을 또 느꼈다. 서울 출퇴근으로 대전역 도보로 이용하려는 수요가 있어 신흥SK안되면 이스트1단지 오겠구나</v>
      </c>
      <c r="Y84" s="347"/>
      <c r="Z84" s="304"/>
      <c r="AA84" s="304"/>
      <c r="AB84" s="304"/>
      <c r="AC84" s="304"/>
      <c r="AD84" s="304"/>
      <c r="AE84" s="304"/>
      <c r="AF84" s="304"/>
      <c r="AG84" s="304"/>
      <c r="AH84" s="304"/>
    </row>
    <row r="85" ht="98.25" customHeight="1">
      <c r="A85" s="286"/>
      <c r="B85" s="340">
        <v>80.0</v>
      </c>
      <c r="C85" s="269" t="s">
        <v>38</v>
      </c>
      <c r="D85" s="269" t="s">
        <v>1049</v>
      </c>
      <c r="E85" s="269" t="s">
        <v>114</v>
      </c>
      <c r="F85" s="269" t="s">
        <v>1050</v>
      </c>
      <c r="G85" s="269" t="s">
        <v>528</v>
      </c>
      <c r="H85" s="269">
        <v>58.0</v>
      </c>
      <c r="I85" s="269">
        <v>3.0</v>
      </c>
      <c r="J85" s="269" t="s">
        <v>1051</v>
      </c>
      <c r="K85" s="360">
        <v>2024.0</v>
      </c>
      <c r="L85" s="360">
        <v>1328.0</v>
      </c>
      <c r="M85" s="331">
        <f t="shared" si="76"/>
        <v>3</v>
      </c>
      <c r="N85" s="269" t="s">
        <v>1052</v>
      </c>
      <c r="O85" s="361">
        <v>24.0</v>
      </c>
      <c r="P85" s="361">
        <v>36000.0</v>
      </c>
      <c r="Q85" s="361">
        <v>20000.0</v>
      </c>
      <c r="R85" s="323">
        <f t="shared" si="77"/>
        <v>16000</v>
      </c>
      <c r="S85" s="323">
        <f t="shared" ref="S85:T85" si="92">if(and(P85 &lt;&gt; "", O85 &lt;&gt; ""), P85/O85, "")</f>
        <v>1500</v>
      </c>
      <c r="T85" s="324">
        <f t="shared" si="92"/>
        <v>0.5555555556</v>
      </c>
      <c r="U85" s="346" t="s">
        <v>1053</v>
      </c>
      <c r="V85" s="346" t="s">
        <v>1054</v>
      </c>
      <c r="W85" s="346" t="s">
        <v>1055</v>
      </c>
      <c r="X85" s="334" t="str">
        <f t="shared" si="79"/>
        <v>리더스시티4블록 2024 1328^
리더스시티 010-6759-9050
24p 404동 6층 36,000 / 20,000 
일잘러 부동사님 찾았다
404동 501호 전세 3억 비싸서 2.8억에 본인이 하심
전세 손님 많다 리더스가 이제 대전역 인근에서 연식 제일 좋으니 SK뷰 보고 여기 온다
매도 사유는 모르고 세입자 갱신권 사용 (28년 8월 만기)
401동이 기찻길이 아니라서 로얄동
여기는 대전역 이용하는 분들이 온다 신흥SK봤다가 구조 별로라 연식 좋고 구조 괜찮은 리더스 온다
4단지가 5단지보다 동간이 넓어서 더 괜찮다
4단지 거래는 내가 다한다!
신흥SK뷰는 물건이 복불복! 옵션이 선택사항이라서 세입자들이 물건 볼때마다 고민 많은데 리더스는 에어컨 중문이 되어 있다
&lt;부동산 평가&gt;
일잘러 부동산
&lt;얻은 정보&gt;
대전역 수요는 확실하고 리더스는 연식과 구조, 옵션으로 신흥SK를 상대하는 것 같다. 리더스 수요도 만만치 않구나!</v>
      </c>
      <c r="Y85" s="347"/>
      <c r="Z85" s="304"/>
      <c r="AA85" s="304"/>
      <c r="AB85" s="304"/>
      <c r="AC85" s="304"/>
      <c r="AD85" s="304"/>
      <c r="AE85" s="304"/>
      <c r="AF85" s="304"/>
      <c r="AG85" s="304"/>
      <c r="AH85" s="304"/>
    </row>
    <row r="86">
      <c r="A86" s="286"/>
      <c r="B86" s="340">
        <v>81.0</v>
      </c>
      <c r="C86" s="269" t="s">
        <v>108</v>
      </c>
      <c r="D86" s="269" t="s">
        <v>1056</v>
      </c>
      <c r="E86" s="269" t="s">
        <v>115</v>
      </c>
      <c r="F86" s="269" t="s">
        <v>524</v>
      </c>
      <c r="G86" s="269" t="s">
        <v>527</v>
      </c>
      <c r="H86" s="344"/>
      <c r="I86" s="344"/>
      <c r="J86" s="269" t="s">
        <v>1057</v>
      </c>
      <c r="K86" s="360">
        <v>2006.0</v>
      </c>
      <c r="L86" s="360">
        <v>641.0</v>
      </c>
      <c r="M86" s="331">
        <f t="shared" si="76"/>
        <v>21</v>
      </c>
      <c r="N86" s="269" t="s">
        <v>1058</v>
      </c>
      <c r="O86" s="361">
        <v>34.0</v>
      </c>
      <c r="P86" s="361">
        <v>26000.0</v>
      </c>
      <c r="Q86" s="361">
        <v>22000.0</v>
      </c>
      <c r="R86" s="323">
        <f t="shared" si="77"/>
        <v>4000</v>
      </c>
      <c r="S86" s="323">
        <f t="shared" ref="S86:T86" si="93">if(and(P86 &lt;&gt; "", O86 &lt;&gt; ""), P86/O86, "")</f>
        <v>764.7058824</v>
      </c>
      <c r="T86" s="324">
        <f t="shared" si="93"/>
        <v>0.8461538462</v>
      </c>
      <c r="U86" s="346" t="s">
        <v>1059</v>
      </c>
      <c r="V86" s="346" t="s">
        <v>1060</v>
      </c>
      <c r="W86" s="346" t="s">
        <v>1061</v>
      </c>
      <c r="X86" s="334" t="str">
        <f t="shared" si="79"/>
        <v>한화꿈에그린 2006 641^
열린 010-7275-1941
34p 106동 5층 26,000 / 22,000 
투자금 5천만원 투자자
한화 꿈에그린보다 용방이 더 전세 잘나간다.
지하철 가깝고 상권 괜찮고 겉보기엔 꿈그가 나아보이지만 용방이 실거주 괜찮고 회전율이 좋음 꿈그도 연식 오래 됐잖아
꿈그 106-5 2.6억 기본 깨끗 깔끔. 
용방 303-8 2.35억 수리 다해야함 씽크대 하긴 했는데 ... 7년? 정도 거주했음 
잔금 되면 편하게 다 보여주겠다
수리 된거 안 된거 비교할 수 있게 준비해드림
&lt;부동산 평가&gt;
여자 사장님
친절 + 일잘러
물건 브리핑 바로 나오심
&lt;얻은 정보&gt;
꿈에그린은 확실히 수요가 떨어진다.
용방이 좀 더 신흥과 가깝기 때문에 임차수요가 더 있는 듯 </v>
      </c>
      <c r="Y86" s="347"/>
      <c r="Z86" s="304"/>
      <c r="AA86" s="304"/>
      <c r="AB86" s="304"/>
      <c r="AC86" s="304"/>
      <c r="AD86" s="304"/>
      <c r="AE86" s="304"/>
      <c r="AF86" s="304"/>
      <c r="AG86" s="304"/>
      <c r="AH86" s="304"/>
    </row>
    <row r="87">
      <c r="A87" s="286"/>
      <c r="B87" s="340">
        <v>82.0</v>
      </c>
      <c r="C87" s="269" t="s">
        <v>108</v>
      </c>
      <c r="D87" s="269" t="s">
        <v>1056</v>
      </c>
      <c r="E87" s="269" t="s">
        <v>115</v>
      </c>
      <c r="F87" s="269" t="s">
        <v>541</v>
      </c>
      <c r="G87" s="362" t="s">
        <v>545</v>
      </c>
      <c r="H87" s="344"/>
      <c r="I87" s="344"/>
      <c r="J87" s="269" t="s">
        <v>825</v>
      </c>
      <c r="K87" s="360">
        <v>2020.0</v>
      </c>
      <c r="L87" s="360">
        <v>2267.0</v>
      </c>
      <c r="M87" s="331">
        <f t="shared" si="76"/>
        <v>7</v>
      </c>
      <c r="N87" s="363" t="s">
        <v>1062</v>
      </c>
      <c r="O87" s="361">
        <v>35.0</v>
      </c>
      <c r="P87" s="361">
        <v>42000.0</v>
      </c>
      <c r="Q87" s="361">
        <v>30000.0</v>
      </c>
      <c r="R87" s="323">
        <f t="shared" si="77"/>
        <v>12000</v>
      </c>
      <c r="S87" s="323">
        <f t="shared" ref="S87:T87" si="94">if(and(P87 &lt;&gt; "", O87 &lt;&gt; ""), P87/O87, "")</f>
        <v>1200</v>
      </c>
      <c r="T87" s="324">
        <f t="shared" si="94"/>
        <v>0.7142857143</v>
      </c>
      <c r="U87" s="346" t="s">
        <v>1063</v>
      </c>
      <c r="V87" s="346" t="s">
        <v>1064</v>
      </c>
      <c r="W87" s="346" t="s">
        <v>1065</v>
      </c>
      <c r="X87" s="334" t="str">
        <f t="shared" si="79"/>
        <v>e편한세상대전에코포레 2020 2267^
용운E편한 010-3462-1291
35p 117동 저층(4층) 42,000 / 30,000 
2026년 12월 만기 갱신권 사용 완료
전세 시세도 3억 정도
&lt;부동산 평가&gt;
남자 사장님
여 사장님이랑 일 같이 하시는 듯
5시 확인 중
&lt;얻은 정보&gt;
4층 최저가
매도 사유가 궁금스</v>
      </c>
      <c r="Y87" s="347"/>
      <c r="Z87" s="304"/>
      <c r="AA87" s="304"/>
      <c r="AB87" s="304"/>
      <c r="AC87" s="304"/>
      <c r="AD87" s="304"/>
      <c r="AE87" s="304"/>
      <c r="AF87" s="304"/>
      <c r="AG87" s="304"/>
      <c r="AH87" s="304"/>
    </row>
    <row r="88" ht="105.75" customHeight="1">
      <c r="A88" s="286"/>
      <c r="B88" s="340">
        <v>83.0</v>
      </c>
      <c r="C88" s="269" t="s">
        <v>38</v>
      </c>
      <c r="D88" s="269" t="s">
        <v>1066</v>
      </c>
      <c r="E88" s="269" t="s">
        <v>115</v>
      </c>
      <c r="F88" s="269" t="s">
        <v>1067</v>
      </c>
      <c r="G88" s="269" t="s">
        <v>1068</v>
      </c>
      <c r="H88" s="269">
        <v>49.0</v>
      </c>
      <c r="I88" s="269">
        <v>1.0</v>
      </c>
      <c r="J88" s="269" t="s">
        <v>1067</v>
      </c>
      <c r="K88" s="360">
        <v>2003.0</v>
      </c>
      <c r="L88" s="360">
        <v>1350.0</v>
      </c>
      <c r="M88" s="331">
        <f t="shared" si="76"/>
        <v>24</v>
      </c>
      <c r="N88" s="269" t="s">
        <v>1069</v>
      </c>
      <c r="O88" s="361">
        <v>35.0</v>
      </c>
      <c r="P88" s="361">
        <v>25000.0</v>
      </c>
      <c r="Q88" s="361">
        <v>20000.0</v>
      </c>
      <c r="R88" s="323">
        <f t="shared" si="77"/>
        <v>5000</v>
      </c>
      <c r="S88" s="323">
        <f t="shared" ref="S88:T88" si="95">if(and(P88 &lt;&gt; "", O88 &lt;&gt; ""), P88/O88, "")</f>
        <v>714.2857143</v>
      </c>
      <c r="T88" s="324">
        <f t="shared" si="95"/>
        <v>0.8</v>
      </c>
      <c r="U88" s="346" t="s">
        <v>1070</v>
      </c>
      <c r="V88" s="346" t="s">
        <v>1071</v>
      </c>
      <c r="W88" s="346" t="s">
        <v>1072</v>
      </c>
      <c r="X88" s="334" t="str">
        <f t="shared" si="79"/>
        <v>용방마을 2003 1350^
용방마을 010-7979-3620
35p 308동 14층 25,000 / 20,000 
요새 35평 기준으로 2억이면 전세 나간다
전세 많이 본다 30평대를 더 많이 본다는 느낌보다는 305동은 대룡초를 가까이 보내고, 애들 키우는 수요가 30평대를 많이 찾는다
집주인분이 대전역 우미린 분양돼서 급하다~ 
305, 306동 초등학교 가까이 302, 304동 앞에 평지 313, 314동은 천뷰
실거주자가 많아
한화꿈에그린보다 위치상으로 용방이 낫다 한화꿈그는 주변에 다가구 주택이 많아
매물들이 현재 낡아서 기본적으로 수리를 해야 전세 들어온다
&lt;부동산 평가&gt;
사잘님 친절
&lt;얻은 정보&gt;
용방마을에 투자로 들어오는 사람은 거의 없었다. 그냥 여기는 가성비 실거주로, 사는 분들이 오시는 것 같았다. 왜 살아야 하는 질문에 초등학교 가깝다는 말씀뿐!</v>
      </c>
      <c r="Y88" s="347"/>
      <c r="Z88" s="304"/>
      <c r="AA88" s="304"/>
      <c r="AB88" s="304"/>
      <c r="AC88" s="304"/>
      <c r="AD88" s="304"/>
      <c r="AE88" s="304"/>
      <c r="AF88" s="304"/>
      <c r="AG88" s="304"/>
      <c r="AH88" s="304"/>
    </row>
    <row r="89" ht="83.25" customHeight="1">
      <c r="A89" s="286"/>
      <c r="B89" s="340">
        <v>84.0</v>
      </c>
      <c r="C89" s="269" t="s">
        <v>38</v>
      </c>
      <c r="D89" s="269" t="s">
        <v>1066</v>
      </c>
      <c r="E89" s="269" t="s">
        <v>115</v>
      </c>
      <c r="F89" s="269" t="s">
        <v>1073</v>
      </c>
      <c r="G89" s="269" t="s">
        <v>1074</v>
      </c>
      <c r="H89" s="269">
        <v>14.0</v>
      </c>
      <c r="I89" s="344"/>
      <c r="J89" s="269" t="s">
        <v>752</v>
      </c>
      <c r="K89" s="360">
        <v>2010.0</v>
      </c>
      <c r="L89" s="360">
        <v>897.0</v>
      </c>
      <c r="M89" s="331">
        <f t="shared" si="76"/>
        <v>17</v>
      </c>
      <c r="N89" s="269" t="s">
        <v>1075</v>
      </c>
      <c r="O89" s="361">
        <v>34.0</v>
      </c>
      <c r="P89" s="361">
        <v>41000.0</v>
      </c>
      <c r="Q89" s="361">
        <v>27000.0</v>
      </c>
      <c r="R89" s="323">
        <f t="shared" si="77"/>
        <v>14000</v>
      </c>
      <c r="S89" s="323">
        <f t="shared" ref="S89:T89" si="96">if(and(P89 &lt;&gt; "", O89 &lt;&gt; ""), P89/O89, "")</f>
        <v>1205.882353</v>
      </c>
      <c r="T89" s="324">
        <f t="shared" si="96"/>
        <v>0.6585365854</v>
      </c>
      <c r="U89" s="346" t="s">
        <v>1076</v>
      </c>
      <c r="V89" s="346" t="s">
        <v>1077</v>
      </c>
      <c r="W89" s="346" t="s">
        <v>1078</v>
      </c>
      <c r="X89" s="334" t="str">
        <f t="shared" si="79"/>
        <v>새들뫼휴먼시아1단지 2010 897^
새들뫼사랑 010-3063-3670
34p 104동 22층 41,000 / 27,000 
요새는 34평 전세 3억도 보고 있는데 27년 이후 공급 터지면 2.6억정도 내려갈 것 같다.
전세 펜타뷰 나오긴 했는데 전세 못맞추고 있는 상황 세입자들이 신축을 원함
세입자 갱신권 쓰고 내년에 나감! 27년 공급에 걸림
로얄동이 남향은 109동, 110동
101, 102, 103, 104동 남동향 전망 국, 천변 조망 가능
A타입을 더 선호!
새들뫼는 신축은 가고 싶은데 가격이 비싸고 대전역 이용하면서 넓은 평형 같이 쓰면서 신흥초 쓰고 싶어서 새들뫼 들어온다
펜타뷰는 한밭여중,고로 보내고 싶어하는 엄마들이 선택
근데 펜타뷰보다는 새들뫼!
새들뫼가 훨씬 실거주와 전세자 많이 들어옴
도배, 장판 정도만 해도 전세 들어온다 그리고 젊으신분들은 시에를 원한다!
&lt;부동산 평가&gt;
잔잔하게 친절
&lt;얻은 정보&gt;
확실히 새들뫼도 대전역 수요를 받는 것 같다. 대전역을 이용하면서 넓은 평수로 저렴한 가격에 살고 싶어하는 분들이 새들뫼를 사는 것 같다</v>
      </c>
      <c r="Y89" s="347"/>
      <c r="Z89" s="304"/>
      <c r="AA89" s="304"/>
      <c r="AB89" s="304"/>
      <c r="AC89" s="304"/>
      <c r="AD89" s="304"/>
      <c r="AE89" s="304"/>
      <c r="AF89" s="304"/>
      <c r="AG89" s="304"/>
      <c r="AH89" s="304"/>
    </row>
    <row r="90">
      <c r="A90" s="286"/>
      <c r="B90" s="340">
        <v>85.0</v>
      </c>
      <c r="C90" s="269" t="s">
        <v>37</v>
      </c>
      <c r="D90" s="269">
        <v>2026.04</v>
      </c>
      <c r="E90" s="344"/>
      <c r="F90" s="269" t="s">
        <v>563</v>
      </c>
      <c r="G90" s="269" t="s">
        <v>463</v>
      </c>
      <c r="H90" s="344"/>
      <c r="I90" s="344"/>
      <c r="J90" s="344"/>
      <c r="K90" s="330"/>
      <c r="L90" s="330"/>
      <c r="M90" s="331">
        <f t="shared" si="76"/>
        <v>2027</v>
      </c>
      <c r="N90" s="344"/>
      <c r="O90" s="375"/>
      <c r="P90" s="375"/>
      <c r="Q90" s="375"/>
      <c r="R90" s="323" t="str">
        <f t="shared" si="77"/>
        <v/>
      </c>
      <c r="S90" s="323" t="str">
        <f t="shared" ref="S90:T90" si="97">if(and(P90 &lt;&gt; "", O90 &lt;&gt; ""), P90/O90, "")</f>
        <v/>
      </c>
      <c r="T90" s="324" t="str">
        <f t="shared" si="97"/>
        <v/>
      </c>
      <c r="U90" s="346" t="s">
        <v>1079</v>
      </c>
      <c r="V90" s="346" t="s">
        <v>1080</v>
      </c>
      <c r="W90" s="346" t="s">
        <v>1081</v>
      </c>
      <c r="X90" s="334" t="str">
        <f t="shared" si="79"/>
        <v>  ^
부동산이즈리더스 010-4488-2820
p   /  
리더스4, 위드힐
위드힐은 투자가치로는 떨어진다. 회전율은 59랑 74가 좋긴하다. 여기 동네에서 84는 투자로 가져가기엔 무겁긴 하다 (아무래도 실거주가 눌러앉는 분위기) 최근 거래는 실거주 위주로 많이 이루어졌다. 호가대로 단지들이 나가고 있고 7월 되면 물건이 나올거다. 대신 잔금을 8월 1일로 맞춰야 한다. 이거 가능하냐
74는 A랑 B 있는데 선호도 차이 많이나고 A는 수납이 잘되어있어서 더 선호함. 4.8부터 시작
&lt;부동산 평가&gt;
사장님 솔직 매임예약 진행
&lt;얻은 정보&gt;
74B를 싸게 사면? </v>
      </c>
      <c r="Y90" s="347"/>
      <c r="Z90" s="304"/>
      <c r="AA90" s="304"/>
      <c r="AB90" s="304"/>
      <c r="AC90" s="304"/>
      <c r="AD90" s="304"/>
      <c r="AE90" s="304"/>
      <c r="AF90" s="304"/>
      <c r="AG90" s="304"/>
      <c r="AH90" s="304"/>
    </row>
    <row r="91">
      <c r="A91" s="286"/>
      <c r="B91" s="340">
        <v>86.0</v>
      </c>
      <c r="C91" s="269" t="s">
        <v>55</v>
      </c>
      <c r="D91" s="359">
        <v>46128.0</v>
      </c>
      <c r="E91" s="269" t="s">
        <v>115</v>
      </c>
      <c r="F91" s="269" t="s">
        <v>955</v>
      </c>
      <c r="G91" s="269" t="s">
        <v>956</v>
      </c>
      <c r="H91" s="344"/>
      <c r="I91" s="344"/>
      <c r="J91" s="269" t="s">
        <v>624</v>
      </c>
      <c r="K91" s="360">
        <v>2011.12</v>
      </c>
      <c r="L91" s="330"/>
      <c r="M91" s="331">
        <f t="shared" si="76"/>
        <v>15.88</v>
      </c>
      <c r="N91" s="269" t="s">
        <v>1082</v>
      </c>
      <c r="O91" s="375"/>
      <c r="P91" s="361">
        <v>36000.0</v>
      </c>
      <c r="Q91" s="361">
        <v>27000.0</v>
      </c>
      <c r="R91" s="323">
        <f t="shared" si="77"/>
        <v>9000</v>
      </c>
      <c r="S91" s="323" t="str">
        <f t="shared" ref="S91:T91" si="98">if(and(P91 &lt;&gt; "", O91 &lt;&gt; ""), P91/O91, "")</f>
        <v/>
      </c>
      <c r="T91" s="324">
        <f t="shared" si="98"/>
        <v>0.75</v>
      </c>
      <c r="U91" s="368"/>
      <c r="V91" s="346" t="s">
        <v>1083</v>
      </c>
      <c r="W91" s="368"/>
      <c r="X91" s="334" t="str">
        <f t="shared" si="79"/>
        <v>스마트뷰 2011.12 ^
구성스마트공인 010-9778-6169
p 105동 12층 36,000 / 27,000 
&lt;부동산 평가&gt;
친절, 투자자 안받으시려함.
&lt;얻은 정보&gt;
</v>
      </c>
      <c r="Y91" s="347"/>
      <c r="Z91" s="304"/>
      <c r="AA91" s="304"/>
      <c r="AB91" s="304"/>
      <c r="AC91" s="304"/>
      <c r="AD91" s="304"/>
      <c r="AE91" s="304"/>
      <c r="AF91" s="304"/>
      <c r="AG91" s="304"/>
      <c r="AH91" s="304"/>
    </row>
    <row r="92">
      <c r="A92" s="286"/>
      <c r="B92" s="340">
        <v>87.0</v>
      </c>
      <c r="C92" s="269" t="s">
        <v>55</v>
      </c>
      <c r="D92" s="359">
        <v>46128.0</v>
      </c>
      <c r="E92" s="269" t="s">
        <v>115</v>
      </c>
      <c r="F92" s="269" t="s">
        <v>503</v>
      </c>
      <c r="G92" s="269" t="s">
        <v>507</v>
      </c>
      <c r="H92" s="344"/>
      <c r="I92" s="344"/>
      <c r="J92" s="406" t="s">
        <v>489</v>
      </c>
      <c r="K92" s="360">
        <v>2024.09</v>
      </c>
      <c r="L92" s="330"/>
      <c r="M92" s="331">
        <f t="shared" si="76"/>
        <v>2.91</v>
      </c>
      <c r="N92" s="269" t="s">
        <v>1084</v>
      </c>
      <c r="O92" s="375"/>
      <c r="P92" s="361">
        <v>49000.0</v>
      </c>
      <c r="Q92" s="361">
        <v>37000.0</v>
      </c>
      <c r="R92" s="323">
        <f t="shared" si="77"/>
        <v>12000</v>
      </c>
      <c r="S92" s="323" t="str">
        <f t="shared" ref="S92:T92" si="99">if(and(P92 &lt;&gt; "", O92 &lt;&gt; ""), P92/O92, "")</f>
        <v/>
      </c>
      <c r="T92" s="324">
        <f t="shared" si="99"/>
        <v>0.7551020408</v>
      </c>
      <c r="U92" s="368"/>
      <c r="V92" s="346" t="s">
        <v>783</v>
      </c>
      <c r="W92" s="368"/>
      <c r="X92" s="334" t="str">
        <f>if(OR(U92 &lt;&gt;"", V92&lt;&gt;"", W92 &lt;&gt; ""), TEXTJOIN("", TRUE, J91, " ", K92, " ", L92, "^", char(10), F92, " ", G92,  char(10), O92, "p ",N92, " ", P92, " / ", Q92 , " ", CHAR(10),CHAR(10), U92,  CHAR(10),CHAR(10), "&lt;부동산 평가&gt;",CHAR(10),CHAR(10), V92,  CHAR(10),CHAR(10), "&lt;얻은 정보&gt;", CHAR(10),CHAR(10),W92), "")
</f>
        <v>스마트뷰 2024.09 ^
착한공인 010-5421-6101
p 102동 41층 49,000 / 37,000 
&lt;부동산 평가&gt;
친절
&lt;얻은 정보&gt;
</v>
      </c>
      <c r="Y92" s="347"/>
      <c r="Z92" s="304"/>
      <c r="AA92" s="304"/>
      <c r="AB92" s="304"/>
      <c r="AC92" s="304"/>
      <c r="AD92" s="304"/>
      <c r="AE92" s="304"/>
      <c r="AF92" s="304"/>
      <c r="AG92" s="304"/>
      <c r="AH92" s="304"/>
    </row>
    <row r="93">
      <c r="A93" s="286"/>
      <c r="B93" s="340">
        <v>88.0</v>
      </c>
      <c r="C93" s="269" t="s">
        <v>110</v>
      </c>
      <c r="D93" s="269" t="s">
        <v>1085</v>
      </c>
      <c r="E93" s="269" t="s">
        <v>115</v>
      </c>
      <c r="F93" s="269" t="s">
        <v>1086</v>
      </c>
      <c r="G93" s="269" t="s">
        <v>1087</v>
      </c>
      <c r="H93" s="269">
        <v>31.0</v>
      </c>
      <c r="I93" s="269">
        <v>1.0</v>
      </c>
      <c r="J93" s="269" t="s">
        <v>1057</v>
      </c>
      <c r="K93" s="360" t="s">
        <v>1088</v>
      </c>
      <c r="L93" s="360">
        <v>641.0</v>
      </c>
      <c r="M93" s="331" t="str">
        <f t="shared" si="76"/>
        <v>#VALUE!</v>
      </c>
      <c r="N93" s="344"/>
      <c r="O93" s="375"/>
      <c r="P93" s="375"/>
      <c r="Q93" s="375"/>
      <c r="R93" s="323" t="str">
        <f t="shared" si="77"/>
        <v/>
      </c>
      <c r="S93" s="323" t="str">
        <f t="shared" ref="S93:T93" si="100">if(and(P93 &lt;&gt; "", O93 &lt;&gt; ""), P93/O93, "")</f>
        <v/>
      </c>
      <c r="T93" s="324" t="str">
        <f t="shared" si="100"/>
        <v/>
      </c>
      <c r="U93" s="346" t="s">
        <v>1089</v>
      </c>
      <c r="V93" s="346" t="s">
        <v>1090</v>
      </c>
      <c r="W93" s="346" t="s">
        <v>1091</v>
      </c>
      <c r="X93" s="334" t="str">
        <f t="shared" ref="X93:X233" si="102">if(OR(U93 &lt;&gt;"", V93&lt;&gt;"", W93 &lt;&gt; ""), TEXTJOIN("", TRUE, J93, " ", K93, " ", L93, "^", char(10), F93, " ", G93,  char(10), O93, "p ",N93, " ", P93, " / ", Q93 , " ", CHAR(10),CHAR(10), U93,  CHAR(10),CHAR(10), "&lt;부동산 평가&gt;",CHAR(10),CHAR(10), V93,  CHAR(10),CHAR(10), "&lt;얻은 정보&gt;", CHAR(10),CHAR(10),W93), "")
</f>
        <v>한화꿈에그린 2006.01. 641^
성보공인중개 010-5628-3400
p   /  
(세입자컨셉) 문의한 104동 11층 2억 2천만 원짜리 전세 매물은 이미 나갔다. 현재 전세 매물이 거의 없으며, 전세 가격은 더 오를 가능성이 있다.102동의 매매 매물은 2억 5천~6천만 원대이며, 106동 2억 7천만 원짜리 매물은 조망권이 좋고 신규 아파트로 이사 가는 주인이 나가서 공실이다. 둔산동 신축으로 이사가셨다고 함. 
&lt;부동산 평가&gt;
친절하심
&lt;얻은 정보&gt;
아파트 단지는 초등학교와 가깝고, 버스 정류장이 정문 옆에 있으며(10-15분 간격), 대동전철역까지 10분 정도 소요된다.아파트 단지는 주공 아파트보다 소득 수준이 높은 사람들이 살고, 대형 평수가 많으며, 대흥초등학교로 보내는 학부모들이 많이 거주한다.아파트 단지는 대전역과 고속터미널과 가깝고, 편의시설이 잘 갖춰져 있으며, 20년 된 아파트지만 튼튼하게 지어졌다. 600세대수로 특정 동이 더 좋다고 말하기는 어렵다. 초등학생있으면 101동으로 오솔길이 있어 도로 건너지 않고 간다. 주민 구성은 젊은 사람60%나이든 층이40% </v>
      </c>
      <c r="Y93" s="347"/>
      <c r="Z93" s="304"/>
      <c r="AA93" s="304"/>
      <c r="AB93" s="304"/>
      <c r="AC93" s="304"/>
      <c r="AD93" s="304"/>
      <c r="AE93" s="304"/>
      <c r="AF93" s="304"/>
      <c r="AG93" s="304"/>
      <c r="AH93" s="304"/>
    </row>
    <row r="94">
      <c r="A94" s="286"/>
      <c r="B94" s="340">
        <v>89.0</v>
      </c>
      <c r="C94" s="269" t="s">
        <v>110</v>
      </c>
      <c r="D94" s="269" t="s">
        <v>1085</v>
      </c>
      <c r="E94" s="269" t="s">
        <v>115</v>
      </c>
      <c r="F94" s="269" t="s">
        <v>1092</v>
      </c>
      <c r="G94" s="269" t="s">
        <v>1093</v>
      </c>
      <c r="H94" s="269">
        <v>28.0</v>
      </c>
      <c r="I94" s="269">
        <v>0.0</v>
      </c>
      <c r="J94" s="269" t="s">
        <v>928</v>
      </c>
      <c r="K94" s="360" t="s">
        <v>1094</v>
      </c>
      <c r="L94" s="360">
        <v>2267.0</v>
      </c>
      <c r="M94" s="331" t="str">
        <f t="shared" si="76"/>
        <v>#VALUE!</v>
      </c>
      <c r="N94" s="269" t="s">
        <v>1095</v>
      </c>
      <c r="O94" s="361">
        <v>25.0</v>
      </c>
      <c r="P94" s="361">
        <v>31000.0</v>
      </c>
      <c r="Q94" s="375"/>
      <c r="R94" s="323" t="str">
        <f t="shared" si="77"/>
        <v/>
      </c>
      <c r="S94" s="323">
        <f t="shared" ref="S94:T94" si="101">if(and(P94 &lt;&gt; "", O94 &lt;&gt; ""), P94/O94, "")</f>
        <v>1240</v>
      </c>
      <c r="T94" s="324" t="str">
        <f t="shared" si="101"/>
        <v/>
      </c>
      <c r="U94" s="346" t="s">
        <v>1096</v>
      </c>
      <c r="V94" s="346" t="s">
        <v>1097</v>
      </c>
      <c r="W94" s="346" t="s">
        <v>1098</v>
      </c>
      <c r="X94" s="334" t="str">
        <f t="shared" si="102"/>
        <v>E편한세상에코포레 2020.11. 2267^
편한세상공인중개 010-344505600
25p 109/10/남서 31,000 /  
주인분 거주중.  방 2개 구조. 
&lt;부동산 평가&gt;
말이 아주 빠르심. 
&lt;얻은 정보&gt;
의료원 들어오는 것에 대한 기대가 있어보임. 방이 2개 구조에 대한 비선호가 있음. 109동 3.4억(조정가능, 방3개) 있음. 25평 로얄은 114동이고 3.4억 이상부터 시작함. 뷰가 좋음. 각자의 선호 차이는 있지만 20평대가 잘 나가고 선호가 있는 편임. </v>
      </c>
      <c r="Y94" s="347"/>
      <c r="Z94" s="304"/>
      <c r="AA94" s="304"/>
      <c r="AB94" s="304"/>
      <c r="AC94" s="304"/>
      <c r="AD94" s="304"/>
      <c r="AE94" s="304"/>
      <c r="AF94" s="304"/>
      <c r="AG94" s="304"/>
      <c r="AH94" s="304"/>
    </row>
    <row r="95">
      <c r="A95" s="286"/>
      <c r="B95" s="340">
        <v>90.0</v>
      </c>
      <c r="C95" s="269" t="s">
        <v>55</v>
      </c>
      <c r="D95" s="359">
        <v>46128.0</v>
      </c>
      <c r="E95" s="269" t="s">
        <v>115</v>
      </c>
      <c r="F95" s="269" t="s">
        <v>480</v>
      </c>
      <c r="G95" s="269" t="s">
        <v>482</v>
      </c>
      <c r="H95" s="344"/>
      <c r="I95" s="344"/>
      <c r="J95" s="269" t="s">
        <v>624</v>
      </c>
      <c r="K95" s="360">
        <v>2011.12</v>
      </c>
      <c r="L95" s="330"/>
      <c r="M95" s="331">
        <f t="shared" si="76"/>
        <v>15.88</v>
      </c>
      <c r="N95" s="269" t="s">
        <v>1099</v>
      </c>
      <c r="O95" s="375"/>
      <c r="P95" s="361">
        <v>33000.0</v>
      </c>
      <c r="Q95" s="361">
        <v>27500.0</v>
      </c>
      <c r="R95" s="323">
        <f t="shared" si="77"/>
        <v>5500</v>
      </c>
      <c r="S95" s="323" t="str">
        <f t="shared" ref="S95:T95" si="103">if(and(P95 &lt;&gt; "", O95 &lt;&gt; ""), P95/O95, "")</f>
        <v/>
      </c>
      <c r="T95" s="324">
        <f t="shared" si="103"/>
        <v>0.8333333333</v>
      </c>
      <c r="U95" s="368"/>
      <c r="V95" s="346" t="s">
        <v>783</v>
      </c>
      <c r="W95" s="368"/>
      <c r="X95" s="334" t="str">
        <f t="shared" si="102"/>
        <v>스마트뷰 2011.12 ^
둥지공인 010-8321-6833
p 106동 고층 33,000 / 27,500 
&lt;부동산 평가&gt;
친절
&lt;얻은 정보&gt;
</v>
      </c>
      <c r="Y95" s="347"/>
      <c r="Z95" s="304"/>
      <c r="AA95" s="304"/>
      <c r="AB95" s="304"/>
      <c r="AC95" s="304"/>
      <c r="AD95" s="304"/>
      <c r="AE95" s="304"/>
      <c r="AF95" s="304"/>
      <c r="AG95" s="304"/>
      <c r="AH95" s="304"/>
    </row>
    <row r="96">
      <c r="A96" s="286"/>
      <c r="B96" s="340">
        <v>91.0</v>
      </c>
      <c r="C96" s="269" t="s">
        <v>39</v>
      </c>
      <c r="D96" s="269" t="s">
        <v>1100</v>
      </c>
      <c r="E96" s="269" t="s">
        <v>116</v>
      </c>
      <c r="F96" s="269" t="s">
        <v>1101</v>
      </c>
      <c r="G96" s="269" t="s">
        <v>1102</v>
      </c>
      <c r="H96" s="269">
        <v>44.0</v>
      </c>
      <c r="I96" s="269">
        <v>1.0</v>
      </c>
      <c r="J96" s="269" t="s">
        <v>1103</v>
      </c>
      <c r="K96" s="360">
        <v>1999.08</v>
      </c>
      <c r="L96" s="360">
        <v>1036.0</v>
      </c>
      <c r="M96" s="331">
        <f t="shared" si="76"/>
        <v>27.92</v>
      </c>
      <c r="N96" s="269" t="s">
        <v>1104</v>
      </c>
      <c r="O96" s="361">
        <v>32.0</v>
      </c>
      <c r="P96" s="361">
        <v>33000.0</v>
      </c>
      <c r="Q96" s="361">
        <v>21000.0</v>
      </c>
      <c r="R96" s="323">
        <f t="shared" si="77"/>
        <v>12000</v>
      </c>
      <c r="S96" s="323">
        <f t="shared" ref="S96:T96" si="104">if(and(P96 &lt;&gt; "", O96 &lt;&gt; ""), P96/O96, "")</f>
        <v>1031.25</v>
      </c>
      <c r="T96" s="324">
        <f t="shared" si="104"/>
        <v>0.6363636364</v>
      </c>
      <c r="U96" s="346" t="s">
        <v>1105</v>
      </c>
      <c r="V96" s="346" t="s">
        <v>1106</v>
      </c>
      <c r="W96" s="368"/>
      <c r="X96" s="334" t="str">
        <f t="shared" si="102"/>
        <v>한숲 1999.08 1036^
OK한숲공인  010-2334-6244
32p 115동 9층 33,000 / 21,000 
-단지: 용전동 한숲
­-부동산: OK한숲공인 / 친절 하시고 잘 아심 
-매매가 31평: 2.8~3.5억 / 남향은 3.3억 부터, 이하 가격은 다 동향 
- 전세가 2.1억 가능 / 지금 2.2억 하나 있음 
(매물이 오래전 수리 한건데도 전세 없어서 가능)
- 31평에서 남향이 2동 (109, 115동) 밖에 없어서 귀함
- 로얄동: 110~113동 
- 용전초 초코아, 단지 내 학원, 생활상권 있어서 편리 
- 아이들 교육 시키고 싶으면 둔산동 많이 이사가고, 대덕구 송천동 쪽으로 간다고 함
- 누가사나요? 
한남대 교직원, 학생들, 터미널 생기면서 관련 업종자들 (CJ지사, 네슬레 지점, 이마트 근무자, 교회가 많아서 교회 목사님들 사택, IC 가까워서 화물 하시는 분들) 
&lt;부동산 평가&gt;
친절도 보통
매물에 대해 잘 아심
&lt;얻은 정보&gt;
</v>
      </c>
      <c r="Y96" s="347"/>
      <c r="Z96" s="304"/>
      <c r="AA96" s="304"/>
      <c r="AB96" s="304"/>
      <c r="AC96" s="304"/>
      <c r="AD96" s="304"/>
      <c r="AE96" s="304"/>
      <c r="AF96" s="304"/>
      <c r="AG96" s="304"/>
      <c r="AH96" s="304"/>
    </row>
    <row r="97">
      <c r="A97" s="286"/>
      <c r="B97" s="340">
        <v>92.0</v>
      </c>
      <c r="C97" s="269" t="s">
        <v>23</v>
      </c>
      <c r="D97" s="364">
        <v>46132.0</v>
      </c>
      <c r="E97" s="269" t="s">
        <v>112</v>
      </c>
      <c r="F97" s="269" t="s">
        <v>1107</v>
      </c>
      <c r="G97" s="269" t="s">
        <v>686</v>
      </c>
      <c r="H97" s="269">
        <v>130.0</v>
      </c>
      <c r="I97" s="269">
        <v>3.0</v>
      </c>
      <c r="J97" s="269" t="s">
        <v>1108</v>
      </c>
      <c r="K97" s="360" t="s">
        <v>1109</v>
      </c>
      <c r="L97" s="360" t="s">
        <v>1110</v>
      </c>
      <c r="M97" s="331" t="str">
        <f t="shared" si="76"/>
        <v>#VALUE!</v>
      </c>
      <c r="N97" s="269" t="s">
        <v>1111</v>
      </c>
      <c r="O97" s="361" t="s">
        <v>1112</v>
      </c>
      <c r="P97" s="361" t="s">
        <v>1113</v>
      </c>
      <c r="Q97" s="375"/>
      <c r="R97" s="323" t="str">
        <f t="shared" si="77"/>
        <v/>
      </c>
      <c r="S97" s="323" t="str">
        <f t="shared" ref="S97:T97" si="105">if(and(P97 &lt;&gt; "", O97 &lt;&gt; ""), P97/O97, "")</f>
        <v>#VALUE!</v>
      </c>
      <c r="T97" s="324" t="str">
        <f t="shared" si="105"/>
        <v/>
      </c>
      <c r="U97" s="346" t="s">
        <v>1114</v>
      </c>
      <c r="V97" s="346" t="s">
        <v>1115</v>
      </c>
      <c r="W97" s="368"/>
      <c r="X97" s="334" t="str">
        <f t="shared" si="102"/>
        <v>효동현대
현대(인동) 1998.09
1987.06 1056
728^
위드힐 탑 공인중개사사무소 042-282-3349
32평
(방3화2)
31평
(방3화1)p 
효동현대 107동15층
현대 109동고층 25000
25500 /  
매물에 대해 잘 모르심
- 매물 엄청 많이 가지고 계신데, 살펴보니 아파트 뿐만 아니라 빌라, 다가구, 주택, 상가까지 이것저것 다 하시는 ...
- 파트너로선 별로다
- 네부에는 위드힐탑공인으로, 전화하면 천동리더스시티 탑공인으로 뜸 (업체명 변경하신듯)
현대 109동 고층 남향 
- 10층 물건 / 샷시 포함 올수리, 5년 전 수리
- 109동이 맨 앞동, RR
- 효동현대와 마주보고 있는 쪽을 앞동이라 칭한다
&lt;부동산 평가&gt;
매물 잘 모름
★거르기★
&lt;얻은 정보&gt;
</v>
      </c>
      <c r="Y97" s="347"/>
      <c r="Z97" s="304"/>
      <c r="AA97" s="304"/>
      <c r="AB97" s="304"/>
      <c r="AC97" s="304"/>
      <c r="AD97" s="304"/>
      <c r="AE97" s="304"/>
      <c r="AF97" s="304"/>
      <c r="AG97" s="304"/>
      <c r="AH97" s="304"/>
    </row>
    <row r="98">
      <c r="A98" s="286"/>
      <c r="B98" s="340">
        <v>93.0</v>
      </c>
      <c r="C98" s="269" t="s">
        <v>23</v>
      </c>
      <c r="D98" s="364">
        <v>46132.0</v>
      </c>
      <c r="E98" s="269" t="s">
        <v>112</v>
      </c>
      <c r="F98" s="269" t="s">
        <v>1116</v>
      </c>
      <c r="G98" s="269" t="s">
        <v>1117</v>
      </c>
      <c r="H98" s="269">
        <v>47.0</v>
      </c>
      <c r="I98" s="269">
        <v>1.0</v>
      </c>
      <c r="J98" s="269" t="s">
        <v>1118</v>
      </c>
      <c r="K98" s="360">
        <v>1998.09</v>
      </c>
      <c r="L98" s="360">
        <v>1056.0</v>
      </c>
      <c r="M98" s="331">
        <f t="shared" si="76"/>
        <v>28.91</v>
      </c>
      <c r="N98" s="269" t="s">
        <v>1119</v>
      </c>
      <c r="O98" s="361">
        <v>32.0</v>
      </c>
      <c r="P98" s="361">
        <v>25000.0</v>
      </c>
      <c r="Q98" s="361">
        <v>19000.0</v>
      </c>
      <c r="R98" s="323">
        <f t="shared" si="77"/>
        <v>6000</v>
      </c>
      <c r="S98" s="323">
        <f t="shared" ref="S98:T98" si="106">if(and(P98 &lt;&gt; "", O98 &lt;&gt; ""), P98/O98, "")</f>
        <v>781.25</v>
      </c>
      <c r="T98" s="324">
        <f t="shared" si="106"/>
        <v>0.76</v>
      </c>
      <c r="U98" s="346" t="s">
        <v>1120</v>
      </c>
      <c r="V98" s="346" t="s">
        <v>1121</v>
      </c>
      <c r="W98" s="346" t="s">
        <v>1122</v>
      </c>
      <c r="X98" s="334" t="str">
        <f t="shared" si="102"/>
        <v>효동현대 1998.09 1056^
서울공인중개사사무소 010-5451-9304
32p 107동 15층 25,000 / 19,000 
[매물 정보]
- 107동 15층 (2.55) : 기본집 / 수리안된 상태로 전세 1.9~2.0 정도에 뺄 수 있음, 도배는 해줘야함
[다른 물건 추천]
- 107동 저/25층 (3층/ 2.57) : 싱크대/화장실 수리 
- 104동 고/16층 (12층/ 2.80) : 올수리, RR / 2.7까지 가능할 듯, 현재 월세입자 거주중 (26.07.02 만기), 갱신 안썼지만 매도 되면 나간다고. 
&gt;&gt; 수리된거는 전세 2.0에서 잘하면 2.2까지도 가능
&lt;부동산 평가&gt;
남부사님
매물 상태/ 매도자 상황 잘알, 친절 차분 
인상도 귀엽, 말투도 귀여우심
&lt;얻은 정보&gt;
87년식 인동현대 : 작년에 안전진단 받았는데 너무 튼튼하다고 불합격 받았다함ㅋㅋㅋㅋ
[인동현대 vs 효동현대]
- 인동 : 지하주차장 없음, 화장실 1개
- 효동 : 지하주차장 B2까지, 화장실 2개</v>
      </c>
      <c r="Y98" s="347"/>
      <c r="Z98" s="304"/>
      <c r="AA98" s="304"/>
      <c r="AB98" s="304"/>
      <c r="AC98" s="304"/>
      <c r="AD98" s="304"/>
      <c r="AE98" s="304"/>
      <c r="AF98" s="304"/>
      <c r="AG98" s="304"/>
      <c r="AH98" s="304"/>
    </row>
    <row r="99">
      <c r="A99" s="286"/>
      <c r="B99" s="340">
        <v>94.0</v>
      </c>
      <c r="C99" s="269" t="s">
        <v>108</v>
      </c>
      <c r="D99" s="364">
        <v>46132.0</v>
      </c>
      <c r="E99" s="269" t="s">
        <v>112</v>
      </c>
      <c r="F99" s="269" t="s">
        <v>1123</v>
      </c>
      <c r="G99" s="269" t="s">
        <v>1124</v>
      </c>
      <c r="H99" s="344"/>
      <c r="I99" s="344"/>
      <c r="J99" s="269" t="s">
        <v>1125</v>
      </c>
      <c r="K99" s="360">
        <v>1979.0</v>
      </c>
      <c r="L99" s="360">
        <v>425.0</v>
      </c>
      <c r="M99" s="331">
        <f t="shared" si="76"/>
        <v>48</v>
      </c>
      <c r="N99" s="269" t="s">
        <v>1126</v>
      </c>
      <c r="O99" s="361">
        <v>20.0</v>
      </c>
      <c r="P99" s="361">
        <v>13000.0</v>
      </c>
      <c r="Q99" s="361">
        <v>7000.0</v>
      </c>
      <c r="R99" s="323">
        <f t="shared" si="77"/>
        <v>6000</v>
      </c>
      <c r="S99" s="323">
        <f t="shared" ref="S99:T99" si="107">if(and(P99 &lt;&gt; "", O99 &lt;&gt; ""), P99/O99, "")</f>
        <v>650</v>
      </c>
      <c r="T99" s="324">
        <f t="shared" si="107"/>
        <v>0.5384615385</v>
      </c>
      <c r="U99" s="346" t="s">
        <v>1127</v>
      </c>
      <c r="V99" s="346" t="s">
        <v>1128</v>
      </c>
      <c r="W99" s="346" t="s">
        <v>1129</v>
      </c>
      <c r="X99" s="334" t="str">
        <f t="shared" si="102"/>
        <v>청룡 1979 425^
뉴중앙 010-2402-5123
20p 10동 3층 13,000 / 7,000 
곧 있으면 관처날 듯 하다 
가격은 나쁘지 않다
조합원 기준 평당 1550 예상 중
그렇게 계산해보면 된다 분담금 
&lt;부동산 평가&gt;
남자 부사님
귀찮아 하심
그래도 친절하지만 의욕이 없으신 편
&lt;얻은 정보&gt;
재건축 전임 어렵다</v>
      </c>
      <c r="Y99" s="347"/>
      <c r="Z99" s="304"/>
      <c r="AA99" s="304"/>
      <c r="AB99" s="304"/>
      <c r="AC99" s="304"/>
      <c r="AD99" s="304"/>
      <c r="AE99" s="304"/>
      <c r="AF99" s="304"/>
      <c r="AG99" s="304"/>
      <c r="AH99" s="304"/>
    </row>
    <row r="100">
      <c r="A100" s="286"/>
      <c r="B100" s="340">
        <v>95.0</v>
      </c>
      <c r="C100" s="269" t="s">
        <v>37</v>
      </c>
      <c r="D100" s="364">
        <v>46132.0</v>
      </c>
      <c r="E100" s="269" t="s">
        <v>112</v>
      </c>
      <c r="F100" s="269" t="s">
        <v>457</v>
      </c>
      <c r="G100" s="269" t="s">
        <v>464</v>
      </c>
      <c r="H100" s="344"/>
      <c r="I100" s="344"/>
      <c r="J100" s="269" t="s">
        <v>443</v>
      </c>
      <c r="K100" s="330"/>
      <c r="L100" s="330"/>
      <c r="M100" s="331">
        <f t="shared" si="76"/>
        <v>2027</v>
      </c>
      <c r="N100" s="269" t="s">
        <v>984</v>
      </c>
      <c r="O100" s="375"/>
      <c r="P100" s="361">
        <v>35000.0</v>
      </c>
      <c r="Q100" s="361">
        <v>28000.0</v>
      </c>
      <c r="R100" s="323">
        <f t="shared" si="77"/>
        <v>7000</v>
      </c>
      <c r="S100" s="323" t="str">
        <f t="shared" ref="S100:T100" si="108">if(and(P100 &lt;&gt; "", O100 &lt;&gt; ""), P100/O100, "")</f>
        <v/>
      </c>
      <c r="T100" s="324">
        <f t="shared" si="108"/>
        <v>0.8</v>
      </c>
      <c r="U100" s="346" t="s">
        <v>1130</v>
      </c>
      <c r="V100" s="346" t="s">
        <v>1131</v>
      </c>
      <c r="W100" s="346" t="s">
        <v>1132</v>
      </c>
      <c r="X100" s="334" t="str">
        <f t="shared" si="102"/>
        <v>한밭자이  ^
엘지공인 010-5450-3301
p 104동 25층 35,000 / 28,000 
이정도 가격차면 84하는게 낫다. 문의준물건은 3억에 세 2억/월세껴저있다. 나와있는 물건 중에서 집상태 괜찮은건 3.5-3.6 정도이다. 
104동 25층 3.5 정도가 층수도 괜찮고 가격도 괜찮아보인다. 바닥 폴리싱타일 마감해놨다.
&lt;부동산 평가&gt;
이 동네에 일잘러 부사님은 없는가 다른데 다시전화해보자
&lt;얻은 정보&gt;
전세 2.8이면 새들뫼 3억보다는 좀 떨어진다.. 
집 잘 짓고 자이라서 짱짱한건 알겠는데 이젠 저물어가는듯</v>
      </c>
      <c r="Y100" s="347"/>
      <c r="Z100" s="304"/>
      <c r="AA100" s="304"/>
      <c r="AB100" s="304"/>
      <c r="AC100" s="304"/>
      <c r="AD100" s="304"/>
      <c r="AE100" s="304"/>
      <c r="AF100" s="304"/>
      <c r="AG100" s="304"/>
      <c r="AH100" s="304"/>
    </row>
    <row r="101">
      <c r="A101" s="286"/>
      <c r="B101" s="340">
        <v>96.0</v>
      </c>
      <c r="C101" s="269" t="s">
        <v>39</v>
      </c>
      <c r="D101" s="364">
        <v>46133.0</v>
      </c>
      <c r="E101" s="269" t="s">
        <v>112</v>
      </c>
      <c r="F101" s="269" t="s">
        <v>601</v>
      </c>
      <c r="G101" s="269" t="s">
        <v>1133</v>
      </c>
      <c r="H101" s="344"/>
      <c r="I101" s="344"/>
      <c r="J101" s="269" t="s">
        <v>599</v>
      </c>
      <c r="K101" s="360">
        <v>2024.0</v>
      </c>
      <c r="L101" s="360">
        <v>934.0</v>
      </c>
      <c r="M101" s="331">
        <f t="shared" si="76"/>
        <v>3</v>
      </c>
      <c r="N101" s="269" t="s">
        <v>1119</v>
      </c>
      <c r="O101" s="361">
        <v>33.0</v>
      </c>
      <c r="P101" s="361">
        <v>48000.0</v>
      </c>
      <c r="Q101" s="361">
        <v>33000.0</v>
      </c>
      <c r="R101" s="323">
        <f t="shared" si="77"/>
        <v>15000</v>
      </c>
      <c r="S101" s="323">
        <f t="shared" ref="S101:T101" si="109">if(and(P101 &lt;&gt; "", O101 &lt;&gt; ""), P101/O101, "")</f>
        <v>1454.545455</v>
      </c>
      <c r="T101" s="324">
        <f t="shared" si="109"/>
        <v>0.6875</v>
      </c>
      <c r="U101" s="368"/>
      <c r="V101" s="368"/>
      <c r="W101" s="368"/>
      <c r="X101" s="334" t="str">
        <f t="shared" si="102"/>
        <v/>
      </c>
      <c r="Y101" s="347"/>
      <c r="Z101" s="304"/>
      <c r="AA101" s="304"/>
      <c r="AB101" s="304"/>
      <c r="AC101" s="304"/>
      <c r="AD101" s="304"/>
      <c r="AE101" s="304"/>
      <c r="AF101" s="304"/>
      <c r="AG101" s="304"/>
      <c r="AH101" s="304"/>
    </row>
    <row r="102">
      <c r="A102" s="286"/>
      <c r="B102" s="340">
        <v>97.0</v>
      </c>
      <c r="C102" s="269" t="s">
        <v>39</v>
      </c>
      <c r="D102" s="364">
        <v>46133.0</v>
      </c>
      <c r="E102" s="269" t="s">
        <v>112</v>
      </c>
      <c r="F102" s="269" t="s">
        <v>610</v>
      </c>
      <c r="G102" s="269" t="s">
        <v>831</v>
      </c>
      <c r="H102" s="344"/>
      <c r="I102" s="344"/>
      <c r="J102" s="269" t="s">
        <v>1134</v>
      </c>
      <c r="K102" s="360">
        <v>2007.0</v>
      </c>
      <c r="L102" s="360">
        <v>1241.0</v>
      </c>
      <c r="M102" s="331">
        <f t="shared" si="76"/>
        <v>20</v>
      </c>
      <c r="N102" s="269" t="s">
        <v>1135</v>
      </c>
      <c r="O102" s="361">
        <v>33.0</v>
      </c>
      <c r="P102" s="361">
        <v>36000.0</v>
      </c>
      <c r="Q102" s="361">
        <v>30000.0</v>
      </c>
      <c r="R102" s="323">
        <f t="shared" si="77"/>
        <v>6000</v>
      </c>
      <c r="S102" s="323">
        <f t="shared" ref="S102:T102" si="110">if(and(P102 &lt;&gt; "", O102 &lt;&gt; ""), P102/O102, "")</f>
        <v>1090.909091</v>
      </c>
      <c r="T102" s="324">
        <f t="shared" si="110"/>
        <v>0.8333333333</v>
      </c>
      <c r="U102" s="368"/>
      <c r="V102" s="368"/>
      <c r="W102" s="368"/>
      <c r="X102" s="334" t="str">
        <f t="shared" si="102"/>
        <v/>
      </c>
      <c r="Y102" s="347"/>
      <c r="Z102" s="304"/>
      <c r="AA102" s="304"/>
      <c r="AB102" s="304"/>
      <c r="AC102" s="304"/>
      <c r="AD102" s="304"/>
      <c r="AE102" s="304"/>
      <c r="AF102" s="304"/>
      <c r="AG102" s="304"/>
      <c r="AH102" s="304"/>
    </row>
    <row r="103">
      <c r="A103" s="286"/>
      <c r="B103" s="340">
        <v>98.0</v>
      </c>
      <c r="C103" s="269" t="s">
        <v>39</v>
      </c>
      <c r="D103" s="364">
        <v>46133.0</v>
      </c>
      <c r="E103" s="269" t="s">
        <v>112</v>
      </c>
      <c r="F103" s="269" t="s">
        <v>595</v>
      </c>
      <c r="G103" s="269" t="s">
        <v>596</v>
      </c>
      <c r="H103" s="344"/>
      <c r="I103" s="344"/>
      <c r="J103" s="269" t="s">
        <v>450</v>
      </c>
      <c r="K103" s="360">
        <v>2022.0</v>
      </c>
      <c r="L103" s="360">
        <v>1588.0</v>
      </c>
      <c r="M103" s="331">
        <f t="shared" si="76"/>
        <v>5</v>
      </c>
      <c r="N103" s="269" t="s">
        <v>1136</v>
      </c>
      <c r="O103" s="361">
        <v>24.0</v>
      </c>
      <c r="P103" s="361">
        <v>40000.0</v>
      </c>
      <c r="Q103" s="361">
        <v>31000.0</v>
      </c>
      <c r="R103" s="323">
        <f t="shared" si="77"/>
        <v>9000</v>
      </c>
      <c r="S103" s="323">
        <f t="shared" ref="S103:T103" si="111">if(and(P103 &lt;&gt; "", O103 &lt;&gt; ""), P103/O103, "")</f>
        <v>1666.666667</v>
      </c>
      <c r="T103" s="324">
        <f t="shared" si="111"/>
        <v>0.775</v>
      </c>
      <c r="U103" s="368"/>
      <c r="V103" s="368"/>
      <c r="W103" s="368"/>
      <c r="X103" s="334" t="str">
        <f t="shared" si="102"/>
        <v/>
      </c>
      <c r="Y103" s="347"/>
      <c r="Z103" s="304"/>
      <c r="AA103" s="304"/>
      <c r="AB103" s="304"/>
      <c r="AC103" s="304"/>
      <c r="AD103" s="304"/>
      <c r="AE103" s="304"/>
      <c r="AF103" s="304"/>
      <c r="AG103" s="304"/>
      <c r="AH103" s="304"/>
    </row>
    <row r="104">
      <c r="A104" s="286"/>
      <c r="B104" s="340">
        <v>99.0</v>
      </c>
      <c r="C104" s="269" t="s">
        <v>39</v>
      </c>
      <c r="D104" s="364">
        <v>46133.0</v>
      </c>
      <c r="E104" s="269" t="s">
        <v>112</v>
      </c>
      <c r="F104" s="269" t="s">
        <v>503</v>
      </c>
      <c r="G104" s="269" t="s">
        <v>507</v>
      </c>
      <c r="H104" s="344"/>
      <c r="I104" s="344"/>
      <c r="J104" s="406" t="s">
        <v>489</v>
      </c>
      <c r="K104" s="360">
        <v>2024.09</v>
      </c>
      <c r="L104" s="360">
        <v>358.0</v>
      </c>
      <c r="M104" s="331">
        <f t="shared" si="76"/>
        <v>2.91</v>
      </c>
      <c r="N104" s="269" t="s">
        <v>1084</v>
      </c>
      <c r="O104" s="361">
        <v>34.0</v>
      </c>
      <c r="P104" s="361">
        <v>49000.0</v>
      </c>
      <c r="Q104" s="361">
        <v>38000.0</v>
      </c>
      <c r="R104" s="323">
        <f t="shared" si="77"/>
        <v>11000</v>
      </c>
      <c r="S104" s="323">
        <f t="shared" ref="S104:T104" si="112">if(and(P104 &lt;&gt; "", O104 &lt;&gt; ""), P104/O104, "")</f>
        <v>1441.176471</v>
      </c>
      <c r="T104" s="324">
        <f t="shared" si="112"/>
        <v>0.7755102041</v>
      </c>
      <c r="U104" s="368"/>
      <c r="V104" s="368"/>
      <c r="W104" s="368"/>
      <c r="X104" s="334" t="str">
        <f t="shared" si="102"/>
        <v/>
      </c>
      <c r="Y104" s="347"/>
      <c r="Z104" s="304"/>
      <c r="AA104" s="304"/>
      <c r="AB104" s="304"/>
      <c r="AC104" s="304"/>
      <c r="AD104" s="304"/>
      <c r="AE104" s="304"/>
      <c r="AF104" s="304"/>
      <c r="AG104" s="304"/>
      <c r="AH104" s="304"/>
    </row>
    <row r="105" ht="97.5" customHeight="1">
      <c r="A105" s="286"/>
      <c r="B105" s="340">
        <v>100.0</v>
      </c>
      <c r="C105" s="269" t="s">
        <v>38</v>
      </c>
      <c r="D105" s="364">
        <v>46133.0</v>
      </c>
      <c r="E105" s="269" t="s">
        <v>113</v>
      </c>
      <c r="F105" s="269" t="s">
        <v>1137</v>
      </c>
      <c r="G105" s="269" t="s">
        <v>1138</v>
      </c>
      <c r="H105" s="269">
        <v>46.0</v>
      </c>
      <c r="I105" s="269">
        <v>0.0</v>
      </c>
      <c r="J105" s="269" t="s">
        <v>443</v>
      </c>
      <c r="K105" s="360">
        <v>2006.0</v>
      </c>
      <c r="L105" s="360">
        <v>1063.0</v>
      </c>
      <c r="M105" s="331">
        <f t="shared" si="76"/>
        <v>21</v>
      </c>
      <c r="N105" s="269" t="s">
        <v>984</v>
      </c>
      <c r="O105" s="361">
        <v>34.0</v>
      </c>
      <c r="P105" s="361">
        <v>35000.0</v>
      </c>
      <c r="Q105" s="361">
        <v>27000.0</v>
      </c>
      <c r="R105" s="323">
        <f t="shared" si="77"/>
        <v>8000</v>
      </c>
      <c r="S105" s="323">
        <f t="shared" ref="S105:T105" si="113">if(and(P105 &lt;&gt; "", O105 &lt;&gt; ""), P105/O105, "")</f>
        <v>1029.411765</v>
      </c>
      <c r="T105" s="324">
        <f t="shared" si="113"/>
        <v>0.7714285714</v>
      </c>
      <c r="U105" s="346" t="s">
        <v>1139</v>
      </c>
      <c r="V105" s="346" t="s">
        <v>1140</v>
      </c>
      <c r="W105" s="407" t="s">
        <v>1141</v>
      </c>
      <c r="X105" s="334" t="str">
        <f t="shared" si="102"/>
        <v>한밭자이 2006 1063^
투자 010-8076-2800
34p 104동 25층 35,000 / 27,000 
센텀비스타가 6월부터 전세 풀리면 한밭자이 전세 떨어질듯 
전세 손님은 많은 편이고, 지금 컨디션이 안 좋아서 안나가는 중
27년 2월 집주인 이사 예정, 힐스테이트로 이사, 그 동안 주인 전세 가능
104동이 앞동이라 뻥뷰
전세도 잘나가고 실거주 수요도 많다
스마트뷰가 더 좋아, 더 대단지여서 스마트뷰를 더 선호한다 
도배, 장판 정도면 괜찮다
&lt;부동산 평가&gt;
중구 사장님인데 너무 친절
&lt;얻은 정보&gt;
센텀비스타가 생기면 한밭자이 전세 수요가 많이 빠질거라고 보고 계신다. 같은 전세금이라면 신축에 살고 싶어하는게 사람 마음이기에, 6월 센텀비스타 전세물량이 퍼지면 한밭자이 더 떨어질 수도 있겠다는 생각! 또한 한밭자이가 스마트뷰에도 밀려, 여기저기서 샌드위치 되는 상황 앞으로도 계속 선호도가 밀릴 것 같다는 느낌?</v>
      </c>
      <c r="Y105" s="347"/>
      <c r="Z105" s="304"/>
      <c r="AA105" s="304"/>
      <c r="AB105" s="304"/>
      <c r="AC105" s="304"/>
      <c r="AD105" s="304"/>
      <c r="AE105" s="304"/>
      <c r="AF105" s="304"/>
      <c r="AG105" s="304"/>
      <c r="AH105" s="304"/>
    </row>
    <row r="106" ht="65.25" customHeight="1">
      <c r="A106" s="286"/>
      <c r="B106" s="340">
        <v>101.0</v>
      </c>
      <c r="C106" s="269" t="s">
        <v>38</v>
      </c>
      <c r="D106" s="364">
        <v>46133.0</v>
      </c>
      <c r="E106" s="269" t="s">
        <v>113</v>
      </c>
      <c r="F106" s="269" t="s">
        <v>1142</v>
      </c>
      <c r="G106" s="269" t="s">
        <v>1143</v>
      </c>
      <c r="H106" s="269">
        <v>82.0</v>
      </c>
      <c r="I106" s="269">
        <v>1.0</v>
      </c>
      <c r="J106" s="269" t="s">
        <v>624</v>
      </c>
      <c r="K106" s="360">
        <v>2011.0</v>
      </c>
      <c r="L106" s="360">
        <v>1115.0</v>
      </c>
      <c r="M106" s="331">
        <f t="shared" si="76"/>
        <v>16</v>
      </c>
      <c r="N106" s="269" t="s">
        <v>1144</v>
      </c>
      <c r="O106" s="361">
        <v>33.0</v>
      </c>
      <c r="P106" s="361">
        <v>36000.0</v>
      </c>
      <c r="Q106" s="361">
        <v>26000.0</v>
      </c>
      <c r="R106" s="323">
        <f t="shared" si="77"/>
        <v>10000</v>
      </c>
      <c r="S106" s="323">
        <f t="shared" ref="S106:T106" si="114">if(and(P106 &lt;&gt; "", O106 &lt;&gt; ""), P106/O106, "")</f>
        <v>1090.909091</v>
      </c>
      <c r="T106" s="324">
        <f t="shared" si="114"/>
        <v>0.7222222222</v>
      </c>
      <c r="U106" s="346" t="s">
        <v>1145</v>
      </c>
      <c r="V106" s="346" t="s">
        <v>783</v>
      </c>
      <c r="W106" s="407" t="s">
        <v>1146</v>
      </c>
      <c r="X106" s="334" t="str">
        <f t="shared" si="102"/>
        <v>스마트뷰 2011 1115^
스마트뷰온통 010-5169-0109
33p 104동 4층 36,000 / 26,000 
2.8억에도 전세 거래 된다
전세가 없어서 사람들이 못구하는 상황
세입자 27년 3월 만기 갱신권 안쓰고 있는 상황
로얄동 112동 뻥뷰, A타입을 더 선호
실거주자가 훨씬 많다, 전세는 나오면 신혼부부가 들어오는 편
센텀비스타가 어딘지도 모르셨고, 한밭자이보다는 스마트뷰를 더 선호 한밭자이는 너무 구축이라고 하심
도배, 장판을 해둔 상황인데 이 정도면 충분
&lt;부동산 평가&gt;
친절
&lt;얻은 정보&gt;
확실히 이 대전역 위쪽 라인은 연식이 좀 돼서 전화가 뜸한가보다, 굉장히 친절하시고 언제든 방문 환영이라고 하신다. 여깃 투자자들도 안보고 있는걸까?</v>
      </c>
      <c r="Y106" s="347"/>
      <c r="Z106" s="304"/>
      <c r="AA106" s="304"/>
      <c r="AB106" s="304"/>
      <c r="AC106" s="304"/>
      <c r="AD106" s="304"/>
      <c r="AE106" s="304"/>
      <c r="AF106" s="304"/>
      <c r="AG106" s="304"/>
      <c r="AH106" s="304"/>
    </row>
    <row r="107">
      <c r="A107" s="286"/>
      <c r="B107" s="340">
        <v>102.0</v>
      </c>
      <c r="C107" s="269" t="s">
        <v>37</v>
      </c>
      <c r="D107" s="364">
        <v>46133.0</v>
      </c>
      <c r="E107" s="269" t="s">
        <v>114</v>
      </c>
      <c r="F107" s="269" t="s">
        <v>1137</v>
      </c>
      <c r="G107" s="269" t="s">
        <v>1138</v>
      </c>
      <c r="H107" s="344"/>
      <c r="I107" s="344"/>
      <c r="J107" s="269" t="s">
        <v>443</v>
      </c>
      <c r="K107" s="360">
        <v>2006.0</v>
      </c>
      <c r="L107" s="360">
        <v>1063.0</v>
      </c>
      <c r="M107" s="331">
        <f t="shared" si="76"/>
        <v>21</v>
      </c>
      <c r="N107" s="269" t="s">
        <v>984</v>
      </c>
      <c r="O107" s="361">
        <v>34.0</v>
      </c>
      <c r="P107" s="361">
        <v>35000.0</v>
      </c>
      <c r="Q107" s="361">
        <v>27000.0</v>
      </c>
      <c r="R107" s="323">
        <f t="shared" si="77"/>
        <v>8000</v>
      </c>
      <c r="S107" s="323">
        <f t="shared" ref="S107:T107" si="115">if(and(P107 &lt;&gt; "", O107 &lt;&gt; ""), P107/O107, "")</f>
        <v>1029.411765</v>
      </c>
      <c r="T107" s="324">
        <f t="shared" si="115"/>
        <v>0.7714285714</v>
      </c>
      <c r="U107" s="346" t="s">
        <v>1147</v>
      </c>
      <c r="V107" s="346" t="s">
        <v>1148</v>
      </c>
      <c r="W107" s="368"/>
      <c r="X107" s="334" t="str">
        <f t="shared" si="102"/>
        <v>한밭자이 2006 1063^
투자 010-8076-2800
34p 104동 25층 35,000 / 27,000 
대전역센텀비스타 6월 입주 시작
입주장이다보니 전월세 물량이 많고 금액이 쌈
똑같은 34평인데 이편한전세가 좀 있다 
이편한전세가 3억~부터 나오기 시작해서 급하신 분들은 3억부터 내놓음
이편한세상은 금액이 좀 나가긴 한데 전반적으로 대전이 전월세가 좀 부족하다. 내놓으면 잘 나가겠지만 집주인이랑 협의 하에 잔금을 치루고 
중구) 하늘채 전세금액은 3.8 내놓으면 금방 나감 4억은 나와있기는한데 
힐스가 내년 2월 입주다
전세가 엄청 나올거라 리스크가 있을 듯
버드내는 세입자가 토요일 3시부터 6시까지만 시간이 됨
한밭자이는 이번주는 놀러감 
&lt;부동산 평가&gt;
대박친절
&lt;얻은 정보&gt;
</v>
      </c>
      <c r="Y107" s="347"/>
      <c r="Z107" s="304"/>
      <c r="AA107" s="304"/>
      <c r="AB107" s="304"/>
      <c r="AC107" s="304"/>
      <c r="AD107" s="304"/>
      <c r="AE107" s="304"/>
      <c r="AF107" s="304"/>
      <c r="AG107" s="304"/>
      <c r="AH107" s="304"/>
    </row>
    <row r="108">
      <c r="A108" s="286"/>
      <c r="B108" s="340">
        <v>103.0</v>
      </c>
      <c r="C108" s="269" t="s">
        <v>37</v>
      </c>
      <c r="D108" s="364">
        <v>46133.0</v>
      </c>
      <c r="E108" s="269" t="s">
        <v>114</v>
      </c>
      <c r="F108" s="269" t="s">
        <v>1149</v>
      </c>
      <c r="G108" s="269" t="s">
        <v>1150</v>
      </c>
      <c r="H108" s="344"/>
      <c r="I108" s="344"/>
      <c r="J108" s="269" t="s">
        <v>1151</v>
      </c>
      <c r="K108" s="360">
        <v>2018.0</v>
      </c>
      <c r="L108" s="360">
        <v>415.0</v>
      </c>
      <c r="M108" s="331">
        <f t="shared" si="76"/>
        <v>9</v>
      </c>
      <c r="N108" s="269" t="s">
        <v>1152</v>
      </c>
      <c r="O108" s="361">
        <v>24.0</v>
      </c>
      <c r="P108" s="361">
        <v>38000.0</v>
      </c>
      <c r="Q108" s="361">
        <v>26000.0</v>
      </c>
      <c r="R108" s="323">
        <f t="shared" si="77"/>
        <v>12000</v>
      </c>
      <c r="S108" s="323">
        <f t="shared" ref="S108:T108" si="116">if(and(P108 &lt;&gt; "", O108 &lt;&gt; ""), P108/O108, "")</f>
        <v>1583.333333</v>
      </c>
      <c r="T108" s="324">
        <f t="shared" si="116"/>
        <v>0.6842105263</v>
      </c>
      <c r="U108" s="346" t="s">
        <v>1153</v>
      </c>
      <c r="V108" s="346" t="s">
        <v>783</v>
      </c>
      <c r="W108" s="346" t="s">
        <v>1154</v>
      </c>
      <c r="X108" s="334" t="str">
        <f t="shared" si="102"/>
        <v>대구중) 남산역화성파크드림 2018 415^
포레공인중개사 010-5403-0559
24p 101동 12층 동향 38,000 / 26,000 
최근 3.9에 올렸다가 3.8에 거래됨. 내가 퇴근을해서 물건상황을 제대로 모르겠는데 내일 전화주겠다. 전세시세 2.6 가능한가? 충분히 가능하다.
내일통화하자
&lt;부동산 평가&gt;
친절
&lt;얻은 정보&gt;
대명그랜드자이 입주장인데 물건 쏟아지는데도 가능하다고? 등기 안나와서 올현금세입자만 받아서 그런가 </v>
      </c>
      <c r="Y108" s="347"/>
      <c r="Z108" s="304"/>
      <c r="AA108" s="304"/>
      <c r="AB108" s="304"/>
      <c r="AC108" s="304"/>
      <c r="AD108" s="304"/>
      <c r="AE108" s="304"/>
      <c r="AF108" s="304"/>
      <c r="AG108" s="304"/>
      <c r="AH108" s="304"/>
    </row>
    <row r="109">
      <c r="A109" s="286"/>
      <c r="B109" s="340">
        <v>104.0</v>
      </c>
      <c r="C109" s="269" t="s">
        <v>23</v>
      </c>
      <c r="D109" s="364">
        <v>46133.0</v>
      </c>
      <c r="E109" s="269" t="s">
        <v>113</v>
      </c>
      <c r="F109" s="269" t="s">
        <v>1155</v>
      </c>
      <c r="G109" s="269" t="s">
        <v>611</v>
      </c>
      <c r="H109" s="344"/>
      <c r="I109" s="344"/>
      <c r="J109" s="269" t="s">
        <v>1156</v>
      </c>
      <c r="K109" s="360">
        <v>2024.0</v>
      </c>
      <c r="L109" s="360">
        <v>358.0</v>
      </c>
      <c r="M109" s="331">
        <f t="shared" si="76"/>
        <v>3</v>
      </c>
      <c r="N109" s="269" t="s">
        <v>1157</v>
      </c>
      <c r="O109" s="361" t="s">
        <v>1158</v>
      </c>
      <c r="P109" s="361">
        <v>49000.0</v>
      </c>
      <c r="Q109" s="361">
        <v>37000.0</v>
      </c>
      <c r="R109" s="323">
        <f t="shared" si="77"/>
        <v>12000</v>
      </c>
      <c r="S109" s="323" t="str">
        <f t="shared" ref="S109:T109" si="117">if(and(P109 &lt;&gt; "", O109 &lt;&gt; ""), P109/O109, "")</f>
        <v>#VALUE!</v>
      </c>
      <c r="T109" s="324">
        <f t="shared" si="117"/>
        <v>0.7551020408</v>
      </c>
      <c r="U109" s="346" t="s">
        <v>1159</v>
      </c>
      <c r="V109" s="346" t="s">
        <v>1160</v>
      </c>
      <c r="W109" s="346" t="s">
        <v>1161</v>
      </c>
      <c r="X109" s="334" t="str">
        <f t="shared" si="102"/>
        <v>힐스테이트가양더와이즈(주복) 2024 358^
투자공인중개사 010-3478-5993
113/84p 102동 41/49층 남동향 49,000 / 37,000 
[매물 정보]
- 매도인이 잔금 못쳐서 급매로 내놓은 것
&gt;&gt;&gt; 계속 이자 나가고 있어서 잔금 빨리 원함
- 근데 매수하려는 사람 있어서 4/21 저녁 매수인 &amp; 매도인 만나기로 해서 물건 볼 수 있을지는 미지수
[다른 매물 추천]
- e편한센텀비스타 추천
- e편한 현재 호가 (84only) 
&gt;&gt; 전세 3.0~4.2
&gt;&gt; 매매 4.246~5.5936
&lt;부동산 평가&gt;
적극적, 솔직하심, 협조적
&lt;얻은 정보&gt;
[내생각]
- 위치상으론 힐스보단 e편한이 훨 좋은데, e편한 입주에도 힐스의 호가가 많이 빠지지 않았다. 아직 2년 되기 전이라 매물이 다 나오지 않은 것도 한몫할 것 같고 (비교적 경쟁 덜한), 내놓은 분들 대부분이 급하지 않아서 그런가? (현재 공실이 꽤 많다) 급한 분은 4.9까지 내렸다. 매임 때 [호가가 여전히 높은 이유]와 [힐스 vs e편한 선호 차이] 알아볼 것
[e편한 브리핑]
- 분양권은 아예 1도 모른다하고 부사님 브리핑 받아보기
- 분양가/ 확장비/ 옵션/ 피 등등 계산 방식 이해하기</v>
      </c>
      <c r="Y109" s="347"/>
      <c r="Z109" s="304"/>
      <c r="AA109" s="304"/>
      <c r="AB109" s="304"/>
      <c r="AC109" s="304"/>
      <c r="AD109" s="304"/>
      <c r="AE109" s="304"/>
      <c r="AF109" s="304"/>
      <c r="AG109" s="304"/>
      <c r="AH109" s="304"/>
    </row>
    <row r="110">
      <c r="A110" s="286"/>
      <c r="B110" s="340">
        <v>105.0</v>
      </c>
      <c r="C110" s="269" t="s">
        <v>23</v>
      </c>
      <c r="D110" s="364">
        <v>46133.0</v>
      </c>
      <c r="E110" s="269" t="s">
        <v>113</v>
      </c>
      <c r="F110" s="269" t="s">
        <v>1162</v>
      </c>
      <c r="G110" s="269" t="s">
        <v>620</v>
      </c>
      <c r="H110" s="344"/>
      <c r="I110" s="344"/>
      <c r="J110" s="269" t="s">
        <v>820</v>
      </c>
      <c r="K110" s="360">
        <v>2011.0</v>
      </c>
      <c r="L110" s="360">
        <v>1025.0</v>
      </c>
      <c r="M110" s="331">
        <f t="shared" si="76"/>
        <v>16</v>
      </c>
      <c r="N110" s="269" t="s">
        <v>1163</v>
      </c>
      <c r="O110" s="361" t="s">
        <v>1164</v>
      </c>
      <c r="P110" s="361">
        <v>39000.0</v>
      </c>
      <c r="Q110" s="361">
        <v>28000.0</v>
      </c>
      <c r="R110" s="323">
        <f t="shared" si="77"/>
        <v>11000</v>
      </c>
      <c r="S110" s="323" t="str">
        <f t="shared" ref="S110:T110" si="118">if(and(P110 &lt;&gt; "", O110 &lt;&gt; ""), P110/O110, "")</f>
        <v>#VALUE!</v>
      </c>
      <c r="T110" s="324">
        <f t="shared" si="118"/>
        <v>0.7179487179</v>
      </c>
      <c r="U110" s="346" t="s">
        <v>1165</v>
      </c>
      <c r="V110" s="346" t="s">
        <v>1166</v>
      </c>
      <c r="W110" s="346" t="s">
        <v>1167</v>
      </c>
      <c r="X110" s="334" t="str">
        <f t="shared" si="102"/>
        <v>아침LH 2011 1025^
아침마을114공인 010-9998-8114
112/84p 113동 고/25층 39,000 / 28,000 
[매물 정보]
- 113-고층 나쁘지 않다, 라는 부사님 반응 
- 왜?  냐는 질문에 대답x 모르는 느낌이 아니라 그냥 귀찮아하는 느낌
[다른 매물 추천]
- 116동 6/19층 남동향 112A 3.7 앞동
- 116동 18/19층 남동향 112A 3.9 앞동 뷰 올리모
- 102동 13/24층 남동향 112B 3.7억 뒷동 공실
&lt;부동산 평가&gt;
매물은 많지만 soso, 친절하지도 불친절하지도 않고, 적극적이지도 비협조적이지도 않다.
문자 회신 없음
&lt;얻은 정보&gt;
- 타입이 많은데 A-1, A-2, A-3, A-4  등 숫자는 다 차이없고 (실거래에도 같이 올라와있음)
- A &amp; B 판상, C 타워. A vs B (B 발코니 추가)
- 전세는 2.8 정도
- 조금씩 다 수리는 필요하다 &amp; 수리 안된 집이 더 많음
[매임 때]
- 한밭 vs 스맡 vs 아침 비교</v>
      </c>
      <c r="Y110" s="347"/>
      <c r="Z110" s="304"/>
      <c r="AA110" s="304"/>
      <c r="AB110" s="304"/>
      <c r="AC110" s="304"/>
      <c r="AD110" s="304"/>
      <c r="AE110" s="304"/>
      <c r="AF110" s="304"/>
      <c r="AG110" s="304"/>
      <c r="AH110" s="304"/>
    </row>
    <row r="111">
      <c r="A111" s="286"/>
      <c r="B111" s="340">
        <v>106.0</v>
      </c>
      <c r="C111" s="344"/>
      <c r="D111" s="344"/>
      <c r="E111" s="344"/>
      <c r="F111" s="344"/>
      <c r="G111" s="344"/>
      <c r="H111" s="344"/>
      <c r="I111" s="344"/>
      <c r="J111" s="344"/>
      <c r="K111" s="330"/>
      <c r="L111" s="330"/>
      <c r="M111" s="331">
        <f t="shared" si="76"/>
        <v>2027</v>
      </c>
      <c r="N111" s="344"/>
      <c r="O111" s="375"/>
      <c r="P111" s="375"/>
      <c r="Q111" s="375"/>
      <c r="R111" s="323" t="str">
        <f t="shared" si="77"/>
        <v/>
      </c>
      <c r="S111" s="323" t="str">
        <f t="shared" ref="S111:T111" si="119">if(and(P111 &lt;&gt; "", O111 &lt;&gt; ""), P111/O111, "")</f>
        <v/>
      </c>
      <c r="T111" s="324" t="str">
        <f t="shared" si="119"/>
        <v/>
      </c>
      <c r="U111" s="368"/>
      <c r="V111" s="368"/>
      <c r="W111" s="368"/>
      <c r="X111" s="334" t="str">
        <f t="shared" si="102"/>
        <v/>
      </c>
      <c r="Y111" s="347"/>
      <c r="Z111" s="304"/>
      <c r="AA111" s="304"/>
      <c r="AB111" s="304"/>
      <c r="AC111" s="304"/>
      <c r="AD111" s="304"/>
      <c r="AE111" s="304"/>
      <c r="AF111" s="304"/>
      <c r="AG111" s="304"/>
      <c r="AH111" s="304"/>
    </row>
    <row r="112">
      <c r="A112" s="286"/>
      <c r="B112" s="340">
        <v>107.0</v>
      </c>
      <c r="C112" s="344"/>
      <c r="D112" s="344"/>
      <c r="E112" s="344"/>
      <c r="F112" s="344"/>
      <c r="G112" s="344"/>
      <c r="H112" s="344"/>
      <c r="I112" s="344"/>
      <c r="J112" s="344"/>
      <c r="K112" s="330"/>
      <c r="L112" s="330"/>
      <c r="M112" s="331">
        <f t="shared" si="76"/>
        <v>2027</v>
      </c>
      <c r="N112" s="344"/>
      <c r="O112" s="375"/>
      <c r="P112" s="375"/>
      <c r="Q112" s="375"/>
      <c r="R112" s="323" t="str">
        <f t="shared" si="77"/>
        <v/>
      </c>
      <c r="S112" s="323" t="str">
        <f t="shared" ref="S112:T112" si="120">if(and(P112 &lt;&gt; "", O112 &lt;&gt; ""), P112/O112, "")</f>
        <v/>
      </c>
      <c r="T112" s="324" t="str">
        <f t="shared" si="120"/>
        <v/>
      </c>
      <c r="U112" s="368"/>
      <c r="V112" s="368"/>
      <c r="W112" s="368"/>
      <c r="X112" s="334" t="str">
        <f t="shared" si="102"/>
        <v/>
      </c>
      <c r="Y112" s="347"/>
      <c r="Z112" s="304"/>
      <c r="AA112" s="304"/>
      <c r="AB112" s="304"/>
      <c r="AC112" s="304"/>
      <c r="AD112" s="304"/>
      <c r="AE112" s="304"/>
      <c r="AF112" s="304"/>
      <c r="AG112" s="304"/>
      <c r="AH112" s="304"/>
    </row>
    <row r="113">
      <c r="A113" s="286"/>
      <c r="B113" s="340">
        <v>108.0</v>
      </c>
      <c r="C113" s="344"/>
      <c r="D113" s="344"/>
      <c r="E113" s="344"/>
      <c r="F113" s="344"/>
      <c r="G113" s="344"/>
      <c r="H113" s="344"/>
      <c r="I113" s="344"/>
      <c r="J113" s="344"/>
      <c r="K113" s="330"/>
      <c r="L113" s="330"/>
      <c r="M113" s="331">
        <f t="shared" si="76"/>
        <v>2027</v>
      </c>
      <c r="N113" s="344"/>
      <c r="O113" s="375"/>
      <c r="P113" s="375"/>
      <c r="Q113" s="375"/>
      <c r="R113" s="323" t="str">
        <f t="shared" si="77"/>
        <v/>
      </c>
      <c r="S113" s="323" t="str">
        <f t="shared" ref="S113:T113" si="121">if(and(P113 &lt;&gt; "", O113 &lt;&gt; ""), P113/O113, "")</f>
        <v/>
      </c>
      <c r="T113" s="324" t="str">
        <f t="shared" si="121"/>
        <v/>
      </c>
      <c r="U113" s="368"/>
      <c r="V113" s="368"/>
      <c r="W113" s="368"/>
      <c r="X113" s="334" t="str">
        <f t="shared" si="102"/>
        <v/>
      </c>
      <c r="Y113" s="347"/>
      <c r="Z113" s="304"/>
      <c r="AA113" s="304"/>
      <c r="AB113" s="304"/>
      <c r="AC113" s="304"/>
      <c r="AD113" s="304"/>
      <c r="AE113" s="304"/>
      <c r="AF113" s="304"/>
      <c r="AG113" s="304"/>
      <c r="AH113" s="304"/>
    </row>
    <row r="114">
      <c r="A114" s="286"/>
      <c r="B114" s="340">
        <v>109.0</v>
      </c>
      <c r="C114" s="344"/>
      <c r="D114" s="344"/>
      <c r="E114" s="344"/>
      <c r="F114" s="344"/>
      <c r="G114" s="344"/>
      <c r="H114" s="344"/>
      <c r="I114" s="344"/>
      <c r="J114" s="344"/>
      <c r="K114" s="330"/>
      <c r="L114" s="330"/>
      <c r="M114" s="331">
        <f t="shared" si="76"/>
        <v>2027</v>
      </c>
      <c r="N114" s="344"/>
      <c r="O114" s="375"/>
      <c r="P114" s="375"/>
      <c r="Q114" s="375"/>
      <c r="R114" s="323" t="str">
        <f t="shared" si="77"/>
        <v/>
      </c>
      <c r="S114" s="323" t="str">
        <f t="shared" ref="S114:T114" si="122">if(and(P114 &lt;&gt; "", O114 &lt;&gt; ""), P114/O114, "")</f>
        <v/>
      </c>
      <c r="T114" s="324" t="str">
        <f t="shared" si="122"/>
        <v/>
      </c>
      <c r="U114" s="368"/>
      <c r="V114" s="368"/>
      <c r="W114" s="368"/>
      <c r="X114" s="334" t="str">
        <f t="shared" si="102"/>
        <v/>
      </c>
      <c r="Y114" s="347"/>
      <c r="Z114" s="304"/>
      <c r="AA114" s="304"/>
      <c r="AB114" s="304"/>
      <c r="AC114" s="304"/>
      <c r="AD114" s="304"/>
      <c r="AE114" s="304"/>
      <c r="AF114" s="304"/>
      <c r="AG114" s="304"/>
      <c r="AH114" s="304"/>
    </row>
    <row r="115">
      <c r="A115" s="286"/>
      <c r="B115" s="340">
        <v>110.0</v>
      </c>
      <c r="C115" s="344"/>
      <c r="D115" s="344"/>
      <c r="E115" s="344"/>
      <c r="F115" s="344"/>
      <c r="G115" s="344"/>
      <c r="H115" s="344"/>
      <c r="I115" s="344"/>
      <c r="J115" s="344"/>
      <c r="K115" s="330"/>
      <c r="L115" s="330"/>
      <c r="M115" s="331">
        <f t="shared" si="76"/>
        <v>2027</v>
      </c>
      <c r="N115" s="344"/>
      <c r="O115" s="375"/>
      <c r="P115" s="375"/>
      <c r="Q115" s="375"/>
      <c r="R115" s="323" t="str">
        <f t="shared" si="77"/>
        <v/>
      </c>
      <c r="S115" s="323" t="str">
        <f t="shared" ref="S115:T115" si="123">if(and(P115 &lt;&gt; "", O115 &lt;&gt; ""), P115/O115, "")</f>
        <v/>
      </c>
      <c r="T115" s="324" t="str">
        <f t="shared" si="123"/>
        <v/>
      </c>
      <c r="U115" s="368"/>
      <c r="V115" s="368"/>
      <c r="W115" s="368"/>
      <c r="X115" s="334" t="str">
        <f t="shared" si="102"/>
        <v/>
      </c>
      <c r="Y115" s="347"/>
      <c r="Z115" s="304"/>
      <c r="AA115" s="304"/>
      <c r="AB115" s="304"/>
      <c r="AC115" s="304"/>
      <c r="AD115" s="304"/>
      <c r="AE115" s="304"/>
      <c r="AF115" s="304"/>
      <c r="AG115" s="304"/>
      <c r="AH115" s="304"/>
    </row>
    <row r="116">
      <c r="A116" s="286"/>
      <c r="B116" s="340">
        <v>111.0</v>
      </c>
      <c r="C116" s="344"/>
      <c r="D116" s="344"/>
      <c r="E116" s="344"/>
      <c r="F116" s="344"/>
      <c r="G116" s="344"/>
      <c r="H116" s="344"/>
      <c r="I116" s="344"/>
      <c r="J116" s="344"/>
      <c r="K116" s="330"/>
      <c r="L116" s="330"/>
      <c r="M116" s="331">
        <f t="shared" si="76"/>
        <v>2027</v>
      </c>
      <c r="N116" s="344"/>
      <c r="O116" s="375"/>
      <c r="P116" s="375"/>
      <c r="Q116" s="375"/>
      <c r="R116" s="323" t="str">
        <f t="shared" si="77"/>
        <v/>
      </c>
      <c r="S116" s="323" t="str">
        <f t="shared" ref="S116:T116" si="124">if(and(P116 &lt;&gt; "", O116 &lt;&gt; ""), P116/O116, "")</f>
        <v/>
      </c>
      <c r="T116" s="324" t="str">
        <f t="shared" si="124"/>
        <v/>
      </c>
      <c r="U116" s="368"/>
      <c r="V116" s="368"/>
      <c r="W116" s="368"/>
      <c r="X116" s="334" t="str">
        <f t="shared" si="102"/>
        <v/>
      </c>
      <c r="Y116" s="347"/>
      <c r="Z116" s="304"/>
      <c r="AA116" s="304"/>
      <c r="AB116" s="304"/>
      <c r="AC116" s="304"/>
      <c r="AD116" s="304"/>
      <c r="AE116" s="304"/>
      <c r="AF116" s="304"/>
      <c r="AG116" s="304"/>
      <c r="AH116" s="304"/>
    </row>
    <row r="117">
      <c r="A117" s="286"/>
      <c r="B117" s="340">
        <v>112.0</v>
      </c>
      <c r="C117" s="344"/>
      <c r="D117" s="344"/>
      <c r="E117" s="344"/>
      <c r="F117" s="344"/>
      <c r="G117" s="344"/>
      <c r="H117" s="344"/>
      <c r="I117" s="344"/>
      <c r="J117" s="344"/>
      <c r="K117" s="330"/>
      <c r="L117" s="330"/>
      <c r="M117" s="331">
        <f t="shared" si="76"/>
        <v>2027</v>
      </c>
      <c r="N117" s="344"/>
      <c r="O117" s="375"/>
      <c r="P117" s="375"/>
      <c r="Q117" s="375"/>
      <c r="R117" s="323" t="str">
        <f t="shared" si="77"/>
        <v/>
      </c>
      <c r="S117" s="323" t="str">
        <f t="shared" ref="S117:T117" si="125">if(and(P117 &lt;&gt; "", O117 &lt;&gt; ""), P117/O117, "")</f>
        <v/>
      </c>
      <c r="T117" s="324" t="str">
        <f t="shared" si="125"/>
        <v/>
      </c>
      <c r="U117" s="368"/>
      <c r="V117" s="368"/>
      <c r="W117" s="368"/>
      <c r="X117" s="334" t="str">
        <f t="shared" si="102"/>
        <v/>
      </c>
      <c r="Y117" s="347"/>
      <c r="Z117" s="304"/>
      <c r="AA117" s="304"/>
      <c r="AB117" s="304"/>
      <c r="AC117" s="304"/>
      <c r="AD117" s="304"/>
      <c r="AE117" s="304"/>
      <c r="AF117" s="304"/>
      <c r="AG117" s="304"/>
      <c r="AH117" s="304"/>
    </row>
    <row r="118">
      <c r="A118" s="286"/>
      <c r="B118" s="340"/>
      <c r="C118" s="344"/>
      <c r="D118" s="344"/>
      <c r="E118" s="344"/>
      <c r="F118" s="344"/>
      <c r="G118" s="344"/>
      <c r="H118" s="344"/>
      <c r="I118" s="344"/>
      <c r="J118" s="344"/>
      <c r="K118" s="330"/>
      <c r="L118" s="330"/>
      <c r="M118" s="331">
        <f t="shared" si="76"/>
        <v>2027</v>
      </c>
      <c r="N118" s="344"/>
      <c r="O118" s="375"/>
      <c r="P118" s="375"/>
      <c r="Q118" s="375"/>
      <c r="R118" s="323" t="str">
        <f t="shared" si="77"/>
        <v/>
      </c>
      <c r="S118" s="323" t="str">
        <f t="shared" ref="S118:T118" si="126">if(and(P118 &lt;&gt; "", O118 &lt;&gt; ""), P118/O118, "")</f>
        <v/>
      </c>
      <c r="T118" s="324" t="str">
        <f t="shared" si="126"/>
        <v/>
      </c>
      <c r="U118" s="368"/>
      <c r="V118" s="368"/>
      <c r="W118" s="368"/>
      <c r="X118" s="334" t="str">
        <f t="shared" si="102"/>
        <v/>
      </c>
      <c r="Y118" s="347"/>
      <c r="Z118" s="304"/>
      <c r="AA118" s="304"/>
      <c r="AB118" s="304"/>
      <c r="AC118" s="304"/>
      <c r="AD118" s="304"/>
      <c r="AE118" s="304"/>
      <c r="AF118" s="304"/>
      <c r="AG118" s="304"/>
      <c r="AH118" s="304"/>
    </row>
    <row r="119">
      <c r="A119" s="286"/>
      <c r="B119" s="340"/>
      <c r="C119" s="344"/>
      <c r="D119" s="344"/>
      <c r="E119" s="344"/>
      <c r="F119" s="344"/>
      <c r="G119" s="344"/>
      <c r="H119" s="344"/>
      <c r="I119" s="344"/>
      <c r="J119" s="344"/>
      <c r="K119" s="330"/>
      <c r="L119" s="330"/>
      <c r="M119" s="331">
        <f t="shared" si="76"/>
        <v>2027</v>
      </c>
      <c r="N119" s="344"/>
      <c r="O119" s="375"/>
      <c r="P119" s="375"/>
      <c r="Q119" s="375"/>
      <c r="R119" s="323" t="str">
        <f t="shared" si="77"/>
        <v/>
      </c>
      <c r="S119" s="323" t="str">
        <f t="shared" ref="S119:T119" si="127">if(and(P119 &lt;&gt; "", O119 &lt;&gt; ""), P119/O119, "")</f>
        <v/>
      </c>
      <c r="T119" s="324" t="str">
        <f t="shared" si="127"/>
        <v/>
      </c>
      <c r="U119" s="368"/>
      <c r="V119" s="368"/>
      <c r="W119" s="368"/>
      <c r="X119" s="334" t="str">
        <f t="shared" si="102"/>
        <v/>
      </c>
      <c r="Y119" s="347"/>
      <c r="Z119" s="304"/>
      <c r="AA119" s="304"/>
      <c r="AB119" s="304"/>
      <c r="AC119" s="304"/>
      <c r="AD119" s="304"/>
      <c r="AE119" s="304"/>
      <c r="AF119" s="304"/>
      <c r="AG119" s="304"/>
      <c r="AH119" s="304"/>
    </row>
    <row r="120">
      <c r="A120" s="286"/>
      <c r="B120" s="340"/>
      <c r="C120" s="344"/>
      <c r="D120" s="344"/>
      <c r="E120" s="344"/>
      <c r="F120" s="344"/>
      <c r="G120" s="344"/>
      <c r="H120" s="344"/>
      <c r="I120" s="344"/>
      <c r="J120" s="344"/>
      <c r="K120" s="330"/>
      <c r="L120" s="330"/>
      <c r="M120" s="331">
        <f t="shared" si="76"/>
        <v>2027</v>
      </c>
      <c r="N120" s="344"/>
      <c r="O120" s="375"/>
      <c r="P120" s="375"/>
      <c r="Q120" s="375"/>
      <c r="R120" s="323" t="str">
        <f t="shared" si="77"/>
        <v/>
      </c>
      <c r="S120" s="323" t="str">
        <f t="shared" ref="S120:T120" si="128">if(and(P120 &lt;&gt; "", O120 &lt;&gt; ""), P120/O120, "")</f>
        <v/>
      </c>
      <c r="T120" s="324" t="str">
        <f t="shared" si="128"/>
        <v/>
      </c>
      <c r="U120" s="368"/>
      <c r="V120" s="368"/>
      <c r="W120" s="368"/>
      <c r="X120" s="334" t="str">
        <f t="shared" si="102"/>
        <v/>
      </c>
      <c r="Y120" s="347"/>
      <c r="Z120" s="304"/>
      <c r="AA120" s="304"/>
      <c r="AB120" s="304"/>
      <c r="AC120" s="304"/>
      <c r="AD120" s="304"/>
      <c r="AE120" s="304"/>
      <c r="AF120" s="304"/>
      <c r="AG120" s="304"/>
      <c r="AH120" s="304"/>
    </row>
    <row r="121">
      <c r="A121" s="286"/>
      <c r="B121" s="340"/>
      <c r="C121" s="344"/>
      <c r="D121" s="344"/>
      <c r="E121" s="344"/>
      <c r="F121" s="344"/>
      <c r="G121" s="344"/>
      <c r="H121" s="344"/>
      <c r="I121" s="344"/>
      <c r="J121" s="344"/>
      <c r="K121" s="330"/>
      <c r="L121" s="330"/>
      <c r="M121" s="331">
        <f t="shared" si="76"/>
        <v>2027</v>
      </c>
      <c r="N121" s="344"/>
      <c r="O121" s="375"/>
      <c r="P121" s="375"/>
      <c r="Q121" s="375"/>
      <c r="R121" s="323" t="str">
        <f t="shared" si="77"/>
        <v/>
      </c>
      <c r="S121" s="323" t="str">
        <f t="shared" ref="S121:T121" si="129">if(and(P121 &lt;&gt; "", O121 &lt;&gt; ""), P121/O121, "")</f>
        <v/>
      </c>
      <c r="T121" s="324" t="str">
        <f t="shared" si="129"/>
        <v/>
      </c>
      <c r="U121" s="368"/>
      <c r="V121" s="368"/>
      <c r="W121" s="368"/>
      <c r="X121" s="334" t="str">
        <f t="shared" si="102"/>
        <v/>
      </c>
      <c r="Y121" s="347"/>
      <c r="Z121" s="304"/>
      <c r="AA121" s="304"/>
      <c r="AB121" s="304"/>
      <c r="AC121" s="304"/>
      <c r="AD121" s="304"/>
      <c r="AE121" s="304"/>
      <c r="AF121" s="304"/>
      <c r="AG121" s="304"/>
      <c r="AH121" s="304"/>
    </row>
    <row r="122">
      <c r="A122" s="286"/>
      <c r="B122" s="340"/>
      <c r="C122" s="344"/>
      <c r="D122" s="344"/>
      <c r="E122" s="344"/>
      <c r="F122" s="344"/>
      <c r="G122" s="344"/>
      <c r="H122" s="344"/>
      <c r="I122" s="344"/>
      <c r="J122" s="344"/>
      <c r="K122" s="330"/>
      <c r="L122" s="330"/>
      <c r="M122" s="331">
        <f t="shared" si="76"/>
        <v>2027</v>
      </c>
      <c r="N122" s="344"/>
      <c r="O122" s="375"/>
      <c r="P122" s="375"/>
      <c r="Q122" s="375"/>
      <c r="R122" s="323" t="str">
        <f t="shared" si="77"/>
        <v/>
      </c>
      <c r="S122" s="323" t="str">
        <f t="shared" ref="S122:T122" si="130">if(and(P122 &lt;&gt; "", O122 &lt;&gt; ""), P122/O122, "")</f>
        <v/>
      </c>
      <c r="T122" s="324" t="str">
        <f t="shared" si="130"/>
        <v/>
      </c>
      <c r="U122" s="368"/>
      <c r="V122" s="368"/>
      <c r="W122" s="368"/>
      <c r="X122" s="334" t="str">
        <f t="shared" si="102"/>
        <v/>
      </c>
      <c r="Y122" s="347"/>
      <c r="Z122" s="304"/>
      <c r="AA122" s="304"/>
      <c r="AB122" s="304"/>
      <c r="AC122" s="304"/>
      <c r="AD122" s="304"/>
      <c r="AE122" s="304"/>
      <c r="AF122" s="304"/>
      <c r="AG122" s="304"/>
      <c r="AH122" s="304"/>
    </row>
    <row r="123">
      <c r="A123" s="286"/>
      <c r="B123" s="340"/>
      <c r="C123" s="344"/>
      <c r="D123" s="344"/>
      <c r="E123" s="344"/>
      <c r="F123" s="344"/>
      <c r="G123" s="344"/>
      <c r="H123" s="344"/>
      <c r="I123" s="344"/>
      <c r="J123" s="344"/>
      <c r="K123" s="330"/>
      <c r="L123" s="330"/>
      <c r="M123" s="331">
        <f t="shared" si="76"/>
        <v>2027</v>
      </c>
      <c r="N123" s="344"/>
      <c r="O123" s="375"/>
      <c r="P123" s="375"/>
      <c r="Q123" s="375"/>
      <c r="R123" s="323" t="str">
        <f t="shared" si="77"/>
        <v/>
      </c>
      <c r="S123" s="323" t="str">
        <f t="shared" ref="S123:T123" si="131">if(and(P123 &lt;&gt; "", O123 &lt;&gt; ""), P123/O123, "")</f>
        <v/>
      </c>
      <c r="T123" s="324" t="str">
        <f t="shared" si="131"/>
        <v/>
      </c>
      <c r="U123" s="368"/>
      <c r="V123" s="368"/>
      <c r="W123" s="368"/>
      <c r="X123" s="334" t="str">
        <f t="shared" si="102"/>
        <v/>
      </c>
      <c r="Y123" s="347"/>
      <c r="Z123" s="304"/>
      <c r="AA123" s="304"/>
      <c r="AB123" s="304"/>
      <c r="AC123" s="304"/>
      <c r="AD123" s="304"/>
      <c r="AE123" s="304"/>
      <c r="AF123" s="304"/>
      <c r="AG123" s="304"/>
      <c r="AH123" s="304"/>
    </row>
    <row r="124">
      <c r="A124" s="286"/>
      <c r="B124" s="340"/>
      <c r="C124" s="344"/>
      <c r="D124" s="344"/>
      <c r="E124" s="344"/>
      <c r="F124" s="344"/>
      <c r="G124" s="344"/>
      <c r="H124" s="344"/>
      <c r="I124" s="344"/>
      <c r="J124" s="344"/>
      <c r="K124" s="330"/>
      <c r="L124" s="330"/>
      <c r="M124" s="331">
        <f t="shared" si="76"/>
        <v>2027</v>
      </c>
      <c r="N124" s="344"/>
      <c r="O124" s="375"/>
      <c r="P124" s="375"/>
      <c r="Q124" s="375"/>
      <c r="R124" s="323" t="str">
        <f t="shared" si="77"/>
        <v/>
      </c>
      <c r="S124" s="323" t="str">
        <f t="shared" ref="S124:T124" si="132">if(and(P124 &lt;&gt; "", O124 &lt;&gt; ""), P124/O124, "")</f>
        <v/>
      </c>
      <c r="T124" s="324" t="str">
        <f t="shared" si="132"/>
        <v/>
      </c>
      <c r="U124" s="368"/>
      <c r="V124" s="368"/>
      <c r="W124" s="368"/>
      <c r="X124" s="334" t="str">
        <f t="shared" si="102"/>
        <v/>
      </c>
      <c r="Y124" s="347"/>
      <c r="Z124" s="304"/>
      <c r="AA124" s="304"/>
      <c r="AB124" s="304"/>
      <c r="AC124" s="304"/>
      <c r="AD124" s="304"/>
      <c r="AE124" s="304"/>
      <c r="AF124" s="304"/>
      <c r="AG124" s="304"/>
      <c r="AH124" s="304"/>
    </row>
    <row r="125">
      <c r="A125" s="286"/>
      <c r="B125" s="340"/>
      <c r="C125" s="344"/>
      <c r="D125" s="344"/>
      <c r="E125" s="344"/>
      <c r="F125" s="344"/>
      <c r="G125" s="344"/>
      <c r="H125" s="344"/>
      <c r="I125" s="344"/>
      <c r="J125" s="344"/>
      <c r="K125" s="330"/>
      <c r="L125" s="330"/>
      <c r="M125" s="331">
        <f t="shared" si="76"/>
        <v>2027</v>
      </c>
      <c r="N125" s="344"/>
      <c r="O125" s="375"/>
      <c r="P125" s="375"/>
      <c r="Q125" s="375"/>
      <c r="R125" s="323" t="str">
        <f t="shared" si="77"/>
        <v/>
      </c>
      <c r="S125" s="323" t="str">
        <f t="shared" ref="S125:T125" si="133">if(and(P125 &lt;&gt; "", O125 &lt;&gt; ""), P125/O125, "")</f>
        <v/>
      </c>
      <c r="T125" s="324" t="str">
        <f t="shared" si="133"/>
        <v/>
      </c>
      <c r="U125" s="368"/>
      <c r="V125" s="368"/>
      <c r="W125" s="368"/>
      <c r="X125" s="334" t="str">
        <f t="shared" si="102"/>
        <v/>
      </c>
      <c r="Y125" s="347"/>
      <c r="Z125" s="304"/>
      <c r="AA125" s="304"/>
      <c r="AB125" s="304"/>
      <c r="AC125" s="304"/>
      <c r="AD125" s="304"/>
      <c r="AE125" s="304"/>
      <c r="AF125" s="304"/>
      <c r="AG125" s="304"/>
      <c r="AH125" s="304"/>
    </row>
    <row r="126">
      <c r="A126" s="286"/>
      <c r="B126" s="340"/>
      <c r="C126" s="344"/>
      <c r="D126" s="344"/>
      <c r="E126" s="344"/>
      <c r="F126" s="344"/>
      <c r="G126" s="344"/>
      <c r="H126" s="344"/>
      <c r="I126" s="344"/>
      <c r="J126" s="344"/>
      <c r="K126" s="330"/>
      <c r="L126" s="330"/>
      <c r="M126" s="331">
        <f t="shared" si="76"/>
        <v>2027</v>
      </c>
      <c r="N126" s="344"/>
      <c r="O126" s="375"/>
      <c r="P126" s="375"/>
      <c r="Q126" s="375"/>
      <c r="R126" s="323" t="str">
        <f t="shared" si="77"/>
        <v/>
      </c>
      <c r="S126" s="323" t="str">
        <f t="shared" ref="S126:T126" si="134">if(and(P126 &lt;&gt; "", O126 &lt;&gt; ""), P126/O126, "")</f>
        <v/>
      </c>
      <c r="T126" s="324" t="str">
        <f t="shared" si="134"/>
        <v/>
      </c>
      <c r="U126" s="368"/>
      <c r="V126" s="368"/>
      <c r="W126" s="368"/>
      <c r="X126" s="334" t="str">
        <f t="shared" si="102"/>
        <v/>
      </c>
      <c r="Y126" s="347"/>
      <c r="Z126" s="304"/>
      <c r="AA126" s="304"/>
      <c r="AB126" s="304"/>
      <c r="AC126" s="304"/>
      <c r="AD126" s="304"/>
      <c r="AE126" s="304"/>
      <c r="AF126" s="304"/>
      <c r="AG126" s="304"/>
      <c r="AH126" s="304"/>
    </row>
    <row r="127">
      <c r="A127" s="286"/>
      <c r="B127" s="340"/>
      <c r="C127" s="344"/>
      <c r="D127" s="344"/>
      <c r="E127" s="344"/>
      <c r="F127" s="344"/>
      <c r="G127" s="344"/>
      <c r="H127" s="344"/>
      <c r="I127" s="344"/>
      <c r="J127" s="344"/>
      <c r="K127" s="330"/>
      <c r="L127" s="330"/>
      <c r="M127" s="331">
        <f t="shared" si="76"/>
        <v>2027</v>
      </c>
      <c r="N127" s="344"/>
      <c r="O127" s="375"/>
      <c r="P127" s="375"/>
      <c r="Q127" s="375"/>
      <c r="R127" s="323" t="str">
        <f t="shared" si="77"/>
        <v/>
      </c>
      <c r="S127" s="323" t="str">
        <f t="shared" ref="S127:T127" si="135">if(and(P127 &lt;&gt; "", O127 &lt;&gt; ""), P127/O127, "")</f>
        <v/>
      </c>
      <c r="T127" s="324" t="str">
        <f t="shared" si="135"/>
        <v/>
      </c>
      <c r="U127" s="368"/>
      <c r="V127" s="368"/>
      <c r="W127" s="368"/>
      <c r="X127" s="334" t="str">
        <f t="shared" si="102"/>
        <v/>
      </c>
      <c r="Y127" s="347"/>
      <c r="Z127" s="304"/>
      <c r="AA127" s="304"/>
      <c r="AB127" s="304"/>
      <c r="AC127" s="304"/>
      <c r="AD127" s="304"/>
      <c r="AE127" s="304"/>
      <c r="AF127" s="304"/>
      <c r="AG127" s="304"/>
      <c r="AH127" s="304"/>
    </row>
    <row r="128">
      <c r="A128" s="286"/>
      <c r="B128" s="340"/>
      <c r="C128" s="344"/>
      <c r="D128" s="344"/>
      <c r="E128" s="344"/>
      <c r="F128" s="344"/>
      <c r="G128" s="344"/>
      <c r="H128" s="344"/>
      <c r="I128" s="344"/>
      <c r="J128" s="344"/>
      <c r="K128" s="330"/>
      <c r="L128" s="330"/>
      <c r="M128" s="331">
        <f t="shared" si="76"/>
        <v>2027</v>
      </c>
      <c r="N128" s="344"/>
      <c r="O128" s="375"/>
      <c r="P128" s="375"/>
      <c r="Q128" s="375"/>
      <c r="R128" s="323" t="str">
        <f t="shared" si="77"/>
        <v/>
      </c>
      <c r="S128" s="323" t="str">
        <f t="shared" ref="S128:T128" si="136">if(and(P128 &lt;&gt; "", O128 &lt;&gt; ""), P128/O128, "")</f>
        <v/>
      </c>
      <c r="T128" s="324" t="str">
        <f t="shared" si="136"/>
        <v/>
      </c>
      <c r="U128" s="368"/>
      <c r="V128" s="368"/>
      <c r="W128" s="368"/>
      <c r="X128" s="334" t="str">
        <f t="shared" si="102"/>
        <v/>
      </c>
      <c r="Y128" s="347"/>
      <c r="Z128" s="304"/>
      <c r="AA128" s="304"/>
      <c r="AB128" s="304"/>
      <c r="AC128" s="304"/>
      <c r="AD128" s="304"/>
      <c r="AE128" s="304"/>
      <c r="AF128" s="304"/>
      <c r="AG128" s="304"/>
      <c r="AH128" s="304"/>
    </row>
    <row r="129">
      <c r="A129" s="286"/>
      <c r="B129" s="340"/>
      <c r="C129" s="344"/>
      <c r="D129" s="344"/>
      <c r="E129" s="344"/>
      <c r="F129" s="344"/>
      <c r="G129" s="344"/>
      <c r="H129" s="344"/>
      <c r="I129" s="344"/>
      <c r="J129" s="344"/>
      <c r="K129" s="330"/>
      <c r="L129" s="330"/>
      <c r="M129" s="331">
        <f t="shared" si="76"/>
        <v>2027</v>
      </c>
      <c r="N129" s="344"/>
      <c r="O129" s="375"/>
      <c r="P129" s="375"/>
      <c r="Q129" s="375"/>
      <c r="R129" s="323" t="str">
        <f t="shared" si="77"/>
        <v/>
      </c>
      <c r="S129" s="323" t="str">
        <f t="shared" ref="S129:T129" si="137">if(and(P129 &lt;&gt; "", O129 &lt;&gt; ""), P129/O129, "")</f>
        <v/>
      </c>
      <c r="T129" s="324" t="str">
        <f t="shared" si="137"/>
        <v/>
      </c>
      <c r="U129" s="368"/>
      <c r="V129" s="368"/>
      <c r="W129" s="368"/>
      <c r="X129" s="334" t="str">
        <f t="shared" si="102"/>
        <v/>
      </c>
      <c r="Y129" s="347"/>
      <c r="Z129" s="304"/>
      <c r="AA129" s="304"/>
      <c r="AB129" s="304"/>
      <c r="AC129" s="304"/>
      <c r="AD129" s="304"/>
      <c r="AE129" s="304"/>
      <c r="AF129" s="304"/>
      <c r="AG129" s="304"/>
      <c r="AH129" s="304"/>
    </row>
    <row r="130">
      <c r="A130" s="286"/>
      <c r="B130" s="340"/>
      <c r="C130" s="344"/>
      <c r="D130" s="344"/>
      <c r="E130" s="344"/>
      <c r="F130" s="344"/>
      <c r="G130" s="344"/>
      <c r="H130" s="344"/>
      <c r="I130" s="344"/>
      <c r="J130" s="344"/>
      <c r="K130" s="330"/>
      <c r="L130" s="330"/>
      <c r="M130" s="331">
        <f t="shared" si="76"/>
        <v>2027</v>
      </c>
      <c r="N130" s="344"/>
      <c r="O130" s="375"/>
      <c r="P130" s="375"/>
      <c r="Q130" s="375"/>
      <c r="R130" s="323" t="str">
        <f t="shared" si="77"/>
        <v/>
      </c>
      <c r="S130" s="323" t="str">
        <f t="shared" ref="S130:T130" si="138">if(and(P130 &lt;&gt; "", O130 &lt;&gt; ""), P130/O130, "")</f>
        <v/>
      </c>
      <c r="T130" s="324" t="str">
        <f t="shared" si="138"/>
        <v/>
      </c>
      <c r="U130" s="368"/>
      <c r="V130" s="368"/>
      <c r="W130" s="368"/>
      <c r="X130" s="334" t="str">
        <f t="shared" si="102"/>
        <v/>
      </c>
      <c r="Y130" s="347"/>
      <c r="Z130" s="304"/>
      <c r="AA130" s="304"/>
      <c r="AB130" s="304"/>
      <c r="AC130" s="304"/>
      <c r="AD130" s="304"/>
      <c r="AE130" s="304"/>
      <c r="AF130" s="304"/>
      <c r="AG130" s="304"/>
      <c r="AH130" s="304"/>
    </row>
    <row r="131">
      <c r="A131" s="286"/>
      <c r="B131" s="340"/>
      <c r="C131" s="344"/>
      <c r="D131" s="344"/>
      <c r="E131" s="344"/>
      <c r="F131" s="344"/>
      <c r="G131" s="344"/>
      <c r="H131" s="344"/>
      <c r="I131" s="344"/>
      <c r="J131" s="344"/>
      <c r="K131" s="330"/>
      <c r="L131" s="330"/>
      <c r="M131" s="331">
        <f t="shared" si="76"/>
        <v>2027</v>
      </c>
      <c r="N131" s="344"/>
      <c r="O131" s="375"/>
      <c r="P131" s="375"/>
      <c r="Q131" s="375"/>
      <c r="R131" s="323" t="str">
        <f t="shared" si="77"/>
        <v/>
      </c>
      <c r="S131" s="323" t="str">
        <f t="shared" ref="S131:T131" si="139">if(and(P131 &lt;&gt; "", O131 &lt;&gt; ""), P131/O131, "")</f>
        <v/>
      </c>
      <c r="T131" s="324" t="str">
        <f t="shared" si="139"/>
        <v/>
      </c>
      <c r="U131" s="368"/>
      <c r="V131" s="368"/>
      <c r="W131" s="368"/>
      <c r="X131" s="334" t="str">
        <f t="shared" si="102"/>
        <v/>
      </c>
      <c r="Y131" s="347"/>
      <c r="Z131" s="304"/>
      <c r="AA131" s="304"/>
      <c r="AB131" s="304"/>
      <c r="AC131" s="304"/>
      <c r="AD131" s="304"/>
      <c r="AE131" s="304"/>
      <c r="AF131" s="304"/>
      <c r="AG131" s="304"/>
      <c r="AH131" s="304"/>
    </row>
    <row r="132">
      <c r="A132" s="286"/>
      <c r="B132" s="340"/>
      <c r="C132" s="344"/>
      <c r="D132" s="344"/>
      <c r="E132" s="344"/>
      <c r="F132" s="344"/>
      <c r="G132" s="344"/>
      <c r="H132" s="344"/>
      <c r="I132" s="344"/>
      <c r="J132" s="344"/>
      <c r="K132" s="330"/>
      <c r="L132" s="330"/>
      <c r="M132" s="331">
        <f t="shared" si="76"/>
        <v>2027</v>
      </c>
      <c r="N132" s="344"/>
      <c r="O132" s="375"/>
      <c r="P132" s="375"/>
      <c r="Q132" s="375"/>
      <c r="R132" s="323" t="str">
        <f t="shared" si="77"/>
        <v/>
      </c>
      <c r="S132" s="323" t="str">
        <f t="shared" ref="S132:T132" si="140">if(and(P132 &lt;&gt; "", O132 &lt;&gt; ""), P132/O132, "")</f>
        <v/>
      </c>
      <c r="T132" s="324" t="str">
        <f t="shared" si="140"/>
        <v/>
      </c>
      <c r="U132" s="368"/>
      <c r="V132" s="368"/>
      <c r="W132" s="368"/>
      <c r="X132" s="334" t="str">
        <f t="shared" si="102"/>
        <v/>
      </c>
      <c r="Y132" s="347"/>
      <c r="Z132" s="304"/>
      <c r="AA132" s="304"/>
      <c r="AB132" s="304"/>
      <c r="AC132" s="304"/>
      <c r="AD132" s="304"/>
      <c r="AE132" s="304"/>
      <c r="AF132" s="304"/>
      <c r="AG132" s="304"/>
      <c r="AH132" s="304"/>
    </row>
    <row r="133">
      <c r="A133" s="286"/>
      <c r="B133" s="340"/>
      <c r="C133" s="344"/>
      <c r="D133" s="344"/>
      <c r="E133" s="344"/>
      <c r="F133" s="344"/>
      <c r="G133" s="344"/>
      <c r="H133" s="344"/>
      <c r="I133" s="344"/>
      <c r="J133" s="344"/>
      <c r="K133" s="330"/>
      <c r="L133" s="330"/>
      <c r="M133" s="331">
        <f t="shared" si="76"/>
        <v>2027</v>
      </c>
      <c r="N133" s="344"/>
      <c r="O133" s="375"/>
      <c r="P133" s="375"/>
      <c r="Q133" s="375"/>
      <c r="R133" s="323" t="str">
        <f t="shared" si="77"/>
        <v/>
      </c>
      <c r="S133" s="323" t="str">
        <f t="shared" ref="S133:T133" si="141">if(and(P133 &lt;&gt; "", O133 &lt;&gt; ""), P133/O133, "")</f>
        <v/>
      </c>
      <c r="T133" s="324" t="str">
        <f t="shared" si="141"/>
        <v/>
      </c>
      <c r="U133" s="368"/>
      <c r="V133" s="368"/>
      <c r="W133" s="368"/>
      <c r="X133" s="334" t="str">
        <f t="shared" si="102"/>
        <v/>
      </c>
      <c r="Y133" s="347"/>
      <c r="Z133" s="304"/>
      <c r="AA133" s="304"/>
      <c r="AB133" s="304"/>
      <c r="AC133" s="304"/>
      <c r="AD133" s="304"/>
      <c r="AE133" s="304"/>
      <c r="AF133" s="304"/>
      <c r="AG133" s="304"/>
      <c r="AH133" s="304"/>
    </row>
    <row r="134">
      <c r="A134" s="286"/>
      <c r="B134" s="340"/>
      <c r="C134" s="344"/>
      <c r="D134" s="344"/>
      <c r="E134" s="344"/>
      <c r="F134" s="344"/>
      <c r="G134" s="344"/>
      <c r="H134" s="344"/>
      <c r="I134" s="344"/>
      <c r="J134" s="344"/>
      <c r="K134" s="330"/>
      <c r="L134" s="330"/>
      <c r="M134" s="331">
        <f t="shared" si="76"/>
        <v>2027</v>
      </c>
      <c r="N134" s="344"/>
      <c r="O134" s="375"/>
      <c r="P134" s="375"/>
      <c r="Q134" s="375"/>
      <c r="R134" s="323" t="str">
        <f t="shared" si="77"/>
        <v/>
      </c>
      <c r="S134" s="323" t="str">
        <f t="shared" ref="S134:T134" si="142">if(and(P134 &lt;&gt; "", O134 &lt;&gt; ""), P134/O134, "")</f>
        <v/>
      </c>
      <c r="T134" s="324" t="str">
        <f t="shared" si="142"/>
        <v/>
      </c>
      <c r="U134" s="368"/>
      <c r="V134" s="368"/>
      <c r="W134" s="368"/>
      <c r="X134" s="334" t="str">
        <f t="shared" si="102"/>
        <v/>
      </c>
      <c r="Y134" s="347"/>
      <c r="Z134" s="304"/>
      <c r="AA134" s="304"/>
      <c r="AB134" s="304"/>
      <c r="AC134" s="304"/>
      <c r="AD134" s="304"/>
      <c r="AE134" s="304"/>
      <c r="AF134" s="304"/>
      <c r="AG134" s="304"/>
      <c r="AH134" s="304"/>
    </row>
    <row r="135">
      <c r="A135" s="286"/>
      <c r="B135" s="340"/>
      <c r="C135" s="344"/>
      <c r="D135" s="344"/>
      <c r="E135" s="344"/>
      <c r="F135" s="344"/>
      <c r="G135" s="344"/>
      <c r="H135" s="344"/>
      <c r="I135" s="344"/>
      <c r="J135" s="344"/>
      <c r="K135" s="330"/>
      <c r="L135" s="330"/>
      <c r="M135" s="331">
        <f t="shared" si="76"/>
        <v>2027</v>
      </c>
      <c r="N135" s="344"/>
      <c r="O135" s="375"/>
      <c r="P135" s="375"/>
      <c r="Q135" s="375"/>
      <c r="R135" s="323" t="str">
        <f t="shared" si="77"/>
        <v/>
      </c>
      <c r="S135" s="323" t="str">
        <f t="shared" ref="S135:T135" si="143">if(and(P135 &lt;&gt; "", O135 &lt;&gt; ""), P135/O135, "")</f>
        <v/>
      </c>
      <c r="T135" s="324" t="str">
        <f t="shared" si="143"/>
        <v/>
      </c>
      <c r="U135" s="368"/>
      <c r="V135" s="368"/>
      <c r="W135" s="368"/>
      <c r="X135" s="334" t="str">
        <f t="shared" si="102"/>
        <v/>
      </c>
      <c r="Y135" s="347"/>
      <c r="Z135" s="304"/>
      <c r="AA135" s="304"/>
      <c r="AB135" s="304"/>
      <c r="AC135" s="304"/>
      <c r="AD135" s="304"/>
      <c r="AE135" s="304"/>
      <c r="AF135" s="304"/>
      <c r="AG135" s="304"/>
      <c r="AH135" s="304"/>
    </row>
    <row r="136">
      <c r="A136" s="286"/>
      <c r="B136" s="340"/>
      <c r="C136" s="344"/>
      <c r="D136" s="344"/>
      <c r="E136" s="344"/>
      <c r="F136" s="344"/>
      <c r="G136" s="344"/>
      <c r="H136" s="344"/>
      <c r="I136" s="344"/>
      <c r="J136" s="344"/>
      <c r="K136" s="330"/>
      <c r="L136" s="330"/>
      <c r="M136" s="331">
        <f t="shared" si="76"/>
        <v>2027</v>
      </c>
      <c r="N136" s="344"/>
      <c r="O136" s="375"/>
      <c r="P136" s="375"/>
      <c r="Q136" s="375"/>
      <c r="R136" s="323" t="str">
        <f t="shared" si="77"/>
        <v/>
      </c>
      <c r="S136" s="323" t="str">
        <f t="shared" ref="S136:T136" si="144">if(and(P136 &lt;&gt; "", O136 &lt;&gt; ""), P136/O136, "")</f>
        <v/>
      </c>
      <c r="T136" s="324" t="str">
        <f t="shared" si="144"/>
        <v/>
      </c>
      <c r="U136" s="368"/>
      <c r="V136" s="368"/>
      <c r="W136" s="368"/>
      <c r="X136" s="334" t="str">
        <f t="shared" si="102"/>
        <v/>
      </c>
      <c r="Y136" s="347"/>
      <c r="Z136" s="304"/>
      <c r="AA136" s="304"/>
      <c r="AB136" s="304"/>
      <c r="AC136" s="304"/>
      <c r="AD136" s="304"/>
      <c r="AE136" s="304"/>
      <c r="AF136" s="304"/>
      <c r="AG136" s="304"/>
      <c r="AH136" s="304"/>
    </row>
    <row r="137">
      <c r="A137" s="286"/>
      <c r="B137" s="340"/>
      <c r="C137" s="344"/>
      <c r="D137" s="344"/>
      <c r="E137" s="344"/>
      <c r="F137" s="344"/>
      <c r="G137" s="344"/>
      <c r="H137" s="344"/>
      <c r="I137" s="344"/>
      <c r="J137" s="344"/>
      <c r="K137" s="330"/>
      <c r="L137" s="330"/>
      <c r="M137" s="331">
        <f t="shared" si="76"/>
        <v>2027</v>
      </c>
      <c r="N137" s="344"/>
      <c r="O137" s="375"/>
      <c r="P137" s="375"/>
      <c r="Q137" s="375"/>
      <c r="R137" s="323" t="str">
        <f t="shared" si="77"/>
        <v/>
      </c>
      <c r="S137" s="323" t="str">
        <f t="shared" ref="S137:T137" si="145">if(and(P137 &lt;&gt; "", O137 &lt;&gt; ""), P137/O137, "")</f>
        <v/>
      </c>
      <c r="T137" s="324" t="str">
        <f t="shared" si="145"/>
        <v/>
      </c>
      <c r="U137" s="368"/>
      <c r="V137" s="368"/>
      <c r="W137" s="368"/>
      <c r="X137" s="334" t="str">
        <f t="shared" si="102"/>
        <v/>
      </c>
      <c r="Y137" s="347"/>
      <c r="Z137" s="304"/>
      <c r="AA137" s="304"/>
      <c r="AB137" s="304"/>
      <c r="AC137" s="304"/>
      <c r="AD137" s="304"/>
      <c r="AE137" s="304"/>
      <c r="AF137" s="304"/>
      <c r="AG137" s="304"/>
      <c r="AH137" s="304"/>
    </row>
    <row r="138">
      <c r="A138" s="286"/>
      <c r="B138" s="340"/>
      <c r="C138" s="344"/>
      <c r="D138" s="344"/>
      <c r="E138" s="344"/>
      <c r="F138" s="344"/>
      <c r="G138" s="344"/>
      <c r="H138" s="344"/>
      <c r="I138" s="344"/>
      <c r="J138" s="344"/>
      <c r="K138" s="330"/>
      <c r="L138" s="330"/>
      <c r="M138" s="331">
        <f t="shared" si="76"/>
        <v>2027</v>
      </c>
      <c r="N138" s="344"/>
      <c r="O138" s="375"/>
      <c r="P138" s="375"/>
      <c r="Q138" s="375"/>
      <c r="R138" s="323" t="str">
        <f t="shared" si="77"/>
        <v/>
      </c>
      <c r="S138" s="323" t="str">
        <f t="shared" ref="S138:T138" si="146">if(and(P138 &lt;&gt; "", O138 &lt;&gt; ""), P138/O138, "")</f>
        <v/>
      </c>
      <c r="T138" s="324" t="str">
        <f t="shared" si="146"/>
        <v/>
      </c>
      <c r="U138" s="368"/>
      <c r="V138" s="368"/>
      <c r="W138" s="368"/>
      <c r="X138" s="334" t="str">
        <f t="shared" si="102"/>
        <v/>
      </c>
      <c r="Y138" s="347"/>
      <c r="Z138" s="304"/>
      <c r="AA138" s="304"/>
      <c r="AB138" s="304"/>
      <c r="AC138" s="304"/>
      <c r="AD138" s="304"/>
      <c r="AE138" s="304"/>
      <c r="AF138" s="304"/>
      <c r="AG138" s="304"/>
      <c r="AH138" s="304"/>
    </row>
    <row r="139">
      <c r="A139" s="286"/>
      <c r="B139" s="340"/>
      <c r="C139" s="344"/>
      <c r="D139" s="344"/>
      <c r="E139" s="344"/>
      <c r="F139" s="400"/>
      <c r="G139" s="344"/>
      <c r="H139" s="344"/>
      <c r="I139" s="344"/>
      <c r="J139" s="344"/>
      <c r="K139" s="330"/>
      <c r="L139" s="330"/>
      <c r="M139" s="331">
        <f t="shared" si="76"/>
        <v>2027</v>
      </c>
      <c r="N139" s="344"/>
      <c r="O139" s="375"/>
      <c r="P139" s="375"/>
      <c r="Q139" s="375"/>
      <c r="R139" s="323" t="str">
        <f t="shared" si="77"/>
        <v/>
      </c>
      <c r="S139" s="323" t="str">
        <f t="shared" ref="S139:T139" si="147">if(and(P139 &lt;&gt; "", O139 &lt;&gt; ""), P139/O139, "")</f>
        <v/>
      </c>
      <c r="T139" s="324" t="str">
        <f t="shared" si="147"/>
        <v/>
      </c>
      <c r="U139" s="368"/>
      <c r="V139" s="368"/>
      <c r="W139" s="368"/>
      <c r="X139" s="334" t="str">
        <f t="shared" si="102"/>
        <v/>
      </c>
      <c r="Y139" s="347"/>
      <c r="Z139" s="304"/>
      <c r="AA139" s="304"/>
      <c r="AB139" s="304"/>
      <c r="AC139" s="304"/>
      <c r="AD139" s="304"/>
      <c r="AE139" s="304"/>
      <c r="AF139" s="304"/>
      <c r="AG139" s="304"/>
      <c r="AH139" s="304"/>
    </row>
    <row r="140">
      <c r="A140" s="286"/>
      <c r="B140" s="340"/>
      <c r="C140" s="344"/>
      <c r="D140" s="344"/>
      <c r="E140" s="344"/>
      <c r="F140" s="400"/>
      <c r="G140" s="344"/>
      <c r="H140" s="344"/>
      <c r="I140" s="344"/>
      <c r="J140" s="344"/>
      <c r="K140" s="330"/>
      <c r="L140" s="330"/>
      <c r="M140" s="331">
        <f t="shared" si="76"/>
        <v>2027</v>
      </c>
      <c r="N140" s="344"/>
      <c r="O140" s="375"/>
      <c r="P140" s="375"/>
      <c r="Q140" s="375"/>
      <c r="R140" s="323" t="str">
        <f t="shared" si="77"/>
        <v/>
      </c>
      <c r="S140" s="323" t="str">
        <f t="shared" ref="S140:T140" si="148">if(and(P140 &lt;&gt; "", O140 &lt;&gt; ""), P140/O140, "")</f>
        <v/>
      </c>
      <c r="T140" s="324" t="str">
        <f t="shared" si="148"/>
        <v/>
      </c>
      <c r="U140" s="368"/>
      <c r="V140" s="368"/>
      <c r="W140" s="368"/>
      <c r="X140" s="334" t="str">
        <f t="shared" si="102"/>
        <v/>
      </c>
      <c r="Y140" s="347"/>
      <c r="Z140" s="304"/>
      <c r="AA140" s="304"/>
      <c r="AB140" s="304"/>
      <c r="AC140" s="304"/>
      <c r="AD140" s="304"/>
      <c r="AE140" s="304"/>
      <c r="AF140" s="304"/>
      <c r="AG140" s="304"/>
      <c r="AH140" s="304"/>
    </row>
    <row r="141">
      <c r="A141" s="286"/>
      <c r="B141" s="340"/>
      <c r="C141" s="344"/>
      <c r="D141" s="344"/>
      <c r="E141" s="344"/>
      <c r="F141" s="344"/>
      <c r="G141" s="344"/>
      <c r="H141" s="344"/>
      <c r="I141" s="344"/>
      <c r="J141" s="344"/>
      <c r="K141" s="330"/>
      <c r="L141" s="330"/>
      <c r="M141" s="331">
        <f t="shared" si="76"/>
        <v>2027</v>
      </c>
      <c r="N141" s="344"/>
      <c r="O141" s="375"/>
      <c r="P141" s="375"/>
      <c r="Q141" s="375"/>
      <c r="R141" s="323" t="str">
        <f t="shared" si="77"/>
        <v/>
      </c>
      <c r="S141" s="323" t="str">
        <f t="shared" ref="S141:T141" si="149">if(and(P141 &lt;&gt; "", O141 &lt;&gt; ""), P141/O141, "")</f>
        <v/>
      </c>
      <c r="T141" s="324" t="str">
        <f t="shared" si="149"/>
        <v/>
      </c>
      <c r="U141" s="368"/>
      <c r="V141" s="368"/>
      <c r="W141" s="368"/>
      <c r="X141" s="334" t="str">
        <f t="shared" si="102"/>
        <v/>
      </c>
      <c r="Y141" s="347"/>
      <c r="Z141" s="304"/>
      <c r="AA141" s="304"/>
      <c r="AB141" s="304"/>
      <c r="AC141" s="304"/>
      <c r="AD141" s="304"/>
      <c r="AE141" s="304"/>
      <c r="AF141" s="304"/>
      <c r="AG141" s="304"/>
      <c r="AH141" s="304"/>
    </row>
    <row r="142">
      <c r="A142" s="286"/>
      <c r="B142" s="340"/>
      <c r="C142" s="344"/>
      <c r="D142" s="344"/>
      <c r="E142" s="344"/>
      <c r="F142" s="344"/>
      <c r="G142" s="344"/>
      <c r="H142" s="344"/>
      <c r="I142" s="344"/>
      <c r="J142" s="344"/>
      <c r="K142" s="330"/>
      <c r="L142" s="330"/>
      <c r="M142" s="331">
        <f t="shared" si="76"/>
        <v>2027</v>
      </c>
      <c r="N142" s="344"/>
      <c r="O142" s="375"/>
      <c r="P142" s="375"/>
      <c r="Q142" s="375"/>
      <c r="R142" s="323" t="str">
        <f t="shared" si="77"/>
        <v/>
      </c>
      <c r="S142" s="323" t="str">
        <f t="shared" ref="S142:T142" si="150">if(and(P142 &lt;&gt; "", O142 &lt;&gt; ""), P142/O142, "")</f>
        <v/>
      </c>
      <c r="T142" s="324" t="str">
        <f t="shared" si="150"/>
        <v/>
      </c>
      <c r="U142" s="368"/>
      <c r="V142" s="368"/>
      <c r="W142" s="368"/>
      <c r="X142" s="334" t="str">
        <f t="shared" si="102"/>
        <v/>
      </c>
      <c r="Y142" s="347"/>
      <c r="Z142" s="304"/>
      <c r="AA142" s="304"/>
      <c r="AB142" s="304"/>
      <c r="AC142" s="304"/>
      <c r="AD142" s="304"/>
      <c r="AE142" s="304"/>
      <c r="AF142" s="304"/>
      <c r="AG142" s="304"/>
      <c r="AH142" s="304"/>
    </row>
    <row r="143">
      <c r="A143" s="286"/>
      <c r="B143" s="340"/>
      <c r="C143" s="344"/>
      <c r="D143" s="344"/>
      <c r="E143" s="344"/>
      <c r="F143" s="344"/>
      <c r="G143" s="344"/>
      <c r="H143" s="344"/>
      <c r="I143" s="344"/>
      <c r="J143" s="344"/>
      <c r="K143" s="330"/>
      <c r="L143" s="330"/>
      <c r="M143" s="331">
        <f t="shared" si="76"/>
        <v>2027</v>
      </c>
      <c r="N143" s="344"/>
      <c r="O143" s="375"/>
      <c r="P143" s="375"/>
      <c r="Q143" s="375"/>
      <c r="R143" s="323" t="str">
        <f t="shared" si="77"/>
        <v/>
      </c>
      <c r="S143" s="323" t="str">
        <f t="shared" ref="S143:T143" si="151">if(and(P143 &lt;&gt; "", O143 &lt;&gt; ""), P143/O143, "")</f>
        <v/>
      </c>
      <c r="T143" s="324" t="str">
        <f t="shared" si="151"/>
        <v/>
      </c>
      <c r="U143" s="368"/>
      <c r="V143" s="368"/>
      <c r="W143" s="368"/>
      <c r="X143" s="334" t="str">
        <f t="shared" si="102"/>
        <v/>
      </c>
      <c r="Y143" s="347"/>
      <c r="Z143" s="304"/>
      <c r="AA143" s="304"/>
      <c r="AB143" s="304"/>
      <c r="AC143" s="304"/>
      <c r="AD143" s="304"/>
      <c r="AE143" s="304"/>
      <c r="AF143" s="304"/>
      <c r="AG143" s="304"/>
      <c r="AH143" s="304"/>
    </row>
    <row r="144">
      <c r="A144" s="286"/>
      <c r="B144" s="340"/>
      <c r="C144" s="344"/>
      <c r="D144" s="344"/>
      <c r="E144" s="344"/>
      <c r="F144" s="344"/>
      <c r="G144" s="344"/>
      <c r="H144" s="344"/>
      <c r="I144" s="344"/>
      <c r="J144" s="344"/>
      <c r="K144" s="330"/>
      <c r="L144" s="330"/>
      <c r="M144" s="331">
        <f t="shared" si="76"/>
        <v>2027</v>
      </c>
      <c r="N144" s="344"/>
      <c r="O144" s="375"/>
      <c r="P144" s="375"/>
      <c r="Q144" s="375"/>
      <c r="R144" s="323" t="str">
        <f t="shared" si="77"/>
        <v/>
      </c>
      <c r="S144" s="323" t="str">
        <f t="shared" ref="S144:T144" si="152">if(and(P144 &lt;&gt; "", O144 &lt;&gt; ""), P144/O144, "")</f>
        <v/>
      </c>
      <c r="T144" s="324" t="str">
        <f t="shared" si="152"/>
        <v/>
      </c>
      <c r="U144" s="368"/>
      <c r="V144" s="368"/>
      <c r="W144" s="368"/>
      <c r="X144" s="334" t="str">
        <f t="shared" si="102"/>
        <v/>
      </c>
      <c r="Y144" s="347"/>
      <c r="Z144" s="304"/>
      <c r="AA144" s="304"/>
      <c r="AB144" s="304"/>
      <c r="AC144" s="304"/>
      <c r="AD144" s="304"/>
      <c r="AE144" s="304"/>
      <c r="AF144" s="304"/>
      <c r="AG144" s="304"/>
      <c r="AH144" s="304"/>
    </row>
    <row r="145">
      <c r="A145" s="286"/>
      <c r="B145" s="355"/>
      <c r="C145" s="344"/>
      <c r="D145" s="344"/>
      <c r="E145" s="344"/>
      <c r="F145" s="400"/>
      <c r="G145" s="400"/>
      <c r="H145" s="344"/>
      <c r="I145" s="344"/>
      <c r="J145" s="344"/>
      <c r="K145" s="330"/>
      <c r="L145" s="330"/>
      <c r="M145" s="331">
        <f t="shared" si="76"/>
        <v>2027</v>
      </c>
      <c r="N145" s="344"/>
      <c r="O145" s="375"/>
      <c r="P145" s="375"/>
      <c r="Q145" s="375"/>
      <c r="R145" s="323" t="str">
        <f t="shared" si="77"/>
        <v/>
      </c>
      <c r="S145" s="323" t="str">
        <f t="shared" ref="S145:T145" si="153">if(and(P145 &lt;&gt; "", O145 &lt;&gt; ""), P145/O145, "")</f>
        <v/>
      </c>
      <c r="T145" s="324" t="str">
        <f t="shared" si="153"/>
        <v/>
      </c>
      <c r="U145" s="368"/>
      <c r="V145" s="368"/>
      <c r="W145" s="368"/>
      <c r="X145" s="334" t="str">
        <f t="shared" si="102"/>
        <v/>
      </c>
      <c r="Y145" s="347"/>
      <c r="Z145" s="304"/>
      <c r="AA145" s="304"/>
      <c r="AB145" s="304"/>
      <c r="AC145" s="304"/>
      <c r="AD145" s="304"/>
      <c r="AE145" s="304"/>
      <c r="AF145" s="304"/>
      <c r="AG145" s="304"/>
      <c r="AH145" s="304"/>
    </row>
    <row r="146">
      <c r="A146" s="286"/>
      <c r="B146" s="355"/>
      <c r="C146" s="344"/>
      <c r="D146" s="344"/>
      <c r="E146" s="344"/>
      <c r="F146" s="344"/>
      <c r="G146" s="344"/>
      <c r="H146" s="344"/>
      <c r="I146" s="344"/>
      <c r="J146" s="344"/>
      <c r="K146" s="330"/>
      <c r="L146" s="330"/>
      <c r="M146" s="331">
        <f t="shared" si="76"/>
        <v>2027</v>
      </c>
      <c r="N146" s="344"/>
      <c r="O146" s="375"/>
      <c r="P146" s="375"/>
      <c r="Q146" s="375"/>
      <c r="R146" s="323" t="str">
        <f t="shared" si="77"/>
        <v/>
      </c>
      <c r="S146" s="323" t="str">
        <f t="shared" ref="S146:T146" si="154">if(and(P146 &lt;&gt; "", O146 &lt;&gt; ""), P146/O146, "")</f>
        <v/>
      </c>
      <c r="T146" s="324" t="str">
        <f t="shared" si="154"/>
        <v/>
      </c>
      <c r="U146" s="368"/>
      <c r="V146" s="368"/>
      <c r="W146" s="368"/>
      <c r="X146" s="334" t="str">
        <f t="shared" si="102"/>
        <v/>
      </c>
      <c r="Y146" s="347"/>
      <c r="Z146" s="304"/>
      <c r="AA146" s="304"/>
      <c r="AB146" s="304"/>
      <c r="AC146" s="304"/>
      <c r="AD146" s="304"/>
      <c r="AE146" s="304"/>
      <c r="AF146" s="304"/>
      <c r="AG146" s="304"/>
      <c r="AH146" s="304"/>
    </row>
    <row r="147">
      <c r="A147" s="286"/>
      <c r="B147" s="355"/>
      <c r="C147" s="344"/>
      <c r="D147" s="344"/>
      <c r="E147" s="344"/>
      <c r="F147" s="344"/>
      <c r="G147" s="344"/>
      <c r="H147" s="344"/>
      <c r="I147" s="344"/>
      <c r="J147" s="344"/>
      <c r="K147" s="330"/>
      <c r="L147" s="330"/>
      <c r="M147" s="331">
        <f t="shared" si="76"/>
        <v>2027</v>
      </c>
      <c r="N147" s="344"/>
      <c r="O147" s="375"/>
      <c r="P147" s="375"/>
      <c r="Q147" s="375"/>
      <c r="R147" s="323" t="str">
        <f t="shared" si="77"/>
        <v/>
      </c>
      <c r="S147" s="323" t="str">
        <f t="shared" ref="S147:T147" si="155">if(and(P147 &lt;&gt; "", O147 &lt;&gt; ""), P147/O147, "")</f>
        <v/>
      </c>
      <c r="T147" s="324" t="str">
        <f t="shared" si="155"/>
        <v/>
      </c>
      <c r="U147" s="368"/>
      <c r="V147" s="368"/>
      <c r="W147" s="368"/>
      <c r="X147" s="334" t="str">
        <f t="shared" si="102"/>
        <v/>
      </c>
      <c r="Y147" s="347"/>
      <c r="Z147" s="304"/>
      <c r="AA147" s="304"/>
      <c r="AB147" s="304"/>
      <c r="AC147" s="304"/>
      <c r="AD147" s="304"/>
      <c r="AE147" s="304"/>
      <c r="AF147" s="304"/>
      <c r="AG147" s="304"/>
      <c r="AH147" s="304"/>
    </row>
    <row r="148">
      <c r="A148" s="286"/>
      <c r="B148" s="355"/>
      <c r="C148" s="344"/>
      <c r="D148" s="344"/>
      <c r="E148" s="344"/>
      <c r="F148" s="344"/>
      <c r="G148" s="344"/>
      <c r="H148" s="344"/>
      <c r="I148" s="344"/>
      <c r="J148" s="344"/>
      <c r="K148" s="330"/>
      <c r="L148" s="330"/>
      <c r="M148" s="331">
        <f t="shared" si="76"/>
        <v>2027</v>
      </c>
      <c r="N148" s="344"/>
      <c r="O148" s="375"/>
      <c r="P148" s="375"/>
      <c r="Q148" s="375"/>
      <c r="R148" s="323" t="str">
        <f t="shared" si="77"/>
        <v/>
      </c>
      <c r="S148" s="323" t="str">
        <f t="shared" ref="S148:T148" si="156">if(and(P148 &lt;&gt; "", O148 &lt;&gt; ""), P148/O148, "")</f>
        <v/>
      </c>
      <c r="T148" s="324" t="str">
        <f t="shared" si="156"/>
        <v/>
      </c>
      <c r="U148" s="368"/>
      <c r="V148" s="368"/>
      <c r="W148" s="368"/>
      <c r="X148" s="334" t="str">
        <f t="shared" si="102"/>
        <v/>
      </c>
      <c r="Y148" s="347"/>
      <c r="Z148" s="304"/>
      <c r="AA148" s="304"/>
      <c r="AB148" s="304"/>
      <c r="AC148" s="304"/>
      <c r="AD148" s="304"/>
      <c r="AE148" s="304"/>
      <c r="AF148" s="304"/>
      <c r="AG148" s="304"/>
      <c r="AH148" s="304"/>
    </row>
    <row r="149">
      <c r="A149" s="286"/>
      <c r="B149" s="355"/>
      <c r="C149" s="344"/>
      <c r="D149" s="344"/>
      <c r="E149" s="344"/>
      <c r="F149" s="344"/>
      <c r="G149" s="344"/>
      <c r="H149" s="344"/>
      <c r="I149" s="344"/>
      <c r="J149" s="344"/>
      <c r="K149" s="330"/>
      <c r="L149" s="330"/>
      <c r="M149" s="331">
        <f t="shared" si="76"/>
        <v>2027</v>
      </c>
      <c r="N149" s="344"/>
      <c r="O149" s="375"/>
      <c r="P149" s="375"/>
      <c r="Q149" s="375"/>
      <c r="R149" s="323" t="str">
        <f t="shared" si="77"/>
        <v/>
      </c>
      <c r="S149" s="323" t="str">
        <f t="shared" ref="S149:T149" si="157">if(and(P149 &lt;&gt; "", O149 &lt;&gt; ""), P149/O149, "")</f>
        <v/>
      </c>
      <c r="T149" s="324" t="str">
        <f t="shared" si="157"/>
        <v/>
      </c>
      <c r="U149" s="368"/>
      <c r="V149" s="368"/>
      <c r="W149" s="368"/>
      <c r="X149" s="334" t="str">
        <f t="shared" si="102"/>
        <v/>
      </c>
      <c r="Y149" s="347"/>
      <c r="Z149" s="304"/>
      <c r="AA149" s="304"/>
      <c r="AB149" s="304"/>
      <c r="AC149" s="304"/>
      <c r="AD149" s="304"/>
      <c r="AE149" s="304"/>
      <c r="AF149" s="304"/>
      <c r="AG149" s="304"/>
      <c r="AH149" s="304"/>
    </row>
    <row r="150">
      <c r="A150" s="286"/>
      <c r="B150" s="355"/>
      <c r="C150" s="344"/>
      <c r="D150" s="344"/>
      <c r="E150" s="344"/>
      <c r="F150" s="344"/>
      <c r="G150" s="344"/>
      <c r="H150" s="344"/>
      <c r="I150" s="344"/>
      <c r="J150" s="344"/>
      <c r="K150" s="330"/>
      <c r="L150" s="330"/>
      <c r="M150" s="331">
        <f t="shared" si="76"/>
        <v>2027</v>
      </c>
      <c r="N150" s="344"/>
      <c r="O150" s="375"/>
      <c r="P150" s="375"/>
      <c r="Q150" s="375"/>
      <c r="R150" s="323" t="str">
        <f t="shared" si="77"/>
        <v/>
      </c>
      <c r="S150" s="323" t="str">
        <f t="shared" ref="S150:T150" si="158">if(and(P150 &lt;&gt; "", O150 &lt;&gt; ""), P150/O150, "")</f>
        <v/>
      </c>
      <c r="T150" s="324" t="str">
        <f t="shared" si="158"/>
        <v/>
      </c>
      <c r="U150" s="368"/>
      <c r="V150" s="368"/>
      <c r="W150" s="368"/>
      <c r="X150" s="334" t="str">
        <f t="shared" si="102"/>
        <v/>
      </c>
      <c r="Y150" s="347"/>
      <c r="Z150" s="304"/>
      <c r="AA150" s="304"/>
      <c r="AB150" s="304"/>
      <c r="AC150" s="304"/>
      <c r="AD150" s="304"/>
      <c r="AE150" s="304"/>
      <c r="AF150" s="304"/>
      <c r="AG150" s="304"/>
      <c r="AH150" s="304"/>
    </row>
    <row r="151">
      <c r="A151" s="286"/>
      <c r="B151" s="355"/>
      <c r="C151" s="344"/>
      <c r="D151" s="344"/>
      <c r="E151" s="344"/>
      <c r="F151" s="344"/>
      <c r="G151" s="344"/>
      <c r="H151" s="344"/>
      <c r="I151" s="344"/>
      <c r="J151" s="344"/>
      <c r="K151" s="330"/>
      <c r="L151" s="330"/>
      <c r="M151" s="331">
        <f t="shared" si="76"/>
        <v>2027</v>
      </c>
      <c r="N151" s="344"/>
      <c r="O151" s="375"/>
      <c r="P151" s="375"/>
      <c r="Q151" s="375"/>
      <c r="R151" s="323" t="str">
        <f t="shared" si="77"/>
        <v/>
      </c>
      <c r="S151" s="323" t="str">
        <f t="shared" ref="S151:T151" si="159">if(and(P151 &lt;&gt; "", O151 &lt;&gt; ""), P151/O151, "")</f>
        <v/>
      </c>
      <c r="T151" s="324" t="str">
        <f t="shared" si="159"/>
        <v/>
      </c>
      <c r="U151" s="368"/>
      <c r="V151" s="368"/>
      <c r="W151" s="368"/>
      <c r="X151" s="334" t="str">
        <f t="shared" si="102"/>
        <v/>
      </c>
      <c r="Y151" s="347"/>
      <c r="Z151" s="304"/>
      <c r="AA151" s="304"/>
      <c r="AB151" s="304"/>
      <c r="AC151" s="304"/>
      <c r="AD151" s="304"/>
      <c r="AE151" s="304"/>
      <c r="AF151" s="304"/>
      <c r="AG151" s="304"/>
      <c r="AH151" s="304"/>
    </row>
    <row r="152">
      <c r="A152" s="286"/>
      <c r="B152" s="355"/>
      <c r="C152" s="344"/>
      <c r="D152" s="344"/>
      <c r="E152" s="344"/>
      <c r="F152" s="344"/>
      <c r="G152" s="344"/>
      <c r="H152" s="344"/>
      <c r="I152" s="344"/>
      <c r="J152" s="344"/>
      <c r="K152" s="330"/>
      <c r="L152" s="330"/>
      <c r="M152" s="331">
        <f t="shared" si="76"/>
        <v>2027</v>
      </c>
      <c r="N152" s="344"/>
      <c r="O152" s="375"/>
      <c r="P152" s="375"/>
      <c r="Q152" s="375"/>
      <c r="R152" s="323" t="str">
        <f t="shared" si="77"/>
        <v/>
      </c>
      <c r="S152" s="323" t="str">
        <f t="shared" ref="S152:T152" si="160">if(and(P152 &lt;&gt; "", O152 &lt;&gt; ""), P152/O152, "")</f>
        <v/>
      </c>
      <c r="T152" s="324" t="str">
        <f t="shared" si="160"/>
        <v/>
      </c>
      <c r="U152" s="368"/>
      <c r="V152" s="368"/>
      <c r="W152" s="368"/>
      <c r="X152" s="334" t="str">
        <f t="shared" si="102"/>
        <v/>
      </c>
      <c r="Y152" s="347"/>
      <c r="Z152" s="304"/>
      <c r="AA152" s="304"/>
      <c r="AB152" s="304"/>
      <c r="AC152" s="304"/>
      <c r="AD152" s="304"/>
      <c r="AE152" s="304"/>
      <c r="AF152" s="304"/>
      <c r="AG152" s="304"/>
      <c r="AH152" s="304"/>
    </row>
    <row r="153">
      <c r="A153" s="286"/>
      <c r="B153" s="355"/>
      <c r="C153" s="344"/>
      <c r="D153" s="344"/>
      <c r="E153" s="344"/>
      <c r="F153" s="344"/>
      <c r="G153" s="344"/>
      <c r="H153" s="344"/>
      <c r="I153" s="344"/>
      <c r="J153" s="344"/>
      <c r="K153" s="330"/>
      <c r="L153" s="330"/>
      <c r="M153" s="331">
        <f t="shared" si="76"/>
        <v>2027</v>
      </c>
      <c r="N153" s="344"/>
      <c r="O153" s="375"/>
      <c r="P153" s="375"/>
      <c r="Q153" s="375"/>
      <c r="R153" s="323" t="str">
        <f t="shared" si="77"/>
        <v/>
      </c>
      <c r="S153" s="323" t="str">
        <f t="shared" ref="S153:T153" si="161">if(and(P153 &lt;&gt; "", O153 &lt;&gt; ""), P153/O153, "")</f>
        <v/>
      </c>
      <c r="T153" s="324" t="str">
        <f t="shared" si="161"/>
        <v/>
      </c>
      <c r="U153" s="368"/>
      <c r="V153" s="368"/>
      <c r="W153" s="368"/>
      <c r="X153" s="334" t="str">
        <f t="shared" si="102"/>
        <v/>
      </c>
      <c r="Y153" s="347"/>
      <c r="Z153" s="304"/>
      <c r="AA153" s="304"/>
      <c r="AB153" s="304"/>
      <c r="AC153" s="304"/>
      <c r="AD153" s="304"/>
      <c r="AE153" s="304"/>
      <c r="AF153" s="304"/>
      <c r="AG153" s="304"/>
      <c r="AH153" s="304"/>
    </row>
    <row r="154">
      <c r="A154" s="286"/>
      <c r="B154" s="355"/>
      <c r="C154" s="344"/>
      <c r="D154" s="344"/>
      <c r="E154" s="344"/>
      <c r="F154" s="344"/>
      <c r="G154" s="344"/>
      <c r="H154" s="344"/>
      <c r="I154" s="344"/>
      <c r="J154" s="344"/>
      <c r="K154" s="330"/>
      <c r="L154" s="330"/>
      <c r="M154" s="331">
        <f t="shared" si="76"/>
        <v>2027</v>
      </c>
      <c r="N154" s="344"/>
      <c r="O154" s="375"/>
      <c r="P154" s="375"/>
      <c r="Q154" s="375"/>
      <c r="R154" s="323" t="str">
        <f t="shared" si="77"/>
        <v/>
      </c>
      <c r="S154" s="323" t="str">
        <f t="shared" ref="S154:T154" si="162">if(and(P154 &lt;&gt; "", O154 &lt;&gt; ""), P154/O154, "")</f>
        <v/>
      </c>
      <c r="T154" s="324" t="str">
        <f t="shared" si="162"/>
        <v/>
      </c>
      <c r="U154" s="368"/>
      <c r="V154" s="368"/>
      <c r="W154" s="368"/>
      <c r="X154" s="334" t="str">
        <f t="shared" si="102"/>
        <v/>
      </c>
      <c r="Y154" s="347"/>
      <c r="Z154" s="304"/>
      <c r="AA154" s="304"/>
      <c r="AB154" s="304"/>
      <c r="AC154" s="304"/>
      <c r="AD154" s="304"/>
      <c r="AE154" s="304"/>
      <c r="AF154" s="304"/>
      <c r="AG154" s="304"/>
      <c r="AH154" s="304"/>
    </row>
    <row r="155">
      <c r="A155" s="286"/>
      <c r="B155" s="355"/>
      <c r="C155" s="344"/>
      <c r="D155" s="344"/>
      <c r="E155" s="344"/>
      <c r="F155" s="344"/>
      <c r="G155" s="344"/>
      <c r="H155" s="344"/>
      <c r="I155" s="344"/>
      <c r="J155" s="344"/>
      <c r="K155" s="330"/>
      <c r="L155" s="330"/>
      <c r="M155" s="331">
        <f t="shared" si="76"/>
        <v>2027</v>
      </c>
      <c r="N155" s="344"/>
      <c r="O155" s="375"/>
      <c r="P155" s="375"/>
      <c r="Q155" s="375"/>
      <c r="R155" s="323" t="str">
        <f t="shared" si="77"/>
        <v/>
      </c>
      <c r="S155" s="323" t="str">
        <f t="shared" ref="S155:T155" si="163">if(and(P155 &lt;&gt; "", O155 &lt;&gt; ""), P155/O155, "")</f>
        <v/>
      </c>
      <c r="T155" s="324" t="str">
        <f t="shared" si="163"/>
        <v/>
      </c>
      <c r="U155" s="368"/>
      <c r="V155" s="368"/>
      <c r="W155" s="368"/>
      <c r="X155" s="334" t="str">
        <f t="shared" si="102"/>
        <v/>
      </c>
      <c r="Y155" s="347"/>
      <c r="Z155" s="304"/>
      <c r="AA155" s="304"/>
      <c r="AB155" s="304"/>
      <c r="AC155" s="304"/>
      <c r="AD155" s="304"/>
      <c r="AE155" s="304"/>
      <c r="AF155" s="304"/>
      <c r="AG155" s="304"/>
      <c r="AH155" s="304"/>
    </row>
    <row r="156">
      <c r="A156" s="286"/>
      <c r="B156" s="355"/>
      <c r="C156" s="344"/>
      <c r="D156" s="344"/>
      <c r="E156" s="344"/>
      <c r="F156" s="344"/>
      <c r="G156" s="344"/>
      <c r="H156" s="344"/>
      <c r="I156" s="344"/>
      <c r="J156" s="344"/>
      <c r="K156" s="330"/>
      <c r="L156" s="330"/>
      <c r="M156" s="331">
        <f t="shared" si="76"/>
        <v>2027</v>
      </c>
      <c r="N156" s="344"/>
      <c r="O156" s="375"/>
      <c r="P156" s="375"/>
      <c r="Q156" s="375"/>
      <c r="R156" s="323" t="str">
        <f t="shared" si="77"/>
        <v/>
      </c>
      <c r="S156" s="323" t="str">
        <f t="shared" ref="S156:T156" si="164">if(and(P156 &lt;&gt; "", O156 &lt;&gt; ""), P156/O156, "")</f>
        <v/>
      </c>
      <c r="T156" s="324" t="str">
        <f t="shared" si="164"/>
        <v/>
      </c>
      <c r="U156" s="368"/>
      <c r="V156" s="368"/>
      <c r="W156" s="368"/>
      <c r="X156" s="334" t="str">
        <f t="shared" si="102"/>
        <v/>
      </c>
      <c r="Y156" s="347"/>
      <c r="Z156" s="304"/>
      <c r="AA156" s="304"/>
      <c r="AB156" s="304"/>
      <c r="AC156" s="304"/>
      <c r="AD156" s="304"/>
      <c r="AE156" s="304"/>
      <c r="AF156" s="304"/>
      <c r="AG156" s="304"/>
      <c r="AH156" s="304"/>
    </row>
    <row r="157">
      <c r="A157" s="286"/>
      <c r="B157" s="355"/>
      <c r="C157" s="344"/>
      <c r="D157" s="344"/>
      <c r="E157" s="344"/>
      <c r="F157" s="344"/>
      <c r="G157" s="344"/>
      <c r="H157" s="344"/>
      <c r="I157" s="344"/>
      <c r="J157" s="344"/>
      <c r="K157" s="330"/>
      <c r="L157" s="330"/>
      <c r="M157" s="331">
        <f t="shared" si="76"/>
        <v>2027</v>
      </c>
      <c r="N157" s="344"/>
      <c r="O157" s="375"/>
      <c r="P157" s="375"/>
      <c r="Q157" s="375"/>
      <c r="R157" s="323" t="str">
        <f t="shared" si="77"/>
        <v/>
      </c>
      <c r="S157" s="323" t="str">
        <f t="shared" ref="S157:T157" si="165">if(and(P157 &lt;&gt; "", O157 &lt;&gt; ""), P157/O157, "")</f>
        <v/>
      </c>
      <c r="T157" s="324" t="str">
        <f t="shared" si="165"/>
        <v/>
      </c>
      <c r="U157" s="368"/>
      <c r="V157" s="368"/>
      <c r="W157" s="368"/>
      <c r="X157" s="334" t="str">
        <f t="shared" si="102"/>
        <v/>
      </c>
      <c r="Y157" s="347"/>
      <c r="Z157" s="304"/>
      <c r="AA157" s="304"/>
      <c r="AB157" s="304"/>
      <c r="AC157" s="304"/>
      <c r="AD157" s="304"/>
      <c r="AE157" s="304"/>
      <c r="AF157" s="304"/>
      <c r="AG157" s="304"/>
      <c r="AH157" s="304"/>
    </row>
    <row r="158">
      <c r="A158" s="286"/>
      <c r="B158" s="355"/>
      <c r="C158" s="344"/>
      <c r="D158" s="344"/>
      <c r="E158" s="344"/>
      <c r="F158" s="344"/>
      <c r="G158" s="344"/>
      <c r="H158" s="344"/>
      <c r="I158" s="344"/>
      <c r="J158" s="344"/>
      <c r="K158" s="330"/>
      <c r="L158" s="330"/>
      <c r="M158" s="331">
        <f t="shared" si="76"/>
        <v>2027</v>
      </c>
      <c r="N158" s="344"/>
      <c r="O158" s="375"/>
      <c r="P158" s="375"/>
      <c r="Q158" s="375"/>
      <c r="R158" s="323" t="str">
        <f t="shared" si="77"/>
        <v/>
      </c>
      <c r="S158" s="323" t="str">
        <f t="shared" ref="S158:T158" si="166">if(and(P158 &lt;&gt; "", O158 &lt;&gt; ""), P158/O158, "")</f>
        <v/>
      </c>
      <c r="T158" s="324" t="str">
        <f t="shared" si="166"/>
        <v/>
      </c>
      <c r="U158" s="368"/>
      <c r="V158" s="368"/>
      <c r="W158" s="368"/>
      <c r="X158" s="334" t="str">
        <f t="shared" si="102"/>
        <v/>
      </c>
      <c r="Y158" s="347"/>
      <c r="Z158" s="304"/>
      <c r="AA158" s="304"/>
      <c r="AB158" s="304"/>
      <c r="AC158" s="304"/>
      <c r="AD158" s="304"/>
      <c r="AE158" s="304"/>
      <c r="AF158" s="304"/>
      <c r="AG158" s="304"/>
      <c r="AH158" s="304"/>
    </row>
    <row r="159">
      <c r="A159" s="286"/>
      <c r="B159" s="355"/>
      <c r="C159" s="344"/>
      <c r="D159" s="344"/>
      <c r="E159" s="344"/>
      <c r="F159" s="344"/>
      <c r="G159" s="344"/>
      <c r="H159" s="344"/>
      <c r="I159" s="344"/>
      <c r="J159" s="344"/>
      <c r="K159" s="330"/>
      <c r="L159" s="330"/>
      <c r="M159" s="331">
        <f t="shared" si="76"/>
        <v>2027</v>
      </c>
      <c r="N159" s="344"/>
      <c r="O159" s="375"/>
      <c r="P159" s="375"/>
      <c r="Q159" s="375"/>
      <c r="R159" s="323" t="str">
        <f t="shared" si="77"/>
        <v/>
      </c>
      <c r="S159" s="323" t="str">
        <f t="shared" ref="S159:T159" si="167">if(and(P159 &lt;&gt; "", O159 &lt;&gt; ""), P159/O159, "")</f>
        <v/>
      </c>
      <c r="T159" s="324" t="str">
        <f t="shared" si="167"/>
        <v/>
      </c>
      <c r="U159" s="368"/>
      <c r="V159" s="368"/>
      <c r="W159" s="368"/>
      <c r="X159" s="334" t="str">
        <f t="shared" si="102"/>
        <v/>
      </c>
      <c r="Y159" s="347"/>
      <c r="Z159" s="304"/>
      <c r="AA159" s="304"/>
      <c r="AB159" s="304"/>
      <c r="AC159" s="304"/>
      <c r="AD159" s="304"/>
      <c r="AE159" s="304"/>
      <c r="AF159" s="304"/>
      <c r="AG159" s="304"/>
      <c r="AH159" s="304"/>
    </row>
    <row r="160">
      <c r="A160" s="286"/>
      <c r="B160" s="355"/>
      <c r="C160" s="344"/>
      <c r="D160" s="344"/>
      <c r="E160" s="344"/>
      <c r="F160" s="344"/>
      <c r="G160" s="344"/>
      <c r="H160" s="344"/>
      <c r="I160" s="344"/>
      <c r="J160" s="344"/>
      <c r="K160" s="330"/>
      <c r="L160" s="330"/>
      <c r="M160" s="331">
        <f t="shared" si="76"/>
        <v>2027</v>
      </c>
      <c r="N160" s="344"/>
      <c r="O160" s="375"/>
      <c r="P160" s="375"/>
      <c r="Q160" s="375"/>
      <c r="R160" s="323" t="str">
        <f t="shared" si="77"/>
        <v/>
      </c>
      <c r="S160" s="323" t="str">
        <f t="shared" ref="S160:T160" si="168">if(and(P160 &lt;&gt; "", O160 &lt;&gt; ""), P160/O160, "")</f>
        <v/>
      </c>
      <c r="T160" s="324" t="str">
        <f t="shared" si="168"/>
        <v/>
      </c>
      <c r="U160" s="368"/>
      <c r="V160" s="368"/>
      <c r="W160" s="368"/>
      <c r="X160" s="334" t="str">
        <f t="shared" si="102"/>
        <v/>
      </c>
      <c r="Y160" s="347"/>
      <c r="Z160" s="304"/>
      <c r="AA160" s="304"/>
      <c r="AB160" s="304"/>
      <c r="AC160" s="304"/>
      <c r="AD160" s="304"/>
      <c r="AE160" s="304"/>
      <c r="AF160" s="304"/>
      <c r="AG160" s="304"/>
      <c r="AH160" s="304"/>
    </row>
    <row r="161">
      <c r="A161" s="286"/>
      <c r="B161" s="355"/>
      <c r="C161" s="344"/>
      <c r="D161" s="344"/>
      <c r="E161" s="344"/>
      <c r="F161" s="344"/>
      <c r="G161" s="344"/>
      <c r="H161" s="344"/>
      <c r="I161" s="344"/>
      <c r="J161" s="344"/>
      <c r="K161" s="330"/>
      <c r="L161" s="330"/>
      <c r="M161" s="331">
        <f t="shared" si="76"/>
        <v>2027</v>
      </c>
      <c r="N161" s="344"/>
      <c r="O161" s="375"/>
      <c r="P161" s="375"/>
      <c r="Q161" s="375"/>
      <c r="R161" s="323" t="str">
        <f t="shared" si="77"/>
        <v/>
      </c>
      <c r="S161" s="323" t="str">
        <f t="shared" ref="S161:T161" si="169">if(and(P161 &lt;&gt; "", O161 &lt;&gt; ""), P161/O161, "")</f>
        <v/>
      </c>
      <c r="T161" s="324" t="str">
        <f t="shared" si="169"/>
        <v/>
      </c>
      <c r="U161" s="368"/>
      <c r="V161" s="368"/>
      <c r="W161" s="368"/>
      <c r="X161" s="334" t="str">
        <f t="shared" si="102"/>
        <v/>
      </c>
      <c r="Y161" s="347"/>
      <c r="Z161" s="304"/>
      <c r="AA161" s="304"/>
      <c r="AB161" s="304"/>
      <c r="AC161" s="304"/>
      <c r="AD161" s="304"/>
      <c r="AE161" s="304"/>
      <c r="AF161" s="304"/>
      <c r="AG161" s="304"/>
      <c r="AH161" s="304"/>
    </row>
    <row r="162">
      <c r="A162" s="286"/>
      <c r="B162" s="355"/>
      <c r="C162" s="344"/>
      <c r="D162" s="344"/>
      <c r="E162" s="344"/>
      <c r="F162" s="344"/>
      <c r="G162" s="344"/>
      <c r="H162" s="344"/>
      <c r="I162" s="344"/>
      <c r="J162" s="344"/>
      <c r="K162" s="330"/>
      <c r="L162" s="330"/>
      <c r="M162" s="331">
        <f t="shared" si="76"/>
        <v>2027</v>
      </c>
      <c r="N162" s="344"/>
      <c r="O162" s="375"/>
      <c r="P162" s="375"/>
      <c r="Q162" s="375"/>
      <c r="R162" s="323" t="str">
        <f t="shared" si="77"/>
        <v/>
      </c>
      <c r="S162" s="323" t="str">
        <f t="shared" ref="S162:T162" si="170">if(and(P162 &lt;&gt; "", O162 &lt;&gt; ""), P162/O162, "")</f>
        <v/>
      </c>
      <c r="T162" s="324" t="str">
        <f t="shared" si="170"/>
        <v/>
      </c>
      <c r="U162" s="368"/>
      <c r="V162" s="368"/>
      <c r="W162" s="368"/>
      <c r="X162" s="334" t="str">
        <f t="shared" si="102"/>
        <v/>
      </c>
      <c r="Y162" s="347"/>
      <c r="Z162" s="304"/>
      <c r="AA162" s="304"/>
      <c r="AB162" s="304"/>
      <c r="AC162" s="304"/>
      <c r="AD162" s="304"/>
      <c r="AE162" s="304"/>
      <c r="AF162" s="304"/>
      <c r="AG162" s="304"/>
      <c r="AH162" s="304"/>
    </row>
    <row r="163">
      <c r="A163" s="286"/>
      <c r="B163" s="355"/>
      <c r="C163" s="344"/>
      <c r="D163" s="344"/>
      <c r="E163" s="344"/>
      <c r="F163" s="344"/>
      <c r="G163" s="344"/>
      <c r="H163" s="344"/>
      <c r="I163" s="344"/>
      <c r="J163" s="344"/>
      <c r="K163" s="330"/>
      <c r="L163" s="330"/>
      <c r="M163" s="331">
        <f t="shared" si="76"/>
        <v>2027</v>
      </c>
      <c r="N163" s="344"/>
      <c r="O163" s="375"/>
      <c r="P163" s="375"/>
      <c r="Q163" s="375"/>
      <c r="R163" s="323" t="str">
        <f t="shared" si="77"/>
        <v/>
      </c>
      <c r="S163" s="323" t="str">
        <f t="shared" ref="S163:T163" si="171">if(and(P163 &lt;&gt; "", O163 &lt;&gt; ""), P163/O163, "")</f>
        <v/>
      </c>
      <c r="T163" s="324" t="str">
        <f t="shared" si="171"/>
        <v/>
      </c>
      <c r="U163" s="368"/>
      <c r="V163" s="368"/>
      <c r="W163" s="368"/>
      <c r="X163" s="334" t="str">
        <f t="shared" si="102"/>
        <v/>
      </c>
      <c r="Y163" s="347"/>
      <c r="Z163" s="304"/>
      <c r="AA163" s="304"/>
      <c r="AB163" s="304"/>
      <c r="AC163" s="304"/>
      <c r="AD163" s="304"/>
      <c r="AE163" s="304"/>
      <c r="AF163" s="304"/>
      <c r="AG163" s="304"/>
      <c r="AH163" s="304"/>
    </row>
    <row r="164">
      <c r="A164" s="286"/>
      <c r="B164" s="355"/>
      <c r="C164" s="344"/>
      <c r="D164" s="344"/>
      <c r="E164" s="344"/>
      <c r="F164" s="344"/>
      <c r="G164" s="344"/>
      <c r="H164" s="344"/>
      <c r="I164" s="344"/>
      <c r="J164" s="344"/>
      <c r="K164" s="330"/>
      <c r="L164" s="330"/>
      <c r="M164" s="331">
        <f t="shared" si="76"/>
        <v>2027</v>
      </c>
      <c r="N164" s="344"/>
      <c r="O164" s="375"/>
      <c r="P164" s="375"/>
      <c r="Q164" s="375"/>
      <c r="R164" s="323" t="str">
        <f t="shared" si="77"/>
        <v/>
      </c>
      <c r="S164" s="323" t="str">
        <f t="shared" ref="S164:T164" si="172">if(and(P164 &lt;&gt; "", O164 &lt;&gt; ""), P164/O164, "")</f>
        <v/>
      </c>
      <c r="T164" s="324" t="str">
        <f t="shared" si="172"/>
        <v/>
      </c>
      <c r="U164" s="368"/>
      <c r="V164" s="368"/>
      <c r="W164" s="368"/>
      <c r="X164" s="334" t="str">
        <f t="shared" si="102"/>
        <v/>
      </c>
      <c r="Y164" s="347"/>
      <c r="Z164" s="304"/>
      <c r="AA164" s="304"/>
      <c r="AB164" s="304"/>
      <c r="AC164" s="304"/>
      <c r="AD164" s="304"/>
      <c r="AE164" s="304"/>
      <c r="AF164" s="304"/>
      <c r="AG164" s="304"/>
      <c r="AH164" s="304"/>
    </row>
    <row r="165">
      <c r="A165" s="286"/>
      <c r="B165" s="355"/>
      <c r="C165" s="344"/>
      <c r="D165" s="344"/>
      <c r="E165" s="344"/>
      <c r="F165" s="344"/>
      <c r="G165" s="344"/>
      <c r="H165" s="344"/>
      <c r="I165" s="344"/>
      <c r="J165" s="344"/>
      <c r="K165" s="330"/>
      <c r="L165" s="330"/>
      <c r="M165" s="331">
        <f t="shared" si="76"/>
        <v>2027</v>
      </c>
      <c r="N165" s="344"/>
      <c r="O165" s="375"/>
      <c r="P165" s="375"/>
      <c r="Q165" s="375"/>
      <c r="R165" s="323" t="str">
        <f t="shared" si="77"/>
        <v/>
      </c>
      <c r="S165" s="323" t="str">
        <f t="shared" ref="S165:T165" si="173">if(and(P165 &lt;&gt; "", O165 &lt;&gt; ""), P165/O165, "")</f>
        <v/>
      </c>
      <c r="T165" s="324" t="str">
        <f t="shared" si="173"/>
        <v/>
      </c>
      <c r="U165" s="368"/>
      <c r="V165" s="368"/>
      <c r="W165" s="368"/>
      <c r="X165" s="334" t="str">
        <f t="shared" si="102"/>
        <v/>
      </c>
      <c r="Y165" s="347"/>
      <c r="Z165" s="304"/>
      <c r="AA165" s="304"/>
      <c r="AB165" s="304"/>
      <c r="AC165" s="304"/>
      <c r="AD165" s="304"/>
      <c r="AE165" s="304"/>
      <c r="AF165" s="304"/>
      <c r="AG165" s="304"/>
      <c r="AH165" s="304"/>
    </row>
    <row r="166">
      <c r="A166" s="286"/>
      <c r="B166" s="355"/>
      <c r="C166" s="344"/>
      <c r="D166" s="344"/>
      <c r="E166" s="344"/>
      <c r="F166" s="344"/>
      <c r="G166" s="344"/>
      <c r="H166" s="344"/>
      <c r="I166" s="344"/>
      <c r="J166" s="344"/>
      <c r="K166" s="330"/>
      <c r="L166" s="330"/>
      <c r="M166" s="331">
        <f t="shared" si="76"/>
        <v>2027</v>
      </c>
      <c r="N166" s="344"/>
      <c r="O166" s="375"/>
      <c r="P166" s="375"/>
      <c r="Q166" s="375"/>
      <c r="R166" s="323" t="str">
        <f t="shared" si="77"/>
        <v/>
      </c>
      <c r="S166" s="323" t="str">
        <f t="shared" ref="S166:T166" si="174">if(and(P166 &lt;&gt; "", O166 &lt;&gt; ""), P166/O166, "")</f>
        <v/>
      </c>
      <c r="T166" s="324" t="str">
        <f t="shared" si="174"/>
        <v/>
      </c>
      <c r="U166" s="368"/>
      <c r="V166" s="368"/>
      <c r="W166" s="368"/>
      <c r="X166" s="334" t="str">
        <f t="shared" si="102"/>
        <v/>
      </c>
      <c r="Y166" s="347"/>
      <c r="Z166" s="304"/>
      <c r="AA166" s="304"/>
      <c r="AB166" s="304"/>
      <c r="AC166" s="304"/>
      <c r="AD166" s="304"/>
      <c r="AE166" s="304"/>
      <c r="AF166" s="304"/>
      <c r="AG166" s="304"/>
      <c r="AH166" s="304"/>
    </row>
    <row r="167">
      <c r="A167" s="286"/>
      <c r="B167" s="355"/>
      <c r="C167" s="344"/>
      <c r="D167" s="344"/>
      <c r="E167" s="344"/>
      <c r="F167" s="344"/>
      <c r="G167" s="344"/>
      <c r="H167" s="344"/>
      <c r="I167" s="344"/>
      <c r="J167" s="344"/>
      <c r="K167" s="330"/>
      <c r="L167" s="330"/>
      <c r="M167" s="331">
        <f t="shared" si="76"/>
        <v>2027</v>
      </c>
      <c r="N167" s="344"/>
      <c r="O167" s="375"/>
      <c r="P167" s="375"/>
      <c r="Q167" s="375"/>
      <c r="R167" s="323" t="str">
        <f t="shared" si="77"/>
        <v/>
      </c>
      <c r="S167" s="323" t="str">
        <f t="shared" ref="S167:T167" si="175">if(and(P167 &lt;&gt; "", O167 &lt;&gt; ""), P167/O167, "")</f>
        <v/>
      </c>
      <c r="T167" s="324" t="str">
        <f t="shared" si="175"/>
        <v/>
      </c>
      <c r="U167" s="368"/>
      <c r="V167" s="368"/>
      <c r="W167" s="368"/>
      <c r="X167" s="334" t="str">
        <f t="shared" si="102"/>
        <v/>
      </c>
      <c r="Y167" s="347"/>
      <c r="Z167" s="304"/>
      <c r="AA167" s="304"/>
      <c r="AB167" s="304"/>
      <c r="AC167" s="304"/>
      <c r="AD167" s="304"/>
      <c r="AE167" s="304"/>
      <c r="AF167" s="304"/>
      <c r="AG167" s="304"/>
      <c r="AH167" s="304"/>
    </row>
    <row r="168">
      <c r="A168" s="286"/>
      <c r="B168" s="355"/>
      <c r="C168" s="344"/>
      <c r="D168" s="344"/>
      <c r="E168" s="344"/>
      <c r="F168" s="344"/>
      <c r="G168" s="344"/>
      <c r="H168" s="344"/>
      <c r="I168" s="344"/>
      <c r="J168" s="344"/>
      <c r="K168" s="330"/>
      <c r="L168" s="330"/>
      <c r="M168" s="331">
        <f t="shared" si="76"/>
        <v>2027</v>
      </c>
      <c r="N168" s="344"/>
      <c r="O168" s="375"/>
      <c r="P168" s="375"/>
      <c r="Q168" s="375"/>
      <c r="R168" s="323" t="str">
        <f t="shared" si="77"/>
        <v/>
      </c>
      <c r="S168" s="323" t="str">
        <f t="shared" ref="S168:T168" si="176">if(and(P168 &lt;&gt; "", O168 &lt;&gt; ""), P168/O168, "")</f>
        <v/>
      </c>
      <c r="T168" s="324" t="str">
        <f t="shared" si="176"/>
        <v/>
      </c>
      <c r="U168" s="368"/>
      <c r="V168" s="368"/>
      <c r="W168" s="368"/>
      <c r="X168" s="334" t="str">
        <f t="shared" si="102"/>
        <v/>
      </c>
      <c r="Y168" s="347"/>
      <c r="Z168" s="304"/>
      <c r="AA168" s="304"/>
      <c r="AB168" s="304"/>
      <c r="AC168" s="304"/>
      <c r="AD168" s="304"/>
      <c r="AE168" s="304"/>
      <c r="AF168" s="304"/>
      <c r="AG168" s="304"/>
      <c r="AH168" s="304"/>
    </row>
    <row r="169">
      <c r="A169" s="286"/>
      <c r="B169" s="355"/>
      <c r="C169" s="344"/>
      <c r="D169" s="344"/>
      <c r="E169" s="344"/>
      <c r="F169" s="344"/>
      <c r="G169" s="344"/>
      <c r="H169" s="344"/>
      <c r="I169" s="344"/>
      <c r="J169" s="344"/>
      <c r="K169" s="330"/>
      <c r="L169" s="330"/>
      <c r="M169" s="331">
        <f t="shared" si="76"/>
        <v>2027</v>
      </c>
      <c r="N169" s="344"/>
      <c r="O169" s="375"/>
      <c r="P169" s="375"/>
      <c r="Q169" s="375"/>
      <c r="R169" s="323" t="str">
        <f t="shared" si="77"/>
        <v/>
      </c>
      <c r="S169" s="323" t="str">
        <f t="shared" ref="S169:T169" si="177">if(and(P169 &lt;&gt; "", O169 &lt;&gt; ""), P169/O169, "")</f>
        <v/>
      </c>
      <c r="T169" s="324" t="str">
        <f t="shared" si="177"/>
        <v/>
      </c>
      <c r="U169" s="368"/>
      <c r="V169" s="368"/>
      <c r="W169" s="368"/>
      <c r="X169" s="334" t="str">
        <f t="shared" si="102"/>
        <v/>
      </c>
      <c r="Y169" s="347"/>
      <c r="Z169" s="304"/>
      <c r="AA169" s="304"/>
      <c r="AB169" s="304"/>
      <c r="AC169" s="304"/>
      <c r="AD169" s="304"/>
      <c r="AE169" s="304"/>
      <c r="AF169" s="304"/>
      <c r="AG169" s="304"/>
      <c r="AH169" s="304"/>
    </row>
    <row r="170">
      <c r="A170" s="286"/>
      <c r="B170" s="355"/>
      <c r="C170" s="344"/>
      <c r="D170" s="344"/>
      <c r="E170" s="344"/>
      <c r="F170" s="344"/>
      <c r="G170" s="344"/>
      <c r="H170" s="344"/>
      <c r="I170" s="344"/>
      <c r="J170" s="344"/>
      <c r="K170" s="330"/>
      <c r="L170" s="330"/>
      <c r="M170" s="331">
        <f t="shared" si="76"/>
        <v>2027</v>
      </c>
      <c r="N170" s="344"/>
      <c r="O170" s="375"/>
      <c r="P170" s="375"/>
      <c r="Q170" s="375"/>
      <c r="R170" s="323" t="str">
        <f t="shared" si="77"/>
        <v/>
      </c>
      <c r="S170" s="323" t="str">
        <f t="shared" ref="S170:T170" si="178">if(and(P170 &lt;&gt; "", O170 &lt;&gt; ""), P170/O170, "")</f>
        <v/>
      </c>
      <c r="T170" s="324" t="str">
        <f t="shared" si="178"/>
        <v/>
      </c>
      <c r="U170" s="368"/>
      <c r="V170" s="368"/>
      <c r="W170" s="368"/>
      <c r="X170" s="334" t="str">
        <f t="shared" si="102"/>
        <v/>
      </c>
      <c r="Y170" s="347"/>
      <c r="Z170" s="304"/>
      <c r="AA170" s="304"/>
      <c r="AB170" s="304"/>
      <c r="AC170" s="304"/>
      <c r="AD170" s="304"/>
      <c r="AE170" s="304"/>
      <c r="AF170" s="304"/>
      <c r="AG170" s="304"/>
      <c r="AH170" s="304"/>
    </row>
    <row r="171">
      <c r="A171" s="286"/>
      <c r="B171" s="355"/>
      <c r="C171" s="355"/>
      <c r="D171" s="355"/>
      <c r="E171" s="355"/>
      <c r="F171" s="355"/>
      <c r="G171" s="355"/>
      <c r="H171" s="355"/>
      <c r="I171" s="355"/>
      <c r="J171" s="355"/>
      <c r="K171" s="343"/>
      <c r="L171" s="343"/>
      <c r="M171" s="331">
        <f t="shared" si="76"/>
        <v>2027</v>
      </c>
      <c r="N171" s="344"/>
      <c r="O171" s="408"/>
      <c r="P171" s="408"/>
      <c r="Q171" s="408"/>
      <c r="R171" s="323" t="str">
        <f t="shared" si="77"/>
        <v/>
      </c>
      <c r="S171" s="323" t="str">
        <f t="shared" ref="S171:T171" si="179">if(and(P171 &lt;&gt; "", O171 &lt;&gt; ""), P171/O171, "")</f>
        <v/>
      </c>
      <c r="T171" s="324" t="str">
        <f t="shared" si="179"/>
        <v/>
      </c>
      <c r="U171" s="368"/>
      <c r="V171" s="368"/>
      <c r="W171" s="368"/>
      <c r="X171" s="334" t="str">
        <f t="shared" si="102"/>
        <v/>
      </c>
      <c r="Y171" s="347"/>
      <c r="Z171" s="304"/>
      <c r="AA171" s="304"/>
      <c r="AB171" s="304"/>
      <c r="AC171" s="304"/>
      <c r="AD171" s="304"/>
      <c r="AE171" s="304"/>
      <c r="AF171" s="304"/>
      <c r="AG171" s="304"/>
      <c r="AH171" s="304"/>
    </row>
    <row r="172">
      <c r="A172" s="286"/>
      <c r="B172" s="355"/>
      <c r="C172" s="355"/>
      <c r="D172" s="355"/>
      <c r="E172" s="355"/>
      <c r="F172" s="355"/>
      <c r="G172" s="355"/>
      <c r="H172" s="355"/>
      <c r="I172" s="355"/>
      <c r="J172" s="355"/>
      <c r="K172" s="343"/>
      <c r="L172" s="343"/>
      <c r="M172" s="331">
        <f t="shared" si="76"/>
        <v>2027</v>
      </c>
      <c r="N172" s="344"/>
      <c r="O172" s="408"/>
      <c r="P172" s="408"/>
      <c r="Q172" s="408"/>
      <c r="R172" s="323" t="str">
        <f t="shared" si="77"/>
        <v/>
      </c>
      <c r="S172" s="323" t="str">
        <f t="shared" ref="S172:T172" si="180">if(and(P172 &lt;&gt; "", O172 &lt;&gt; ""), P172/O172, "")</f>
        <v/>
      </c>
      <c r="T172" s="324" t="str">
        <f t="shared" si="180"/>
        <v/>
      </c>
      <c r="U172" s="368"/>
      <c r="V172" s="368"/>
      <c r="W172" s="368"/>
      <c r="X172" s="334" t="str">
        <f t="shared" si="102"/>
        <v/>
      </c>
      <c r="Y172" s="347"/>
      <c r="Z172" s="304"/>
      <c r="AA172" s="304"/>
      <c r="AB172" s="304"/>
      <c r="AC172" s="304"/>
      <c r="AD172" s="304"/>
      <c r="AE172" s="304"/>
      <c r="AF172" s="304"/>
      <c r="AG172" s="304"/>
      <c r="AH172" s="304"/>
    </row>
    <row r="173">
      <c r="A173" s="286"/>
      <c r="B173" s="355"/>
      <c r="C173" s="355"/>
      <c r="D173" s="355"/>
      <c r="E173" s="355"/>
      <c r="F173" s="355"/>
      <c r="G173" s="355"/>
      <c r="H173" s="355"/>
      <c r="I173" s="355"/>
      <c r="J173" s="355"/>
      <c r="K173" s="343"/>
      <c r="L173" s="343"/>
      <c r="M173" s="331">
        <f t="shared" si="76"/>
        <v>2027</v>
      </c>
      <c r="N173" s="344"/>
      <c r="O173" s="408"/>
      <c r="P173" s="408"/>
      <c r="Q173" s="408"/>
      <c r="R173" s="323" t="str">
        <f t="shared" si="77"/>
        <v/>
      </c>
      <c r="S173" s="323" t="str">
        <f t="shared" ref="S173:T173" si="181">if(and(P173 &lt;&gt; "", O173 &lt;&gt; ""), P173/O173, "")</f>
        <v/>
      </c>
      <c r="T173" s="324" t="str">
        <f t="shared" si="181"/>
        <v/>
      </c>
      <c r="U173" s="368"/>
      <c r="V173" s="368"/>
      <c r="W173" s="368"/>
      <c r="X173" s="334" t="str">
        <f t="shared" si="102"/>
        <v/>
      </c>
      <c r="Y173" s="347"/>
      <c r="Z173" s="304"/>
      <c r="AA173" s="304"/>
      <c r="AB173" s="304"/>
      <c r="AC173" s="304"/>
      <c r="AD173" s="304"/>
      <c r="AE173" s="304"/>
      <c r="AF173" s="304"/>
      <c r="AG173" s="304"/>
      <c r="AH173" s="304"/>
    </row>
    <row r="174">
      <c r="A174" s="286"/>
      <c r="B174" s="355"/>
      <c r="C174" s="355"/>
      <c r="D174" s="355"/>
      <c r="E174" s="355"/>
      <c r="F174" s="355"/>
      <c r="G174" s="355"/>
      <c r="H174" s="355"/>
      <c r="I174" s="355"/>
      <c r="J174" s="355"/>
      <c r="K174" s="343"/>
      <c r="L174" s="343"/>
      <c r="M174" s="331">
        <f t="shared" si="76"/>
        <v>2027</v>
      </c>
      <c r="N174" s="344"/>
      <c r="O174" s="408"/>
      <c r="P174" s="408"/>
      <c r="Q174" s="408"/>
      <c r="R174" s="323" t="str">
        <f t="shared" si="77"/>
        <v/>
      </c>
      <c r="S174" s="323" t="str">
        <f t="shared" ref="S174:T174" si="182">if(and(P174 &lt;&gt; "", O174 &lt;&gt; ""), P174/O174, "")</f>
        <v/>
      </c>
      <c r="T174" s="324" t="str">
        <f t="shared" si="182"/>
        <v/>
      </c>
      <c r="U174" s="368"/>
      <c r="V174" s="368"/>
      <c r="W174" s="368"/>
      <c r="X174" s="334" t="str">
        <f t="shared" si="102"/>
        <v/>
      </c>
      <c r="Y174" s="347"/>
      <c r="Z174" s="304"/>
      <c r="AA174" s="304"/>
      <c r="AB174" s="304"/>
      <c r="AC174" s="304"/>
      <c r="AD174" s="304"/>
      <c r="AE174" s="304"/>
      <c r="AF174" s="304"/>
      <c r="AG174" s="304"/>
      <c r="AH174" s="304"/>
    </row>
    <row r="175">
      <c r="A175" s="286"/>
      <c r="B175" s="355"/>
      <c r="C175" s="355"/>
      <c r="D175" s="355"/>
      <c r="E175" s="355"/>
      <c r="F175" s="355"/>
      <c r="G175" s="355"/>
      <c r="H175" s="355"/>
      <c r="I175" s="355"/>
      <c r="J175" s="355"/>
      <c r="K175" s="343"/>
      <c r="L175" s="343"/>
      <c r="M175" s="331">
        <f t="shared" si="76"/>
        <v>2027</v>
      </c>
      <c r="N175" s="344"/>
      <c r="O175" s="408"/>
      <c r="P175" s="408"/>
      <c r="Q175" s="408"/>
      <c r="R175" s="323" t="str">
        <f t="shared" si="77"/>
        <v/>
      </c>
      <c r="S175" s="323" t="str">
        <f t="shared" ref="S175:T175" si="183">if(and(P175 &lt;&gt; "", O175 &lt;&gt; ""), P175/O175, "")</f>
        <v/>
      </c>
      <c r="T175" s="324" t="str">
        <f t="shared" si="183"/>
        <v/>
      </c>
      <c r="U175" s="368"/>
      <c r="V175" s="368"/>
      <c r="W175" s="368"/>
      <c r="X175" s="334" t="str">
        <f t="shared" si="102"/>
        <v/>
      </c>
      <c r="Y175" s="347"/>
      <c r="Z175" s="304"/>
      <c r="AA175" s="304"/>
      <c r="AB175" s="304"/>
      <c r="AC175" s="304"/>
      <c r="AD175" s="304"/>
      <c r="AE175" s="304"/>
      <c r="AF175" s="304"/>
      <c r="AG175" s="304"/>
      <c r="AH175" s="304"/>
    </row>
    <row r="176">
      <c r="A176" s="286"/>
      <c r="B176" s="355"/>
      <c r="C176" s="355"/>
      <c r="D176" s="355"/>
      <c r="E176" s="355"/>
      <c r="F176" s="355"/>
      <c r="G176" s="355"/>
      <c r="H176" s="355"/>
      <c r="I176" s="355"/>
      <c r="J176" s="355"/>
      <c r="K176" s="343"/>
      <c r="L176" s="343"/>
      <c r="M176" s="331">
        <f t="shared" si="76"/>
        <v>2027</v>
      </c>
      <c r="N176" s="344"/>
      <c r="O176" s="408"/>
      <c r="P176" s="408"/>
      <c r="Q176" s="408"/>
      <c r="R176" s="323" t="str">
        <f t="shared" si="77"/>
        <v/>
      </c>
      <c r="S176" s="323" t="str">
        <f t="shared" ref="S176:T176" si="184">if(and(P176 &lt;&gt; "", O176 &lt;&gt; ""), P176/O176, "")</f>
        <v/>
      </c>
      <c r="T176" s="324" t="str">
        <f t="shared" si="184"/>
        <v/>
      </c>
      <c r="U176" s="368"/>
      <c r="V176" s="368"/>
      <c r="W176" s="368"/>
      <c r="X176" s="334" t="str">
        <f t="shared" si="102"/>
        <v/>
      </c>
      <c r="Y176" s="347"/>
      <c r="Z176" s="304"/>
      <c r="AA176" s="304"/>
      <c r="AB176" s="304"/>
      <c r="AC176" s="304"/>
      <c r="AD176" s="304"/>
      <c r="AE176" s="304"/>
      <c r="AF176" s="304"/>
      <c r="AG176" s="304"/>
      <c r="AH176" s="304"/>
    </row>
    <row r="177">
      <c r="A177" s="286"/>
      <c r="B177" s="355"/>
      <c r="C177" s="355"/>
      <c r="D177" s="355"/>
      <c r="E177" s="355"/>
      <c r="F177" s="355"/>
      <c r="G177" s="355"/>
      <c r="H177" s="355"/>
      <c r="I177" s="355"/>
      <c r="J177" s="355"/>
      <c r="K177" s="343"/>
      <c r="L177" s="343"/>
      <c r="M177" s="331">
        <f t="shared" si="76"/>
        <v>2027</v>
      </c>
      <c r="N177" s="344"/>
      <c r="O177" s="408"/>
      <c r="P177" s="408"/>
      <c r="Q177" s="408"/>
      <c r="R177" s="323" t="str">
        <f t="shared" si="77"/>
        <v/>
      </c>
      <c r="S177" s="323" t="str">
        <f t="shared" ref="S177:T177" si="185">if(and(P177 &lt;&gt; "", O177 &lt;&gt; ""), P177/O177, "")</f>
        <v/>
      </c>
      <c r="T177" s="324" t="str">
        <f t="shared" si="185"/>
        <v/>
      </c>
      <c r="U177" s="368"/>
      <c r="V177" s="368"/>
      <c r="W177" s="368"/>
      <c r="X177" s="334" t="str">
        <f t="shared" si="102"/>
        <v/>
      </c>
      <c r="Y177" s="347"/>
      <c r="Z177" s="304"/>
      <c r="AA177" s="304"/>
      <c r="AB177" s="304"/>
      <c r="AC177" s="304"/>
      <c r="AD177" s="304"/>
      <c r="AE177" s="304"/>
      <c r="AF177" s="304"/>
      <c r="AG177" s="304"/>
      <c r="AH177" s="304"/>
    </row>
    <row r="178">
      <c r="A178" s="286"/>
      <c r="B178" s="355"/>
      <c r="C178" s="355"/>
      <c r="D178" s="355"/>
      <c r="E178" s="355"/>
      <c r="F178" s="355"/>
      <c r="G178" s="355"/>
      <c r="H178" s="355"/>
      <c r="I178" s="355"/>
      <c r="J178" s="355"/>
      <c r="K178" s="343"/>
      <c r="L178" s="343"/>
      <c r="M178" s="331">
        <f t="shared" si="76"/>
        <v>2027</v>
      </c>
      <c r="N178" s="344"/>
      <c r="O178" s="408"/>
      <c r="P178" s="408"/>
      <c r="Q178" s="408"/>
      <c r="R178" s="323" t="str">
        <f t="shared" si="77"/>
        <v/>
      </c>
      <c r="S178" s="323" t="str">
        <f t="shared" ref="S178:T178" si="186">if(and(P178 &lt;&gt; "", O178 &lt;&gt; ""), P178/O178, "")</f>
        <v/>
      </c>
      <c r="T178" s="324" t="str">
        <f t="shared" si="186"/>
        <v/>
      </c>
      <c r="U178" s="368"/>
      <c r="V178" s="368"/>
      <c r="W178" s="368"/>
      <c r="X178" s="334" t="str">
        <f t="shared" si="102"/>
        <v/>
      </c>
      <c r="Y178" s="347"/>
      <c r="Z178" s="304"/>
      <c r="AA178" s="304"/>
      <c r="AB178" s="304"/>
      <c r="AC178" s="304"/>
      <c r="AD178" s="304"/>
      <c r="AE178" s="304"/>
      <c r="AF178" s="304"/>
      <c r="AG178" s="304"/>
      <c r="AH178" s="304"/>
    </row>
    <row r="179">
      <c r="A179" s="286"/>
      <c r="B179" s="355"/>
      <c r="C179" s="355"/>
      <c r="D179" s="355"/>
      <c r="E179" s="355"/>
      <c r="F179" s="355"/>
      <c r="G179" s="355"/>
      <c r="H179" s="355"/>
      <c r="I179" s="355"/>
      <c r="J179" s="355"/>
      <c r="K179" s="343"/>
      <c r="L179" s="343"/>
      <c r="M179" s="331">
        <f t="shared" si="76"/>
        <v>2027</v>
      </c>
      <c r="N179" s="344"/>
      <c r="O179" s="408"/>
      <c r="P179" s="408"/>
      <c r="Q179" s="408"/>
      <c r="R179" s="323" t="str">
        <f t="shared" si="77"/>
        <v/>
      </c>
      <c r="S179" s="323" t="str">
        <f t="shared" ref="S179:T179" si="187">if(and(P179 &lt;&gt; "", O179 &lt;&gt; ""), P179/O179, "")</f>
        <v/>
      </c>
      <c r="T179" s="324" t="str">
        <f t="shared" si="187"/>
        <v/>
      </c>
      <c r="U179" s="368"/>
      <c r="V179" s="368"/>
      <c r="W179" s="368"/>
      <c r="X179" s="334" t="str">
        <f t="shared" si="102"/>
        <v/>
      </c>
      <c r="Y179" s="347"/>
      <c r="Z179" s="304"/>
      <c r="AA179" s="304"/>
      <c r="AB179" s="304"/>
      <c r="AC179" s="304"/>
      <c r="AD179" s="304"/>
      <c r="AE179" s="304"/>
      <c r="AF179" s="304"/>
      <c r="AG179" s="304"/>
      <c r="AH179" s="304"/>
    </row>
    <row r="180">
      <c r="A180" s="286"/>
      <c r="B180" s="355"/>
      <c r="C180" s="355"/>
      <c r="D180" s="355"/>
      <c r="E180" s="355"/>
      <c r="F180" s="355"/>
      <c r="G180" s="355"/>
      <c r="H180" s="355"/>
      <c r="I180" s="355"/>
      <c r="J180" s="355"/>
      <c r="K180" s="343"/>
      <c r="L180" s="343"/>
      <c r="M180" s="331">
        <f t="shared" si="76"/>
        <v>2027</v>
      </c>
      <c r="N180" s="344"/>
      <c r="O180" s="408"/>
      <c r="P180" s="408"/>
      <c r="Q180" s="408"/>
      <c r="R180" s="323" t="str">
        <f t="shared" si="77"/>
        <v/>
      </c>
      <c r="S180" s="323" t="str">
        <f t="shared" ref="S180:T180" si="188">if(and(P180 &lt;&gt; "", O180 &lt;&gt; ""), P180/O180, "")</f>
        <v/>
      </c>
      <c r="T180" s="324" t="str">
        <f t="shared" si="188"/>
        <v/>
      </c>
      <c r="U180" s="368"/>
      <c r="V180" s="368"/>
      <c r="W180" s="368"/>
      <c r="X180" s="334" t="str">
        <f t="shared" si="102"/>
        <v/>
      </c>
      <c r="Y180" s="347"/>
      <c r="Z180" s="304"/>
      <c r="AA180" s="304"/>
      <c r="AB180" s="304"/>
      <c r="AC180" s="304"/>
      <c r="AD180" s="304"/>
      <c r="AE180" s="304"/>
      <c r="AF180" s="304"/>
      <c r="AG180" s="304"/>
      <c r="AH180" s="304"/>
    </row>
    <row r="181">
      <c r="A181" s="286"/>
      <c r="B181" s="355"/>
      <c r="C181" s="355"/>
      <c r="D181" s="355"/>
      <c r="E181" s="355"/>
      <c r="F181" s="355"/>
      <c r="G181" s="355"/>
      <c r="H181" s="355"/>
      <c r="I181" s="355"/>
      <c r="J181" s="355"/>
      <c r="K181" s="343"/>
      <c r="L181" s="343"/>
      <c r="M181" s="331">
        <f t="shared" si="76"/>
        <v>2027</v>
      </c>
      <c r="N181" s="344"/>
      <c r="O181" s="408"/>
      <c r="P181" s="408"/>
      <c r="Q181" s="408"/>
      <c r="R181" s="323" t="str">
        <f t="shared" si="77"/>
        <v/>
      </c>
      <c r="S181" s="323" t="str">
        <f t="shared" ref="S181:T181" si="189">if(and(P181 &lt;&gt; "", O181 &lt;&gt; ""), P181/O181, "")</f>
        <v/>
      </c>
      <c r="T181" s="324" t="str">
        <f t="shared" si="189"/>
        <v/>
      </c>
      <c r="U181" s="368"/>
      <c r="V181" s="368"/>
      <c r="W181" s="368"/>
      <c r="X181" s="334" t="str">
        <f t="shared" si="102"/>
        <v/>
      </c>
      <c r="Y181" s="347"/>
      <c r="Z181" s="304"/>
      <c r="AA181" s="304"/>
      <c r="AB181" s="304"/>
      <c r="AC181" s="304"/>
      <c r="AD181" s="304"/>
      <c r="AE181" s="304"/>
      <c r="AF181" s="304"/>
      <c r="AG181" s="304"/>
      <c r="AH181" s="304"/>
    </row>
    <row r="182">
      <c r="A182" s="286"/>
      <c r="B182" s="355"/>
      <c r="C182" s="355"/>
      <c r="D182" s="355"/>
      <c r="E182" s="355"/>
      <c r="F182" s="355"/>
      <c r="G182" s="355"/>
      <c r="H182" s="355"/>
      <c r="I182" s="355"/>
      <c r="J182" s="355"/>
      <c r="K182" s="343"/>
      <c r="L182" s="343"/>
      <c r="M182" s="331">
        <f t="shared" si="76"/>
        <v>2027</v>
      </c>
      <c r="N182" s="344"/>
      <c r="O182" s="408"/>
      <c r="P182" s="408"/>
      <c r="Q182" s="408"/>
      <c r="R182" s="323" t="str">
        <f t="shared" si="77"/>
        <v/>
      </c>
      <c r="S182" s="323" t="str">
        <f t="shared" ref="S182:T182" si="190">if(and(P182 &lt;&gt; "", O182 &lt;&gt; ""), P182/O182, "")</f>
        <v/>
      </c>
      <c r="T182" s="324" t="str">
        <f t="shared" si="190"/>
        <v/>
      </c>
      <c r="U182" s="409"/>
      <c r="V182" s="409"/>
      <c r="W182" s="409"/>
      <c r="X182" s="410" t="str">
        <f t="shared" si="102"/>
        <v/>
      </c>
      <c r="Y182" s="347"/>
      <c r="Z182" s="304"/>
      <c r="AA182" s="304"/>
      <c r="AB182" s="304"/>
      <c r="AC182" s="304"/>
      <c r="AD182" s="304"/>
      <c r="AE182" s="304"/>
      <c r="AF182" s="304"/>
      <c r="AG182" s="304"/>
      <c r="AH182" s="304"/>
    </row>
    <row r="183">
      <c r="A183" s="286"/>
      <c r="B183" s="355"/>
      <c r="C183" s="355"/>
      <c r="D183" s="355"/>
      <c r="E183" s="355"/>
      <c r="F183" s="355"/>
      <c r="G183" s="355"/>
      <c r="H183" s="355"/>
      <c r="I183" s="355"/>
      <c r="J183" s="355"/>
      <c r="K183" s="343"/>
      <c r="L183" s="343"/>
      <c r="M183" s="331">
        <f t="shared" si="76"/>
        <v>2027</v>
      </c>
      <c r="N183" s="344"/>
      <c r="O183" s="408"/>
      <c r="P183" s="408"/>
      <c r="Q183" s="408"/>
      <c r="R183" s="323" t="str">
        <f t="shared" si="77"/>
        <v/>
      </c>
      <c r="S183" s="323" t="str">
        <f t="shared" ref="S183:T183" si="191">if(and(P183 &lt;&gt; "", O183 &lt;&gt; ""), P183/O183, "")</f>
        <v/>
      </c>
      <c r="T183" s="324" t="str">
        <f t="shared" si="191"/>
        <v/>
      </c>
      <c r="U183" s="409"/>
      <c r="V183" s="409"/>
      <c r="W183" s="409"/>
      <c r="X183" s="410" t="str">
        <f t="shared" si="102"/>
        <v/>
      </c>
      <c r="Y183" s="347"/>
      <c r="Z183" s="304"/>
      <c r="AA183" s="304"/>
      <c r="AB183" s="304"/>
      <c r="AC183" s="304"/>
      <c r="AD183" s="304"/>
      <c r="AE183" s="304"/>
      <c r="AF183" s="304"/>
      <c r="AG183" s="304"/>
      <c r="AH183" s="304"/>
    </row>
    <row r="184">
      <c r="A184" s="286"/>
      <c r="B184" s="355"/>
      <c r="C184" s="355"/>
      <c r="D184" s="355"/>
      <c r="E184" s="355"/>
      <c r="F184" s="355"/>
      <c r="G184" s="355"/>
      <c r="H184" s="355"/>
      <c r="I184" s="355"/>
      <c r="J184" s="355"/>
      <c r="K184" s="343"/>
      <c r="L184" s="343"/>
      <c r="M184" s="331">
        <f t="shared" si="76"/>
        <v>2027</v>
      </c>
      <c r="N184" s="344"/>
      <c r="O184" s="408"/>
      <c r="P184" s="408"/>
      <c r="Q184" s="408"/>
      <c r="R184" s="323" t="str">
        <f t="shared" si="77"/>
        <v/>
      </c>
      <c r="S184" s="323" t="str">
        <f t="shared" ref="S184:T184" si="192">if(and(P184 &lt;&gt; "", O184 &lt;&gt; ""), P184/O184, "")</f>
        <v/>
      </c>
      <c r="T184" s="324" t="str">
        <f t="shared" si="192"/>
        <v/>
      </c>
      <c r="U184" s="409"/>
      <c r="V184" s="409"/>
      <c r="W184" s="409"/>
      <c r="X184" s="410" t="str">
        <f t="shared" si="102"/>
        <v/>
      </c>
      <c r="Y184" s="347"/>
      <c r="Z184" s="304"/>
      <c r="AA184" s="304"/>
      <c r="AB184" s="304"/>
      <c r="AC184" s="304"/>
      <c r="AD184" s="304"/>
      <c r="AE184" s="304"/>
      <c r="AF184" s="304"/>
      <c r="AG184" s="304"/>
      <c r="AH184" s="304"/>
    </row>
    <row r="185">
      <c r="A185" s="286"/>
      <c r="B185" s="355"/>
      <c r="C185" s="355"/>
      <c r="D185" s="355"/>
      <c r="E185" s="355"/>
      <c r="F185" s="355"/>
      <c r="G185" s="355"/>
      <c r="H185" s="355"/>
      <c r="I185" s="355"/>
      <c r="J185" s="355"/>
      <c r="K185" s="343"/>
      <c r="L185" s="343"/>
      <c r="M185" s="331">
        <f t="shared" si="76"/>
        <v>2027</v>
      </c>
      <c r="N185" s="344"/>
      <c r="O185" s="408"/>
      <c r="P185" s="408"/>
      <c r="Q185" s="408"/>
      <c r="R185" s="323" t="str">
        <f t="shared" si="77"/>
        <v/>
      </c>
      <c r="S185" s="323" t="str">
        <f t="shared" ref="S185:T185" si="193">if(and(P185 &lt;&gt; "", O185 &lt;&gt; ""), P185/O185, "")</f>
        <v/>
      </c>
      <c r="T185" s="324" t="str">
        <f t="shared" si="193"/>
        <v/>
      </c>
      <c r="U185" s="409"/>
      <c r="V185" s="409"/>
      <c r="W185" s="409"/>
      <c r="X185" s="410" t="str">
        <f t="shared" si="102"/>
        <v/>
      </c>
      <c r="Y185" s="347"/>
      <c r="Z185" s="304"/>
      <c r="AA185" s="304"/>
      <c r="AB185" s="304"/>
      <c r="AC185" s="304"/>
      <c r="AD185" s="304"/>
      <c r="AE185" s="304"/>
      <c r="AF185" s="304"/>
      <c r="AG185" s="304"/>
      <c r="AH185" s="304"/>
    </row>
    <row r="186">
      <c r="A186" s="286"/>
      <c r="B186" s="355"/>
      <c r="C186" s="355"/>
      <c r="D186" s="355"/>
      <c r="E186" s="355"/>
      <c r="F186" s="355"/>
      <c r="G186" s="355"/>
      <c r="H186" s="355"/>
      <c r="I186" s="355"/>
      <c r="J186" s="355"/>
      <c r="K186" s="343"/>
      <c r="L186" s="343"/>
      <c r="M186" s="331">
        <f t="shared" si="76"/>
        <v>2027</v>
      </c>
      <c r="N186" s="344"/>
      <c r="O186" s="408"/>
      <c r="P186" s="408"/>
      <c r="Q186" s="408"/>
      <c r="R186" s="323" t="str">
        <f t="shared" si="77"/>
        <v/>
      </c>
      <c r="S186" s="323" t="str">
        <f t="shared" ref="S186:T186" si="194">if(and(P186 &lt;&gt; "", O186 &lt;&gt; ""), P186/O186, "")</f>
        <v/>
      </c>
      <c r="T186" s="324" t="str">
        <f t="shared" si="194"/>
        <v/>
      </c>
      <c r="U186" s="409"/>
      <c r="V186" s="409"/>
      <c r="W186" s="409"/>
      <c r="X186" s="410" t="str">
        <f t="shared" si="102"/>
        <v/>
      </c>
      <c r="Y186" s="347"/>
      <c r="Z186" s="304"/>
      <c r="AA186" s="304"/>
      <c r="AB186" s="304"/>
      <c r="AC186" s="304"/>
      <c r="AD186" s="304"/>
      <c r="AE186" s="304"/>
      <c r="AF186" s="304"/>
      <c r="AG186" s="304"/>
      <c r="AH186" s="304"/>
    </row>
    <row r="187">
      <c r="A187" s="286"/>
      <c r="B187" s="355"/>
      <c r="C187" s="355"/>
      <c r="D187" s="355"/>
      <c r="E187" s="355"/>
      <c r="F187" s="355"/>
      <c r="G187" s="355"/>
      <c r="H187" s="355"/>
      <c r="I187" s="355"/>
      <c r="J187" s="355"/>
      <c r="K187" s="343"/>
      <c r="L187" s="343"/>
      <c r="M187" s="331">
        <f t="shared" si="76"/>
        <v>2027</v>
      </c>
      <c r="N187" s="344"/>
      <c r="O187" s="408"/>
      <c r="P187" s="408"/>
      <c r="Q187" s="408"/>
      <c r="R187" s="323" t="str">
        <f t="shared" si="77"/>
        <v/>
      </c>
      <c r="S187" s="323" t="str">
        <f t="shared" ref="S187:T187" si="195">if(and(P187 &lt;&gt; "", O187 &lt;&gt; ""), P187/O187, "")</f>
        <v/>
      </c>
      <c r="T187" s="324" t="str">
        <f t="shared" si="195"/>
        <v/>
      </c>
      <c r="U187" s="409"/>
      <c r="V187" s="409"/>
      <c r="W187" s="409"/>
      <c r="X187" s="410" t="str">
        <f t="shared" si="102"/>
        <v/>
      </c>
      <c r="Y187" s="347"/>
      <c r="Z187" s="304"/>
      <c r="AA187" s="304"/>
      <c r="AB187" s="304"/>
      <c r="AC187" s="304"/>
      <c r="AD187" s="304"/>
      <c r="AE187" s="304"/>
      <c r="AF187" s="304"/>
      <c r="AG187" s="304"/>
      <c r="AH187" s="304"/>
    </row>
    <row r="188">
      <c r="A188" s="286"/>
      <c r="B188" s="355"/>
      <c r="C188" s="355"/>
      <c r="D188" s="355"/>
      <c r="E188" s="355"/>
      <c r="F188" s="355"/>
      <c r="G188" s="355"/>
      <c r="H188" s="355"/>
      <c r="I188" s="355"/>
      <c r="J188" s="355"/>
      <c r="K188" s="343"/>
      <c r="L188" s="343"/>
      <c r="M188" s="331">
        <f t="shared" si="76"/>
        <v>2027</v>
      </c>
      <c r="N188" s="344"/>
      <c r="O188" s="408"/>
      <c r="P188" s="408"/>
      <c r="Q188" s="408"/>
      <c r="R188" s="323" t="str">
        <f t="shared" si="77"/>
        <v/>
      </c>
      <c r="S188" s="323" t="str">
        <f t="shared" ref="S188:T188" si="196">if(and(P188 &lt;&gt; "", O188 &lt;&gt; ""), P188/O188, "")</f>
        <v/>
      </c>
      <c r="T188" s="324" t="str">
        <f t="shared" si="196"/>
        <v/>
      </c>
      <c r="U188" s="409"/>
      <c r="V188" s="409"/>
      <c r="W188" s="409"/>
      <c r="X188" s="410" t="str">
        <f t="shared" si="102"/>
        <v/>
      </c>
      <c r="Y188" s="347"/>
      <c r="Z188" s="304"/>
      <c r="AA188" s="304"/>
      <c r="AB188" s="304"/>
      <c r="AC188" s="304"/>
      <c r="AD188" s="304"/>
      <c r="AE188" s="304"/>
      <c r="AF188" s="304"/>
      <c r="AG188" s="304"/>
      <c r="AH188" s="304"/>
    </row>
    <row r="189">
      <c r="A189" s="286"/>
      <c r="B189" s="355"/>
      <c r="C189" s="355"/>
      <c r="D189" s="355"/>
      <c r="E189" s="355"/>
      <c r="F189" s="355"/>
      <c r="G189" s="355"/>
      <c r="H189" s="355"/>
      <c r="I189" s="355"/>
      <c r="J189" s="355"/>
      <c r="K189" s="343"/>
      <c r="L189" s="343"/>
      <c r="M189" s="331">
        <f t="shared" si="76"/>
        <v>2027</v>
      </c>
      <c r="N189" s="344"/>
      <c r="O189" s="408"/>
      <c r="P189" s="408"/>
      <c r="Q189" s="408"/>
      <c r="R189" s="323" t="str">
        <f t="shared" si="77"/>
        <v/>
      </c>
      <c r="S189" s="323" t="str">
        <f t="shared" ref="S189:T189" si="197">if(and(P189 &lt;&gt; "", O189 &lt;&gt; ""), P189/O189, "")</f>
        <v/>
      </c>
      <c r="T189" s="324" t="str">
        <f t="shared" si="197"/>
        <v/>
      </c>
      <c r="U189" s="409"/>
      <c r="V189" s="409"/>
      <c r="W189" s="409"/>
      <c r="X189" s="410" t="str">
        <f t="shared" si="102"/>
        <v/>
      </c>
      <c r="Y189" s="347"/>
      <c r="Z189" s="304"/>
      <c r="AA189" s="304"/>
      <c r="AB189" s="304"/>
      <c r="AC189" s="304"/>
      <c r="AD189" s="304"/>
      <c r="AE189" s="304"/>
      <c r="AF189" s="304"/>
      <c r="AG189" s="304"/>
      <c r="AH189" s="304"/>
    </row>
    <row r="190">
      <c r="A190" s="286"/>
      <c r="B190" s="355"/>
      <c r="C190" s="355"/>
      <c r="D190" s="355"/>
      <c r="E190" s="355"/>
      <c r="F190" s="355"/>
      <c r="G190" s="355"/>
      <c r="H190" s="355"/>
      <c r="I190" s="355"/>
      <c r="J190" s="355"/>
      <c r="K190" s="343"/>
      <c r="L190" s="343"/>
      <c r="M190" s="331">
        <f t="shared" si="76"/>
        <v>2027</v>
      </c>
      <c r="N190" s="344"/>
      <c r="O190" s="408"/>
      <c r="P190" s="408"/>
      <c r="Q190" s="408"/>
      <c r="R190" s="323" t="str">
        <f t="shared" si="77"/>
        <v/>
      </c>
      <c r="S190" s="323" t="str">
        <f t="shared" ref="S190:T190" si="198">if(and(P190 &lt;&gt; "", O190 &lt;&gt; ""), P190/O190, "")</f>
        <v/>
      </c>
      <c r="T190" s="324" t="str">
        <f t="shared" si="198"/>
        <v/>
      </c>
      <c r="U190" s="409"/>
      <c r="V190" s="409"/>
      <c r="W190" s="409"/>
      <c r="X190" s="410" t="str">
        <f t="shared" si="102"/>
        <v/>
      </c>
      <c r="Y190" s="347"/>
      <c r="Z190" s="304"/>
      <c r="AA190" s="304"/>
      <c r="AB190" s="304"/>
      <c r="AC190" s="304"/>
      <c r="AD190" s="304"/>
      <c r="AE190" s="304"/>
      <c r="AF190" s="304"/>
      <c r="AG190" s="304"/>
      <c r="AH190" s="304"/>
    </row>
    <row r="191">
      <c r="A191" s="286"/>
      <c r="B191" s="355"/>
      <c r="C191" s="355"/>
      <c r="D191" s="355"/>
      <c r="E191" s="355"/>
      <c r="F191" s="355"/>
      <c r="G191" s="355"/>
      <c r="H191" s="355"/>
      <c r="I191" s="355"/>
      <c r="J191" s="355"/>
      <c r="K191" s="343"/>
      <c r="L191" s="343"/>
      <c r="M191" s="331">
        <f t="shared" si="76"/>
        <v>2027</v>
      </c>
      <c r="N191" s="344"/>
      <c r="O191" s="408"/>
      <c r="P191" s="408"/>
      <c r="Q191" s="408"/>
      <c r="R191" s="323" t="str">
        <f t="shared" si="77"/>
        <v/>
      </c>
      <c r="S191" s="323" t="str">
        <f t="shared" ref="S191:T191" si="199">if(and(P191 &lt;&gt; "", O191 &lt;&gt; ""), P191/O191, "")</f>
        <v/>
      </c>
      <c r="T191" s="324" t="str">
        <f t="shared" si="199"/>
        <v/>
      </c>
      <c r="U191" s="409"/>
      <c r="V191" s="409"/>
      <c r="W191" s="409"/>
      <c r="X191" s="410" t="str">
        <f t="shared" si="102"/>
        <v/>
      </c>
      <c r="Y191" s="347"/>
      <c r="Z191" s="304"/>
      <c r="AA191" s="304"/>
      <c r="AB191" s="304"/>
      <c r="AC191" s="304"/>
      <c r="AD191" s="304"/>
      <c r="AE191" s="304"/>
      <c r="AF191" s="304"/>
      <c r="AG191" s="304"/>
      <c r="AH191" s="304"/>
    </row>
    <row r="192">
      <c r="A192" s="286"/>
      <c r="B192" s="355"/>
      <c r="C192" s="355"/>
      <c r="D192" s="355"/>
      <c r="E192" s="355"/>
      <c r="F192" s="355"/>
      <c r="G192" s="355"/>
      <c r="H192" s="355"/>
      <c r="I192" s="355"/>
      <c r="J192" s="355"/>
      <c r="K192" s="343"/>
      <c r="L192" s="343"/>
      <c r="M192" s="331">
        <f t="shared" si="76"/>
        <v>2027</v>
      </c>
      <c r="N192" s="344"/>
      <c r="O192" s="408"/>
      <c r="P192" s="408"/>
      <c r="Q192" s="408"/>
      <c r="R192" s="323" t="str">
        <f t="shared" si="77"/>
        <v/>
      </c>
      <c r="S192" s="323" t="str">
        <f t="shared" ref="S192:T192" si="200">if(and(P192 &lt;&gt; "", O192 &lt;&gt; ""), P192/O192, "")</f>
        <v/>
      </c>
      <c r="T192" s="324" t="str">
        <f t="shared" si="200"/>
        <v/>
      </c>
      <c r="U192" s="409"/>
      <c r="V192" s="409"/>
      <c r="W192" s="409"/>
      <c r="X192" s="410" t="str">
        <f t="shared" si="102"/>
        <v/>
      </c>
      <c r="Y192" s="347"/>
      <c r="Z192" s="304"/>
      <c r="AA192" s="304"/>
      <c r="AB192" s="304"/>
      <c r="AC192" s="304"/>
      <c r="AD192" s="304"/>
      <c r="AE192" s="304"/>
      <c r="AF192" s="304"/>
      <c r="AG192" s="304"/>
      <c r="AH192" s="304"/>
    </row>
    <row r="193">
      <c r="A193" s="286"/>
      <c r="B193" s="355"/>
      <c r="C193" s="355"/>
      <c r="D193" s="355"/>
      <c r="E193" s="355"/>
      <c r="F193" s="355"/>
      <c r="G193" s="355"/>
      <c r="H193" s="355"/>
      <c r="I193" s="355"/>
      <c r="J193" s="355"/>
      <c r="K193" s="343"/>
      <c r="L193" s="343"/>
      <c r="M193" s="331">
        <f t="shared" si="76"/>
        <v>2027</v>
      </c>
      <c r="N193" s="344"/>
      <c r="O193" s="408"/>
      <c r="P193" s="408"/>
      <c r="Q193" s="408"/>
      <c r="R193" s="323" t="str">
        <f t="shared" si="77"/>
        <v/>
      </c>
      <c r="S193" s="323" t="str">
        <f t="shared" ref="S193:T193" si="201">if(and(P193 &lt;&gt; "", O193 &lt;&gt; ""), P193/O193, "")</f>
        <v/>
      </c>
      <c r="T193" s="324" t="str">
        <f t="shared" si="201"/>
        <v/>
      </c>
      <c r="U193" s="409"/>
      <c r="V193" s="409"/>
      <c r="W193" s="409"/>
      <c r="X193" s="410" t="str">
        <f t="shared" si="102"/>
        <v/>
      </c>
      <c r="Y193" s="347"/>
      <c r="Z193" s="304"/>
      <c r="AA193" s="304"/>
      <c r="AB193" s="304"/>
      <c r="AC193" s="304"/>
      <c r="AD193" s="304"/>
      <c r="AE193" s="304"/>
      <c r="AF193" s="304"/>
      <c r="AG193" s="304"/>
      <c r="AH193" s="304"/>
    </row>
    <row r="194">
      <c r="A194" s="286"/>
      <c r="B194" s="355"/>
      <c r="C194" s="355"/>
      <c r="D194" s="355"/>
      <c r="E194" s="355"/>
      <c r="F194" s="355"/>
      <c r="G194" s="355"/>
      <c r="H194" s="355"/>
      <c r="I194" s="355"/>
      <c r="J194" s="355"/>
      <c r="K194" s="343"/>
      <c r="L194" s="343"/>
      <c r="M194" s="331">
        <f t="shared" si="76"/>
        <v>2027</v>
      </c>
      <c r="N194" s="344"/>
      <c r="O194" s="408"/>
      <c r="P194" s="408"/>
      <c r="Q194" s="408"/>
      <c r="R194" s="323" t="str">
        <f t="shared" si="77"/>
        <v/>
      </c>
      <c r="S194" s="323" t="str">
        <f t="shared" ref="S194:T194" si="202">if(and(P194 &lt;&gt; "", O194 &lt;&gt; ""), P194/O194, "")</f>
        <v/>
      </c>
      <c r="T194" s="324" t="str">
        <f t="shared" si="202"/>
        <v/>
      </c>
      <c r="U194" s="409"/>
      <c r="V194" s="409"/>
      <c r="W194" s="409"/>
      <c r="X194" s="410" t="str">
        <f t="shared" si="102"/>
        <v/>
      </c>
      <c r="Y194" s="347"/>
      <c r="Z194" s="304"/>
      <c r="AA194" s="304"/>
      <c r="AB194" s="304"/>
      <c r="AC194" s="304"/>
      <c r="AD194" s="304"/>
      <c r="AE194" s="304"/>
      <c r="AF194" s="304"/>
      <c r="AG194" s="304"/>
      <c r="AH194" s="304"/>
    </row>
    <row r="195">
      <c r="A195" s="286"/>
      <c r="B195" s="355"/>
      <c r="C195" s="355"/>
      <c r="D195" s="355"/>
      <c r="E195" s="355"/>
      <c r="F195" s="355"/>
      <c r="G195" s="355"/>
      <c r="H195" s="355"/>
      <c r="I195" s="355"/>
      <c r="J195" s="355"/>
      <c r="K195" s="343"/>
      <c r="L195" s="343"/>
      <c r="M195" s="331">
        <f t="shared" si="76"/>
        <v>2027</v>
      </c>
      <c r="N195" s="344"/>
      <c r="O195" s="408"/>
      <c r="P195" s="408"/>
      <c r="Q195" s="408"/>
      <c r="R195" s="323" t="str">
        <f t="shared" si="77"/>
        <v/>
      </c>
      <c r="S195" s="323" t="str">
        <f t="shared" ref="S195:T195" si="203">if(and(P195 &lt;&gt; "", O195 &lt;&gt; ""), P195/O195, "")</f>
        <v/>
      </c>
      <c r="T195" s="324" t="str">
        <f t="shared" si="203"/>
        <v/>
      </c>
      <c r="U195" s="409"/>
      <c r="V195" s="409"/>
      <c r="W195" s="409"/>
      <c r="X195" s="410" t="str">
        <f t="shared" si="102"/>
        <v/>
      </c>
      <c r="Y195" s="347"/>
      <c r="Z195" s="304"/>
      <c r="AA195" s="304"/>
      <c r="AB195" s="304"/>
      <c r="AC195" s="304"/>
      <c r="AD195" s="304"/>
      <c r="AE195" s="304"/>
      <c r="AF195" s="304"/>
      <c r="AG195" s="304"/>
      <c r="AH195" s="304"/>
    </row>
    <row r="196">
      <c r="A196" s="286"/>
      <c r="B196" s="355"/>
      <c r="C196" s="355"/>
      <c r="D196" s="355"/>
      <c r="E196" s="355"/>
      <c r="F196" s="355"/>
      <c r="G196" s="355"/>
      <c r="H196" s="355"/>
      <c r="I196" s="355"/>
      <c r="J196" s="355"/>
      <c r="K196" s="343"/>
      <c r="L196" s="343"/>
      <c r="M196" s="331">
        <f t="shared" si="76"/>
        <v>2027</v>
      </c>
      <c r="N196" s="344"/>
      <c r="O196" s="408"/>
      <c r="P196" s="408"/>
      <c r="Q196" s="408"/>
      <c r="R196" s="323" t="str">
        <f t="shared" si="77"/>
        <v/>
      </c>
      <c r="S196" s="323" t="str">
        <f t="shared" ref="S196:T196" si="204">if(and(P196 &lt;&gt; "", O196 &lt;&gt; ""), P196/O196, "")</f>
        <v/>
      </c>
      <c r="T196" s="324" t="str">
        <f t="shared" si="204"/>
        <v/>
      </c>
      <c r="U196" s="409"/>
      <c r="V196" s="409"/>
      <c r="W196" s="409"/>
      <c r="X196" s="410" t="str">
        <f t="shared" si="102"/>
        <v/>
      </c>
      <c r="Y196" s="347"/>
      <c r="Z196" s="304"/>
      <c r="AA196" s="304"/>
      <c r="AB196" s="304"/>
      <c r="AC196" s="304"/>
      <c r="AD196" s="304"/>
      <c r="AE196" s="304"/>
      <c r="AF196" s="304"/>
      <c r="AG196" s="304"/>
      <c r="AH196" s="304"/>
    </row>
    <row r="197">
      <c r="A197" s="286"/>
      <c r="B197" s="355"/>
      <c r="C197" s="355"/>
      <c r="D197" s="355"/>
      <c r="E197" s="355"/>
      <c r="F197" s="355"/>
      <c r="G197" s="355"/>
      <c r="H197" s="355"/>
      <c r="I197" s="355"/>
      <c r="J197" s="355"/>
      <c r="K197" s="343"/>
      <c r="L197" s="343"/>
      <c r="M197" s="331">
        <f t="shared" si="76"/>
        <v>2027</v>
      </c>
      <c r="N197" s="344"/>
      <c r="O197" s="408"/>
      <c r="P197" s="408"/>
      <c r="Q197" s="408"/>
      <c r="R197" s="323" t="str">
        <f t="shared" si="77"/>
        <v/>
      </c>
      <c r="S197" s="323" t="str">
        <f t="shared" ref="S197:T197" si="205">if(and(P197 &lt;&gt; "", O197 &lt;&gt; ""), P197/O197, "")</f>
        <v/>
      </c>
      <c r="T197" s="324" t="str">
        <f t="shared" si="205"/>
        <v/>
      </c>
      <c r="U197" s="409"/>
      <c r="V197" s="409"/>
      <c r="W197" s="409"/>
      <c r="X197" s="410" t="str">
        <f t="shared" si="102"/>
        <v/>
      </c>
      <c r="Y197" s="347"/>
      <c r="Z197" s="304"/>
      <c r="AA197" s="304"/>
      <c r="AB197" s="304"/>
      <c r="AC197" s="304"/>
      <c r="AD197" s="304"/>
      <c r="AE197" s="304"/>
      <c r="AF197" s="304"/>
      <c r="AG197" s="304"/>
      <c r="AH197" s="304"/>
    </row>
    <row r="198">
      <c r="A198" s="286"/>
      <c r="B198" s="355"/>
      <c r="C198" s="355"/>
      <c r="D198" s="355"/>
      <c r="E198" s="355"/>
      <c r="F198" s="355"/>
      <c r="G198" s="355"/>
      <c r="H198" s="355"/>
      <c r="I198" s="355"/>
      <c r="J198" s="355"/>
      <c r="K198" s="343"/>
      <c r="L198" s="343"/>
      <c r="M198" s="331">
        <f t="shared" si="76"/>
        <v>2027</v>
      </c>
      <c r="N198" s="344"/>
      <c r="O198" s="408"/>
      <c r="P198" s="408"/>
      <c r="Q198" s="408"/>
      <c r="R198" s="323" t="str">
        <f t="shared" si="77"/>
        <v/>
      </c>
      <c r="S198" s="323" t="str">
        <f t="shared" ref="S198:T198" si="206">if(and(P198 &lt;&gt; "", O198 &lt;&gt; ""), P198/O198, "")</f>
        <v/>
      </c>
      <c r="T198" s="324" t="str">
        <f t="shared" si="206"/>
        <v/>
      </c>
      <c r="U198" s="409"/>
      <c r="V198" s="409"/>
      <c r="W198" s="409"/>
      <c r="X198" s="410" t="str">
        <f t="shared" si="102"/>
        <v/>
      </c>
      <c r="Y198" s="347"/>
      <c r="Z198" s="304"/>
      <c r="AA198" s="304"/>
      <c r="AB198" s="304"/>
      <c r="AC198" s="304"/>
      <c r="AD198" s="304"/>
      <c r="AE198" s="304"/>
      <c r="AF198" s="304"/>
      <c r="AG198" s="304"/>
      <c r="AH198" s="304"/>
    </row>
    <row r="199">
      <c r="A199" s="286"/>
      <c r="B199" s="355"/>
      <c r="C199" s="355"/>
      <c r="D199" s="355"/>
      <c r="E199" s="355"/>
      <c r="F199" s="355"/>
      <c r="G199" s="355"/>
      <c r="H199" s="355"/>
      <c r="I199" s="355"/>
      <c r="J199" s="355"/>
      <c r="K199" s="343"/>
      <c r="L199" s="343"/>
      <c r="M199" s="331">
        <f t="shared" si="76"/>
        <v>2027</v>
      </c>
      <c r="N199" s="344"/>
      <c r="O199" s="408"/>
      <c r="P199" s="408"/>
      <c r="Q199" s="408"/>
      <c r="R199" s="323" t="str">
        <f t="shared" si="77"/>
        <v/>
      </c>
      <c r="S199" s="323" t="str">
        <f t="shared" ref="S199:T199" si="207">if(and(P199 &lt;&gt; "", O199 &lt;&gt; ""), P199/O199, "")</f>
        <v/>
      </c>
      <c r="T199" s="324" t="str">
        <f t="shared" si="207"/>
        <v/>
      </c>
      <c r="U199" s="409"/>
      <c r="V199" s="409"/>
      <c r="W199" s="409"/>
      <c r="X199" s="410" t="str">
        <f t="shared" si="102"/>
        <v/>
      </c>
      <c r="Y199" s="347"/>
      <c r="Z199" s="304"/>
      <c r="AA199" s="304"/>
      <c r="AB199" s="304"/>
      <c r="AC199" s="304"/>
      <c r="AD199" s="304"/>
      <c r="AE199" s="304"/>
      <c r="AF199" s="304"/>
      <c r="AG199" s="304"/>
      <c r="AH199" s="304"/>
    </row>
    <row r="200">
      <c r="A200" s="286"/>
      <c r="B200" s="355"/>
      <c r="C200" s="355"/>
      <c r="D200" s="355"/>
      <c r="E200" s="355"/>
      <c r="F200" s="355"/>
      <c r="G200" s="355"/>
      <c r="H200" s="355"/>
      <c r="I200" s="355"/>
      <c r="J200" s="355"/>
      <c r="K200" s="343"/>
      <c r="L200" s="343"/>
      <c r="M200" s="331">
        <f t="shared" si="76"/>
        <v>2027</v>
      </c>
      <c r="N200" s="344"/>
      <c r="O200" s="408"/>
      <c r="P200" s="408"/>
      <c r="Q200" s="408"/>
      <c r="R200" s="323" t="str">
        <f t="shared" si="77"/>
        <v/>
      </c>
      <c r="S200" s="323" t="str">
        <f t="shared" ref="S200:T200" si="208">if(and(P200 &lt;&gt; "", O200 &lt;&gt; ""), P200/O200, "")</f>
        <v/>
      </c>
      <c r="T200" s="324" t="str">
        <f t="shared" si="208"/>
        <v/>
      </c>
      <c r="U200" s="409"/>
      <c r="V200" s="409"/>
      <c r="W200" s="409"/>
      <c r="X200" s="410" t="str">
        <f t="shared" si="102"/>
        <v/>
      </c>
      <c r="Y200" s="347"/>
      <c r="Z200" s="304"/>
      <c r="AA200" s="304"/>
      <c r="AB200" s="304"/>
      <c r="AC200" s="304"/>
      <c r="AD200" s="304"/>
      <c r="AE200" s="304"/>
      <c r="AF200" s="304"/>
      <c r="AG200" s="304"/>
      <c r="AH200" s="304"/>
    </row>
    <row r="201">
      <c r="A201" s="286"/>
      <c r="B201" s="355"/>
      <c r="C201" s="355"/>
      <c r="D201" s="355"/>
      <c r="E201" s="355"/>
      <c r="F201" s="355"/>
      <c r="G201" s="355"/>
      <c r="H201" s="355"/>
      <c r="I201" s="355"/>
      <c r="J201" s="355"/>
      <c r="K201" s="343"/>
      <c r="L201" s="343"/>
      <c r="M201" s="331">
        <f t="shared" si="76"/>
        <v>2027</v>
      </c>
      <c r="N201" s="344"/>
      <c r="O201" s="408"/>
      <c r="P201" s="408"/>
      <c r="Q201" s="408"/>
      <c r="R201" s="323" t="str">
        <f t="shared" si="77"/>
        <v/>
      </c>
      <c r="S201" s="323" t="str">
        <f t="shared" ref="S201:T201" si="209">if(and(P201 &lt;&gt; "", O201 &lt;&gt; ""), P201/O201, "")</f>
        <v/>
      </c>
      <c r="T201" s="324" t="str">
        <f t="shared" si="209"/>
        <v/>
      </c>
      <c r="U201" s="409"/>
      <c r="V201" s="409"/>
      <c r="W201" s="409"/>
      <c r="X201" s="410" t="str">
        <f t="shared" si="102"/>
        <v/>
      </c>
      <c r="Y201" s="347"/>
      <c r="Z201" s="304"/>
      <c r="AA201" s="304"/>
      <c r="AB201" s="304"/>
      <c r="AC201" s="304"/>
      <c r="AD201" s="304"/>
      <c r="AE201" s="304"/>
      <c r="AF201" s="304"/>
      <c r="AG201" s="304"/>
      <c r="AH201" s="304"/>
    </row>
    <row r="202">
      <c r="A202" s="286"/>
      <c r="B202" s="355"/>
      <c r="C202" s="355"/>
      <c r="D202" s="355"/>
      <c r="E202" s="355"/>
      <c r="F202" s="355"/>
      <c r="G202" s="355"/>
      <c r="H202" s="355"/>
      <c r="I202" s="355"/>
      <c r="J202" s="355"/>
      <c r="K202" s="343"/>
      <c r="L202" s="343"/>
      <c r="M202" s="331">
        <f t="shared" si="76"/>
        <v>2027</v>
      </c>
      <c r="N202" s="344"/>
      <c r="O202" s="408"/>
      <c r="P202" s="408"/>
      <c r="Q202" s="408"/>
      <c r="R202" s="323" t="str">
        <f t="shared" si="77"/>
        <v/>
      </c>
      <c r="S202" s="323" t="str">
        <f t="shared" ref="S202:T202" si="210">if(and(P202 &lt;&gt; "", O202 &lt;&gt; ""), P202/O202, "")</f>
        <v/>
      </c>
      <c r="T202" s="324" t="str">
        <f t="shared" si="210"/>
        <v/>
      </c>
      <c r="U202" s="409"/>
      <c r="V202" s="409"/>
      <c r="W202" s="409"/>
      <c r="X202" s="410" t="str">
        <f t="shared" si="102"/>
        <v/>
      </c>
      <c r="Y202" s="347"/>
      <c r="Z202" s="304"/>
      <c r="AA202" s="304"/>
      <c r="AB202" s="304"/>
      <c r="AC202" s="304"/>
      <c r="AD202" s="304"/>
      <c r="AE202" s="304"/>
      <c r="AF202" s="304"/>
      <c r="AG202" s="304"/>
      <c r="AH202" s="304"/>
    </row>
    <row r="203">
      <c r="A203" s="286"/>
      <c r="B203" s="355"/>
      <c r="C203" s="355"/>
      <c r="D203" s="355"/>
      <c r="E203" s="355"/>
      <c r="F203" s="355"/>
      <c r="G203" s="355"/>
      <c r="H203" s="355"/>
      <c r="I203" s="355"/>
      <c r="J203" s="355"/>
      <c r="K203" s="343"/>
      <c r="L203" s="343"/>
      <c r="M203" s="331">
        <f t="shared" si="76"/>
        <v>2027</v>
      </c>
      <c r="N203" s="344"/>
      <c r="O203" s="408"/>
      <c r="P203" s="408"/>
      <c r="Q203" s="408"/>
      <c r="R203" s="323" t="str">
        <f t="shared" si="77"/>
        <v/>
      </c>
      <c r="S203" s="323" t="str">
        <f t="shared" ref="S203:T203" si="211">if(and(P203 &lt;&gt; "", O203 &lt;&gt; ""), P203/O203, "")</f>
        <v/>
      </c>
      <c r="T203" s="324" t="str">
        <f t="shared" si="211"/>
        <v/>
      </c>
      <c r="U203" s="409"/>
      <c r="V203" s="409"/>
      <c r="W203" s="409"/>
      <c r="X203" s="410" t="str">
        <f t="shared" si="102"/>
        <v/>
      </c>
      <c r="Y203" s="347"/>
      <c r="Z203" s="304"/>
      <c r="AA203" s="304"/>
      <c r="AB203" s="304"/>
      <c r="AC203" s="304"/>
      <c r="AD203" s="304"/>
      <c r="AE203" s="304"/>
      <c r="AF203" s="304"/>
      <c r="AG203" s="304"/>
      <c r="AH203" s="304"/>
    </row>
    <row r="204">
      <c r="A204" s="286"/>
      <c r="B204" s="355"/>
      <c r="C204" s="355"/>
      <c r="D204" s="355"/>
      <c r="E204" s="355"/>
      <c r="F204" s="355"/>
      <c r="G204" s="355"/>
      <c r="H204" s="355"/>
      <c r="I204" s="355"/>
      <c r="J204" s="355"/>
      <c r="K204" s="343"/>
      <c r="L204" s="343"/>
      <c r="M204" s="331">
        <f t="shared" si="76"/>
        <v>2027</v>
      </c>
      <c r="N204" s="344"/>
      <c r="O204" s="408"/>
      <c r="P204" s="408"/>
      <c r="Q204" s="408"/>
      <c r="R204" s="323" t="str">
        <f t="shared" si="77"/>
        <v/>
      </c>
      <c r="S204" s="323" t="str">
        <f t="shared" ref="S204:T204" si="212">if(and(P204 &lt;&gt; "", O204 &lt;&gt; ""), P204/O204, "")</f>
        <v/>
      </c>
      <c r="T204" s="324" t="str">
        <f t="shared" si="212"/>
        <v/>
      </c>
      <c r="U204" s="409"/>
      <c r="V204" s="409"/>
      <c r="W204" s="409"/>
      <c r="X204" s="410" t="str">
        <f t="shared" si="102"/>
        <v/>
      </c>
      <c r="Y204" s="347"/>
      <c r="Z204" s="304"/>
      <c r="AA204" s="304"/>
      <c r="AB204" s="304"/>
      <c r="AC204" s="304"/>
      <c r="AD204" s="304"/>
      <c r="AE204" s="304"/>
      <c r="AF204" s="304"/>
      <c r="AG204" s="304"/>
      <c r="AH204" s="304"/>
    </row>
    <row r="205">
      <c r="A205" s="286"/>
      <c r="B205" s="355"/>
      <c r="C205" s="355"/>
      <c r="D205" s="355"/>
      <c r="E205" s="355"/>
      <c r="F205" s="355"/>
      <c r="G205" s="355"/>
      <c r="H205" s="355"/>
      <c r="I205" s="355"/>
      <c r="J205" s="355"/>
      <c r="K205" s="343"/>
      <c r="L205" s="343"/>
      <c r="M205" s="331">
        <f t="shared" si="76"/>
        <v>2027</v>
      </c>
      <c r="N205" s="344"/>
      <c r="O205" s="408"/>
      <c r="P205" s="408"/>
      <c r="Q205" s="408"/>
      <c r="R205" s="323" t="str">
        <f t="shared" si="77"/>
        <v/>
      </c>
      <c r="S205" s="323" t="str">
        <f t="shared" ref="S205:T205" si="213">if(and(P205 &lt;&gt; "", O205 &lt;&gt; ""), P205/O205, "")</f>
        <v/>
      </c>
      <c r="T205" s="324" t="str">
        <f t="shared" si="213"/>
        <v/>
      </c>
      <c r="U205" s="409"/>
      <c r="V205" s="409"/>
      <c r="W205" s="409"/>
      <c r="X205" s="410" t="str">
        <f t="shared" si="102"/>
        <v/>
      </c>
      <c r="Y205" s="347"/>
      <c r="Z205" s="304"/>
      <c r="AA205" s="304"/>
      <c r="AB205" s="304"/>
      <c r="AC205" s="304"/>
      <c r="AD205" s="304"/>
      <c r="AE205" s="304"/>
      <c r="AF205" s="304"/>
      <c r="AG205" s="304"/>
      <c r="AH205" s="304"/>
    </row>
    <row r="206">
      <c r="A206" s="286"/>
      <c r="B206" s="355"/>
      <c r="C206" s="355"/>
      <c r="D206" s="355"/>
      <c r="E206" s="355"/>
      <c r="F206" s="355"/>
      <c r="G206" s="355"/>
      <c r="H206" s="355"/>
      <c r="I206" s="355"/>
      <c r="J206" s="355"/>
      <c r="K206" s="343"/>
      <c r="L206" s="343"/>
      <c r="M206" s="331">
        <f t="shared" si="76"/>
        <v>2027</v>
      </c>
      <c r="N206" s="344"/>
      <c r="O206" s="408"/>
      <c r="P206" s="408"/>
      <c r="Q206" s="408"/>
      <c r="R206" s="323" t="str">
        <f t="shared" si="77"/>
        <v/>
      </c>
      <c r="S206" s="323" t="str">
        <f t="shared" ref="S206:T206" si="214">if(and(P206 &lt;&gt; "", O206 &lt;&gt; ""), P206/O206, "")</f>
        <v/>
      </c>
      <c r="T206" s="324" t="str">
        <f t="shared" si="214"/>
        <v/>
      </c>
      <c r="U206" s="409"/>
      <c r="V206" s="409"/>
      <c r="W206" s="409"/>
      <c r="X206" s="410" t="str">
        <f t="shared" si="102"/>
        <v/>
      </c>
      <c r="Y206" s="347"/>
      <c r="Z206" s="304"/>
      <c r="AA206" s="304"/>
      <c r="AB206" s="304"/>
      <c r="AC206" s="304"/>
      <c r="AD206" s="304"/>
      <c r="AE206" s="304"/>
      <c r="AF206" s="304"/>
      <c r="AG206" s="304"/>
      <c r="AH206" s="304"/>
    </row>
    <row r="207">
      <c r="A207" s="286"/>
      <c r="B207" s="355"/>
      <c r="C207" s="355"/>
      <c r="D207" s="355"/>
      <c r="E207" s="355"/>
      <c r="F207" s="355"/>
      <c r="G207" s="355"/>
      <c r="H207" s="355"/>
      <c r="I207" s="355"/>
      <c r="J207" s="355"/>
      <c r="K207" s="343"/>
      <c r="L207" s="343"/>
      <c r="M207" s="331">
        <f t="shared" si="76"/>
        <v>2027</v>
      </c>
      <c r="N207" s="344"/>
      <c r="O207" s="408"/>
      <c r="P207" s="408"/>
      <c r="Q207" s="408"/>
      <c r="R207" s="323" t="str">
        <f t="shared" si="77"/>
        <v/>
      </c>
      <c r="S207" s="323" t="str">
        <f t="shared" ref="S207:T207" si="215">if(and(P207 &lt;&gt; "", O207 &lt;&gt; ""), P207/O207, "")</f>
        <v/>
      </c>
      <c r="T207" s="324" t="str">
        <f t="shared" si="215"/>
        <v/>
      </c>
      <c r="U207" s="409"/>
      <c r="V207" s="409"/>
      <c r="W207" s="409"/>
      <c r="X207" s="410" t="str">
        <f t="shared" si="102"/>
        <v/>
      </c>
      <c r="Y207" s="347"/>
      <c r="Z207" s="304"/>
      <c r="AA207" s="304"/>
      <c r="AB207" s="304"/>
      <c r="AC207" s="304"/>
      <c r="AD207" s="304"/>
      <c r="AE207" s="304"/>
      <c r="AF207" s="304"/>
      <c r="AG207" s="304"/>
      <c r="AH207" s="304"/>
    </row>
    <row r="208">
      <c r="A208" s="286"/>
      <c r="B208" s="355"/>
      <c r="C208" s="355"/>
      <c r="D208" s="355"/>
      <c r="E208" s="355"/>
      <c r="F208" s="355"/>
      <c r="G208" s="355"/>
      <c r="H208" s="355"/>
      <c r="I208" s="355"/>
      <c r="J208" s="355"/>
      <c r="K208" s="343"/>
      <c r="L208" s="343"/>
      <c r="M208" s="331">
        <f t="shared" si="76"/>
        <v>2027</v>
      </c>
      <c r="N208" s="344"/>
      <c r="O208" s="408"/>
      <c r="P208" s="408"/>
      <c r="Q208" s="408"/>
      <c r="R208" s="323" t="str">
        <f t="shared" si="77"/>
        <v/>
      </c>
      <c r="S208" s="323" t="str">
        <f t="shared" ref="S208:T208" si="216">if(and(P208 &lt;&gt; "", O208 &lt;&gt; ""), P208/O208, "")</f>
        <v/>
      </c>
      <c r="T208" s="324" t="str">
        <f t="shared" si="216"/>
        <v/>
      </c>
      <c r="U208" s="409"/>
      <c r="V208" s="409"/>
      <c r="W208" s="409"/>
      <c r="X208" s="410" t="str">
        <f t="shared" si="102"/>
        <v/>
      </c>
      <c r="Y208" s="347"/>
      <c r="Z208" s="304"/>
      <c r="AA208" s="304"/>
      <c r="AB208" s="304"/>
      <c r="AC208" s="304"/>
      <c r="AD208" s="304"/>
      <c r="AE208" s="304"/>
      <c r="AF208" s="304"/>
      <c r="AG208" s="304"/>
      <c r="AH208" s="304"/>
    </row>
    <row r="209">
      <c r="A209" s="286"/>
      <c r="B209" s="355"/>
      <c r="C209" s="355"/>
      <c r="D209" s="355"/>
      <c r="E209" s="355"/>
      <c r="F209" s="355"/>
      <c r="G209" s="355"/>
      <c r="H209" s="355"/>
      <c r="I209" s="355"/>
      <c r="J209" s="355"/>
      <c r="K209" s="343"/>
      <c r="L209" s="343"/>
      <c r="M209" s="331">
        <f t="shared" si="76"/>
        <v>2027</v>
      </c>
      <c r="N209" s="344"/>
      <c r="O209" s="408"/>
      <c r="P209" s="408"/>
      <c r="Q209" s="408"/>
      <c r="R209" s="323" t="str">
        <f t="shared" si="77"/>
        <v/>
      </c>
      <c r="S209" s="323" t="str">
        <f t="shared" ref="S209:T209" si="217">if(and(P209 &lt;&gt; "", O209 &lt;&gt; ""), P209/O209, "")</f>
        <v/>
      </c>
      <c r="T209" s="324" t="str">
        <f t="shared" si="217"/>
        <v/>
      </c>
      <c r="U209" s="409"/>
      <c r="V209" s="409"/>
      <c r="W209" s="409"/>
      <c r="X209" s="410" t="str">
        <f t="shared" si="102"/>
        <v/>
      </c>
      <c r="Y209" s="347"/>
      <c r="Z209" s="304"/>
      <c r="AA209" s="304"/>
      <c r="AB209" s="304"/>
      <c r="AC209" s="304"/>
      <c r="AD209" s="304"/>
      <c r="AE209" s="304"/>
      <c r="AF209" s="304"/>
      <c r="AG209" s="304"/>
      <c r="AH209" s="304"/>
    </row>
    <row r="210">
      <c r="A210" s="286"/>
      <c r="B210" s="355"/>
      <c r="C210" s="355"/>
      <c r="D210" s="355"/>
      <c r="E210" s="355"/>
      <c r="F210" s="355"/>
      <c r="G210" s="355"/>
      <c r="H210" s="355"/>
      <c r="I210" s="355"/>
      <c r="J210" s="355"/>
      <c r="K210" s="343"/>
      <c r="L210" s="343"/>
      <c r="M210" s="331">
        <f t="shared" si="76"/>
        <v>2027</v>
      </c>
      <c r="N210" s="344"/>
      <c r="O210" s="408"/>
      <c r="P210" s="408"/>
      <c r="Q210" s="408"/>
      <c r="R210" s="323" t="str">
        <f t="shared" si="77"/>
        <v/>
      </c>
      <c r="S210" s="323" t="str">
        <f t="shared" ref="S210:T210" si="218">if(and(P210 &lt;&gt; "", O210 &lt;&gt; ""), P210/O210, "")</f>
        <v/>
      </c>
      <c r="T210" s="324" t="str">
        <f t="shared" si="218"/>
        <v/>
      </c>
      <c r="U210" s="409"/>
      <c r="V210" s="409"/>
      <c r="W210" s="409"/>
      <c r="X210" s="410" t="str">
        <f t="shared" si="102"/>
        <v/>
      </c>
      <c r="Y210" s="347"/>
      <c r="Z210" s="304"/>
      <c r="AA210" s="304"/>
      <c r="AB210" s="304"/>
      <c r="AC210" s="304"/>
      <c r="AD210" s="304"/>
      <c r="AE210" s="304"/>
      <c r="AF210" s="304"/>
      <c r="AG210" s="304"/>
      <c r="AH210" s="304"/>
    </row>
    <row r="211">
      <c r="A211" s="286"/>
      <c r="B211" s="355"/>
      <c r="C211" s="355"/>
      <c r="D211" s="355"/>
      <c r="E211" s="355"/>
      <c r="F211" s="355"/>
      <c r="G211" s="355"/>
      <c r="H211" s="355"/>
      <c r="I211" s="355"/>
      <c r="J211" s="355"/>
      <c r="K211" s="343"/>
      <c r="L211" s="343"/>
      <c r="M211" s="331">
        <f t="shared" si="76"/>
        <v>2027</v>
      </c>
      <c r="N211" s="344"/>
      <c r="O211" s="408"/>
      <c r="P211" s="408"/>
      <c r="Q211" s="408"/>
      <c r="R211" s="323" t="str">
        <f t="shared" si="77"/>
        <v/>
      </c>
      <c r="S211" s="323" t="str">
        <f t="shared" ref="S211:T211" si="219">if(and(P211 &lt;&gt; "", O211 &lt;&gt; ""), P211/O211, "")</f>
        <v/>
      </c>
      <c r="T211" s="324" t="str">
        <f t="shared" si="219"/>
        <v/>
      </c>
      <c r="U211" s="409"/>
      <c r="V211" s="409"/>
      <c r="W211" s="409"/>
      <c r="X211" s="410" t="str">
        <f t="shared" si="102"/>
        <v/>
      </c>
      <c r="Y211" s="347"/>
      <c r="Z211" s="304"/>
      <c r="AA211" s="304"/>
      <c r="AB211" s="304"/>
      <c r="AC211" s="304"/>
      <c r="AD211" s="304"/>
      <c r="AE211" s="304"/>
      <c r="AF211" s="304"/>
      <c r="AG211" s="304"/>
      <c r="AH211" s="304"/>
    </row>
    <row r="212">
      <c r="A212" s="286"/>
      <c r="B212" s="355"/>
      <c r="C212" s="355"/>
      <c r="D212" s="355"/>
      <c r="E212" s="355"/>
      <c r="F212" s="355"/>
      <c r="G212" s="355"/>
      <c r="H212" s="355"/>
      <c r="I212" s="355"/>
      <c r="J212" s="355"/>
      <c r="K212" s="343"/>
      <c r="L212" s="343"/>
      <c r="M212" s="331">
        <f t="shared" si="76"/>
        <v>2027</v>
      </c>
      <c r="N212" s="344"/>
      <c r="O212" s="408"/>
      <c r="P212" s="408"/>
      <c r="Q212" s="408"/>
      <c r="R212" s="323" t="str">
        <f t="shared" si="77"/>
        <v/>
      </c>
      <c r="S212" s="323" t="str">
        <f t="shared" ref="S212:T212" si="220">if(and(P212 &lt;&gt; "", O212 &lt;&gt; ""), P212/O212, "")</f>
        <v/>
      </c>
      <c r="T212" s="324" t="str">
        <f t="shared" si="220"/>
        <v/>
      </c>
      <c r="U212" s="409"/>
      <c r="V212" s="409"/>
      <c r="W212" s="409"/>
      <c r="X212" s="410" t="str">
        <f t="shared" si="102"/>
        <v/>
      </c>
      <c r="Y212" s="347"/>
      <c r="Z212" s="304"/>
      <c r="AA212" s="304"/>
      <c r="AB212" s="304"/>
      <c r="AC212" s="304"/>
      <c r="AD212" s="304"/>
      <c r="AE212" s="304"/>
      <c r="AF212" s="304"/>
      <c r="AG212" s="304"/>
      <c r="AH212" s="304"/>
    </row>
    <row r="213">
      <c r="A213" s="286"/>
      <c r="B213" s="355"/>
      <c r="C213" s="355"/>
      <c r="D213" s="355"/>
      <c r="E213" s="355"/>
      <c r="F213" s="355"/>
      <c r="G213" s="355"/>
      <c r="H213" s="355"/>
      <c r="I213" s="355"/>
      <c r="J213" s="355"/>
      <c r="K213" s="343"/>
      <c r="L213" s="343"/>
      <c r="M213" s="331">
        <f t="shared" si="76"/>
        <v>2027</v>
      </c>
      <c r="N213" s="344"/>
      <c r="O213" s="408"/>
      <c r="P213" s="408"/>
      <c r="Q213" s="408"/>
      <c r="R213" s="323" t="str">
        <f t="shared" si="77"/>
        <v/>
      </c>
      <c r="S213" s="323" t="str">
        <f t="shared" ref="S213:T213" si="221">if(and(P213 &lt;&gt; "", O213 &lt;&gt; ""), P213/O213, "")</f>
        <v/>
      </c>
      <c r="T213" s="324" t="str">
        <f t="shared" si="221"/>
        <v/>
      </c>
      <c r="U213" s="409"/>
      <c r="V213" s="409"/>
      <c r="W213" s="409"/>
      <c r="X213" s="410" t="str">
        <f t="shared" si="102"/>
        <v/>
      </c>
      <c r="Y213" s="347"/>
      <c r="Z213" s="304"/>
      <c r="AA213" s="304"/>
      <c r="AB213" s="304"/>
      <c r="AC213" s="304"/>
      <c r="AD213" s="304"/>
      <c r="AE213" s="304"/>
      <c r="AF213" s="304"/>
      <c r="AG213" s="304"/>
      <c r="AH213" s="304"/>
    </row>
    <row r="214">
      <c r="A214" s="286"/>
      <c r="B214" s="355"/>
      <c r="C214" s="355"/>
      <c r="D214" s="355"/>
      <c r="E214" s="355"/>
      <c r="F214" s="355"/>
      <c r="G214" s="355"/>
      <c r="H214" s="355"/>
      <c r="I214" s="355"/>
      <c r="J214" s="355"/>
      <c r="K214" s="343"/>
      <c r="L214" s="343"/>
      <c r="M214" s="331">
        <f t="shared" si="76"/>
        <v>2027</v>
      </c>
      <c r="N214" s="344"/>
      <c r="O214" s="408"/>
      <c r="P214" s="408"/>
      <c r="Q214" s="408"/>
      <c r="R214" s="323" t="str">
        <f t="shared" si="77"/>
        <v/>
      </c>
      <c r="S214" s="323" t="str">
        <f t="shared" ref="S214:T214" si="222">if(and(P214 &lt;&gt; "", O214 &lt;&gt; ""), P214/O214, "")</f>
        <v/>
      </c>
      <c r="T214" s="324" t="str">
        <f t="shared" si="222"/>
        <v/>
      </c>
      <c r="U214" s="409"/>
      <c r="V214" s="409"/>
      <c r="W214" s="409"/>
      <c r="X214" s="410" t="str">
        <f t="shared" si="102"/>
        <v/>
      </c>
      <c r="Y214" s="347"/>
      <c r="Z214" s="304"/>
      <c r="AA214" s="304"/>
      <c r="AB214" s="304"/>
      <c r="AC214" s="304"/>
      <c r="AD214" s="304"/>
      <c r="AE214" s="304"/>
      <c r="AF214" s="304"/>
      <c r="AG214" s="304"/>
      <c r="AH214" s="304"/>
    </row>
    <row r="215">
      <c r="A215" s="286"/>
      <c r="B215" s="355"/>
      <c r="C215" s="355"/>
      <c r="D215" s="355"/>
      <c r="E215" s="355"/>
      <c r="F215" s="355"/>
      <c r="G215" s="355"/>
      <c r="H215" s="355"/>
      <c r="I215" s="355"/>
      <c r="J215" s="355"/>
      <c r="K215" s="343"/>
      <c r="L215" s="343"/>
      <c r="M215" s="331">
        <f t="shared" si="76"/>
        <v>2027</v>
      </c>
      <c r="N215" s="344"/>
      <c r="O215" s="355"/>
      <c r="P215" s="355"/>
      <c r="Q215" s="355"/>
      <c r="R215" s="323" t="str">
        <f t="shared" si="77"/>
        <v/>
      </c>
      <c r="S215" s="323" t="str">
        <f t="shared" ref="S215:T215" si="223">if(and(P215 &lt;&gt; "", O215 &lt;&gt; ""), P215/O215, "")</f>
        <v/>
      </c>
      <c r="T215" s="324" t="str">
        <f t="shared" si="223"/>
        <v/>
      </c>
      <c r="U215" s="409"/>
      <c r="V215" s="409"/>
      <c r="W215" s="409"/>
      <c r="X215" s="410" t="str">
        <f t="shared" si="102"/>
        <v/>
      </c>
      <c r="Y215" s="347"/>
      <c r="Z215" s="304"/>
      <c r="AA215" s="304"/>
      <c r="AB215" s="304"/>
      <c r="AC215" s="304"/>
      <c r="AD215" s="304"/>
      <c r="AE215" s="304"/>
      <c r="AF215" s="304"/>
      <c r="AG215" s="304"/>
      <c r="AH215" s="304"/>
    </row>
    <row r="216">
      <c r="A216" s="286"/>
      <c r="B216" s="355"/>
      <c r="C216" s="355"/>
      <c r="D216" s="355"/>
      <c r="E216" s="355"/>
      <c r="F216" s="355"/>
      <c r="G216" s="355"/>
      <c r="H216" s="355"/>
      <c r="I216" s="355"/>
      <c r="J216" s="355"/>
      <c r="K216" s="343"/>
      <c r="L216" s="343"/>
      <c r="M216" s="331">
        <f t="shared" si="76"/>
        <v>2027</v>
      </c>
      <c r="N216" s="344"/>
      <c r="O216" s="355"/>
      <c r="P216" s="355"/>
      <c r="Q216" s="355"/>
      <c r="R216" s="323" t="str">
        <f t="shared" si="77"/>
        <v/>
      </c>
      <c r="S216" s="323" t="str">
        <f t="shared" ref="S216:T216" si="224">if(and(P216 &lt;&gt; "", O216 &lt;&gt; ""), P216/O216, "")</f>
        <v/>
      </c>
      <c r="T216" s="324" t="str">
        <f t="shared" si="224"/>
        <v/>
      </c>
      <c r="U216" s="409"/>
      <c r="V216" s="409"/>
      <c r="W216" s="409"/>
      <c r="X216" s="410" t="str">
        <f t="shared" si="102"/>
        <v/>
      </c>
      <c r="Y216" s="347"/>
      <c r="Z216" s="304"/>
      <c r="AA216" s="304"/>
      <c r="AB216" s="304"/>
      <c r="AC216" s="304"/>
      <c r="AD216" s="304"/>
      <c r="AE216" s="304"/>
      <c r="AF216" s="304"/>
      <c r="AG216" s="304"/>
      <c r="AH216" s="304"/>
    </row>
    <row r="217">
      <c r="A217" s="286"/>
      <c r="B217" s="355"/>
      <c r="C217" s="355"/>
      <c r="D217" s="355"/>
      <c r="E217" s="355"/>
      <c r="F217" s="355"/>
      <c r="G217" s="355"/>
      <c r="H217" s="355"/>
      <c r="I217" s="355"/>
      <c r="J217" s="355"/>
      <c r="K217" s="343"/>
      <c r="L217" s="343"/>
      <c r="M217" s="331">
        <f t="shared" si="76"/>
        <v>2027</v>
      </c>
      <c r="N217" s="344"/>
      <c r="O217" s="355"/>
      <c r="P217" s="355"/>
      <c r="Q217" s="355"/>
      <c r="R217" s="323" t="str">
        <f t="shared" si="77"/>
        <v/>
      </c>
      <c r="S217" s="323" t="str">
        <f t="shared" ref="S217:T217" si="225">if(and(P217 &lt;&gt; "", O217 &lt;&gt; ""), P217/O217, "")</f>
        <v/>
      </c>
      <c r="T217" s="324" t="str">
        <f t="shared" si="225"/>
        <v/>
      </c>
      <c r="U217" s="409"/>
      <c r="V217" s="409"/>
      <c r="W217" s="409"/>
      <c r="X217" s="410" t="str">
        <f t="shared" si="102"/>
        <v/>
      </c>
      <c r="Y217" s="347"/>
      <c r="Z217" s="304"/>
      <c r="AA217" s="304"/>
      <c r="AB217" s="304"/>
      <c r="AC217" s="304"/>
      <c r="AD217" s="304"/>
      <c r="AE217" s="304"/>
      <c r="AF217" s="304"/>
      <c r="AG217" s="304"/>
      <c r="AH217" s="304"/>
    </row>
    <row r="218">
      <c r="A218" s="286"/>
      <c r="B218" s="355"/>
      <c r="C218" s="355"/>
      <c r="D218" s="355"/>
      <c r="E218" s="355"/>
      <c r="F218" s="355"/>
      <c r="G218" s="355"/>
      <c r="H218" s="355"/>
      <c r="I218" s="355"/>
      <c r="J218" s="355"/>
      <c r="K218" s="343"/>
      <c r="L218" s="343"/>
      <c r="M218" s="331">
        <f t="shared" si="76"/>
        <v>2027</v>
      </c>
      <c r="N218" s="344"/>
      <c r="O218" s="355"/>
      <c r="P218" s="355"/>
      <c r="Q218" s="355"/>
      <c r="R218" s="323" t="str">
        <f t="shared" si="77"/>
        <v/>
      </c>
      <c r="S218" s="323" t="str">
        <f t="shared" ref="S218:T218" si="226">if(and(P218 &lt;&gt; "", O218 &lt;&gt; ""), P218/O218, "")</f>
        <v/>
      </c>
      <c r="T218" s="324" t="str">
        <f t="shared" si="226"/>
        <v/>
      </c>
      <c r="U218" s="409"/>
      <c r="V218" s="409"/>
      <c r="W218" s="409"/>
      <c r="X218" s="410" t="str">
        <f t="shared" si="102"/>
        <v/>
      </c>
      <c r="Y218" s="347"/>
      <c r="Z218" s="304"/>
      <c r="AA218" s="304"/>
      <c r="AB218" s="304"/>
      <c r="AC218" s="304"/>
      <c r="AD218" s="304"/>
      <c r="AE218" s="304"/>
      <c r="AF218" s="304"/>
      <c r="AG218" s="304"/>
      <c r="AH218" s="304"/>
    </row>
    <row r="219">
      <c r="A219" s="286"/>
      <c r="B219" s="355"/>
      <c r="C219" s="355"/>
      <c r="D219" s="355"/>
      <c r="E219" s="355"/>
      <c r="F219" s="355"/>
      <c r="G219" s="355"/>
      <c r="H219" s="355"/>
      <c r="I219" s="355"/>
      <c r="J219" s="355"/>
      <c r="K219" s="343"/>
      <c r="L219" s="343"/>
      <c r="M219" s="331">
        <f t="shared" si="76"/>
        <v>2027</v>
      </c>
      <c r="N219" s="344"/>
      <c r="O219" s="355"/>
      <c r="P219" s="355"/>
      <c r="Q219" s="355"/>
      <c r="R219" s="323" t="str">
        <f t="shared" si="77"/>
        <v/>
      </c>
      <c r="S219" s="323" t="str">
        <f t="shared" ref="S219:T219" si="227">if(and(P219 &lt;&gt; "", O219 &lt;&gt; ""), P219/O219, "")</f>
        <v/>
      </c>
      <c r="T219" s="324" t="str">
        <f t="shared" si="227"/>
        <v/>
      </c>
      <c r="U219" s="409"/>
      <c r="V219" s="409"/>
      <c r="W219" s="409"/>
      <c r="X219" s="410" t="str">
        <f t="shared" si="102"/>
        <v/>
      </c>
      <c r="Y219" s="347"/>
      <c r="Z219" s="304"/>
      <c r="AA219" s="304"/>
      <c r="AB219" s="304"/>
      <c r="AC219" s="304"/>
      <c r="AD219" s="304"/>
      <c r="AE219" s="304"/>
      <c r="AF219" s="304"/>
      <c r="AG219" s="304"/>
      <c r="AH219" s="304"/>
    </row>
    <row r="220">
      <c r="A220" s="286"/>
      <c r="B220" s="355"/>
      <c r="C220" s="355"/>
      <c r="D220" s="355"/>
      <c r="E220" s="355"/>
      <c r="F220" s="355"/>
      <c r="G220" s="355"/>
      <c r="H220" s="355"/>
      <c r="I220" s="355"/>
      <c r="J220" s="355"/>
      <c r="K220" s="343"/>
      <c r="L220" s="343"/>
      <c r="M220" s="331">
        <f t="shared" si="76"/>
        <v>2027</v>
      </c>
      <c r="N220" s="344"/>
      <c r="O220" s="355"/>
      <c r="P220" s="355"/>
      <c r="Q220" s="355"/>
      <c r="R220" s="323" t="str">
        <f t="shared" si="77"/>
        <v/>
      </c>
      <c r="S220" s="323" t="str">
        <f t="shared" ref="S220:T220" si="228">if(and(P220 &lt;&gt; "", O220 &lt;&gt; ""), P220/O220, "")</f>
        <v/>
      </c>
      <c r="T220" s="324" t="str">
        <f t="shared" si="228"/>
        <v/>
      </c>
      <c r="U220" s="409"/>
      <c r="V220" s="409"/>
      <c r="W220" s="409"/>
      <c r="X220" s="410" t="str">
        <f t="shared" si="102"/>
        <v/>
      </c>
      <c r="Y220" s="347"/>
      <c r="Z220" s="304"/>
      <c r="AA220" s="304"/>
      <c r="AB220" s="304"/>
      <c r="AC220" s="304"/>
      <c r="AD220" s="304"/>
      <c r="AE220" s="304"/>
      <c r="AF220" s="304"/>
      <c r="AG220" s="304"/>
      <c r="AH220" s="304"/>
    </row>
    <row r="221">
      <c r="A221" s="286"/>
      <c r="B221" s="355"/>
      <c r="C221" s="355"/>
      <c r="D221" s="355"/>
      <c r="E221" s="355"/>
      <c r="F221" s="355"/>
      <c r="G221" s="355"/>
      <c r="H221" s="355"/>
      <c r="I221" s="355"/>
      <c r="J221" s="355"/>
      <c r="K221" s="343"/>
      <c r="L221" s="343"/>
      <c r="M221" s="331">
        <f t="shared" si="76"/>
        <v>2027</v>
      </c>
      <c r="N221" s="344"/>
      <c r="O221" s="355"/>
      <c r="P221" s="355"/>
      <c r="Q221" s="355"/>
      <c r="R221" s="323" t="str">
        <f t="shared" si="77"/>
        <v/>
      </c>
      <c r="S221" s="323" t="str">
        <f t="shared" ref="S221:T221" si="229">if(and(P221 &lt;&gt; "", O221 &lt;&gt; ""), P221/O221, "")</f>
        <v/>
      </c>
      <c r="T221" s="324" t="str">
        <f t="shared" si="229"/>
        <v/>
      </c>
      <c r="U221" s="409"/>
      <c r="V221" s="409"/>
      <c r="W221" s="409"/>
      <c r="X221" s="410" t="str">
        <f t="shared" si="102"/>
        <v/>
      </c>
      <c r="Y221" s="347"/>
      <c r="Z221" s="304"/>
      <c r="AA221" s="304"/>
      <c r="AB221" s="304"/>
      <c r="AC221" s="304"/>
      <c r="AD221" s="304"/>
      <c r="AE221" s="304"/>
      <c r="AF221" s="304"/>
      <c r="AG221" s="304"/>
      <c r="AH221" s="304"/>
    </row>
    <row r="222">
      <c r="A222" s="286"/>
      <c r="B222" s="355"/>
      <c r="C222" s="355"/>
      <c r="D222" s="355"/>
      <c r="E222" s="355"/>
      <c r="F222" s="355"/>
      <c r="G222" s="355"/>
      <c r="H222" s="355"/>
      <c r="I222" s="355"/>
      <c r="J222" s="355"/>
      <c r="K222" s="343"/>
      <c r="L222" s="343"/>
      <c r="M222" s="331">
        <f t="shared" si="76"/>
        <v>2027</v>
      </c>
      <c r="N222" s="344"/>
      <c r="O222" s="355"/>
      <c r="P222" s="355"/>
      <c r="Q222" s="355"/>
      <c r="R222" s="323" t="str">
        <f t="shared" si="77"/>
        <v/>
      </c>
      <c r="S222" s="323" t="str">
        <f t="shared" ref="S222:T222" si="230">if(and(P222 &lt;&gt; "", O222 &lt;&gt; ""), P222/O222, "")</f>
        <v/>
      </c>
      <c r="T222" s="324" t="str">
        <f t="shared" si="230"/>
        <v/>
      </c>
      <c r="U222" s="409"/>
      <c r="V222" s="409"/>
      <c r="W222" s="409"/>
      <c r="X222" s="410" t="str">
        <f t="shared" si="102"/>
        <v/>
      </c>
      <c r="Y222" s="347"/>
      <c r="Z222" s="304"/>
      <c r="AA222" s="304"/>
      <c r="AB222" s="304"/>
      <c r="AC222" s="304"/>
      <c r="AD222" s="304"/>
      <c r="AE222" s="304"/>
      <c r="AF222" s="304"/>
      <c r="AG222" s="304"/>
      <c r="AH222" s="304"/>
    </row>
    <row r="223">
      <c r="A223" s="286"/>
      <c r="B223" s="355"/>
      <c r="C223" s="355"/>
      <c r="D223" s="355"/>
      <c r="E223" s="355"/>
      <c r="F223" s="355"/>
      <c r="G223" s="355"/>
      <c r="H223" s="355"/>
      <c r="I223" s="355"/>
      <c r="J223" s="355"/>
      <c r="K223" s="343"/>
      <c r="L223" s="343"/>
      <c r="M223" s="331">
        <f t="shared" si="76"/>
        <v>2027</v>
      </c>
      <c r="N223" s="344"/>
      <c r="O223" s="355"/>
      <c r="P223" s="355"/>
      <c r="Q223" s="355"/>
      <c r="R223" s="323" t="str">
        <f t="shared" si="77"/>
        <v/>
      </c>
      <c r="S223" s="323" t="str">
        <f t="shared" ref="S223:T223" si="231">if(and(P223 &lt;&gt; "", O223 &lt;&gt; ""), P223/O223, "")</f>
        <v/>
      </c>
      <c r="T223" s="324" t="str">
        <f t="shared" si="231"/>
        <v/>
      </c>
      <c r="U223" s="409"/>
      <c r="V223" s="409"/>
      <c r="W223" s="409"/>
      <c r="X223" s="410" t="str">
        <f t="shared" si="102"/>
        <v/>
      </c>
      <c r="Y223" s="347"/>
      <c r="Z223" s="304"/>
      <c r="AA223" s="304"/>
      <c r="AB223" s="304"/>
      <c r="AC223" s="304"/>
      <c r="AD223" s="304"/>
      <c r="AE223" s="304"/>
      <c r="AF223" s="304"/>
      <c r="AG223" s="304"/>
      <c r="AH223" s="304"/>
    </row>
    <row r="224">
      <c r="A224" s="286"/>
      <c r="B224" s="355"/>
      <c r="C224" s="355"/>
      <c r="D224" s="355"/>
      <c r="E224" s="355"/>
      <c r="F224" s="355"/>
      <c r="G224" s="355"/>
      <c r="H224" s="355"/>
      <c r="I224" s="355"/>
      <c r="J224" s="355"/>
      <c r="K224" s="343"/>
      <c r="L224" s="343"/>
      <c r="M224" s="331">
        <f t="shared" si="76"/>
        <v>2027</v>
      </c>
      <c r="N224" s="344"/>
      <c r="O224" s="355"/>
      <c r="P224" s="355"/>
      <c r="Q224" s="355"/>
      <c r="R224" s="323" t="str">
        <f t="shared" si="77"/>
        <v/>
      </c>
      <c r="S224" s="323" t="str">
        <f t="shared" ref="S224:T224" si="232">if(and(P224 &lt;&gt; "", O224 &lt;&gt; ""), P224/O224, "")</f>
        <v/>
      </c>
      <c r="T224" s="324" t="str">
        <f t="shared" si="232"/>
        <v/>
      </c>
      <c r="U224" s="409"/>
      <c r="V224" s="409"/>
      <c r="W224" s="409"/>
      <c r="X224" s="410" t="str">
        <f t="shared" si="102"/>
        <v/>
      </c>
      <c r="Y224" s="347"/>
      <c r="Z224" s="304"/>
      <c r="AA224" s="304"/>
      <c r="AB224" s="304"/>
      <c r="AC224" s="304"/>
      <c r="AD224" s="304"/>
      <c r="AE224" s="304"/>
      <c r="AF224" s="304"/>
      <c r="AG224" s="304"/>
      <c r="AH224" s="304"/>
    </row>
    <row r="225">
      <c r="A225" s="286"/>
      <c r="B225" s="355"/>
      <c r="C225" s="355"/>
      <c r="D225" s="355"/>
      <c r="E225" s="355"/>
      <c r="F225" s="355"/>
      <c r="G225" s="355"/>
      <c r="H225" s="355"/>
      <c r="I225" s="355"/>
      <c r="J225" s="355"/>
      <c r="K225" s="343"/>
      <c r="L225" s="343"/>
      <c r="M225" s="331">
        <f t="shared" si="76"/>
        <v>2027</v>
      </c>
      <c r="N225" s="344"/>
      <c r="O225" s="355"/>
      <c r="P225" s="355"/>
      <c r="Q225" s="355"/>
      <c r="R225" s="323" t="str">
        <f t="shared" si="77"/>
        <v/>
      </c>
      <c r="S225" s="323" t="str">
        <f t="shared" ref="S225:T225" si="233">if(and(P225 &lt;&gt; "", O225 &lt;&gt; ""), P225/O225, "")</f>
        <v/>
      </c>
      <c r="T225" s="324" t="str">
        <f t="shared" si="233"/>
        <v/>
      </c>
      <c r="U225" s="409"/>
      <c r="V225" s="409"/>
      <c r="W225" s="409"/>
      <c r="X225" s="410" t="str">
        <f t="shared" si="102"/>
        <v/>
      </c>
      <c r="Y225" s="347"/>
      <c r="Z225" s="304"/>
      <c r="AA225" s="304"/>
      <c r="AB225" s="304"/>
      <c r="AC225" s="304"/>
      <c r="AD225" s="304"/>
      <c r="AE225" s="304"/>
      <c r="AF225" s="304"/>
      <c r="AG225" s="304"/>
      <c r="AH225" s="304"/>
    </row>
    <row r="226">
      <c r="A226" s="286"/>
      <c r="B226" s="355"/>
      <c r="C226" s="355"/>
      <c r="D226" s="355"/>
      <c r="E226" s="355"/>
      <c r="F226" s="355"/>
      <c r="G226" s="355"/>
      <c r="H226" s="355"/>
      <c r="I226" s="355"/>
      <c r="J226" s="355"/>
      <c r="K226" s="343"/>
      <c r="L226" s="343"/>
      <c r="M226" s="331">
        <f t="shared" si="76"/>
        <v>2027</v>
      </c>
      <c r="N226" s="344"/>
      <c r="O226" s="355"/>
      <c r="P226" s="355"/>
      <c r="Q226" s="355"/>
      <c r="R226" s="323" t="str">
        <f t="shared" si="77"/>
        <v/>
      </c>
      <c r="S226" s="323" t="str">
        <f t="shared" ref="S226:T226" si="234">if(and(P226 &lt;&gt; "", O226 &lt;&gt; ""), P226/O226, "")</f>
        <v/>
      </c>
      <c r="T226" s="324" t="str">
        <f t="shared" si="234"/>
        <v/>
      </c>
      <c r="U226" s="409"/>
      <c r="V226" s="409"/>
      <c r="W226" s="409"/>
      <c r="X226" s="410" t="str">
        <f t="shared" si="102"/>
        <v/>
      </c>
      <c r="Y226" s="347"/>
      <c r="Z226" s="304"/>
      <c r="AA226" s="304"/>
      <c r="AB226" s="304"/>
      <c r="AC226" s="304"/>
      <c r="AD226" s="304"/>
      <c r="AE226" s="304"/>
      <c r="AF226" s="304"/>
      <c r="AG226" s="304"/>
      <c r="AH226" s="304"/>
    </row>
    <row r="227">
      <c r="A227" s="286"/>
      <c r="B227" s="355"/>
      <c r="C227" s="355"/>
      <c r="D227" s="355"/>
      <c r="E227" s="355"/>
      <c r="F227" s="355"/>
      <c r="G227" s="355"/>
      <c r="H227" s="355"/>
      <c r="I227" s="355"/>
      <c r="J227" s="355"/>
      <c r="K227" s="343"/>
      <c r="L227" s="343"/>
      <c r="M227" s="331">
        <f t="shared" si="76"/>
        <v>2027</v>
      </c>
      <c r="N227" s="344"/>
      <c r="O227" s="355"/>
      <c r="P227" s="355"/>
      <c r="Q227" s="355"/>
      <c r="R227" s="323" t="str">
        <f t="shared" si="77"/>
        <v/>
      </c>
      <c r="S227" s="323" t="str">
        <f t="shared" ref="S227:T227" si="235">if(and(P227 &lt;&gt; "", O227 &lt;&gt; ""), P227/O227, "")</f>
        <v/>
      </c>
      <c r="T227" s="324" t="str">
        <f t="shared" si="235"/>
        <v/>
      </c>
      <c r="U227" s="409"/>
      <c r="V227" s="409"/>
      <c r="W227" s="409"/>
      <c r="X227" s="410" t="str">
        <f t="shared" si="102"/>
        <v/>
      </c>
      <c r="Y227" s="347"/>
      <c r="Z227" s="304"/>
      <c r="AA227" s="304"/>
      <c r="AB227" s="304"/>
      <c r="AC227" s="304"/>
      <c r="AD227" s="304"/>
      <c r="AE227" s="304"/>
      <c r="AF227" s="304"/>
      <c r="AG227" s="304"/>
      <c r="AH227" s="304"/>
    </row>
    <row r="228">
      <c r="A228" s="286"/>
      <c r="B228" s="355"/>
      <c r="C228" s="355"/>
      <c r="D228" s="355"/>
      <c r="E228" s="355"/>
      <c r="F228" s="355"/>
      <c r="G228" s="355"/>
      <c r="H228" s="355"/>
      <c r="I228" s="355"/>
      <c r="J228" s="355"/>
      <c r="K228" s="343"/>
      <c r="L228" s="343"/>
      <c r="M228" s="331">
        <f t="shared" si="76"/>
        <v>2027</v>
      </c>
      <c r="N228" s="344"/>
      <c r="O228" s="355"/>
      <c r="P228" s="355"/>
      <c r="Q228" s="355"/>
      <c r="R228" s="323" t="str">
        <f t="shared" si="77"/>
        <v/>
      </c>
      <c r="S228" s="323" t="str">
        <f t="shared" ref="S228:T228" si="236">if(and(P228 &lt;&gt; "", O228 &lt;&gt; ""), P228/O228, "")</f>
        <v/>
      </c>
      <c r="T228" s="324" t="str">
        <f t="shared" si="236"/>
        <v/>
      </c>
      <c r="U228" s="409"/>
      <c r="V228" s="409"/>
      <c r="W228" s="409"/>
      <c r="X228" s="410" t="str">
        <f t="shared" si="102"/>
        <v/>
      </c>
      <c r="Y228" s="347"/>
      <c r="Z228" s="304"/>
      <c r="AA228" s="304"/>
      <c r="AB228" s="304"/>
      <c r="AC228" s="304"/>
      <c r="AD228" s="304"/>
      <c r="AE228" s="304"/>
      <c r="AF228" s="304"/>
      <c r="AG228" s="304"/>
      <c r="AH228" s="304"/>
    </row>
    <row r="229">
      <c r="A229" s="286"/>
      <c r="B229" s="355"/>
      <c r="C229" s="355"/>
      <c r="D229" s="355"/>
      <c r="E229" s="355"/>
      <c r="F229" s="355"/>
      <c r="G229" s="355"/>
      <c r="H229" s="355"/>
      <c r="I229" s="355"/>
      <c r="J229" s="355"/>
      <c r="K229" s="343"/>
      <c r="L229" s="343"/>
      <c r="M229" s="331">
        <f t="shared" si="76"/>
        <v>2027</v>
      </c>
      <c r="N229" s="344"/>
      <c r="O229" s="355"/>
      <c r="P229" s="355"/>
      <c r="Q229" s="355"/>
      <c r="R229" s="323" t="str">
        <f t="shared" si="77"/>
        <v/>
      </c>
      <c r="S229" s="323" t="str">
        <f t="shared" ref="S229:T229" si="237">if(and(P229 &lt;&gt; "", O229 &lt;&gt; ""), P229/O229, "")</f>
        <v/>
      </c>
      <c r="T229" s="324" t="str">
        <f t="shared" si="237"/>
        <v/>
      </c>
      <c r="U229" s="409"/>
      <c r="V229" s="409"/>
      <c r="W229" s="409"/>
      <c r="X229" s="410" t="str">
        <f t="shared" si="102"/>
        <v/>
      </c>
      <c r="Y229" s="347"/>
      <c r="Z229" s="304"/>
      <c r="AA229" s="304"/>
      <c r="AB229" s="304"/>
      <c r="AC229" s="304"/>
      <c r="AD229" s="304"/>
      <c r="AE229" s="304"/>
      <c r="AF229" s="304"/>
      <c r="AG229" s="304"/>
      <c r="AH229" s="304"/>
    </row>
    <row r="230">
      <c r="A230" s="286"/>
      <c r="B230" s="355"/>
      <c r="C230" s="355"/>
      <c r="D230" s="355"/>
      <c r="E230" s="355"/>
      <c r="F230" s="355"/>
      <c r="G230" s="355"/>
      <c r="H230" s="355"/>
      <c r="I230" s="355"/>
      <c r="J230" s="355"/>
      <c r="K230" s="343"/>
      <c r="L230" s="343"/>
      <c r="M230" s="331">
        <f t="shared" si="76"/>
        <v>2027</v>
      </c>
      <c r="N230" s="344"/>
      <c r="O230" s="355"/>
      <c r="P230" s="355"/>
      <c r="Q230" s="355"/>
      <c r="R230" s="323" t="str">
        <f t="shared" si="77"/>
        <v/>
      </c>
      <c r="S230" s="323" t="str">
        <f t="shared" ref="S230:T230" si="238">if(and(P230 &lt;&gt; "", O230 &lt;&gt; ""), P230/O230, "")</f>
        <v/>
      </c>
      <c r="T230" s="324" t="str">
        <f t="shared" si="238"/>
        <v/>
      </c>
      <c r="U230" s="409"/>
      <c r="V230" s="409"/>
      <c r="W230" s="409"/>
      <c r="X230" s="410" t="str">
        <f t="shared" si="102"/>
        <v/>
      </c>
      <c r="Y230" s="347"/>
      <c r="Z230" s="304"/>
      <c r="AA230" s="304"/>
      <c r="AB230" s="304"/>
      <c r="AC230" s="304"/>
      <c r="AD230" s="304"/>
      <c r="AE230" s="304"/>
      <c r="AF230" s="304"/>
      <c r="AG230" s="304"/>
      <c r="AH230" s="304"/>
    </row>
    <row r="231">
      <c r="A231" s="286"/>
      <c r="B231" s="355"/>
      <c r="C231" s="355"/>
      <c r="D231" s="355"/>
      <c r="E231" s="355"/>
      <c r="F231" s="355"/>
      <c r="G231" s="355"/>
      <c r="H231" s="355"/>
      <c r="I231" s="355"/>
      <c r="J231" s="355"/>
      <c r="K231" s="343"/>
      <c r="L231" s="343"/>
      <c r="M231" s="331">
        <f t="shared" si="76"/>
        <v>2027</v>
      </c>
      <c r="N231" s="344"/>
      <c r="O231" s="355"/>
      <c r="P231" s="355"/>
      <c r="Q231" s="355"/>
      <c r="R231" s="323" t="str">
        <f t="shared" si="77"/>
        <v/>
      </c>
      <c r="S231" s="323" t="str">
        <f t="shared" ref="S231:T231" si="239">if(and(P231 &lt;&gt; "", O231 &lt;&gt; ""), P231/O231, "")</f>
        <v/>
      </c>
      <c r="T231" s="324" t="str">
        <f t="shared" si="239"/>
        <v/>
      </c>
      <c r="U231" s="409"/>
      <c r="V231" s="409"/>
      <c r="W231" s="409"/>
      <c r="X231" s="410" t="str">
        <f t="shared" si="102"/>
        <v/>
      </c>
      <c r="Y231" s="347"/>
      <c r="Z231" s="304"/>
      <c r="AA231" s="304"/>
      <c r="AB231" s="304"/>
      <c r="AC231" s="304"/>
      <c r="AD231" s="304"/>
      <c r="AE231" s="304"/>
      <c r="AF231" s="304"/>
      <c r="AG231" s="304"/>
      <c r="AH231" s="304"/>
    </row>
    <row r="232">
      <c r="A232" s="286"/>
      <c r="B232" s="355"/>
      <c r="C232" s="355"/>
      <c r="D232" s="355"/>
      <c r="E232" s="355"/>
      <c r="F232" s="355"/>
      <c r="G232" s="355"/>
      <c r="H232" s="355"/>
      <c r="I232" s="355"/>
      <c r="J232" s="355"/>
      <c r="K232" s="343"/>
      <c r="L232" s="343"/>
      <c r="M232" s="331">
        <f t="shared" si="76"/>
        <v>2027</v>
      </c>
      <c r="N232" s="344"/>
      <c r="O232" s="355"/>
      <c r="P232" s="355"/>
      <c r="Q232" s="355"/>
      <c r="R232" s="323" t="str">
        <f t="shared" si="77"/>
        <v/>
      </c>
      <c r="S232" s="323" t="str">
        <f t="shared" ref="S232:T232" si="240">if(and(P232 &lt;&gt; "", O232 &lt;&gt; ""), P232/O232, "")</f>
        <v/>
      </c>
      <c r="T232" s="324" t="str">
        <f t="shared" si="240"/>
        <v/>
      </c>
      <c r="U232" s="409"/>
      <c r="V232" s="409"/>
      <c r="W232" s="409"/>
      <c r="X232" s="410" t="str">
        <f t="shared" si="102"/>
        <v/>
      </c>
      <c r="Y232" s="347"/>
      <c r="Z232" s="304"/>
      <c r="AA232" s="304"/>
      <c r="AB232" s="304"/>
      <c r="AC232" s="304"/>
      <c r="AD232" s="304"/>
      <c r="AE232" s="304"/>
      <c r="AF232" s="304"/>
      <c r="AG232" s="304"/>
      <c r="AH232" s="304"/>
    </row>
    <row r="233">
      <c r="A233" s="286"/>
      <c r="B233" s="286"/>
      <c r="C233" s="286"/>
      <c r="D233" s="286"/>
      <c r="E233" s="286"/>
      <c r="F233" s="286"/>
      <c r="G233" s="286"/>
      <c r="H233" s="286"/>
      <c r="I233" s="286"/>
      <c r="J233" s="286"/>
      <c r="K233" s="290"/>
      <c r="L233" s="290"/>
      <c r="M233" s="331">
        <f t="shared" si="76"/>
        <v>2027</v>
      </c>
      <c r="N233" s="411"/>
      <c r="O233" s="286"/>
      <c r="P233" s="286"/>
      <c r="Q233" s="286"/>
      <c r="R233" s="323" t="str">
        <f t="shared" si="77"/>
        <v/>
      </c>
      <c r="S233" s="323" t="str">
        <f t="shared" ref="S233:T233" si="241">if(and(P233 &lt;&gt; "", O233 &lt;&gt; ""), P233/O233, "")</f>
        <v/>
      </c>
      <c r="T233" s="324" t="str">
        <f t="shared" si="241"/>
        <v/>
      </c>
      <c r="U233" s="291"/>
      <c r="V233" s="291"/>
      <c r="W233" s="291"/>
      <c r="X233" s="410" t="str">
        <f t="shared" si="102"/>
        <v/>
      </c>
      <c r="Y233" s="347"/>
      <c r="Z233" s="304"/>
      <c r="AA233" s="304"/>
      <c r="AB233" s="304"/>
      <c r="AC233" s="304"/>
      <c r="AD233" s="304"/>
      <c r="AE233" s="304"/>
      <c r="AF233" s="304"/>
      <c r="AG233" s="304"/>
      <c r="AH233" s="304"/>
    </row>
    <row r="234">
      <c r="A234" s="292"/>
      <c r="B234" s="292"/>
      <c r="C234" s="292"/>
      <c r="D234" s="412"/>
      <c r="E234" s="412"/>
      <c r="F234" s="412"/>
      <c r="G234" s="412"/>
      <c r="H234" s="412"/>
      <c r="I234" s="412"/>
      <c r="J234" s="412"/>
      <c r="K234" s="413"/>
      <c r="L234" s="413"/>
      <c r="M234" s="413"/>
      <c r="N234" s="414"/>
      <c r="O234" s="412"/>
      <c r="P234" s="412"/>
      <c r="Q234" s="412"/>
      <c r="R234" s="412"/>
      <c r="S234" s="412"/>
      <c r="T234" s="412"/>
      <c r="U234" s="292"/>
      <c r="V234" s="292"/>
      <c r="W234" s="292"/>
      <c r="X234" s="415"/>
      <c r="Y234" s="347"/>
      <c r="Z234" s="304"/>
      <c r="AA234" s="304"/>
      <c r="AB234" s="304"/>
      <c r="AC234" s="304"/>
      <c r="AD234" s="304"/>
      <c r="AE234" s="304"/>
      <c r="AF234" s="304"/>
      <c r="AG234" s="304"/>
      <c r="AH234" s="304"/>
    </row>
    <row r="235">
      <c r="A235" s="292"/>
      <c r="B235" s="292"/>
      <c r="C235" s="292"/>
      <c r="D235" s="412"/>
      <c r="E235" s="412"/>
      <c r="F235" s="412"/>
      <c r="G235" s="412"/>
      <c r="H235" s="412"/>
      <c r="I235" s="412"/>
      <c r="J235" s="412"/>
      <c r="K235" s="413"/>
      <c r="L235" s="413"/>
      <c r="M235" s="413"/>
      <c r="N235" s="414"/>
      <c r="O235" s="412"/>
      <c r="P235" s="412"/>
      <c r="Q235" s="412"/>
      <c r="R235" s="412"/>
      <c r="S235" s="412"/>
      <c r="T235" s="412"/>
      <c r="U235" s="292"/>
      <c r="V235" s="292"/>
      <c r="W235" s="292"/>
      <c r="X235" s="415"/>
      <c r="Y235" s="416"/>
      <c r="Z235" s="304"/>
      <c r="AA235" s="304"/>
      <c r="AB235" s="304"/>
      <c r="AC235" s="304"/>
      <c r="AD235" s="304"/>
      <c r="AE235" s="304"/>
      <c r="AF235" s="304"/>
      <c r="AG235" s="304"/>
      <c r="AH235" s="304"/>
    </row>
    <row r="236">
      <c r="A236" s="292"/>
      <c r="B236" s="292"/>
      <c r="C236" s="292"/>
      <c r="D236" s="412"/>
      <c r="E236" s="412"/>
      <c r="F236" s="412"/>
      <c r="G236" s="412"/>
      <c r="H236" s="412"/>
      <c r="I236" s="412"/>
      <c r="J236" s="412"/>
      <c r="K236" s="413"/>
      <c r="L236" s="413"/>
      <c r="M236" s="413"/>
      <c r="N236" s="414"/>
      <c r="O236" s="412"/>
      <c r="P236" s="412"/>
      <c r="Q236" s="412"/>
      <c r="R236" s="412"/>
      <c r="S236" s="412"/>
      <c r="T236" s="412"/>
      <c r="U236" s="292"/>
      <c r="V236" s="292"/>
      <c r="W236" s="292"/>
      <c r="X236" s="415"/>
      <c r="Y236" s="416"/>
      <c r="Z236" s="304"/>
      <c r="AA236" s="304"/>
      <c r="AB236" s="304"/>
      <c r="AC236" s="304"/>
      <c r="AD236" s="304"/>
      <c r="AE236" s="304"/>
      <c r="AF236" s="304"/>
      <c r="AG236" s="304"/>
      <c r="AH236" s="304"/>
    </row>
    <row r="237">
      <c r="A237" s="292"/>
      <c r="B237" s="292"/>
      <c r="C237" s="292"/>
      <c r="D237" s="412"/>
      <c r="E237" s="412"/>
      <c r="F237" s="412"/>
      <c r="G237" s="412"/>
      <c r="H237" s="412"/>
      <c r="I237" s="412"/>
      <c r="J237" s="412"/>
      <c r="K237" s="413"/>
      <c r="L237" s="413"/>
      <c r="M237" s="413"/>
      <c r="N237" s="414"/>
      <c r="O237" s="412"/>
      <c r="P237" s="412"/>
      <c r="Q237" s="412"/>
      <c r="R237" s="412"/>
      <c r="S237" s="412"/>
      <c r="T237" s="412"/>
      <c r="U237" s="292"/>
      <c r="V237" s="292"/>
      <c r="W237" s="292"/>
      <c r="X237" s="415"/>
      <c r="Y237" s="416"/>
      <c r="Z237" s="304"/>
      <c r="AA237" s="304"/>
      <c r="AB237" s="304"/>
      <c r="AC237" s="304"/>
      <c r="AD237" s="304"/>
      <c r="AE237" s="304"/>
      <c r="AF237" s="304"/>
      <c r="AG237" s="304"/>
      <c r="AH237" s="304"/>
    </row>
    <row r="238">
      <c r="A238" s="292"/>
      <c r="B238" s="292"/>
      <c r="C238" s="292"/>
      <c r="D238" s="412"/>
      <c r="E238" s="412"/>
      <c r="F238" s="412"/>
      <c r="G238" s="412"/>
      <c r="H238" s="412"/>
      <c r="I238" s="412"/>
      <c r="J238" s="412"/>
      <c r="K238" s="413"/>
      <c r="L238" s="413"/>
      <c r="M238" s="413"/>
      <c r="N238" s="414"/>
      <c r="O238" s="412"/>
      <c r="P238" s="412"/>
      <c r="Q238" s="412"/>
      <c r="R238" s="412"/>
      <c r="S238" s="412"/>
      <c r="T238" s="412"/>
      <c r="U238" s="292"/>
      <c r="V238" s="292"/>
      <c r="W238" s="292"/>
      <c r="X238" s="415"/>
      <c r="Y238" s="416"/>
      <c r="Z238" s="304"/>
      <c r="AA238" s="304"/>
      <c r="AB238" s="304"/>
      <c r="AC238" s="304"/>
      <c r="AD238" s="304"/>
      <c r="AE238" s="304"/>
      <c r="AF238" s="304"/>
      <c r="AG238" s="304"/>
      <c r="AH238" s="304"/>
    </row>
    <row r="239">
      <c r="A239" s="292"/>
      <c r="B239" s="292"/>
      <c r="C239" s="292"/>
      <c r="D239" s="412"/>
      <c r="E239" s="412"/>
      <c r="F239" s="412"/>
      <c r="G239" s="412"/>
      <c r="H239" s="412"/>
      <c r="I239" s="412"/>
      <c r="J239" s="412"/>
      <c r="K239" s="413"/>
      <c r="L239" s="413"/>
      <c r="M239" s="413"/>
      <c r="N239" s="414"/>
      <c r="O239" s="412"/>
      <c r="P239" s="412"/>
      <c r="Q239" s="412"/>
      <c r="R239" s="412"/>
      <c r="S239" s="412"/>
      <c r="T239" s="412"/>
      <c r="U239" s="292"/>
      <c r="V239" s="292"/>
      <c r="W239" s="292"/>
      <c r="X239" s="415"/>
      <c r="Y239" s="416"/>
      <c r="Z239" s="304"/>
      <c r="AA239" s="304"/>
      <c r="AB239" s="304"/>
      <c r="AC239" s="304"/>
      <c r="AD239" s="304"/>
      <c r="AE239" s="304"/>
      <c r="AF239" s="304"/>
      <c r="AG239" s="304"/>
      <c r="AH239" s="304"/>
    </row>
    <row r="240">
      <c r="A240" s="292"/>
      <c r="B240" s="292"/>
      <c r="C240" s="292"/>
      <c r="D240" s="412"/>
      <c r="E240" s="412"/>
      <c r="F240" s="412"/>
      <c r="G240" s="412"/>
      <c r="H240" s="412"/>
      <c r="I240" s="412"/>
      <c r="J240" s="412"/>
      <c r="K240" s="413"/>
      <c r="L240" s="413"/>
      <c r="M240" s="413"/>
      <c r="N240" s="414"/>
      <c r="O240" s="412"/>
      <c r="P240" s="412"/>
      <c r="Q240" s="412"/>
      <c r="R240" s="412"/>
      <c r="S240" s="412"/>
      <c r="T240" s="412"/>
      <c r="U240" s="292"/>
      <c r="V240" s="292"/>
      <c r="W240" s="292"/>
      <c r="X240" s="415"/>
      <c r="Y240" s="416"/>
      <c r="Z240" s="304"/>
      <c r="AA240" s="304"/>
      <c r="AB240" s="304"/>
      <c r="AC240" s="304"/>
      <c r="AD240" s="304"/>
      <c r="AE240" s="304"/>
      <c r="AF240" s="304"/>
      <c r="AG240" s="304"/>
      <c r="AH240" s="304"/>
    </row>
    <row r="241">
      <c r="A241" s="292"/>
      <c r="B241" s="292"/>
      <c r="C241" s="292"/>
      <c r="D241" s="412"/>
      <c r="E241" s="412"/>
      <c r="F241" s="412"/>
      <c r="G241" s="412"/>
      <c r="H241" s="412"/>
      <c r="I241" s="412"/>
      <c r="J241" s="412"/>
      <c r="K241" s="413"/>
      <c r="L241" s="413"/>
      <c r="M241" s="413"/>
      <c r="N241" s="414"/>
      <c r="O241" s="412"/>
      <c r="P241" s="412"/>
      <c r="Q241" s="412"/>
      <c r="R241" s="412"/>
      <c r="S241" s="412"/>
      <c r="T241" s="412"/>
      <c r="U241" s="292"/>
      <c r="V241" s="292"/>
      <c r="W241" s="292"/>
      <c r="X241" s="415"/>
      <c r="Y241" s="416"/>
      <c r="Z241" s="304"/>
      <c r="AA241" s="304"/>
      <c r="AB241" s="304"/>
      <c r="AC241" s="304"/>
      <c r="AD241" s="304"/>
      <c r="AE241" s="304"/>
      <c r="AF241" s="304"/>
      <c r="AG241" s="304"/>
      <c r="AH241" s="304"/>
    </row>
    <row r="242">
      <c r="A242" s="292"/>
      <c r="B242" s="292"/>
      <c r="C242" s="292"/>
      <c r="D242" s="412"/>
      <c r="E242" s="412"/>
      <c r="F242" s="412"/>
      <c r="G242" s="412"/>
      <c r="H242" s="412"/>
      <c r="I242" s="412"/>
      <c r="J242" s="412"/>
      <c r="K242" s="413"/>
      <c r="L242" s="413"/>
      <c r="M242" s="413"/>
      <c r="N242" s="414"/>
      <c r="O242" s="412"/>
      <c r="P242" s="412"/>
      <c r="Q242" s="412"/>
      <c r="R242" s="412"/>
      <c r="S242" s="412"/>
      <c r="T242" s="412"/>
      <c r="U242" s="292"/>
      <c r="V242" s="292"/>
      <c r="W242" s="292"/>
      <c r="X242" s="415"/>
      <c r="Y242" s="416"/>
      <c r="Z242" s="304"/>
      <c r="AA242" s="304"/>
      <c r="AB242" s="304"/>
      <c r="AC242" s="304"/>
      <c r="AD242" s="304"/>
      <c r="AE242" s="304"/>
      <c r="AF242" s="304"/>
      <c r="AG242" s="304"/>
      <c r="AH242" s="304"/>
    </row>
    <row r="243">
      <c r="A243" s="292"/>
      <c r="B243" s="292"/>
      <c r="C243" s="292"/>
      <c r="D243" s="412"/>
      <c r="E243" s="412"/>
      <c r="F243" s="412"/>
      <c r="G243" s="412"/>
      <c r="H243" s="412"/>
      <c r="I243" s="412"/>
      <c r="J243" s="412"/>
      <c r="K243" s="413"/>
      <c r="L243" s="413"/>
      <c r="M243" s="413"/>
      <c r="N243" s="414"/>
      <c r="O243" s="412"/>
      <c r="P243" s="412"/>
      <c r="Q243" s="412"/>
      <c r="R243" s="412"/>
      <c r="S243" s="412"/>
      <c r="T243" s="412"/>
      <c r="U243" s="292"/>
      <c r="V243" s="292"/>
      <c r="W243" s="292"/>
      <c r="X243" s="415"/>
      <c r="Y243" s="416"/>
      <c r="Z243" s="304"/>
      <c r="AA243" s="304"/>
      <c r="AB243" s="304"/>
      <c r="AC243" s="304"/>
      <c r="AD243" s="304"/>
      <c r="AE243" s="304"/>
      <c r="AF243" s="304"/>
      <c r="AG243" s="304"/>
      <c r="AH243" s="304"/>
    </row>
    <row r="244">
      <c r="A244" s="292"/>
      <c r="B244" s="292"/>
      <c r="C244" s="292"/>
      <c r="D244" s="412"/>
      <c r="E244" s="412"/>
      <c r="F244" s="412"/>
      <c r="G244" s="412"/>
      <c r="H244" s="412"/>
      <c r="I244" s="412"/>
      <c r="J244" s="412"/>
      <c r="K244" s="413"/>
      <c r="L244" s="413"/>
      <c r="M244" s="413"/>
      <c r="N244" s="414"/>
      <c r="O244" s="412"/>
      <c r="P244" s="412"/>
      <c r="Q244" s="412"/>
      <c r="R244" s="412"/>
      <c r="S244" s="412"/>
      <c r="T244" s="412"/>
      <c r="U244" s="292"/>
      <c r="V244" s="292"/>
      <c r="W244" s="292"/>
      <c r="X244" s="415"/>
      <c r="Y244" s="416"/>
      <c r="Z244" s="304"/>
      <c r="AA244" s="304"/>
      <c r="AB244" s="304"/>
      <c r="AC244" s="304"/>
      <c r="AD244" s="304"/>
      <c r="AE244" s="304"/>
      <c r="AF244" s="304"/>
      <c r="AG244" s="304"/>
      <c r="AH244" s="304"/>
    </row>
    <row r="245">
      <c r="A245" s="292"/>
      <c r="B245" s="292"/>
      <c r="C245" s="292"/>
      <c r="D245" s="412"/>
      <c r="E245" s="412"/>
      <c r="F245" s="412"/>
      <c r="G245" s="412"/>
      <c r="H245" s="412"/>
      <c r="I245" s="412"/>
      <c r="J245" s="412"/>
      <c r="K245" s="413"/>
      <c r="L245" s="413"/>
      <c r="M245" s="413"/>
      <c r="N245" s="414"/>
      <c r="O245" s="412"/>
      <c r="P245" s="412"/>
      <c r="Q245" s="412"/>
      <c r="R245" s="412"/>
      <c r="S245" s="412"/>
      <c r="T245" s="412"/>
      <c r="U245" s="292"/>
      <c r="V245" s="292"/>
      <c r="W245" s="292"/>
      <c r="X245" s="415"/>
      <c r="Y245" s="416"/>
      <c r="Z245" s="304"/>
      <c r="AA245" s="304"/>
      <c r="AB245" s="304"/>
      <c r="AC245" s="304"/>
      <c r="AD245" s="304"/>
      <c r="AE245" s="304"/>
      <c r="AF245" s="304"/>
      <c r="AG245" s="304"/>
      <c r="AH245" s="304"/>
    </row>
    <row r="246">
      <c r="A246" s="292"/>
      <c r="B246" s="292"/>
      <c r="C246" s="292"/>
      <c r="D246" s="412"/>
      <c r="E246" s="412"/>
      <c r="F246" s="412"/>
      <c r="G246" s="412"/>
      <c r="H246" s="412"/>
      <c r="I246" s="412"/>
      <c r="J246" s="412"/>
      <c r="K246" s="413"/>
      <c r="L246" s="413"/>
      <c r="M246" s="413"/>
      <c r="N246" s="414"/>
      <c r="O246" s="412"/>
      <c r="P246" s="412"/>
      <c r="Q246" s="412"/>
      <c r="R246" s="412"/>
      <c r="S246" s="412"/>
      <c r="T246" s="412"/>
      <c r="U246" s="292"/>
      <c r="V246" s="292"/>
      <c r="W246" s="292"/>
      <c r="X246" s="415"/>
      <c r="Y246" s="416"/>
      <c r="Z246" s="304"/>
      <c r="AA246" s="304"/>
      <c r="AB246" s="304"/>
      <c r="AC246" s="304"/>
      <c r="AD246" s="304"/>
      <c r="AE246" s="304"/>
      <c r="AF246" s="304"/>
      <c r="AG246" s="304"/>
      <c r="AH246" s="304"/>
    </row>
    <row r="247">
      <c r="A247" s="292"/>
      <c r="B247" s="292"/>
      <c r="C247" s="292"/>
      <c r="D247" s="412"/>
      <c r="E247" s="412"/>
      <c r="F247" s="412"/>
      <c r="G247" s="412"/>
      <c r="H247" s="412"/>
      <c r="I247" s="412"/>
      <c r="J247" s="412"/>
      <c r="K247" s="413"/>
      <c r="L247" s="413"/>
      <c r="M247" s="413"/>
      <c r="N247" s="414"/>
      <c r="O247" s="412"/>
      <c r="P247" s="412"/>
      <c r="Q247" s="412"/>
      <c r="R247" s="412"/>
      <c r="S247" s="412"/>
      <c r="T247" s="412"/>
      <c r="U247" s="292"/>
      <c r="V247" s="292"/>
      <c r="W247" s="292"/>
      <c r="X247" s="415"/>
      <c r="Y247" s="416"/>
      <c r="Z247" s="304"/>
      <c r="AA247" s="304"/>
      <c r="AB247" s="304"/>
      <c r="AC247" s="304"/>
      <c r="AD247" s="304"/>
      <c r="AE247" s="304"/>
      <c r="AF247" s="304"/>
      <c r="AG247" s="304"/>
      <c r="AH247" s="304"/>
    </row>
    <row r="248">
      <c r="A248" s="292"/>
      <c r="B248" s="292"/>
      <c r="C248" s="292"/>
      <c r="D248" s="412"/>
      <c r="E248" s="412"/>
      <c r="F248" s="412"/>
      <c r="G248" s="412"/>
      <c r="H248" s="412"/>
      <c r="I248" s="412"/>
      <c r="J248" s="412"/>
      <c r="K248" s="413"/>
      <c r="L248" s="413"/>
      <c r="M248" s="413"/>
      <c r="N248" s="414"/>
      <c r="O248" s="412"/>
      <c r="P248" s="412"/>
      <c r="Q248" s="412"/>
      <c r="R248" s="412"/>
      <c r="S248" s="412"/>
      <c r="T248" s="412"/>
      <c r="U248" s="292"/>
      <c r="V248" s="292"/>
      <c r="W248" s="292"/>
      <c r="X248" s="415"/>
      <c r="Y248" s="416"/>
      <c r="Z248" s="304"/>
      <c r="AA248" s="304"/>
      <c r="AB248" s="304"/>
      <c r="AC248" s="304"/>
      <c r="AD248" s="304"/>
      <c r="AE248" s="304"/>
      <c r="AF248" s="304"/>
      <c r="AG248" s="304"/>
      <c r="AH248" s="304"/>
    </row>
    <row r="249">
      <c r="A249" s="292"/>
      <c r="B249" s="292"/>
      <c r="C249" s="292"/>
      <c r="D249" s="412"/>
      <c r="E249" s="412"/>
      <c r="F249" s="412"/>
      <c r="G249" s="412"/>
      <c r="H249" s="412"/>
      <c r="I249" s="412"/>
      <c r="J249" s="412"/>
      <c r="K249" s="413"/>
      <c r="L249" s="413"/>
      <c r="M249" s="413"/>
      <c r="N249" s="414"/>
      <c r="O249" s="412"/>
      <c r="P249" s="412"/>
      <c r="Q249" s="412"/>
      <c r="R249" s="412"/>
      <c r="S249" s="412"/>
      <c r="T249" s="412"/>
      <c r="U249" s="292"/>
      <c r="V249" s="292"/>
      <c r="W249" s="292"/>
      <c r="X249" s="415"/>
      <c r="Y249" s="416"/>
      <c r="Z249" s="304"/>
      <c r="AA249" s="304"/>
      <c r="AB249" s="304"/>
      <c r="AC249" s="304"/>
      <c r="AD249" s="304"/>
      <c r="AE249" s="304"/>
      <c r="AF249" s="304"/>
      <c r="AG249" s="304"/>
      <c r="AH249" s="304"/>
    </row>
    <row r="250">
      <c r="A250" s="292"/>
      <c r="B250" s="292"/>
      <c r="C250" s="292"/>
      <c r="D250" s="412"/>
      <c r="E250" s="412"/>
      <c r="F250" s="412"/>
      <c r="G250" s="412"/>
      <c r="H250" s="412"/>
      <c r="I250" s="412"/>
      <c r="J250" s="412"/>
      <c r="K250" s="413"/>
      <c r="L250" s="413"/>
      <c r="M250" s="413"/>
      <c r="N250" s="414"/>
      <c r="O250" s="412"/>
      <c r="P250" s="412"/>
      <c r="Q250" s="412"/>
      <c r="R250" s="412"/>
      <c r="S250" s="412"/>
      <c r="T250" s="412"/>
      <c r="U250" s="292"/>
      <c r="V250" s="292"/>
      <c r="W250" s="292"/>
      <c r="X250" s="415"/>
      <c r="Y250" s="416"/>
      <c r="Z250" s="304"/>
      <c r="AA250" s="304"/>
      <c r="AB250" s="304"/>
      <c r="AC250" s="304"/>
      <c r="AD250" s="304"/>
      <c r="AE250" s="304"/>
      <c r="AF250" s="304"/>
      <c r="AG250" s="304"/>
      <c r="AH250" s="304"/>
    </row>
    <row r="251">
      <c r="A251" s="292"/>
      <c r="B251" s="292"/>
      <c r="C251" s="292"/>
      <c r="D251" s="412"/>
      <c r="E251" s="412"/>
      <c r="F251" s="412"/>
      <c r="G251" s="412"/>
      <c r="H251" s="412"/>
      <c r="I251" s="412"/>
      <c r="J251" s="412"/>
      <c r="K251" s="413"/>
      <c r="L251" s="413"/>
      <c r="M251" s="413"/>
      <c r="N251" s="414"/>
      <c r="O251" s="412"/>
      <c r="P251" s="412"/>
      <c r="Q251" s="412"/>
      <c r="R251" s="412"/>
      <c r="S251" s="412"/>
      <c r="T251" s="412"/>
      <c r="U251" s="292"/>
      <c r="V251" s="292"/>
      <c r="W251" s="292"/>
      <c r="X251" s="415"/>
      <c r="Y251" s="416"/>
      <c r="Z251" s="304"/>
      <c r="AA251" s="304"/>
      <c r="AB251" s="304"/>
      <c r="AC251" s="304"/>
      <c r="AD251" s="304"/>
      <c r="AE251" s="304"/>
      <c r="AF251" s="304"/>
      <c r="AG251" s="304"/>
      <c r="AH251" s="304"/>
    </row>
    <row r="252">
      <c r="A252" s="292"/>
      <c r="B252" s="292"/>
      <c r="C252" s="292"/>
      <c r="D252" s="412"/>
      <c r="E252" s="412"/>
      <c r="F252" s="412"/>
      <c r="G252" s="412"/>
      <c r="H252" s="412"/>
      <c r="I252" s="412"/>
      <c r="J252" s="412"/>
      <c r="K252" s="413"/>
      <c r="L252" s="413"/>
      <c r="M252" s="413"/>
      <c r="N252" s="414"/>
      <c r="O252" s="412"/>
      <c r="P252" s="412"/>
      <c r="Q252" s="412"/>
      <c r="R252" s="412"/>
      <c r="S252" s="412"/>
      <c r="T252" s="412"/>
      <c r="U252" s="292"/>
      <c r="V252" s="292"/>
      <c r="W252" s="292"/>
      <c r="X252" s="415"/>
      <c r="Y252" s="416"/>
      <c r="Z252" s="304"/>
      <c r="AA252" s="304"/>
      <c r="AB252" s="304"/>
      <c r="AC252" s="304"/>
      <c r="AD252" s="304"/>
      <c r="AE252" s="304"/>
      <c r="AF252" s="304"/>
      <c r="AG252" s="304"/>
      <c r="AH252" s="304"/>
    </row>
    <row r="253">
      <c r="A253" s="292"/>
      <c r="B253" s="292"/>
      <c r="C253" s="292"/>
      <c r="D253" s="412"/>
      <c r="E253" s="412"/>
      <c r="F253" s="412"/>
      <c r="G253" s="412"/>
      <c r="H253" s="412"/>
      <c r="I253" s="412"/>
      <c r="J253" s="412"/>
      <c r="K253" s="413"/>
      <c r="L253" s="413"/>
      <c r="M253" s="413"/>
      <c r="N253" s="414"/>
      <c r="O253" s="412"/>
      <c r="P253" s="412"/>
      <c r="Q253" s="412"/>
      <c r="R253" s="412"/>
      <c r="S253" s="412"/>
      <c r="T253" s="412"/>
      <c r="U253" s="292"/>
      <c r="V253" s="292"/>
      <c r="W253" s="292"/>
      <c r="X253" s="415"/>
      <c r="Y253" s="416"/>
      <c r="Z253" s="304"/>
      <c r="AA253" s="304"/>
      <c r="AB253" s="304"/>
      <c r="AC253" s="304"/>
      <c r="AD253" s="304"/>
      <c r="AE253" s="304"/>
      <c r="AF253" s="304"/>
      <c r="AG253" s="304"/>
      <c r="AH253" s="304"/>
    </row>
    <row r="254">
      <c r="A254" s="292"/>
      <c r="B254" s="292"/>
      <c r="C254" s="292"/>
      <c r="D254" s="412"/>
      <c r="E254" s="412"/>
      <c r="F254" s="412"/>
      <c r="G254" s="412"/>
      <c r="H254" s="412"/>
      <c r="I254" s="412"/>
      <c r="J254" s="412"/>
      <c r="K254" s="413"/>
      <c r="L254" s="413"/>
      <c r="M254" s="413"/>
      <c r="N254" s="414"/>
      <c r="O254" s="412"/>
      <c r="P254" s="412"/>
      <c r="Q254" s="412"/>
      <c r="R254" s="412"/>
      <c r="S254" s="412"/>
      <c r="T254" s="412"/>
      <c r="U254" s="292"/>
      <c r="V254" s="292"/>
      <c r="W254" s="292"/>
      <c r="X254" s="415"/>
      <c r="Y254" s="416"/>
      <c r="Z254" s="304"/>
      <c r="AA254" s="304"/>
      <c r="AB254" s="304"/>
      <c r="AC254" s="304"/>
      <c r="AD254" s="304"/>
      <c r="AE254" s="304"/>
      <c r="AF254" s="304"/>
      <c r="AG254" s="304"/>
      <c r="AH254" s="304"/>
    </row>
    <row r="255">
      <c r="A255" s="292"/>
      <c r="B255" s="292"/>
      <c r="C255" s="292"/>
      <c r="D255" s="412"/>
      <c r="E255" s="412"/>
      <c r="F255" s="412"/>
      <c r="G255" s="412"/>
      <c r="H255" s="412"/>
      <c r="I255" s="412"/>
      <c r="J255" s="412"/>
      <c r="K255" s="413"/>
      <c r="L255" s="413"/>
      <c r="M255" s="413"/>
      <c r="N255" s="414"/>
      <c r="O255" s="412"/>
      <c r="P255" s="412"/>
      <c r="Q255" s="412"/>
      <c r="R255" s="412"/>
      <c r="S255" s="412"/>
      <c r="T255" s="412"/>
      <c r="U255" s="292"/>
      <c r="V255" s="292"/>
      <c r="W255" s="292"/>
      <c r="X255" s="415"/>
      <c r="Y255" s="416"/>
      <c r="Z255" s="304"/>
      <c r="AA255" s="304"/>
      <c r="AB255" s="304"/>
      <c r="AC255" s="304"/>
      <c r="AD255" s="304"/>
      <c r="AE255" s="304"/>
      <c r="AF255" s="304"/>
      <c r="AG255" s="304"/>
      <c r="AH255" s="304"/>
    </row>
    <row r="256">
      <c r="A256" s="292"/>
      <c r="B256" s="292"/>
      <c r="C256" s="292"/>
      <c r="D256" s="412"/>
      <c r="E256" s="412"/>
      <c r="F256" s="412"/>
      <c r="G256" s="412"/>
      <c r="H256" s="412"/>
      <c r="I256" s="412"/>
      <c r="J256" s="412"/>
      <c r="K256" s="413"/>
      <c r="L256" s="413"/>
      <c r="M256" s="413"/>
      <c r="N256" s="414"/>
      <c r="O256" s="412"/>
      <c r="P256" s="412"/>
      <c r="Q256" s="412"/>
      <c r="R256" s="412"/>
      <c r="S256" s="412"/>
      <c r="T256" s="412"/>
      <c r="U256" s="292"/>
      <c r="V256" s="292"/>
      <c r="W256" s="292"/>
      <c r="X256" s="415"/>
      <c r="Y256" s="416"/>
      <c r="Z256" s="304"/>
      <c r="AA256" s="304"/>
      <c r="AB256" s="304"/>
      <c r="AC256" s="304"/>
      <c r="AD256" s="304"/>
      <c r="AE256" s="304"/>
      <c r="AF256" s="304"/>
      <c r="AG256" s="304"/>
      <c r="AH256" s="304"/>
    </row>
    <row r="257">
      <c r="A257" s="292"/>
      <c r="B257" s="292"/>
      <c r="C257" s="292"/>
      <c r="D257" s="412"/>
      <c r="E257" s="412"/>
      <c r="F257" s="412"/>
      <c r="G257" s="412"/>
      <c r="H257" s="412"/>
      <c r="I257" s="412"/>
      <c r="J257" s="412"/>
      <c r="K257" s="413"/>
      <c r="L257" s="413"/>
      <c r="M257" s="413"/>
      <c r="N257" s="414"/>
      <c r="O257" s="412"/>
      <c r="P257" s="412"/>
      <c r="Q257" s="412"/>
      <c r="R257" s="412"/>
      <c r="S257" s="412"/>
      <c r="T257" s="412"/>
      <c r="U257" s="292"/>
      <c r="V257" s="292"/>
      <c r="W257" s="292"/>
      <c r="X257" s="415"/>
      <c r="Y257" s="416"/>
      <c r="Z257" s="304"/>
      <c r="AA257" s="304"/>
      <c r="AB257" s="304"/>
      <c r="AC257" s="304"/>
      <c r="AD257" s="304"/>
      <c r="AE257" s="304"/>
      <c r="AF257" s="304"/>
      <c r="AG257" s="304"/>
      <c r="AH257" s="304"/>
    </row>
    <row r="258">
      <c r="A258" s="292"/>
      <c r="B258" s="292"/>
      <c r="C258" s="292"/>
      <c r="D258" s="412"/>
      <c r="E258" s="412"/>
      <c r="F258" s="412"/>
      <c r="G258" s="412"/>
      <c r="H258" s="412"/>
      <c r="I258" s="412"/>
      <c r="J258" s="412"/>
      <c r="K258" s="413"/>
      <c r="L258" s="413"/>
      <c r="M258" s="413"/>
      <c r="N258" s="414"/>
      <c r="O258" s="412"/>
      <c r="P258" s="412"/>
      <c r="Q258" s="412"/>
      <c r="R258" s="412"/>
      <c r="S258" s="412"/>
      <c r="T258" s="412"/>
      <c r="U258" s="292"/>
      <c r="V258" s="292"/>
      <c r="W258" s="292"/>
      <c r="X258" s="415"/>
      <c r="Y258" s="416"/>
      <c r="Z258" s="304"/>
      <c r="AA258" s="304"/>
      <c r="AB258" s="304"/>
      <c r="AC258" s="304"/>
      <c r="AD258" s="304"/>
      <c r="AE258" s="304"/>
      <c r="AF258" s="304"/>
      <c r="AG258" s="304"/>
      <c r="AH258" s="304"/>
    </row>
    <row r="259">
      <c r="A259" s="292"/>
      <c r="B259" s="292"/>
      <c r="C259" s="292"/>
      <c r="D259" s="412"/>
      <c r="E259" s="412"/>
      <c r="F259" s="412"/>
      <c r="G259" s="412"/>
      <c r="H259" s="412"/>
      <c r="I259" s="412"/>
      <c r="J259" s="412"/>
      <c r="K259" s="413"/>
      <c r="L259" s="413"/>
      <c r="M259" s="413"/>
      <c r="N259" s="414"/>
      <c r="O259" s="412"/>
      <c r="P259" s="412"/>
      <c r="Q259" s="412"/>
      <c r="R259" s="412"/>
      <c r="S259" s="412"/>
      <c r="T259" s="412"/>
      <c r="U259" s="292"/>
      <c r="V259" s="292"/>
      <c r="W259" s="292"/>
      <c r="X259" s="415"/>
      <c r="Y259" s="416"/>
      <c r="Z259" s="304"/>
      <c r="AA259" s="304"/>
      <c r="AB259" s="304"/>
      <c r="AC259" s="304"/>
      <c r="AD259" s="304"/>
      <c r="AE259" s="304"/>
      <c r="AF259" s="304"/>
      <c r="AG259" s="304"/>
      <c r="AH259" s="304"/>
    </row>
    <row r="260">
      <c r="A260" s="292"/>
      <c r="B260" s="292"/>
      <c r="C260" s="292"/>
      <c r="D260" s="412"/>
      <c r="E260" s="412"/>
      <c r="F260" s="412"/>
      <c r="G260" s="412"/>
      <c r="H260" s="412"/>
      <c r="I260" s="412"/>
      <c r="J260" s="412"/>
      <c r="K260" s="413"/>
      <c r="L260" s="413"/>
      <c r="M260" s="413"/>
      <c r="N260" s="414"/>
      <c r="O260" s="412"/>
      <c r="P260" s="412"/>
      <c r="Q260" s="412"/>
      <c r="R260" s="412"/>
      <c r="S260" s="412"/>
      <c r="T260" s="412"/>
      <c r="U260" s="292"/>
      <c r="V260" s="292"/>
      <c r="W260" s="292"/>
      <c r="X260" s="415"/>
      <c r="Y260" s="416"/>
      <c r="Z260" s="304"/>
      <c r="AA260" s="304"/>
      <c r="AB260" s="304"/>
      <c r="AC260" s="304"/>
      <c r="AD260" s="304"/>
      <c r="AE260" s="304"/>
      <c r="AF260" s="304"/>
      <c r="AG260" s="304"/>
      <c r="AH260" s="304"/>
    </row>
    <row r="261">
      <c r="A261" s="292"/>
      <c r="B261" s="292"/>
      <c r="C261" s="292"/>
      <c r="D261" s="412"/>
      <c r="E261" s="412"/>
      <c r="F261" s="412"/>
      <c r="G261" s="412"/>
      <c r="H261" s="412"/>
      <c r="I261" s="412"/>
      <c r="J261" s="412"/>
      <c r="K261" s="413"/>
      <c r="L261" s="413"/>
      <c r="M261" s="413"/>
      <c r="N261" s="414"/>
      <c r="O261" s="412"/>
      <c r="P261" s="412"/>
      <c r="Q261" s="412"/>
      <c r="R261" s="412"/>
      <c r="S261" s="412"/>
      <c r="T261" s="412"/>
      <c r="U261" s="292"/>
      <c r="V261" s="292"/>
      <c r="W261" s="292"/>
      <c r="X261" s="415"/>
      <c r="Y261" s="416"/>
      <c r="Z261" s="304"/>
      <c r="AA261" s="304"/>
      <c r="AB261" s="304"/>
      <c r="AC261" s="304"/>
      <c r="AD261" s="304"/>
      <c r="AE261" s="304"/>
      <c r="AF261" s="304"/>
      <c r="AG261" s="304"/>
      <c r="AH261" s="304"/>
    </row>
    <row r="262">
      <c r="A262" s="292"/>
      <c r="B262" s="292"/>
      <c r="C262" s="292"/>
      <c r="D262" s="412"/>
      <c r="E262" s="412"/>
      <c r="F262" s="412"/>
      <c r="G262" s="412"/>
      <c r="H262" s="412"/>
      <c r="I262" s="412"/>
      <c r="J262" s="412"/>
      <c r="K262" s="413"/>
      <c r="L262" s="413"/>
      <c r="M262" s="413"/>
      <c r="N262" s="414"/>
      <c r="O262" s="412"/>
      <c r="P262" s="412"/>
      <c r="Q262" s="412"/>
      <c r="R262" s="412"/>
      <c r="S262" s="412"/>
      <c r="T262" s="412"/>
      <c r="U262" s="292"/>
      <c r="V262" s="292"/>
      <c r="W262" s="292"/>
      <c r="X262" s="415"/>
      <c r="Y262" s="416"/>
      <c r="Z262" s="304"/>
      <c r="AA262" s="304"/>
      <c r="AB262" s="304"/>
      <c r="AC262" s="304"/>
      <c r="AD262" s="304"/>
      <c r="AE262" s="304"/>
      <c r="AF262" s="304"/>
      <c r="AG262" s="304"/>
      <c r="AH262" s="304"/>
    </row>
    <row r="263">
      <c r="A263" s="292"/>
      <c r="B263" s="292"/>
      <c r="C263" s="292"/>
      <c r="D263" s="412"/>
      <c r="E263" s="412"/>
      <c r="F263" s="412"/>
      <c r="G263" s="412"/>
      <c r="H263" s="412"/>
      <c r="I263" s="412"/>
      <c r="J263" s="412"/>
      <c r="K263" s="413"/>
      <c r="L263" s="413"/>
      <c r="M263" s="413"/>
      <c r="N263" s="414"/>
      <c r="O263" s="412"/>
      <c r="P263" s="412"/>
      <c r="Q263" s="412"/>
      <c r="R263" s="412"/>
      <c r="S263" s="412"/>
      <c r="T263" s="412"/>
      <c r="U263" s="292"/>
      <c r="V263" s="292"/>
      <c r="W263" s="292"/>
      <c r="X263" s="415"/>
      <c r="Y263" s="416"/>
      <c r="Z263" s="304"/>
      <c r="AA263" s="304"/>
      <c r="AB263" s="304"/>
      <c r="AC263" s="304"/>
      <c r="AD263" s="304"/>
      <c r="AE263" s="304"/>
      <c r="AF263" s="304"/>
      <c r="AG263" s="304"/>
      <c r="AH263" s="304"/>
    </row>
    <row r="264">
      <c r="A264" s="292"/>
      <c r="B264" s="292"/>
      <c r="C264" s="292"/>
      <c r="D264" s="412"/>
      <c r="E264" s="412"/>
      <c r="F264" s="412"/>
      <c r="G264" s="412"/>
      <c r="H264" s="412"/>
      <c r="I264" s="412"/>
      <c r="J264" s="412"/>
      <c r="K264" s="413"/>
      <c r="L264" s="413"/>
      <c r="M264" s="413"/>
      <c r="N264" s="414"/>
      <c r="O264" s="412"/>
      <c r="P264" s="412"/>
      <c r="Q264" s="412"/>
      <c r="R264" s="412"/>
      <c r="S264" s="412"/>
      <c r="T264" s="412"/>
      <c r="U264" s="292"/>
      <c r="V264" s="292"/>
      <c r="W264" s="292"/>
      <c r="X264" s="415"/>
      <c r="Y264" s="416"/>
      <c r="Z264" s="304"/>
      <c r="AA264" s="304"/>
      <c r="AB264" s="304"/>
      <c r="AC264" s="304"/>
      <c r="AD264" s="304"/>
      <c r="AE264" s="304"/>
      <c r="AF264" s="304"/>
      <c r="AG264" s="304"/>
      <c r="AH264" s="304"/>
    </row>
    <row r="265">
      <c r="A265" s="292"/>
      <c r="B265" s="292"/>
      <c r="C265" s="292"/>
      <c r="D265" s="412"/>
      <c r="E265" s="412"/>
      <c r="F265" s="412"/>
      <c r="G265" s="412"/>
      <c r="H265" s="412"/>
      <c r="I265" s="412"/>
      <c r="J265" s="412"/>
      <c r="K265" s="413"/>
      <c r="L265" s="413"/>
      <c r="M265" s="413"/>
      <c r="N265" s="414"/>
      <c r="O265" s="412"/>
      <c r="P265" s="412"/>
      <c r="Q265" s="412"/>
      <c r="R265" s="412"/>
      <c r="S265" s="412"/>
      <c r="T265" s="412"/>
      <c r="U265" s="292"/>
      <c r="V265" s="292"/>
      <c r="W265" s="292"/>
      <c r="X265" s="415"/>
      <c r="Y265" s="416"/>
      <c r="Z265" s="304"/>
      <c r="AA265" s="304"/>
      <c r="AB265" s="304"/>
      <c r="AC265" s="304"/>
      <c r="AD265" s="304"/>
      <c r="AE265" s="304"/>
      <c r="AF265" s="304"/>
      <c r="AG265" s="304"/>
      <c r="AH265" s="304"/>
    </row>
    <row r="266">
      <c r="A266" s="292"/>
      <c r="B266" s="292"/>
      <c r="C266" s="292"/>
      <c r="D266" s="412"/>
      <c r="E266" s="412"/>
      <c r="F266" s="412"/>
      <c r="G266" s="412"/>
      <c r="H266" s="412"/>
      <c r="I266" s="412"/>
      <c r="J266" s="412"/>
      <c r="K266" s="413"/>
      <c r="L266" s="413"/>
      <c r="M266" s="413"/>
      <c r="N266" s="414"/>
      <c r="O266" s="412"/>
      <c r="P266" s="412"/>
      <c r="Q266" s="412"/>
      <c r="R266" s="412"/>
      <c r="S266" s="412"/>
      <c r="T266" s="412"/>
      <c r="U266" s="292"/>
      <c r="V266" s="292"/>
      <c r="W266" s="292"/>
      <c r="X266" s="415"/>
      <c r="Y266" s="416"/>
      <c r="Z266" s="304"/>
      <c r="AA266" s="304"/>
      <c r="AB266" s="304"/>
      <c r="AC266" s="304"/>
      <c r="AD266" s="304"/>
      <c r="AE266" s="304"/>
      <c r="AF266" s="304"/>
      <c r="AG266" s="304"/>
      <c r="AH266" s="304"/>
    </row>
    <row r="267">
      <c r="A267" s="292"/>
      <c r="B267" s="292"/>
      <c r="C267" s="292"/>
      <c r="D267" s="412"/>
      <c r="E267" s="412"/>
      <c r="F267" s="412"/>
      <c r="G267" s="412"/>
      <c r="H267" s="412"/>
      <c r="I267" s="412"/>
      <c r="J267" s="412"/>
      <c r="K267" s="413"/>
      <c r="L267" s="413"/>
      <c r="M267" s="413"/>
      <c r="N267" s="414"/>
      <c r="O267" s="412"/>
      <c r="P267" s="412"/>
      <c r="Q267" s="412"/>
      <c r="R267" s="412"/>
      <c r="S267" s="412"/>
      <c r="T267" s="412"/>
      <c r="U267" s="292"/>
      <c r="V267" s="292"/>
      <c r="W267" s="292"/>
      <c r="X267" s="415"/>
      <c r="Y267" s="416"/>
      <c r="Z267" s="304"/>
      <c r="AA267" s="304"/>
      <c r="AB267" s="304"/>
      <c r="AC267" s="304"/>
      <c r="AD267" s="304"/>
      <c r="AE267" s="304"/>
      <c r="AF267" s="304"/>
      <c r="AG267" s="304"/>
      <c r="AH267" s="304"/>
    </row>
    <row r="268">
      <c r="A268" s="292"/>
      <c r="B268" s="292"/>
      <c r="C268" s="292"/>
      <c r="D268" s="412"/>
      <c r="E268" s="412"/>
      <c r="F268" s="412"/>
      <c r="G268" s="412"/>
      <c r="H268" s="412"/>
      <c r="I268" s="412"/>
      <c r="J268" s="412"/>
      <c r="K268" s="413"/>
      <c r="L268" s="413"/>
      <c r="M268" s="413"/>
      <c r="N268" s="414"/>
      <c r="O268" s="412"/>
      <c r="P268" s="412"/>
      <c r="Q268" s="412"/>
      <c r="R268" s="412"/>
      <c r="S268" s="412"/>
      <c r="T268" s="412"/>
      <c r="U268" s="292"/>
      <c r="V268" s="292"/>
      <c r="W268" s="292"/>
      <c r="X268" s="415"/>
      <c r="Y268" s="416"/>
      <c r="Z268" s="304"/>
      <c r="AA268" s="304"/>
      <c r="AB268" s="304"/>
      <c r="AC268" s="304"/>
      <c r="AD268" s="304"/>
      <c r="AE268" s="304"/>
      <c r="AF268" s="304"/>
      <c r="AG268" s="304"/>
      <c r="AH268" s="304"/>
    </row>
    <row r="269">
      <c r="A269" s="292"/>
      <c r="B269" s="292"/>
      <c r="C269" s="292"/>
      <c r="D269" s="412"/>
      <c r="E269" s="412"/>
      <c r="F269" s="412"/>
      <c r="G269" s="412"/>
      <c r="H269" s="412"/>
      <c r="I269" s="412"/>
      <c r="J269" s="412"/>
      <c r="K269" s="413"/>
      <c r="L269" s="413"/>
      <c r="M269" s="413"/>
      <c r="N269" s="414"/>
      <c r="O269" s="412"/>
      <c r="P269" s="412"/>
      <c r="Q269" s="412"/>
      <c r="R269" s="412"/>
      <c r="S269" s="412"/>
      <c r="T269" s="412"/>
      <c r="U269" s="292"/>
      <c r="V269" s="292"/>
      <c r="W269" s="292"/>
      <c r="X269" s="415"/>
      <c r="Y269" s="416"/>
      <c r="Z269" s="304"/>
      <c r="AA269" s="304"/>
      <c r="AB269" s="304"/>
      <c r="AC269" s="304"/>
      <c r="AD269" s="304"/>
      <c r="AE269" s="304"/>
      <c r="AF269" s="304"/>
      <c r="AG269" s="304"/>
      <c r="AH269" s="304"/>
    </row>
    <row r="270">
      <c r="A270" s="292"/>
      <c r="B270" s="292"/>
      <c r="C270" s="292"/>
      <c r="D270" s="412"/>
      <c r="E270" s="412"/>
      <c r="F270" s="412"/>
      <c r="G270" s="412"/>
      <c r="H270" s="412"/>
      <c r="I270" s="412"/>
      <c r="J270" s="412"/>
      <c r="K270" s="413"/>
      <c r="L270" s="413"/>
      <c r="M270" s="413"/>
      <c r="N270" s="414"/>
      <c r="O270" s="412"/>
      <c r="P270" s="412"/>
      <c r="Q270" s="412"/>
      <c r="R270" s="412"/>
      <c r="S270" s="412"/>
      <c r="T270" s="412"/>
      <c r="U270" s="292"/>
      <c r="V270" s="292"/>
      <c r="W270" s="292"/>
      <c r="X270" s="415"/>
      <c r="Y270" s="416"/>
      <c r="Z270" s="304"/>
      <c r="AA270" s="304"/>
      <c r="AB270" s="304"/>
      <c r="AC270" s="304"/>
      <c r="AD270" s="304"/>
      <c r="AE270" s="304"/>
      <c r="AF270" s="304"/>
      <c r="AG270" s="304"/>
      <c r="AH270" s="304"/>
    </row>
    <row r="271">
      <c r="A271" s="292"/>
      <c r="B271" s="292"/>
      <c r="C271" s="292"/>
      <c r="D271" s="412"/>
      <c r="E271" s="412"/>
      <c r="F271" s="412"/>
      <c r="G271" s="412"/>
      <c r="H271" s="412"/>
      <c r="I271" s="412"/>
      <c r="J271" s="412"/>
      <c r="K271" s="413"/>
      <c r="L271" s="413"/>
      <c r="M271" s="413"/>
      <c r="N271" s="414"/>
      <c r="O271" s="412"/>
      <c r="P271" s="412"/>
      <c r="Q271" s="412"/>
      <c r="R271" s="412"/>
      <c r="S271" s="412"/>
      <c r="T271" s="412"/>
      <c r="U271" s="292"/>
      <c r="V271" s="292"/>
      <c r="W271" s="292"/>
      <c r="X271" s="415"/>
      <c r="Y271" s="416"/>
      <c r="Z271" s="304"/>
      <c r="AA271" s="304"/>
      <c r="AB271" s="304"/>
      <c r="AC271" s="304"/>
      <c r="AD271" s="304"/>
      <c r="AE271" s="304"/>
      <c r="AF271" s="304"/>
      <c r="AG271" s="304"/>
      <c r="AH271" s="304"/>
    </row>
    <row r="272">
      <c r="A272" s="292"/>
      <c r="B272" s="292"/>
      <c r="C272" s="292"/>
      <c r="D272" s="412"/>
      <c r="E272" s="412"/>
      <c r="F272" s="412"/>
      <c r="G272" s="412"/>
      <c r="H272" s="412"/>
      <c r="I272" s="412"/>
      <c r="J272" s="412"/>
      <c r="K272" s="413"/>
      <c r="L272" s="413"/>
      <c r="M272" s="413"/>
      <c r="N272" s="414"/>
      <c r="O272" s="412"/>
      <c r="P272" s="412"/>
      <c r="Q272" s="412"/>
      <c r="R272" s="412"/>
      <c r="S272" s="412"/>
      <c r="T272" s="412"/>
      <c r="U272" s="292"/>
      <c r="V272" s="292"/>
      <c r="W272" s="292"/>
      <c r="X272" s="415"/>
      <c r="Y272" s="416"/>
      <c r="Z272" s="304"/>
      <c r="AA272" s="304"/>
      <c r="AB272" s="304"/>
      <c r="AC272" s="304"/>
      <c r="AD272" s="304"/>
      <c r="AE272" s="304"/>
      <c r="AF272" s="304"/>
      <c r="AG272" s="304"/>
      <c r="AH272" s="304"/>
    </row>
    <row r="273">
      <c r="A273" s="292"/>
      <c r="B273" s="292"/>
      <c r="C273" s="292"/>
      <c r="D273" s="412"/>
      <c r="E273" s="412"/>
      <c r="F273" s="412"/>
      <c r="G273" s="412"/>
      <c r="H273" s="412"/>
      <c r="I273" s="412"/>
      <c r="J273" s="412"/>
      <c r="K273" s="413"/>
      <c r="L273" s="413"/>
      <c r="M273" s="413"/>
      <c r="N273" s="414"/>
      <c r="O273" s="412"/>
      <c r="P273" s="412"/>
      <c r="Q273" s="412"/>
      <c r="R273" s="412"/>
      <c r="S273" s="412"/>
      <c r="T273" s="412"/>
      <c r="U273" s="292"/>
      <c r="V273" s="292"/>
      <c r="W273" s="292"/>
      <c r="X273" s="415"/>
      <c r="Y273" s="416"/>
      <c r="Z273" s="304"/>
      <c r="AA273" s="304"/>
      <c r="AB273" s="304"/>
      <c r="AC273" s="304"/>
      <c r="AD273" s="304"/>
      <c r="AE273" s="304"/>
      <c r="AF273" s="304"/>
      <c r="AG273" s="304"/>
      <c r="AH273" s="304"/>
    </row>
    <row r="274">
      <c r="A274" s="292"/>
      <c r="B274" s="292"/>
      <c r="C274" s="292"/>
      <c r="D274" s="412"/>
      <c r="E274" s="412"/>
      <c r="F274" s="412"/>
      <c r="G274" s="412"/>
      <c r="H274" s="412"/>
      <c r="I274" s="412"/>
      <c r="J274" s="412"/>
      <c r="K274" s="413"/>
      <c r="L274" s="413"/>
      <c r="M274" s="413"/>
      <c r="N274" s="414"/>
      <c r="O274" s="412"/>
      <c r="P274" s="412"/>
      <c r="Q274" s="412"/>
      <c r="R274" s="412"/>
      <c r="S274" s="412"/>
      <c r="T274" s="412"/>
      <c r="U274" s="292"/>
      <c r="V274" s="292"/>
      <c r="W274" s="292"/>
      <c r="X274" s="415"/>
      <c r="Y274" s="416"/>
      <c r="Z274" s="304"/>
      <c r="AA274" s="304"/>
      <c r="AB274" s="304"/>
      <c r="AC274" s="304"/>
      <c r="AD274" s="304"/>
      <c r="AE274" s="304"/>
      <c r="AF274" s="304"/>
      <c r="AG274" s="304"/>
      <c r="AH274" s="304"/>
    </row>
    <row r="275">
      <c r="A275" s="292"/>
      <c r="B275" s="292"/>
      <c r="C275" s="292"/>
      <c r="D275" s="412"/>
      <c r="E275" s="412"/>
      <c r="F275" s="412"/>
      <c r="G275" s="412"/>
      <c r="H275" s="412"/>
      <c r="I275" s="412"/>
      <c r="J275" s="412"/>
      <c r="K275" s="413"/>
      <c r="L275" s="413"/>
      <c r="M275" s="413"/>
      <c r="N275" s="414"/>
      <c r="O275" s="412"/>
      <c r="P275" s="412"/>
      <c r="Q275" s="412"/>
      <c r="R275" s="412"/>
      <c r="S275" s="412"/>
      <c r="T275" s="412"/>
      <c r="U275" s="292"/>
      <c r="V275" s="292"/>
      <c r="W275" s="292"/>
      <c r="X275" s="415"/>
      <c r="Y275" s="416"/>
      <c r="Z275" s="304"/>
      <c r="AA275" s="304"/>
      <c r="AB275" s="304"/>
      <c r="AC275" s="304"/>
      <c r="AD275" s="304"/>
      <c r="AE275" s="304"/>
      <c r="AF275" s="304"/>
      <c r="AG275" s="304"/>
      <c r="AH275" s="304"/>
    </row>
    <row r="276">
      <c r="A276" s="292"/>
      <c r="B276" s="292"/>
      <c r="C276" s="292"/>
      <c r="D276" s="412"/>
      <c r="E276" s="412"/>
      <c r="F276" s="412"/>
      <c r="G276" s="412"/>
      <c r="H276" s="412"/>
      <c r="I276" s="412"/>
      <c r="J276" s="412"/>
      <c r="K276" s="413"/>
      <c r="L276" s="413"/>
      <c r="M276" s="413"/>
      <c r="N276" s="414"/>
      <c r="O276" s="412"/>
      <c r="P276" s="412"/>
      <c r="Q276" s="412"/>
      <c r="R276" s="412"/>
      <c r="S276" s="412"/>
      <c r="T276" s="412"/>
      <c r="U276" s="292"/>
      <c r="V276" s="292"/>
      <c r="W276" s="292"/>
      <c r="X276" s="415"/>
      <c r="Y276" s="416"/>
      <c r="Z276" s="304"/>
      <c r="AA276" s="304"/>
      <c r="AB276" s="304"/>
      <c r="AC276" s="304"/>
      <c r="AD276" s="304"/>
      <c r="AE276" s="304"/>
      <c r="AF276" s="304"/>
      <c r="AG276" s="304"/>
      <c r="AH276" s="304"/>
    </row>
    <row r="277">
      <c r="A277" s="292"/>
      <c r="B277" s="292"/>
      <c r="C277" s="292"/>
      <c r="D277" s="412"/>
      <c r="E277" s="412"/>
      <c r="F277" s="412"/>
      <c r="G277" s="412"/>
      <c r="H277" s="412"/>
      <c r="I277" s="412"/>
      <c r="J277" s="412"/>
      <c r="K277" s="413"/>
      <c r="L277" s="413"/>
      <c r="M277" s="413"/>
      <c r="N277" s="414"/>
      <c r="O277" s="412"/>
      <c r="P277" s="412"/>
      <c r="Q277" s="412"/>
      <c r="R277" s="412"/>
      <c r="S277" s="412"/>
      <c r="T277" s="412"/>
      <c r="U277" s="292"/>
      <c r="V277" s="292"/>
      <c r="W277" s="292"/>
      <c r="X277" s="415"/>
      <c r="Y277" s="416"/>
      <c r="Z277" s="304"/>
      <c r="AA277" s="304"/>
      <c r="AB277" s="304"/>
      <c r="AC277" s="304"/>
      <c r="AD277" s="304"/>
      <c r="AE277" s="304"/>
      <c r="AF277" s="304"/>
      <c r="AG277" s="304"/>
      <c r="AH277" s="304"/>
    </row>
    <row r="278">
      <c r="A278" s="292"/>
      <c r="B278" s="292"/>
      <c r="C278" s="292"/>
      <c r="D278" s="412"/>
      <c r="E278" s="412"/>
      <c r="F278" s="412"/>
      <c r="G278" s="412"/>
      <c r="H278" s="412"/>
      <c r="I278" s="412"/>
      <c r="J278" s="412"/>
      <c r="K278" s="413"/>
      <c r="L278" s="413"/>
      <c r="M278" s="413"/>
      <c r="N278" s="414"/>
      <c r="O278" s="412"/>
      <c r="P278" s="412"/>
      <c r="Q278" s="412"/>
      <c r="R278" s="412"/>
      <c r="S278" s="412"/>
      <c r="T278" s="412"/>
      <c r="U278" s="292"/>
      <c r="V278" s="292"/>
      <c r="W278" s="292"/>
      <c r="X278" s="415"/>
      <c r="Y278" s="416"/>
      <c r="Z278" s="304"/>
      <c r="AA278" s="304"/>
      <c r="AB278" s="304"/>
      <c r="AC278" s="304"/>
      <c r="AD278" s="304"/>
      <c r="AE278" s="304"/>
      <c r="AF278" s="304"/>
      <c r="AG278" s="304"/>
      <c r="AH278" s="304"/>
    </row>
    <row r="279">
      <c r="A279" s="292"/>
      <c r="B279" s="292"/>
      <c r="C279" s="292"/>
      <c r="D279" s="412"/>
      <c r="E279" s="412"/>
      <c r="F279" s="412"/>
      <c r="G279" s="412"/>
      <c r="H279" s="412"/>
      <c r="I279" s="412"/>
      <c r="J279" s="412"/>
      <c r="K279" s="413"/>
      <c r="L279" s="413"/>
      <c r="M279" s="413"/>
      <c r="N279" s="414"/>
      <c r="O279" s="412"/>
      <c r="P279" s="412"/>
      <c r="Q279" s="412"/>
      <c r="R279" s="412"/>
      <c r="S279" s="412"/>
      <c r="T279" s="412"/>
      <c r="U279" s="292"/>
      <c r="V279" s="292"/>
      <c r="W279" s="292"/>
      <c r="X279" s="415"/>
      <c r="Y279" s="416"/>
      <c r="Z279" s="304"/>
      <c r="AA279" s="304"/>
      <c r="AB279" s="304"/>
      <c r="AC279" s="304"/>
      <c r="AD279" s="304"/>
      <c r="AE279" s="304"/>
      <c r="AF279" s="304"/>
      <c r="AG279" s="304"/>
      <c r="AH279" s="304"/>
    </row>
    <row r="280">
      <c r="A280" s="292"/>
      <c r="B280" s="292"/>
      <c r="C280" s="292"/>
      <c r="D280" s="412"/>
      <c r="E280" s="412"/>
      <c r="F280" s="412"/>
      <c r="G280" s="412"/>
      <c r="H280" s="412"/>
      <c r="I280" s="412"/>
      <c r="J280" s="412"/>
      <c r="K280" s="413"/>
      <c r="L280" s="413"/>
      <c r="M280" s="413"/>
      <c r="N280" s="414"/>
      <c r="O280" s="412"/>
      <c r="P280" s="412"/>
      <c r="Q280" s="412"/>
      <c r="R280" s="412"/>
      <c r="S280" s="412"/>
      <c r="T280" s="412"/>
      <c r="U280" s="292"/>
      <c r="V280" s="292"/>
      <c r="W280" s="292"/>
      <c r="X280" s="415"/>
      <c r="Y280" s="416"/>
      <c r="Z280" s="304"/>
      <c r="AA280" s="304"/>
      <c r="AB280" s="304"/>
      <c r="AC280" s="304"/>
      <c r="AD280" s="304"/>
      <c r="AE280" s="304"/>
      <c r="AF280" s="304"/>
      <c r="AG280" s="304"/>
      <c r="AH280" s="304"/>
    </row>
    <row r="281">
      <c r="A281" s="292"/>
      <c r="B281" s="292"/>
      <c r="C281" s="292"/>
      <c r="D281" s="412"/>
      <c r="E281" s="412"/>
      <c r="F281" s="412"/>
      <c r="G281" s="412"/>
      <c r="H281" s="412"/>
      <c r="I281" s="412"/>
      <c r="J281" s="412"/>
      <c r="K281" s="413"/>
      <c r="L281" s="413"/>
      <c r="M281" s="413"/>
      <c r="N281" s="414"/>
      <c r="O281" s="412"/>
      <c r="P281" s="412"/>
      <c r="Q281" s="412"/>
      <c r="R281" s="412"/>
      <c r="S281" s="412"/>
      <c r="T281" s="412"/>
      <c r="U281" s="292"/>
      <c r="V281" s="292"/>
      <c r="W281" s="292"/>
      <c r="X281" s="415"/>
      <c r="Y281" s="416"/>
      <c r="Z281" s="304"/>
      <c r="AA281" s="304"/>
      <c r="AB281" s="304"/>
      <c r="AC281" s="304"/>
      <c r="AD281" s="304"/>
      <c r="AE281" s="304"/>
      <c r="AF281" s="304"/>
      <c r="AG281" s="304"/>
      <c r="AH281" s="304"/>
    </row>
    <row r="282">
      <c r="A282" s="292"/>
      <c r="B282" s="292"/>
      <c r="C282" s="292"/>
      <c r="D282" s="412"/>
      <c r="E282" s="412"/>
      <c r="F282" s="412"/>
      <c r="G282" s="412"/>
      <c r="H282" s="412"/>
      <c r="I282" s="412"/>
      <c r="J282" s="412"/>
      <c r="K282" s="413"/>
      <c r="L282" s="413"/>
      <c r="M282" s="413"/>
      <c r="N282" s="414"/>
      <c r="O282" s="412"/>
      <c r="P282" s="412"/>
      <c r="Q282" s="412"/>
      <c r="R282" s="412"/>
      <c r="S282" s="412"/>
      <c r="T282" s="412"/>
      <c r="U282" s="292"/>
      <c r="V282" s="292"/>
      <c r="W282" s="292"/>
      <c r="X282" s="415"/>
      <c r="Y282" s="416"/>
      <c r="Z282" s="304"/>
      <c r="AA282" s="304"/>
      <c r="AB282" s="304"/>
      <c r="AC282" s="304"/>
      <c r="AD282" s="304"/>
      <c r="AE282" s="304"/>
      <c r="AF282" s="304"/>
      <c r="AG282" s="304"/>
      <c r="AH282" s="304"/>
    </row>
    <row r="283">
      <c r="A283" s="292"/>
      <c r="B283" s="292"/>
      <c r="C283" s="292"/>
      <c r="D283" s="412"/>
      <c r="E283" s="412"/>
      <c r="F283" s="412"/>
      <c r="G283" s="412"/>
      <c r="H283" s="412"/>
      <c r="I283" s="412"/>
      <c r="J283" s="412"/>
      <c r="K283" s="413"/>
      <c r="L283" s="413"/>
      <c r="M283" s="413"/>
      <c r="N283" s="414"/>
      <c r="O283" s="412"/>
      <c r="P283" s="412"/>
      <c r="Q283" s="412"/>
      <c r="R283" s="412"/>
      <c r="S283" s="412"/>
      <c r="T283" s="412"/>
      <c r="U283" s="292"/>
      <c r="V283" s="292"/>
      <c r="W283" s="292"/>
      <c r="X283" s="415"/>
      <c r="Y283" s="416"/>
      <c r="Z283" s="304"/>
      <c r="AA283" s="304"/>
      <c r="AB283" s="304"/>
      <c r="AC283" s="304"/>
      <c r="AD283" s="304"/>
      <c r="AE283" s="304"/>
      <c r="AF283" s="304"/>
      <c r="AG283" s="304"/>
      <c r="AH283" s="304"/>
    </row>
    <row r="284">
      <c r="A284" s="292"/>
      <c r="B284" s="292"/>
      <c r="C284" s="292"/>
      <c r="D284" s="412"/>
      <c r="E284" s="412"/>
      <c r="F284" s="412"/>
      <c r="G284" s="412"/>
      <c r="H284" s="412"/>
      <c r="I284" s="412"/>
      <c r="J284" s="412"/>
      <c r="K284" s="413"/>
      <c r="L284" s="413"/>
      <c r="M284" s="413"/>
      <c r="N284" s="414"/>
      <c r="O284" s="412"/>
      <c r="P284" s="412"/>
      <c r="Q284" s="412"/>
      <c r="R284" s="412"/>
      <c r="S284" s="412"/>
      <c r="T284" s="412"/>
      <c r="U284" s="292"/>
      <c r="V284" s="292"/>
      <c r="W284" s="292"/>
      <c r="X284" s="415"/>
      <c r="Y284" s="416"/>
      <c r="Z284" s="304"/>
      <c r="AA284" s="304"/>
      <c r="AB284" s="304"/>
      <c r="AC284" s="304"/>
      <c r="AD284" s="304"/>
      <c r="AE284" s="304"/>
      <c r="AF284" s="304"/>
      <c r="AG284" s="304"/>
      <c r="AH284" s="304"/>
    </row>
    <row r="285">
      <c r="A285" s="292"/>
      <c r="B285" s="292"/>
      <c r="C285" s="292"/>
      <c r="D285" s="412"/>
      <c r="E285" s="412"/>
      <c r="F285" s="412"/>
      <c r="G285" s="412"/>
      <c r="H285" s="412"/>
      <c r="I285" s="412"/>
      <c r="J285" s="412"/>
      <c r="K285" s="413"/>
      <c r="L285" s="413"/>
      <c r="M285" s="413"/>
      <c r="N285" s="414"/>
      <c r="O285" s="412"/>
      <c r="P285" s="412"/>
      <c r="Q285" s="412"/>
      <c r="R285" s="412"/>
      <c r="S285" s="412"/>
      <c r="T285" s="412"/>
      <c r="U285" s="292"/>
      <c r="V285" s="292"/>
      <c r="W285" s="292"/>
      <c r="X285" s="415"/>
      <c r="Y285" s="416"/>
      <c r="Z285" s="304"/>
      <c r="AA285" s="304"/>
      <c r="AB285" s="304"/>
      <c r="AC285" s="304"/>
      <c r="AD285" s="304"/>
      <c r="AE285" s="304"/>
      <c r="AF285" s="304"/>
      <c r="AG285" s="304"/>
      <c r="AH285" s="304"/>
    </row>
    <row r="286">
      <c r="A286" s="292"/>
      <c r="B286" s="292"/>
      <c r="C286" s="292"/>
      <c r="D286" s="412"/>
      <c r="E286" s="412"/>
      <c r="F286" s="412"/>
      <c r="G286" s="412"/>
      <c r="H286" s="412"/>
      <c r="I286" s="412"/>
      <c r="J286" s="412"/>
      <c r="K286" s="413"/>
      <c r="L286" s="413"/>
      <c r="M286" s="413"/>
      <c r="N286" s="414"/>
      <c r="O286" s="412"/>
      <c r="P286" s="412"/>
      <c r="Q286" s="412"/>
      <c r="R286" s="412"/>
      <c r="S286" s="412"/>
      <c r="T286" s="412"/>
      <c r="U286" s="292"/>
      <c r="V286" s="292"/>
      <c r="W286" s="292"/>
      <c r="X286" s="415"/>
      <c r="Y286" s="416"/>
      <c r="Z286" s="304"/>
      <c r="AA286" s="304"/>
      <c r="AB286" s="304"/>
      <c r="AC286" s="304"/>
      <c r="AD286" s="304"/>
      <c r="AE286" s="304"/>
      <c r="AF286" s="304"/>
      <c r="AG286" s="304"/>
      <c r="AH286" s="304"/>
    </row>
    <row r="287">
      <c r="A287" s="292"/>
      <c r="B287" s="292"/>
      <c r="C287" s="292"/>
      <c r="D287" s="412"/>
      <c r="E287" s="412"/>
      <c r="F287" s="412"/>
      <c r="G287" s="412"/>
      <c r="H287" s="412"/>
      <c r="I287" s="412"/>
      <c r="J287" s="412"/>
      <c r="K287" s="413"/>
      <c r="L287" s="413"/>
      <c r="M287" s="413"/>
      <c r="N287" s="414"/>
      <c r="O287" s="412"/>
      <c r="P287" s="412"/>
      <c r="Q287" s="412"/>
      <c r="R287" s="412"/>
      <c r="S287" s="412"/>
      <c r="T287" s="412"/>
      <c r="U287" s="292"/>
      <c r="V287" s="292"/>
      <c r="W287" s="292"/>
      <c r="X287" s="415"/>
      <c r="Y287" s="416"/>
      <c r="Z287" s="304"/>
      <c r="AA287" s="304"/>
      <c r="AB287" s="304"/>
      <c r="AC287" s="304"/>
      <c r="AD287" s="304"/>
      <c r="AE287" s="304"/>
      <c r="AF287" s="304"/>
      <c r="AG287" s="304"/>
      <c r="AH287" s="304"/>
    </row>
    <row r="288">
      <c r="A288" s="292"/>
      <c r="B288" s="292"/>
      <c r="C288" s="292"/>
      <c r="D288" s="412"/>
      <c r="E288" s="412"/>
      <c r="F288" s="412"/>
      <c r="G288" s="412"/>
      <c r="H288" s="412"/>
      <c r="I288" s="412"/>
      <c r="J288" s="412"/>
      <c r="K288" s="413"/>
      <c r="L288" s="413"/>
      <c r="M288" s="413"/>
      <c r="N288" s="414"/>
      <c r="O288" s="412"/>
      <c r="P288" s="412"/>
      <c r="Q288" s="412"/>
      <c r="R288" s="412"/>
      <c r="S288" s="412"/>
      <c r="T288" s="412"/>
      <c r="U288" s="292"/>
      <c r="V288" s="292"/>
      <c r="W288" s="292"/>
      <c r="X288" s="415"/>
      <c r="Y288" s="416"/>
      <c r="Z288" s="304"/>
      <c r="AA288" s="304"/>
      <c r="AB288" s="304"/>
      <c r="AC288" s="304"/>
      <c r="AD288" s="304"/>
      <c r="AE288" s="304"/>
      <c r="AF288" s="304"/>
      <c r="AG288" s="304"/>
      <c r="AH288" s="304"/>
    </row>
    <row r="289">
      <c r="A289" s="292"/>
      <c r="B289" s="292"/>
      <c r="C289" s="292"/>
      <c r="D289" s="412"/>
      <c r="E289" s="412"/>
      <c r="F289" s="412"/>
      <c r="G289" s="412"/>
      <c r="H289" s="412"/>
      <c r="I289" s="412"/>
      <c r="J289" s="412"/>
      <c r="K289" s="413"/>
      <c r="L289" s="413"/>
      <c r="M289" s="413"/>
      <c r="N289" s="414"/>
      <c r="O289" s="412"/>
      <c r="P289" s="412"/>
      <c r="Q289" s="412"/>
      <c r="R289" s="412"/>
      <c r="S289" s="412"/>
      <c r="T289" s="412"/>
      <c r="U289" s="292"/>
      <c r="V289" s="292"/>
      <c r="W289" s="292"/>
      <c r="X289" s="415"/>
      <c r="Y289" s="416"/>
      <c r="Z289" s="304"/>
      <c r="AA289" s="304"/>
      <c r="AB289" s="304"/>
      <c r="AC289" s="304"/>
      <c r="AD289" s="304"/>
      <c r="AE289" s="304"/>
      <c r="AF289" s="304"/>
      <c r="AG289" s="304"/>
      <c r="AH289" s="304"/>
    </row>
    <row r="290">
      <c r="A290" s="292"/>
      <c r="B290" s="292"/>
      <c r="C290" s="292"/>
      <c r="D290" s="412"/>
      <c r="E290" s="412"/>
      <c r="F290" s="412"/>
      <c r="G290" s="412"/>
      <c r="H290" s="412"/>
      <c r="I290" s="412"/>
      <c r="J290" s="412"/>
      <c r="K290" s="413"/>
      <c r="L290" s="413"/>
      <c r="M290" s="413"/>
      <c r="N290" s="414"/>
      <c r="O290" s="412"/>
      <c r="P290" s="412"/>
      <c r="Q290" s="412"/>
      <c r="R290" s="412"/>
      <c r="S290" s="412"/>
      <c r="T290" s="412"/>
      <c r="U290" s="292"/>
      <c r="V290" s="292"/>
      <c r="W290" s="292"/>
      <c r="X290" s="415"/>
      <c r="Y290" s="416"/>
      <c r="Z290" s="304"/>
      <c r="AA290" s="304"/>
      <c r="AB290" s="304"/>
      <c r="AC290" s="304"/>
      <c r="AD290" s="304"/>
      <c r="AE290" s="304"/>
      <c r="AF290" s="304"/>
      <c r="AG290" s="304"/>
      <c r="AH290" s="304"/>
    </row>
    <row r="291">
      <c r="A291" s="292"/>
      <c r="B291" s="292"/>
      <c r="C291" s="292"/>
      <c r="D291" s="412"/>
      <c r="E291" s="412"/>
      <c r="F291" s="412"/>
      <c r="G291" s="412"/>
      <c r="H291" s="412"/>
      <c r="I291" s="412"/>
      <c r="J291" s="412"/>
      <c r="K291" s="413"/>
      <c r="L291" s="413"/>
      <c r="M291" s="413"/>
      <c r="N291" s="414"/>
      <c r="O291" s="412"/>
      <c r="P291" s="412"/>
      <c r="Q291" s="412"/>
      <c r="R291" s="412"/>
      <c r="S291" s="412"/>
      <c r="T291" s="412"/>
      <c r="U291" s="292"/>
      <c r="V291" s="292"/>
      <c r="W291" s="292"/>
      <c r="X291" s="415"/>
      <c r="Y291" s="416"/>
      <c r="Z291" s="304"/>
      <c r="AA291" s="304"/>
      <c r="AB291" s="304"/>
      <c r="AC291" s="304"/>
      <c r="AD291" s="304"/>
      <c r="AE291" s="304"/>
      <c r="AF291" s="304"/>
      <c r="AG291" s="304"/>
      <c r="AH291" s="304"/>
    </row>
    <row r="292">
      <c r="A292" s="292"/>
      <c r="B292" s="292"/>
      <c r="C292" s="292"/>
      <c r="D292" s="412"/>
      <c r="E292" s="412"/>
      <c r="F292" s="412"/>
      <c r="G292" s="412"/>
      <c r="H292" s="412"/>
      <c r="I292" s="412"/>
      <c r="J292" s="412"/>
      <c r="K292" s="413"/>
      <c r="L292" s="413"/>
      <c r="M292" s="413"/>
      <c r="N292" s="414"/>
      <c r="O292" s="412"/>
      <c r="P292" s="412"/>
      <c r="Q292" s="412"/>
      <c r="R292" s="412"/>
      <c r="S292" s="412"/>
      <c r="T292" s="412"/>
      <c r="U292" s="292"/>
      <c r="V292" s="292"/>
      <c r="W292" s="292"/>
      <c r="X292" s="415"/>
      <c r="Y292" s="416"/>
      <c r="Z292" s="304"/>
      <c r="AA292" s="304"/>
      <c r="AB292" s="304"/>
      <c r="AC292" s="304"/>
      <c r="AD292" s="304"/>
      <c r="AE292" s="304"/>
      <c r="AF292" s="304"/>
      <c r="AG292" s="304"/>
      <c r="AH292" s="304"/>
    </row>
    <row r="293">
      <c r="A293" s="292"/>
      <c r="B293" s="292"/>
      <c r="C293" s="292"/>
      <c r="D293" s="412"/>
      <c r="E293" s="412"/>
      <c r="F293" s="412"/>
      <c r="G293" s="412"/>
      <c r="H293" s="412"/>
      <c r="I293" s="412"/>
      <c r="J293" s="412"/>
      <c r="K293" s="413"/>
      <c r="L293" s="413"/>
      <c r="M293" s="413"/>
      <c r="N293" s="414"/>
      <c r="O293" s="412"/>
      <c r="P293" s="412"/>
      <c r="Q293" s="412"/>
      <c r="R293" s="412"/>
      <c r="S293" s="412"/>
      <c r="T293" s="412"/>
      <c r="U293" s="292"/>
      <c r="V293" s="292"/>
      <c r="W293" s="292"/>
      <c r="X293" s="415"/>
      <c r="Y293" s="416"/>
      <c r="Z293" s="304"/>
      <c r="AA293" s="304"/>
      <c r="AB293" s="304"/>
      <c r="AC293" s="304"/>
      <c r="AD293" s="304"/>
      <c r="AE293" s="304"/>
      <c r="AF293" s="304"/>
      <c r="AG293" s="304"/>
      <c r="AH293" s="304"/>
    </row>
    <row r="294">
      <c r="A294" s="292"/>
      <c r="B294" s="292"/>
      <c r="C294" s="292"/>
      <c r="D294" s="412"/>
      <c r="E294" s="412"/>
      <c r="F294" s="412"/>
      <c r="G294" s="412"/>
      <c r="H294" s="412"/>
      <c r="I294" s="412"/>
      <c r="J294" s="412"/>
      <c r="K294" s="413"/>
      <c r="L294" s="413"/>
      <c r="M294" s="413"/>
      <c r="N294" s="414"/>
      <c r="O294" s="412"/>
      <c r="P294" s="412"/>
      <c r="Q294" s="412"/>
      <c r="R294" s="412"/>
      <c r="S294" s="412"/>
      <c r="T294" s="412"/>
      <c r="U294" s="292"/>
      <c r="V294" s="292"/>
      <c r="W294" s="292"/>
      <c r="X294" s="415"/>
      <c r="Y294" s="416"/>
      <c r="Z294" s="304"/>
      <c r="AA294" s="304"/>
      <c r="AB294" s="304"/>
      <c r="AC294" s="304"/>
      <c r="AD294" s="304"/>
      <c r="AE294" s="304"/>
      <c r="AF294" s="304"/>
      <c r="AG294" s="304"/>
      <c r="AH294" s="304"/>
    </row>
    <row r="295">
      <c r="A295" s="292"/>
      <c r="B295" s="292"/>
      <c r="C295" s="292"/>
      <c r="D295" s="412"/>
      <c r="E295" s="412"/>
      <c r="F295" s="412"/>
      <c r="G295" s="412"/>
      <c r="H295" s="412"/>
      <c r="I295" s="412"/>
      <c r="J295" s="412"/>
      <c r="K295" s="413"/>
      <c r="L295" s="413"/>
      <c r="M295" s="413"/>
      <c r="N295" s="414"/>
      <c r="O295" s="412"/>
      <c r="P295" s="412"/>
      <c r="Q295" s="412"/>
      <c r="R295" s="412"/>
      <c r="S295" s="412"/>
      <c r="T295" s="412"/>
      <c r="U295" s="292"/>
      <c r="V295" s="292"/>
      <c r="W295" s="292"/>
      <c r="X295" s="415"/>
      <c r="Y295" s="416"/>
      <c r="Z295" s="304"/>
      <c r="AA295" s="304"/>
      <c r="AB295" s="304"/>
      <c r="AC295" s="304"/>
      <c r="AD295" s="304"/>
      <c r="AE295" s="304"/>
      <c r="AF295" s="304"/>
      <c r="AG295" s="304"/>
      <c r="AH295" s="304"/>
    </row>
    <row r="296">
      <c r="A296" s="292"/>
      <c r="B296" s="292"/>
      <c r="C296" s="292"/>
      <c r="D296" s="412"/>
      <c r="E296" s="412"/>
      <c r="F296" s="412"/>
      <c r="G296" s="412"/>
      <c r="H296" s="412"/>
      <c r="I296" s="412"/>
      <c r="J296" s="412"/>
      <c r="K296" s="413"/>
      <c r="L296" s="413"/>
      <c r="M296" s="413"/>
      <c r="N296" s="414"/>
      <c r="O296" s="412"/>
      <c r="P296" s="412"/>
      <c r="Q296" s="412"/>
      <c r="R296" s="412"/>
      <c r="S296" s="412"/>
      <c r="T296" s="412"/>
      <c r="U296" s="292"/>
      <c r="V296" s="292"/>
      <c r="W296" s="292"/>
      <c r="X296" s="415"/>
      <c r="Y296" s="416"/>
      <c r="Z296" s="304"/>
      <c r="AA296" s="304"/>
      <c r="AB296" s="304"/>
      <c r="AC296" s="304"/>
      <c r="AD296" s="304"/>
      <c r="AE296" s="304"/>
      <c r="AF296" s="304"/>
      <c r="AG296" s="304"/>
      <c r="AH296" s="304"/>
    </row>
    <row r="297">
      <c r="A297" s="292"/>
      <c r="B297" s="292"/>
      <c r="C297" s="292"/>
      <c r="D297" s="412"/>
      <c r="E297" s="412"/>
      <c r="F297" s="412"/>
      <c r="G297" s="412"/>
      <c r="H297" s="412"/>
      <c r="I297" s="412"/>
      <c r="J297" s="412"/>
      <c r="K297" s="413"/>
      <c r="L297" s="413"/>
      <c r="M297" s="413"/>
      <c r="N297" s="414"/>
      <c r="O297" s="412"/>
      <c r="P297" s="412"/>
      <c r="Q297" s="412"/>
      <c r="R297" s="412"/>
      <c r="S297" s="412"/>
      <c r="T297" s="412"/>
      <c r="U297" s="292"/>
      <c r="V297" s="292"/>
      <c r="W297" s="292"/>
      <c r="X297" s="415"/>
      <c r="Y297" s="416"/>
      <c r="Z297" s="304"/>
      <c r="AA297" s="304"/>
      <c r="AB297" s="304"/>
      <c r="AC297" s="304"/>
      <c r="AD297" s="304"/>
      <c r="AE297" s="304"/>
      <c r="AF297" s="304"/>
      <c r="AG297" s="304"/>
      <c r="AH297" s="304"/>
    </row>
    <row r="298">
      <c r="A298" s="292"/>
      <c r="B298" s="292"/>
      <c r="C298" s="292"/>
      <c r="D298" s="412"/>
      <c r="E298" s="412"/>
      <c r="F298" s="412"/>
      <c r="G298" s="412"/>
      <c r="H298" s="412"/>
      <c r="I298" s="412"/>
      <c r="J298" s="412"/>
      <c r="K298" s="413"/>
      <c r="L298" s="413"/>
      <c r="M298" s="413"/>
      <c r="N298" s="414"/>
      <c r="O298" s="412"/>
      <c r="P298" s="412"/>
      <c r="Q298" s="412"/>
      <c r="R298" s="412"/>
      <c r="S298" s="412"/>
      <c r="T298" s="412"/>
      <c r="U298" s="292"/>
      <c r="V298" s="292"/>
      <c r="W298" s="292"/>
      <c r="X298" s="415"/>
      <c r="Y298" s="416"/>
      <c r="Z298" s="304"/>
      <c r="AA298" s="304"/>
      <c r="AB298" s="304"/>
      <c r="AC298" s="304"/>
      <c r="AD298" s="304"/>
      <c r="AE298" s="304"/>
      <c r="AF298" s="304"/>
      <c r="AG298" s="304"/>
      <c r="AH298" s="304"/>
    </row>
    <row r="299">
      <c r="A299" s="292"/>
      <c r="B299" s="292"/>
      <c r="C299" s="292"/>
      <c r="D299" s="412"/>
      <c r="E299" s="412"/>
      <c r="F299" s="412"/>
      <c r="G299" s="412"/>
      <c r="H299" s="412"/>
      <c r="I299" s="412"/>
      <c r="J299" s="412"/>
      <c r="K299" s="413"/>
      <c r="L299" s="413"/>
      <c r="M299" s="413"/>
      <c r="N299" s="414"/>
      <c r="O299" s="412"/>
      <c r="P299" s="412"/>
      <c r="Q299" s="412"/>
      <c r="R299" s="412"/>
      <c r="S299" s="412"/>
      <c r="T299" s="412"/>
      <c r="U299" s="292"/>
      <c r="V299" s="292"/>
      <c r="W299" s="292"/>
      <c r="X299" s="415"/>
      <c r="Y299" s="416"/>
      <c r="Z299" s="417"/>
      <c r="AA299" s="304"/>
      <c r="AB299" s="304"/>
      <c r="AC299" s="304"/>
      <c r="AD299" s="304"/>
      <c r="AE299" s="304"/>
      <c r="AF299" s="304"/>
      <c r="AG299" s="304"/>
      <c r="AH299" s="304"/>
    </row>
    <row r="300">
      <c r="A300" s="292"/>
      <c r="B300" s="292"/>
      <c r="C300" s="292"/>
      <c r="D300" s="412"/>
      <c r="E300" s="412"/>
      <c r="F300" s="412"/>
      <c r="G300" s="412"/>
      <c r="H300" s="412"/>
      <c r="I300" s="412"/>
      <c r="J300" s="412"/>
      <c r="K300" s="413"/>
      <c r="L300" s="413"/>
      <c r="M300" s="413"/>
      <c r="N300" s="414"/>
      <c r="O300" s="412"/>
      <c r="P300" s="412"/>
      <c r="Q300" s="412"/>
      <c r="R300" s="412"/>
      <c r="S300" s="412"/>
      <c r="T300" s="412"/>
      <c r="U300" s="292"/>
      <c r="V300" s="292"/>
      <c r="W300" s="292"/>
      <c r="X300" s="415"/>
      <c r="Y300" s="416"/>
      <c r="Z300" s="417"/>
      <c r="AA300" s="304"/>
      <c r="AB300" s="304"/>
      <c r="AC300" s="304"/>
      <c r="AD300" s="304"/>
      <c r="AE300" s="304"/>
      <c r="AF300" s="304"/>
      <c r="AG300" s="304"/>
      <c r="AH300" s="304"/>
    </row>
    <row r="301">
      <c r="A301" s="292"/>
      <c r="B301" s="292"/>
      <c r="C301" s="292"/>
      <c r="D301" s="412"/>
      <c r="E301" s="412"/>
      <c r="F301" s="412"/>
      <c r="G301" s="412"/>
      <c r="H301" s="412"/>
      <c r="I301" s="412"/>
      <c r="J301" s="412"/>
      <c r="K301" s="413"/>
      <c r="L301" s="413"/>
      <c r="M301" s="413"/>
      <c r="N301" s="414"/>
      <c r="O301" s="412"/>
      <c r="P301" s="412"/>
      <c r="Q301" s="412"/>
      <c r="R301" s="412"/>
      <c r="S301" s="412"/>
      <c r="T301" s="412"/>
      <c r="U301" s="292"/>
      <c r="V301" s="292"/>
      <c r="W301" s="292"/>
      <c r="X301" s="415"/>
      <c r="Y301" s="416"/>
      <c r="Z301" s="417"/>
      <c r="AA301" s="304"/>
      <c r="AB301" s="304"/>
      <c r="AC301" s="304"/>
      <c r="AD301" s="304"/>
      <c r="AE301" s="304"/>
      <c r="AF301" s="304"/>
      <c r="AG301" s="304"/>
      <c r="AH301" s="304"/>
    </row>
    <row r="302">
      <c r="A302" s="292"/>
      <c r="B302" s="292"/>
      <c r="C302" s="292"/>
      <c r="D302" s="412"/>
      <c r="E302" s="412"/>
      <c r="F302" s="412"/>
      <c r="G302" s="412"/>
      <c r="H302" s="412"/>
      <c r="I302" s="412"/>
      <c r="J302" s="412"/>
      <c r="K302" s="413"/>
      <c r="L302" s="413"/>
      <c r="M302" s="413"/>
      <c r="N302" s="414"/>
      <c r="O302" s="412"/>
      <c r="P302" s="412"/>
      <c r="Q302" s="412"/>
      <c r="R302" s="412"/>
      <c r="S302" s="412"/>
      <c r="T302" s="412"/>
      <c r="U302" s="292"/>
      <c r="V302" s="292"/>
      <c r="W302" s="292"/>
      <c r="X302" s="415"/>
      <c r="Y302" s="416"/>
      <c r="Z302" s="417"/>
      <c r="AA302" s="304"/>
      <c r="AB302" s="304"/>
      <c r="AC302" s="304"/>
      <c r="AD302" s="304"/>
      <c r="AE302" s="304"/>
      <c r="AF302" s="304"/>
      <c r="AG302" s="304"/>
      <c r="AH302" s="304"/>
    </row>
    <row r="303">
      <c r="A303" s="292"/>
      <c r="B303" s="292"/>
      <c r="C303" s="292"/>
      <c r="D303" s="412"/>
      <c r="E303" s="412"/>
      <c r="F303" s="412"/>
      <c r="G303" s="412"/>
      <c r="H303" s="412"/>
      <c r="I303" s="412"/>
      <c r="J303" s="412"/>
      <c r="K303" s="413"/>
      <c r="L303" s="413"/>
      <c r="M303" s="413"/>
      <c r="N303" s="414"/>
      <c r="O303" s="412"/>
      <c r="P303" s="412"/>
      <c r="Q303" s="412"/>
      <c r="R303" s="412"/>
      <c r="S303" s="412"/>
      <c r="T303" s="412"/>
      <c r="U303" s="292"/>
      <c r="V303" s="292"/>
      <c r="W303" s="292"/>
      <c r="X303" s="415"/>
      <c r="Y303" s="416"/>
      <c r="Z303" s="417"/>
      <c r="AA303" s="304"/>
      <c r="AB303" s="304"/>
      <c r="AC303" s="304"/>
      <c r="AD303" s="304"/>
      <c r="AE303" s="304"/>
      <c r="AF303" s="304"/>
      <c r="AG303" s="304"/>
      <c r="AH303" s="304"/>
    </row>
    <row r="304">
      <c r="A304" s="292"/>
      <c r="B304" s="292"/>
      <c r="C304" s="292"/>
      <c r="D304" s="412"/>
      <c r="E304" s="412"/>
      <c r="F304" s="412"/>
      <c r="G304" s="412"/>
      <c r="H304" s="412"/>
      <c r="I304" s="412"/>
      <c r="J304" s="412"/>
      <c r="K304" s="413"/>
      <c r="L304" s="413"/>
      <c r="M304" s="413"/>
      <c r="N304" s="414"/>
      <c r="O304" s="412"/>
      <c r="P304" s="412"/>
      <c r="Q304" s="412"/>
      <c r="R304" s="412"/>
      <c r="S304" s="412"/>
      <c r="T304" s="412"/>
      <c r="U304" s="292"/>
      <c r="V304" s="292"/>
      <c r="W304" s="292"/>
      <c r="X304" s="415"/>
      <c r="Y304" s="416"/>
      <c r="Z304" s="417"/>
      <c r="AA304" s="304"/>
      <c r="AB304" s="304"/>
      <c r="AC304" s="304"/>
      <c r="AD304" s="304"/>
      <c r="AE304" s="304"/>
      <c r="AF304" s="304"/>
      <c r="AG304" s="304"/>
      <c r="AH304" s="304"/>
    </row>
    <row r="305">
      <c r="A305" s="292"/>
      <c r="B305" s="292"/>
      <c r="C305" s="292"/>
      <c r="D305" s="412"/>
      <c r="E305" s="412"/>
      <c r="F305" s="412"/>
      <c r="G305" s="412"/>
      <c r="H305" s="412"/>
      <c r="I305" s="412"/>
      <c r="J305" s="412"/>
      <c r="K305" s="413"/>
      <c r="L305" s="413"/>
      <c r="M305" s="413"/>
      <c r="N305" s="414"/>
      <c r="O305" s="412"/>
      <c r="P305" s="412"/>
      <c r="Q305" s="412"/>
      <c r="R305" s="412"/>
      <c r="S305" s="412"/>
      <c r="T305" s="412"/>
      <c r="U305" s="292"/>
      <c r="V305" s="292"/>
      <c r="W305" s="292"/>
      <c r="X305" s="415"/>
      <c r="Y305" s="416"/>
      <c r="Z305" s="417"/>
      <c r="AA305" s="304"/>
      <c r="AB305" s="304"/>
      <c r="AC305" s="304"/>
      <c r="AD305" s="304"/>
      <c r="AE305" s="304"/>
      <c r="AF305" s="304"/>
      <c r="AG305" s="304"/>
      <c r="AH305" s="304"/>
    </row>
    <row r="306">
      <c r="A306" s="292"/>
      <c r="B306" s="292"/>
      <c r="C306" s="292"/>
      <c r="D306" s="412"/>
      <c r="E306" s="412"/>
      <c r="F306" s="412"/>
      <c r="G306" s="412"/>
      <c r="H306" s="412"/>
      <c r="I306" s="412"/>
      <c r="J306" s="412"/>
      <c r="K306" s="413"/>
      <c r="L306" s="413"/>
      <c r="M306" s="413"/>
      <c r="N306" s="414"/>
      <c r="O306" s="412"/>
      <c r="P306" s="412"/>
      <c r="Q306" s="412"/>
      <c r="R306" s="412"/>
      <c r="S306" s="412"/>
      <c r="T306" s="412"/>
      <c r="U306" s="292"/>
      <c r="V306" s="292"/>
      <c r="W306" s="292"/>
      <c r="X306" s="415"/>
      <c r="Y306" s="416"/>
      <c r="Z306" s="417"/>
      <c r="AA306" s="304"/>
      <c r="AB306" s="304"/>
      <c r="AC306" s="304"/>
      <c r="AD306" s="304"/>
      <c r="AE306" s="304"/>
      <c r="AF306" s="304"/>
      <c r="AG306" s="304"/>
      <c r="AH306" s="304"/>
    </row>
    <row r="307">
      <c r="A307" s="292"/>
      <c r="B307" s="292"/>
      <c r="C307" s="292"/>
      <c r="D307" s="412"/>
      <c r="E307" s="412"/>
      <c r="F307" s="412"/>
      <c r="G307" s="412"/>
      <c r="H307" s="412"/>
      <c r="I307" s="412"/>
      <c r="J307" s="412"/>
      <c r="K307" s="413"/>
      <c r="L307" s="413"/>
      <c r="M307" s="413"/>
      <c r="N307" s="414"/>
      <c r="O307" s="412"/>
      <c r="P307" s="412"/>
      <c r="Q307" s="412"/>
      <c r="R307" s="412"/>
      <c r="S307" s="412"/>
      <c r="T307" s="412"/>
      <c r="U307" s="292"/>
      <c r="V307" s="292"/>
      <c r="W307" s="292"/>
      <c r="X307" s="415"/>
      <c r="Y307" s="416"/>
      <c r="Z307" s="417"/>
      <c r="AA307" s="304"/>
      <c r="AB307" s="304"/>
      <c r="AC307" s="304"/>
      <c r="AD307" s="304"/>
      <c r="AE307" s="304"/>
      <c r="AF307" s="304"/>
      <c r="AG307" s="304"/>
      <c r="AH307" s="304"/>
    </row>
    <row r="308">
      <c r="A308" s="292"/>
      <c r="B308" s="292"/>
      <c r="C308" s="292"/>
      <c r="D308" s="412"/>
      <c r="E308" s="412"/>
      <c r="F308" s="412"/>
      <c r="G308" s="412"/>
      <c r="H308" s="412"/>
      <c r="I308" s="412"/>
      <c r="J308" s="412"/>
      <c r="K308" s="413"/>
      <c r="L308" s="413"/>
      <c r="M308" s="413"/>
      <c r="N308" s="414"/>
      <c r="O308" s="412"/>
      <c r="P308" s="412"/>
      <c r="Q308" s="412"/>
      <c r="R308" s="412"/>
      <c r="S308" s="412"/>
      <c r="T308" s="412"/>
      <c r="U308" s="292"/>
      <c r="V308" s="292"/>
      <c r="W308" s="292"/>
      <c r="X308" s="415"/>
      <c r="Y308" s="416"/>
      <c r="Z308" s="417"/>
      <c r="AA308" s="304"/>
      <c r="AB308" s="304"/>
      <c r="AC308" s="304"/>
      <c r="AD308" s="304"/>
      <c r="AE308" s="304"/>
      <c r="AF308" s="304"/>
      <c r="AG308" s="304"/>
      <c r="AH308" s="304"/>
    </row>
    <row r="309">
      <c r="A309" s="292"/>
      <c r="B309" s="292"/>
      <c r="C309" s="292"/>
      <c r="D309" s="412"/>
      <c r="E309" s="412"/>
      <c r="F309" s="412"/>
      <c r="G309" s="412"/>
      <c r="H309" s="412"/>
      <c r="I309" s="412"/>
      <c r="J309" s="412"/>
      <c r="K309" s="413"/>
      <c r="L309" s="413"/>
      <c r="M309" s="413"/>
      <c r="N309" s="414"/>
      <c r="O309" s="412"/>
      <c r="P309" s="412"/>
      <c r="Q309" s="412"/>
      <c r="R309" s="412"/>
      <c r="S309" s="412"/>
      <c r="T309" s="412"/>
      <c r="U309" s="292"/>
      <c r="V309" s="292"/>
      <c r="W309" s="292"/>
      <c r="X309" s="415"/>
      <c r="Y309" s="416"/>
      <c r="Z309" s="417"/>
      <c r="AA309" s="304"/>
      <c r="AB309" s="304"/>
      <c r="AC309" s="304"/>
      <c r="AD309" s="304"/>
      <c r="AE309" s="304"/>
      <c r="AF309" s="304"/>
      <c r="AG309" s="304"/>
      <c r="AH309" s="304"/>
    </row>
    <row r="310">
      <c r="A310" s="292"/>
      <c r="B310" s="292"/>
      <c r="C310" s="292"/>
      <c r="D310" s="412"/>
      <c r="E310" s="412"/>
      <c r="F310" s="412"/>
      <c r="G310" s="412"/>
      <c r="H310" s="412"/>
      <c r="I310" s="412"/>
      <c r="J310" s="412"/>
      <c r="K310" s="413"/>
      <c r="L310" s="413"/>
      <c r="M310" s="413"/>
      <c r="N310" s="414"/>
      <c r="O310" s="412"/>
      <c r="P310" s="412"/>
      <c r="Q310" s="412"/>
      <c r="R310" s="412"/>
      <c r="S310" s="412"/>
      <c r="T310" s="412"/>
      <c r="U310" s="292"/>
      <c r="V310" s="292"/>
      <c r="W310" s="292"/>
      <c r="X310" s="415"/>
      <c r="Y310" s="416"/>
      <c r="Z310" s="417"/>
      <c r="AA310" s="304"/>
      <c r="AB310" s="304"/>
      <c r="AC310" s="304"/>
      <c r="AD310" s="304"/>
      <c r="AE310" s="304"/>
      <c r="AF310" s="304"/>
      <c r="AG310" s="304"/>
      <c r="AH310" s="304"/>
    </row>
    <row r="311">
      <c r="A311" s="292"/>
      <c r="B311" s="292"/>
      <c r="C311" s="292"/>
      <c r="D311" s="412"/>
      <c r="E311" s="412"/>
      <c r="F311" s="412"/>
      <c r="G311" s="412"/>
      <c r="H311" s="412"/>
      <c r="I311" s="412"/>
      <c r="J311" s="412"/>
      <c r="K311" s="413"/>
      <c r="L311" s="413"/>
      <c r="M311" s="413"/>
      <c r="N311" s="414"/>
      <c r="O311" s="412"/>
      <c r="P311" s="412"/>
      <c r="Q311" s="412"/>
      <c r="R311" s="412"/>
      <c r="S311" s="412"/>
      <c r="T311" s="412"/>
      <c r="U311" s="292"/>
      <c r="V311" s="292"/>
      <c r="W311" s="292"/>
      <c r="X311" s="415"/>
      <c r="Y311" s="416"/>
      <c r="Z311" s="417"/>
      <c r="AA311" s="304"/>
      <c r="AB311" s="304"/>
      <c r="AC311" s="304"/>
      <c r="AD311" s="304"/>
      <c r="AE311" s="304"/>
      <c r="AF311" s="304"/>
      <c r="AG311" s="304"/>
      <c r="AH311" s="304"/>
    </row>
    <row r="312">
      <c r="A312" s="292"/>
      <c r="B312" s="292"/>
      <c r="C312" s="292"/>
      <c r="D312" s="412"/>
      <c r="E312" s="412"/>
      <c r="F312" s="412"/>
      <c r="G312" s="412"/>
      <c r="H312" s="412"/>
      <c r="I312" s="412"/>
      <c r="J312" s="412"/>
      <c r="K312" s="413"/>
      <c r="L312" s="413"/>
      <c r="M312" s="413"/>
      <c r="N312" s="414"/>
      <c r="O312" s="412"/>
      <c r="P312" s="412"/>
      <c r="Q312" s="412"/>
      <c r="R312" s="412"/>
      <c r="S312" s="412"/>
      <c r="T312" s="412"/>
      <c r="U312" s="292"/>
      <c r="V312" s="292"/>
      <c r="W312" s="292"/>
      <c r="X312" s="415"/>
      <c r="Y312" s="416"/>
      <c r="Z312" s="417"/>
      <c r="AA312" s="304"/>
      <c r="AB312" s="304"/>
      <c r="AC312" s="304"/>
      <c r="AD312" s="304"/>
      <c r="AE312" s="304"/>
      <c r="AF312" s="304"/>
      <c r="AG312" s="304"/>
      <c r="AH312" s="304"/>
    </row>
    <row r="313">
      <c r="A313" s="292"/>
      <c r="B313" s="292"/>
      <c r="C313" s="292"/>
      <c r="D313" s="412"/>
      <c r="E313" s="412"/>
      <c r="F313" s="412"/>
      <c r="G313" s="412"/>
      <c r="H313" s="412"/>
      <c r="I313" s="412"/>
      <c r="J313" s="412"/>
      <c r="K313" s="413"/>
      <c r="L313" s="413"/>
      <c r="M313" s="413"/>
      <c r="N313" s="414"/>
      <c r="O313" s="412"/>
      <c r="P313" s="412"/>
      <c r="Q313" s="412"/>
      <c r="R313" s="412"/>
      <c r="S313" s="412"/>
      <c r="T313" s="412"/>
      <c r="U313" s="292"/>
      <c r="V313" s="292"/>
      <c r="W313" s="292"/>
      <c r="X313" s="415"/>
      <c r="Y313" s="416"/>
      <c r="Z313" s="417"/>
      <c r="AA313" s="304"/>
      <c r="AB313" s="304"/>
      <c r="AC313" s="304"/>
      <c r="AD313" s="304"/>
      <c r="AE313" s="304"/>
      <c r="AF313" s="304"/>
      <c r="AG313" s="304"/>
      <c r="AH313" s="304"/>
    </row>
    <row r="314">
      <c r="A314" s="292"/>
      <c r="B314" s="292"/>
      <c r="C314" s="292"/>
      <c r="D314" s="412"/>
      <c r="E314" s="412"/>
      <c r="F314" s="412"/>
      <c r="G314" s="412"/>
      <c r="H314" s="412"/>
      <c r="I314" s="412"/>
      <c r="J314" s="412"/>
      <c r="K314" s="413"/>
      <c r="L314" s="413"/>
      <c r="M314" s="413"/>
      <c r="N314" s="414"/>
      <c r="O314" s="412"/>
      <c r="P314" s="412"/>
      <c r="Q314" s="412"/>
      <c r="R314" s="412"/>
      <c r="S314" s="412"/>
      <c r="T314" s="412"/>
      <c r="U314" s="292"/>
      <c r="V314" s="292"/>
      <c r="W314" s="292"/>
      <c r="X314" s="415"/>
      <c r="Y314" s="416"/>
      <c r="Z314" s="417"/>
      <c r="AA314" s="304"/>
      <c r="AB314" s="304"/>
      <c r="AC314" s="304"/>
      <c r="AD314" s="304"/>
      <c r="AE314" s="304"/>
      <c r="AF314" s="304"/>
      <c r="AG314" s="304"/>
      <c r="AH314" s="304"/>
    </row>
    <row r="315">
      <c r="A315" s="292"/>
      <c r="B315" s="292"/>
      <c r="C315" s="292"/>
      <c r="D315" s="412"/>
      <c r="E315" s="412"/>
      <c r="F315" s="412"/>
      <c r="G315" s="412"/>
      <c r="H315" s="412"/>
      <c r="I315" s="412"/>
      <c r="J315" s="412"/>
      <c r="K315" s="413"/>
      <c r="L315" s="413"/>
      <c r="M315" s="413"/>
      <c r="N315" s="414"/>
      <c r="O315" s="412"/>
      <c r="P315" s="412"/>
      <c r="Q315" s="412"/>
      <c r="R315" s="412"/>
      <c r="S315" s="412"/>
      <c r="T315" s="412"/>
      <c r="U315" s="292"/>
      <c r="V315" s="292"/>
      <c r="W315" s="292"/>
      <c r="X315" s="415"/>
      <c r="Y315" s="416"/>
      <c r="Z315" s="417"/>
      <c r="AA315" s="304"/>
      <c r="AB315" s="304"/>
      <c r="AC315" s="304"/>
      <c r="AD315" s="304"/>
      <c r="AE315" s="304"/>
      <c r="AF315" s="304"/>
      <c r="AG315" s="304"/>
      <c r="AH315" s="304"/>
    </row>
    <row r="316">
      <c r="A316" s="292"/>
      <c r="B316" s="292"/>
      <c r="C316" s="292"/>
      <c r="D316" s="412"/>
      <c r="E316" s="412"/>
      <c r="F316" s="412"/>
      <c r="G316" s="412"/>
      <c r="H316" s="412"/>
      <c r="I316" s="412"/>
      <c r="J316" s="412"/>
      <c r="K316" s="413"/>
      <c r="L316" s="413"/>
      <c r="M316" s="413"/>
      <c r="N316" s="414"/>
      <c r="O316" s="412"/>
      <c r="P316" s="412"/>
      <c r="Q316" s="412"/>
      <c r="R316" s="412"/>
      <c r="S316" s="412"/>
      <c r="T316" s="412"/>
      <c r="U316" s="292"/>
      <c r="V316" s="292"/>
      <c r="W316" s="292"/>
      <c r="X316" s="415"/>
      <c r="Y316" s="416"/>
      <c r="Z316" s="417"/>
      <c r="AA316" s="304"/>
      <c r="AB316" s="304"/>
      <c r="AC316" s="304"/>
      <c r="AD316" s="304"/>
      <c r="AE316" s="304"/>
      <c r="AF316" s="304"/>
      <c r="AG316" s="304"/>
      <c r="AH316" s="304"/>
    </row>
    <row r="317">
      <c r="A317" s="292"/>
      <c r="B317" s="292"/>
      <c r="C317" s="292"/>
      <c r="D317" s="412"/>
      <c r="E317" s="412"/>
      <c r="F317" s="412"/>
      <c r="G317" s="412"/>
      <c r="H317" s="412"/>
      <c r="I317" s="412"/>
      <c r="J317" s="412"/>
      <c r="K317" s="413"/>
      <c r="L317" s="413"/>
      <c r="M317" s="413"/>
      <c r="N317" s="414"/>
      <c r="O317" s="412"/>
      <c r="P317" s="412"/>
      <c r="Q317" s="412"/>
      <c r="R317" s="412"/>
      <c r="S317" s="412"/>
      <c r="T317" s="412"/>
      <c r="U317" s="292"/>
      <c r="V317" s="292"/>
      <c r="W317" s="292"/>
      <c r="X317" s="415"/>
      <c r="Y317" s="416"/>
      <c r="Z317" s="417"/>
      <c r="AA317" s="304"/>
      <c r="AB317" s="304"/>
      <c r="AC317" s="304"/>
      <c r="AD317" s="304"/>
      <c r="AE317" s="304"/>
      <c r="AF317" s="304"/>
      <c r="AG317" s="304"/>
      <c r="AH317" s="304"/>
    </row>
    <row r="318">
      <c r="A318" s="292"/>
      <c r="B318" s="292"/>
      <c r="C318" s="292"/>
      <c r="D318" s="412"/>
      <c r="E318" s="412"/>
      <c r="F318" s="412"/>
      <c r="G318" s="412"/>
      <c r="H318" s="412"/>
      <c r="I318" s="412"/>
      <c r="J318" s="412"/>
      <c r="K318" s="413"/>
      <c r="L318" s="413"/>
      <c r="M318" s="413"/>
      <c r="N318" s="414"/>
      <c r="O318" s="412"/>
      <c r="P318" s="412"/>
      <c r="Q318" s="412"/>
      <c r="R318" s="412"/>
      <c r="S318" s="412"/>
      <c r="T318" s="412"/>
      <c r="U318" s="292"/>
      <c r="V318" s="292"/>
      <c r="W318" s="292"/>
      <c r="X318" s="415"/>
      <c r="Y318" s="416"/>
      <c r="Z318" s="417"/>
      <c r="AA318" s="304"/>
      <c r="AB318" s="304"/>
      <c r="AC318" s="304"/>
      <c r="AD318" s="304"/>
      <c r="AE318" s="304"/>
      <c r="AF318" s="304"/>
      <c r="AG318" s="304"/>
      <c r="AH318" s="304"/>
    </row>
    <row r="319">
      <c r="A319" s="292"/>
      <c r="B319" s="292"/>
      <c r="C319" s="292"/>
      <c r="D319" s="412"/>
      <c r="E319" s="412"/>
      <c r="F319" s="412"/>
      <c r="G319" s="412"/>
      <c r="H319" s="412"/>
      <c r="I319" s="412"/>
      <c r="J319" s="412"/>
      <c r="K319" s="413"/>
      <c r="L319" s="413"/>
      <c r="M319" s="413"/>
      <c r="N319" s="414"/>
      <c r="O319" s="412"/>
      <c r="P319" s="412"/>
      <c r="Q319" s="412"/>
      <c r="R319" s="412"/>
      <c r="S319" s="412"/>
      <c r="T319" s="412"/>
      <c r="U319" s="292"/>
      <c r="V319" s="292"/>
      <c r="W319" s="292"/>
      <c r="X319" s="415"/>
      <c r="Y319" s="416"/>
      <c r="Z319" s="417"/>
      <c r="AA319" s="304"/>
      <c r="AB319" s="304"/>
      <c r="AC319" s="304"/>
      <c r="AD319" s="304"/>
      <c r="AE319" s="304"/>
      <c r="AF319" s="304"/>
      <c r="AG319" s="304"/>
      <c r="AH319" s="304"/>
    </row>
    <row r="320">
      <c r="A320" s="292"/>
      <c r="B320" s="292"/>
      <c r="C320" s="292"/>
      <c r="D320" s="412"/>
      <c r="E320" s="412"/>
      <c r="F320" s="412"/>
      <c r="G320" s="412"/>
      <c r="H320" s="412"/>
      <c r="I320" s="412"/>
      <c r="J320" s="412"/>
      <c r="K320" s="413"/>
      <c r="L320" s="413"/>
      <c r="M320" s="413"/>
      <c r="N320" s="414"/>
      <c r="O320" s="412"/>
      <c r="P320" s="412"/>
      <c r="Q320" s="412"/>
      <c r="R320" s="412"/>
      <c r="S320" s="412"/>
      <c r="T320" s="412"/>
      <c r="U320" s="292"/>
      <c r="V320" s="292"/>
      <c r="W320" s="292"/>
      <c r="X320" s="415"/>
      <c r="Y320" s="416"/>
      <c r="Z320" s="417"/>
      <c r="AA320" s="304"/>
      <c r="AB320" s="304"/>
      <c r="AC320" s="304"/>
      <c r="AD320" s="304"/>
      <c r="AE320" s="304"/>
      <c r="AF320" s="304"/>
      <c r="AG320" s="304"/>
      <c r="AH320" s="304"/>
    </row>
    <row r="321">
      <c r="A321" s="292"/>
      <c r="B321" s="292"/>
      <c r="C321" s="292"/>
      <c r="D321" s="412"/>
      <c r="E321" s="412"/>
      <c r="F321" s="412"/>
      <c r="G321" s="412"/>
      <c r="H321" s="412"/>
      <c r="I321" s="412"/>
      <c r="J321" s="412"/>
      <c r="K321" s="413"/>
      <c r="L321" s="413"/>
      <c r="M321" s="413"/>
      <c r="N321" s="414"/>
      <c r="O321" s="412"/>
      <c r="P321" s="412"/>
      <c r="Q321" s="412"/>
      <c r="R321" s="412"/>
      <c r="S321" s="412"/>
      <c r="T321" s="412"/>
      <c r="U321" s="292"/>
      <c r="V321" s="292"/>
      <c r="W321" s="292"/>
      <c r="X321" s="415"/>
      <c r="Y321" s="416"/>
      <c r="Z321" s="417"/>
      <c r="AA321" s="304"/>
      <c r="AB321" s="304"/>
      <c r="AC321" s="304"/>
      <c r="AD321" s="304"/>
      <c r="AE321" s="304"/>
      <c r="AF321" s="304"/>
      <c r="AG321" s="304"/>
      <c r="AH321" s="304"/>
    </row>
    <row r="322">
      <c r="A322" s="292"/>
      <c r="B322" s="292"/>
      <c r="C322" s="292"/>
      <c r="D322" s="412"/>
      <c r="E322" s="412"/>
      <c r="F322" s="412"/>
      <c r="G322" s="412"/>
      <c r="H322" s="412"/>
      <c r="I322" s="412"/>
      <c r="J322" s="412"/>
      <c r="K322" s="413"/>
      <c r="L322" s="413"/>
      <c r="M322" s="413"/>
      <c r="N322" s="414"/>
      <c r="O322" s="412"/>
      <c r="P322" s="412"/>
      <c r="Q322" s="412"/>
      <c r="R322" s="412"/>
      <c r="S322" s="412"/>
      <c r="T322" s="412"/>
      <c r="U322" s="292"/>
      <c r="V322" s="292"/>
      <c r="W322" s="292"/>
      <c r="X322" s="415"/>
      <c r="Y322" s="416"/>
      <c r="Z322" s="417"/>
      <c r="AA322" s="304"/>
      <c r="AB322" s="304"/>
      <c r="AC322" s="304"/>
      <c r="AD322" s="304"/>
      <c r="AE322" s="304"/>
      <c r="AF322" s="304"/>
      <c r="AG322" s="304"/>
      <c r="AH322" s="304"/>
    </row>
    <row r="323">
      <c r="A323" s="292"/>
      <c r="B323" s="292"/>
      <c r="C323" s="292"/>
      <c r="D323" s="412"/>
      <c r="E323" s="412"/>
      <c r="F323" s="412"/>
      <c r="G323" s="412"/>
      <c r="H323" s="412"/>
      <c r="I323" s="412"/>
      <c r="J323" s="412"/>
      <c r="K323" s="413"/>
      <c r="L323" s="413"/>
      <c r="M323" s="413"/>
      <c r="N323" s="414"/>
      <c r="O323" s="412"/>
      <c r="P323" s="412"/>
      <c r="Q323" s="412"/>
      <c r="R323" s="412"/>
      <c r="S323" s="412"/>
      <c r="T323" s="412"/>
      <c r="U323" s="292"/>
      <c r="V323" s="292"/>
      <c r="W323" s="292"/>
      <c r="X323" s="415"/>
      <c r="Y323" s="416"/>
      <c r="Z323" s="417"/>
      <c r="AA323" s="304"/>
      <c r="AB323" s="304"/>
      <c r="AC323" s="304"/>
      <c r="AD323" s="304"/>
      <c r="AE323" s="304"/>
      <c r="AF323" s="304"/>
      <c r="AG323" s="304"/>
      <c r="AH323" s="304"/>
    </row>
    <row r="324">
      <c r="A324" s="292"/>
      <c r="B324" s="292"/>
      <c r="C324" s="292"/>
      <c r="D324" s="412"/>
      <c r="E324" s="412"/>
      <c r="F324" s="412"/>
      <c r="G324" s="412"/>
      <c r="H324" s="412"/>
      <c r="I324" s="412"/>
      <c r="J324" s="412"/>
      <c r="K324" s="413"/>
      <c r="L324" s="413"/>
      <c r="M324" s="413"/>
      <c r="N324" s="414"/>
      <c r="O324" s="412"/>
      <c r="P324" s="412"/>
      <c r="Q324" s="412"/>
      <c r="R324" s="412"/>
      <c r="S324" s="412"/>
      <c r="T324" s="412"/>
      <c r="U324" s="292"/>
      <c r="V324" s="292"/>
      <c r="W324" s="292"/>
      <c r="X324" s="415"/>
      <c r="Y324" s="416"/>
      <c r="Z324" s="417"/>
      <c r="AA324" s="304"/>
      <c r="AB324" s="304"/>
      <c r="AC324" s="304"/>
      <c r="AD324" s="304"/>
      <c r="AE324" s="304"/>
      <c r="AF324" s="304"/>
      <c r="AG324" s="304"/>
      <c r="AH324" s="304"/>
    </row>
    <row r="325">
      <c r="A325" s="292"/>
      <c r="B325" s="292"/>
      <c r="C325" s="292"/>
      <c r="D325" s="412"/>
      <c r="E325" s="412"/>
      <c r="F325" s="412"/>
      <c r="G325" s="412"/>
      <c r="H325" s="412"/>
      <c r="I325" s="412"/>
      <c r="J325" s="412"/>
      <c r="K325" s="413"/>
      <c r="L325" s="413"/>
      <c r="M325" s="413"/>
      <c r="N325" s="414"/>
      <c r="O325" s="412"/>
      <c r="P325" s="412"/>
      <c r="Q325" s="412"/>
      <c r="R325" s="412"/>
      <c r="S325" s="412"/>
      <c r="T325" s="412"/>
      <c r="U325" s="292"/>
      <c r="V325" s="292"/>
      <c r="W325" s="292"/>
      <c r="X325" s="415"/>
      <c r="Y325" s="416"/>
      <c r="Z325" s="417"/>
      <c r="AA325" s="304"/>
      <c r="AB325" s="304"/>
      <c r="AC325" s="304"/>
      <c r="AD325" s="304"/>
      <c r="AE325" s="304"/>
      <c r="AF325" s="304"/>
      <c r="AG325" s="304"/>
      <c r="AH325" s="304"/>
    </row>
    <row r="326">
      <c r="A326" s="292"/>
      <c r="B326" s="292"/>
      <c r="C326" s="292"/>
      <c r="D326" s="412"/>
      <c r="E326" s="412"/>
      <c r="F326" s="412"/>
      <c r="G326" s="412"/>
      <c r="H326" s="412"/>
      <c r="I326" s="412"/>
      <c r="J326" s="412"/>
      <c r="K326" s="413"/>
      <c r="L326" s="413"/>
      <c r="M326" s="413"/>
      <c r="N326" s="414"/>
      <c r="O326" s="412"/>
      <c r="P326" s="412"/>
      <c r="Q326" s="412"/>
      <c r="R326" s="412"/>
      <c r="S326" s="412"/>
      <c r="T326" s="412"/>
      <c r="U326" s="292"/>
      <c r="V326" s="292"/>
      <c r="W326" s="292"/>
      <c r="X326" s="415"/>
      <c r="Y326" s="416"/>
      <c r="Z326" s="417"/>
      <c r="AA326" s="304"/>
      <c r="AB326" s="304"/>
      <c r="AC326" s="304"/>
      <c r="AD326" s="304"/>
      <c r="AE326" s="304"/>
      <c r="AF326" s="304"/>
      <c r="AG326" s="304"/>
      <c r="AH326" s="304"/>
    </row>
    <row r="327">
      <c r="A327" s="292"/>
      <c r="B327" s="292"/>
      <c r="C327" s="292"/>
      <c r="D327" s="412"/>
      <c r="E327" s="412"/>
      <c r="F327" s="412"/>
      <c r="G327" s="412"/>
      <c r="H327" s="412"/>
      <c r="I327" s="412"/>
      <c r="J327" s="412"/>
      <c r="K327" s="413"/>
      <c r="L327" s="413"/>
      <c r="M327" s="413"/>
      <c r="N327" s="414"/>
      <c r="O327" s="412"/>
      <c r="P327" s="412"/>
      <c r="Q327" s="412"/>
      <c r="R327" s="412"/>
      <c r="S327" s="412"/>
      <c r="T327" s="412"/>
      <c r="U327" s="292"/>
      <c r="V327" s="292"/>
      <c r="W327" s="292"/>
      <c r="X327" s="415"/>
      <c r="Y327" s="416"/>
      <c r="Z327" s="417"/>
      <c r="AA327" s="304"/>
      <c r="AB327" s="304"/>
      <c r="AC327" s="304"/>
      <c r="AD327" s="304"/>
      <c r="AE327" s="304"/>
      <c r="AF327" s="304"/>
      <c r="AG327" s="304"/>
      <c r="AH327" s="304"/>
    </row>
    <row r="328">
      <c r="A328" s="292"/>
      <c r="B328" s="292"/>
      <c r="C328" s="292"/>
      <c r="D328" s="412"/>
      <c r="E328" s="412"/>
      <c r="F328" s="412"/>
      <c r="G328" s="412"/>
      <c r="H328" s="412"/>
      <c r="I328" s="412"/>
      <c r="J328" s="412"/>
      <c r="K328" s="413"/>
      <c r="L328" s="413"/>
      <c r="M328" s="413"/>
      <c r="N328" s="414"/>
      <c r="O328" s="412"/>
      <c r="P328" s="412"/>
      <c r="Q328" s="412"/>
      <c r="R328" s="412"/>
      <c r="S328" s="412"/>
      <c r="T328" s="412"/>
      <c r="U328" s="292"/>
      <c r="V328" s="292"/>
      <c r="W328" s="292"/>
      <c r="X328" s="415"/>
      <c r="Y328" s="416"/>
      <c r="Z328" s="417"/>
      <c r="AA328" s="304"/>
      <c r="AB328" s="304"/>
      <c r="AC328" s="304"/>
      <c r="AD328" s="304"/>
      <c r="AE328" s="304"/>
      <c r="AF328" s="304"/>
      <c r="AG328" s="304"/>
      <c r="AH328" s="304"/>
    </row>
    <row r="329">
      <c r="A329" s="292"/>
      <c r="B329" s="292"/>
      <c r="C329" s="292"/>
      <c r="D329" s="412"/>
      <c r="E329" s="412"/>
      <c r="F329" s="412"/>
      <c r="G329" s="412"/>
      <c r="H329" s="412"/>
      <c r="I329" s="412"/>
      <c r="J329" s="412"/>
      <c r="K329" s="413"/>
      <c r="L329" s="413"/>
      <c r="M329" s="413"/>
      <c r="N329" s="414"/>
      <c r="O329" s="412"/>
      <c r="P329" s="412"/>
      <c r="Q329" s="412"/>
      <c r="R329" s="412"/>
      <c r="S329" s="412"/>
      <c r="T329" s="412"/>
      <c r="U329" s="292"/>
      <c r="V329" s="292"/>
      <c r="W329" s="292"/>
      <c r="X329" s="415"/>
      <c r="Y329" s="416"/>
      <c r="Z329" s="417"/>
      <c r="AA329" s="304"/>
      <c r="AB329" s="304"/>
      <c r="AC329" s="304"/>
      <c r="AD329" s="304"/>
      <c r="AE329" s="304"/>
      <c r="AF329" s="304"/>
      <c r="AG329" s="304"/>
      <c r="AH329" s="304"/>
    </row>
    <row r="330">
      <c r="A330" s="292"/>
      <c r="B330" s="292"/>
      <c r="C330" s="292"/>
      <c r="D330" s="412"/>
      <c r="E330" s="412"/>
      <c r="F330" s="412"/>
      <c r="G330" s="412"/>
      <c r="H330" s="412"/>
      <c r="I330" s="412"/>
      <c r="J330" s="412"/>
      <c r="K330" s="413"/>
      <c r="L330" s="413"/>
      <c r="M330" s="413"/>
      <c r="N330" s="414"/>
      <c r="O330" s="412"/>
      <c r="P330" s="412"/>
      <c r="Q330" s="412"/>
      <c r="R330" s="412"/>
      <c r="S330" s="412"/>
      <c r="T330" s="412"/>
      <c r="U330" s="292"/>
      <c r="V330" s="292"/>
      <c r="W330" s="292"/>
      <c r="X330" s="415"/>
      <c r="Y330" s="416"/>
      <c r="Z330" s="417"/>
      <c r="AA330" s="304"/>
      <c r="AB330" s="304"/>
      <c r="AC330" s="304"/>
      <c r="AD330" s="304"/>
      <c r="AE330" s="304"/>
      <c r="AF330" s="304"/>
      <c r="AG330" s="304"/>
      <c r="AH330" s="304"/>
    </row>
    <row r="331">
      <c r="A331" s="292"/>
      <c r="B331" s="292"/>
      <c r="C331" s="292"/>
      <c r="D331" s="412"/>
      <c r="E331" s="412"/>
      <c r="F331" s="412"/>
      <c r="G331" s="412"/>
      <c r="H331" s="412"/>
      <c r="I331" s="412"/>
      <c r="J331" s="412"/>
      <c r="K331" s="413"/>
      <c r="L331" s="413"/>
      <c r="M331" s="413"/>
      <c r="N331" s="414"/>
      <c r="O331" s="412"/>
      <c r="P331" s="412"/>
      <c r="Q331" s="412"/>
      <c r="R331" s="412"/>
      <c r="S331" s="412"/>
      <c r="T331" s="412"/>
      <c r="U331" s="292"/>
      <c r="V331" s="292"/>
      <c r="W331" s="292"/>
      <c r="X331" s="415"/>
      <c r="Y331" s="416"/>
      <c r="Z331" s="417"/>
      <c r="AA331" s="304"/>
      <c r="AB331" s="304"/>
      <c r="AC331" s="304"/>
      <c r="AD331" s="304"/>
      <c r="AE331" s="304"/>
      <c r="AF331" s="304"/>
      <c r="AG331" s="304"/>
      <c r="AH331" s="304"/>
    </row>
    <row r="332">
      <c r="A332" s="292"/>
      <c r="B332" s="292"/>
      <c r="C332" s="292"/>
      <c r="D332" s="412"/>
      <c r="E332" s="412"/>
      <c r="F332" s="412"/>
      <c r="G332" s="412"/>
      <c r="H332" s="412"/>
      <c r="I332" s="412"/>
      <c r="J332" s="412"/>
      <c r="K332" s="413"/>
      <c r="L332" s="413"/>
      <c r="M332" s="413"/>
      <c r="N332" s="414"/>
      <c r="O332" s="412"/>
      <c r="P332" s="412"/>
      <c r="Q332" s="412"/>
      <c r="R332" s="412"/>
      <c r="S332" s="412"/>
      <c r="T332" s="412"/>
      <c r="U332" s="292"/>
      <c r="V332" s="292"/>
      <c r="W332" s="292"/>
      <c r="X332" s="415"/>
      <c r="Y332" s="416"/>
      <c r="Z332" s="417"/>
      <c r="AA332" s="304"/>
      <c r="AB332" s="304"/>
      <c r="AC332" s="304"/>
      <c r="AD332" s="304"/>
      <c r="AE332" s="304"/>
      <c r="AF332" s="304"/>
      <c r="AG332" s="304"/>
      <c r="AH332" s="304"/>
    </row>
    <row r="333">
      <c r="A333" s="292"/>
      <c r="B333" s="292"/>
      <c r="C333" s="292"/>
      <c r="D333" s="412"/>
      <c r="E333" s="412"/>
      <c r="F333" s="412"/>
      <c r="G333" s="412"/>
      <c r="H333" s="412"/>
      <c r="I333" s="412"/>
      <c r="J333" s="412"/>
      <c r="K333" s="413"/>
      <c r="L333" s="413"/>
      <c r="M333" s="413"/>
      <c r="N333" s="414"/>
      <c r="O333" s="412"/>
      <c r="P333" s="412"/>
      <c r="Q333" s="412"/>
      <c r="R333" s="412"/>
      <c r="S333" s="412"/>
      <c r="T333" s="412"/>
      <c r="U333" s="292"/>
      <c r="V333" s="292"/>
      <c r="W333" s="292"/>
      <c r="X333" s="415"/>
      <c r="Y333" s="416"/>
      <c r="Z333" s="417"/>
      <c r="AA333" s="304"/>
      <c r="AB333" s="304"/>
      <c r="AC333" s="304"/>
      <c r="AD333" s="304"/>
      <c r="AE333" s="304"/>
      <c r="AF333" s="304"/>
      <c r="AG333" s="304"/>
      <c r="AH333" s="304"/>
    </row>
    <row r="334">
      <c r="A334" s="292"/>
      <c r="B334" s="292"/>
      <c r="C334" s="292"/>
      <c r="D334" s="412"/>
      <c r="E334" s="412"/>
      <c r="F334" s="412"/>
      <c r="G334" s="412"/>
      <c r="H334" s="412"/>
      <c r="I334" s="412"/>
      <c r="J334" s="412"/>
      <c r="K334" s="413"/>
      <c r="L334" s="413"/>
      <c r="M334" s="413"/>
      <c r="N334" s="414"/>
      <c r="O334" s="412"/>
      <c r="P334" s="412"/>
      <c r="Q334" s="412"/>
      <c r="R334" s="412"/>
      <c r="S334" s="412"/>
      <c r="T334" s="412"/>
      <c r="U334" s="292"/>
      <c r="V334" s="292"/>
      <c r="W334" s="292"/>
      <c r="X334" s="415"/>
      <c r="Y334" s="416"/>
      <c r="Z334" s="417"/>
      <c r="AA334" s="304"/>
      <c r="AB334" s="304"/>
      <c r="AC334" s="304"/>
      <c r="AD334" s="304"/>
      <c r="AE334" s="304"/>
      <c r="AF334" s="304"/>
      <c r="AG334" s="304"/>
      <c r="AH334" s="304"/>
    </row>
    <row r="335">
      <c r="A335" s="292"/>
      <c r="B335" s="292"/>
      <c r="C335" s="292"/>
      <c r="D335" s="412"/>
      <c r="E335" s="412"/>
      <c r="F335" s="412"/>
      <c r="G335" s="412"/>
      <c r="H335" s="412"/>
      <c r="I335" s="412"/>
      <c r="J335" s="412"/>
      <c r="K335" s="413"/>
      <c r="L335" s="413"/>
      <c r="M335" s="413"/>
      <c r="N335" s="414"/>
      <c r="O335" s="412"/>
      <c r="P335" s="412"/>
      <c r="Q335" s="412"/>
      <c r="R335" s="412"/>
      <c r="S335" s="412"/>
      <c r="T335" s="412"/>
      <c r="U335" s="292"/>
      <c r="V335" s="292"/>
      <c r="W335" s="292"/>
      <c r="X335" s="415"/>
      <c r="Y335" s="416"/>
      <c r="Z335" s="417"/>
      <c r="AA335" s="304"/>
      <c r="AB335" s="304"/>
      <c r="AC335" s="304"/>
      <c r="AD335" s="304"/>
      <c r="AE335" s="304"/>
      <c r="AF335" s="304"/>
      <c r="AG335" s="304"/>
      <c r="AH335" s="304"/>
    </row>
    <row r="336">
      <c r="A336" s="292"/>
      <c r="B336" s="292"/>
      <c r="C336" s="292"/>
      <c r="D336" s="412"/>
      <c r="E336" s="412"/>
      <c r="F336" s="412"/>
      <c r="G336" s="412"/>
      <c r="H336" s="412"/>
      <c r="I336" s="412"/>
      <c r="J336" s="412"/>
      <c r="K336" s="413"/>
      <c r="L336" s="413"/>
      <c r="M336" s="413"/>
      <c r="N336" s="414"/>
      <c r="O336" s="412"/>
      <c r="P336" s="412"/>
      <c r="Q336" s="412"/>
      <c r="R336" s="412"/>
      <c r="S336" s="412"/>
      <c r="T336" s="412"/>
      <c r="U336" s="292"/>
      <c r="V336" s="292"/>
      <c r="W336" s="292"/>
      <c r="X336" s="415"/>
      <c r="Y336" s="416"/>
      <c r="Z336" s="417"/>
      <c r="AA336" s="304"/>
      <c r="AB336" s="304"/>
      <c r="AC336" s="304"/>
      <c r="AD336" s="304"/>
      <c r="AE336" s="304"/>
      <c r="AF336" s="304"/>
      <c r="AG336" s="304"/>
      <c r="AH336" s="304"/>
    </row>
    <row r="337">
      <c r="A337" s="292"/>
      <c r="B337" s="292"/>
      <c r="C337" s="292"/>
      <c r="D337" s="412"/>
      <c r="E337" s="412"/>
      <c r="F337" s="412"/>
      <c r="G337" s="412"/>
      <c r="H337" s="412"/>
      <c r="I337" s="412"/>
      <c r="J337" s="412"/>
      <c r="K337" s="413"/>
      <c r="L337" s="413"/>
      <c r="M337" s="413"/>
      <c r="N337" s="414"/>
      <c r="O337" s="412"/>
      <c r="P337" s="412"/>
      <c r="Q337" s="412"/>
      <c r="R337" s="412"/>
      <c r="S337" s="412"/>
      <c r="T337" s="412"/>
      <c r="U337" s="292"/>
      <c r="V337" s="292"/>
      <c r="W337" s="292"/>
      <c r="X337" s="415"/>
      <c r="Y337" s="416"/>
      <c r="Z337" s="417"/>
      <c r="AA337" s="304"/>
      <c r="AB337" s="304"/>
      <c r="AC337" s="304"/>
      <c r="AD337" s="304"/>
      <c r="AE337" s="304"/>
      <c r="AF337" s="304"/>
      <c r="AG337" s="304"/>
      <c r="AH337" s="304"/>
    </row>
    <row r="338">
      <c r="A338" s="292"/>
      <c r="B338" s="292"/>
      <c r="C338" s="292"/>
      <c r="D338" s="412"/>
      <c r="E338" s="412"/>
      <c r="F338" s="412"/>
      <c r="G338" s="412"/>
      <c r="H338" s="412"/>
      <c r="I338" s="412"/>
      <c r="J338" s="412"/>
      <c r="K338" s="413"/>
      <c r="L338" s="413"/>
      <c r="M338" s="413"/>
      <c r="N338" s="414"/>
      <c r="O338" s="412"/>
      <c r="P338" s="412"/>
      <c r="Q338" s="412"/>
      <c r="R338" s="412"/>
      <c r="S338" s="412"/>
      <c r="T338" s="412"/>
      <c r="U338" s="292"/>
      <c r="V338" s="292"/>
      <c r="W338" s="292"/>
      <c r="X338" s="415"/>
      <c r="Y338" s="416"/>
      <c r="Z338" s="417"/>
      <c r="AA338" s="304"/>
      <c r="AB338" s="304"/>
      <c r="AC338" s="304"/>
      <c r="AD338" s="304"/>
      <c r="AE338" s="304"/>
      <c r="AF338" s="304"/>
      <c r="AG338" s="304"/>
      <c r="AH338" s="304"/>
    </row>
    <row r="339">
      <c r="A339" s="292"/>
      <c r="B339" s="292"/>
      <c r="C339" s="292"/>
      <c r="D339" s="412"/>
      <c r="E339" s="412"/>
      <c r="F339" s="412"/>
      <c r="G339" s="412"/>
      <c r="H339" s="412"/>
      <c r="I339" s="412"/>
      <c r="J339" s="412"/>
      <c r="K339" s="413"/>
      <c r="L339" s="413"/>
      <c r="M339" s="413"/>
      <c r="N339" s="414"/>
      <c r="O339" s="412"/>
      <c r="P339" s="412"/>
      <c r="Q339" s="412"/>
      <c r="R339" s="412"/>
      <c r="S339" s="412"/>
      <c r="T339" s="412"/>
      <c r="U339" s="292"/>
      <c r="V339" s="292"/>
      <c r="W339" s="292"/>
      <c r="X339" s="415"/>
      <c r="Y339" s="416"/>
      <c r="Z339" s="417"/>
      <c r="AA339" s="304"/>
      <c r="AB339" s="304"/>
      <c r="AC339" s="304"/>
      <c r="AD339" s="304"/>
      <c r="AE339" s="304"/>
      <c r="AF339" s="304"/>
      <c r="AG339" s="304"/>
      <c r="AH339" s="304"/>
    </row>
    <row r="340">
      <c r="A340" s="292"/>
      <c r="B340" s="292"/>
      <c r="C340" s="292"/>
      <c r="D340" s="412"/>
      <c r="E340" s="412"/>
      <c r="F340" s="412"/>
      <c r="G340" s="412"/>
      <c r="H340" s="412"/>
      <c r="I340" s="412"/>
      <c r="J340" s="412"/>
      <c r="K340" s="413"/>
      <c r="L340" s="413"/>
      <c r="M340" s="413"/>
      <c r="N340" s="414"/>
      <c r="O340" s="412"/>
      <c r="P340" s="412"/>
      <c r="Q340" s="412"/>
      <c r="R340" s="412"/>
      <c r="S340" s="412"/>
      <c r="T340" s="412"/>
      <c r="U340" s="292"/>
      <c r="V340" s="292"/>
      <c r="W340" s="292"/>
      <c r="X340" s="415"/>
      <c r="Y340" s="416"/>
      <c r="Z340" s="417"/>
      <c r="AA340" s="304"/>
      <c r="AB340" s="304"/>
      <c r="AC340" s="304"/>
      <c r="AD340" s="304"/>
      <c r="AE340" s="304"/>
      <c r="AF340" s="304"/>
      <c r="AG340" s="304"/>
      <c r="AH340" s="304"/>
    </row>
    <row r="341">
      <c r="A341" s="292"/>
      <c r="B341" s="292"/>
      <c r="C341" s="292"/>
      <c r="D341" s="412"/>
      <c r="E341" s="412"/>
      <c r="F341" s="412"/>
      <c r="G341" s="412"/>
      <c r="H341" s="412"/>
      <c r="I341" s="412"/>
      <c r="J341" s="412"/>
      <c r="K341" s="413"/>
      <c r="L341" s="413"/>
      <c r="M341" s="413"/>
      <c r="N341" s="414"/>
      <c r="O341" s="412"/>
      <c r="P341" s="412"/>
      <c r="Q341" s="412"/>
      <c r="R341" s="412"/>
      <c r="S341" s="412"/>
      <c r="T341" s="412"/>
      <c r="U341" s="292"/>
      <c r="V341" s="292"/>
      <c r="W341" s="292"/>
      <c r="X341" s="415"/>
      <c r="Y341" s="416"/>
      <c r="Z341" s="417"/>
      <c r="AA341" s="304"/>
      <c r="AB341" s="304"/>
      <c r="AC341" s="304"/>
      <c r="AD341" s="304"/>
      <c r="AE341" s="304"/>
      <c r="AF341" s="304"/>
      <c r="AG341" s="304"/>
      <c r="AH341" s="304"/>
    </row>
    <row r="342">
      <c r="A342" s="292"/>
      <c r="B342" s="292"/>
      <c r="C342" s="292"/>
      <c r="D342" s="412"/>
      <c r="E342" s="412"/>
      <c r="F342" s="412"/>
      <c r="G342" s="412"/>
      <c r="H342" s="412"/>
      <c r="I342" s="412"/>
      <c r="J342" s="412"/>
      <c r="K342" s="413"/>
      <c r="L342" s="413"/>
      <c r="M342" s="413"/>
      <c r="N342" s="414"/>
      <c r="O342" s="412"/>
      <c r="P342" s="412"/>
      <c r="Q342" s="412"/>
      <c r="R342" s="412"/>
      <c r="S342" s="412"/>
      <c r="T342" s="412"/>
      <c r="U342" s="292"/>
      <c r="V342" s="292"/>
      <c r="W342" s="292"/>
      <c r="X342" s="415"/>
      <c r="Y342" s="416"/>
      <c r="Z342" s="417"/>
      <c r="AA342" s="304"/>
      <c r="AB342" s="304"/>
      <c r="AC342" s="304"/>
      <c r="AD342" s="304"/>
      <c r="AE342" s="304"/>
      <c r="AF342" s="304"/>
      <c r="AG342" s="304"/>
      <c r="AH342" s="304"/>
    </row>
    <row r="343">
      <c r="A343" s="292"/>
      <c r="B343" s="292"/>
      <c r="C343" s="292"/>
      <c r="D343" s="412"/>
      <c r="E343" s="412"/>
      <c r="F343" s="412"/>
      <c r="G343" s="412"/>
      <c r="H343" s="412"/>
      <c r="I343" s="412"/>
      <c r="J343" s="412"/>
      <c r="K343" s="413"/>
      <c r="L343" s="413"/>
      <c r="M343" s="413"/>
      <c r="N343" s="414"/>
      <c r="O343" s="412"/>
      <c r="P343" s="412"/>
      <c r="Q343" s="412"/>
      <c r="R343" s="412"/>
      <c r="S343" s="412"/>
      <c r="T343" s="412"/>
      <c r="U343" s="292"/>
      <c r="V343" s="292"/>
      <c r="W343" s="292"/>
      <c r="X343" s="415"/>
      <c r="Y343" s="416"/>
      <c r="Z343" s="417"/>
      <c r="AA343" s="304"/>
      <c r="AB343" s="304"/>
      <c r="AC343" s="304"/>
      <c r="AD343" s="304"/>
      <c r="AE343" s="304"/>
      <c r="AF343" s="304"/>
      <c r="AG343" s="304"/>
      <c r="AH343" s="304"/>
    </row>
    <row r="344">
      <c r="A344" s="292"/>
      <c r="B344" s="292"/>
      <c r="C344" s="292"/>
      <c r="D344" s="412"/>
      <c r="E344" s="412"/>
      <c r="F344" s="412"/>
      <c r="G344" s="412"/>
      <c r="H344" s="412"/>
      <c r="I344" s="412"/>
      <c r="J344" s="412"/>
      <c r="K344" s="413"/>
      <c r="L344" s="413"/>
      <c r="M344" s="413"/>
      <c r="N344" s="414"/>
      <c r="O344" s="412"/>
      <c r="P344" s="412"/>
      <c r="Q344" s="412"/>
      <c r="R344" s="412"/>
      <c r="S344" s="412"/>
      <c r="T344" s="412"/>
      <c r="U344" s="292"/>
      <c r="V344" s="292"/>
      <c r="W344" s="292"/>
      <c r="X344" s="415"/>
      <c r="Y344" s="416"/>
      <c r="Z344" s="417"/>
      <c r="AA344" s="304"/>
      <c r="AB344" s="304"/>
      <c r="AC344" s="304"/>
      <c r="AD344" s="304"/>
      <c r="AE344" s="304"/>
      <c r="AF344" s="304"/>
      <c r="AG344" s="304"/>
      <c r="AH344" s="304"/>
    </row>
    <row r="345">
      <c r="A345" s="292"/>
      <c r="B345" s="292"/>
      <c r="C345" s="292"/>
      <c r="D345" s="412"/>
      <c r="E345" s="412"/>
      <c r="F345" s="412"/>
      <c r="G345" s="412"/>
      <c r="H345" s="412"/>
      <c r="I345" s="412"/>
      <c r="J345" s="412"/>
      <c r="K345" s="413"/>
      <c r="L345" s="413"/>
      <c r="M345" s="413"/>
      <c r="N345" s="414"/>
      <c r="O345" s="412"/>
      <c r="P345" s="412"/>
      <c r="Q345" s="412"/>
      <c r="R345" s="412"/>
      <c r="S345" s="412"/>
      <c r="T345" s="412"/>
      <c r="U345" s="292"/>
      <c r="V345" s="292"/>
      <c r="W345" s="292"/>
      <c r="X345" s="415"/>
      <c r="Y345" s="416"/>
      <c r="Z345" s="417"/>
      <c r="AA345" s="304"/>
      <c r="AB345" s="304"/>
      <c r="AC345" s="304"/>
      <c r="AD345" s="304"/>
      <c r="AE345" s="304"/>
      <c r="AF345" s="304"/>
      <c r="AG345" s="304"/>
      <c r="AH345" s="304"/>
    </row>
    <row r="346">
      <c r="A346" s="292"/>
      <c r="B346" s="292"/>
      <c r="C346" s="292"/>
      <c r="D346" s="412"/>
      <c r="E346" s="412"/>
      <c r="F346" s="412"/>
      <c r="G346" s="412"/>
      <c r="H346" s="412"/>
      <c r="I346" s="412"/>
      <c r="J346" s="412"/>
      <c r="K346" s="413"/>
      <c r="L346" s="413"/>
      <c r="M346" s="413"/>
      <c r="N346" s="414"/>
      <c r="O346" s="412"/>
      <c r="P346" s="412"/>
      <c r="Q346" s="412"/>
      <c r="R346" s="412"/>
      <c r="S346" s="412"/>
      <c r="T346" s="412"/>
      <c r="U346" s="292"/>
      <c r="V346" s="292"/>
      <c r="W346" s="292"/>
      <c r="X346" s="415"/>
      <c r="Y346" s="416"/>
      <c r="Z346" s="417"/>
      <c r="AA346" s="304"/>
      <c r="AB346" s="304"/>
      <c r="AC346" s="304"/>
      <c r="AD346" s="304"/>
      <c r="AE346" s="304"/>
      <c r="AF346" s="304"/>
      <c r="AG346" s="304"/>
      <c r="AH346" s="304"/>
    </row>
    <row r="347">
      <c r="A347" s="292"/>
      <c r="B347" s="292"/>
      <c r="C347" s="292"/>
      <c r="D347" s="412"/>
      <c r="E347" s="412"/>
      <c r="F347" s="412"/>
      <c r="G347" s="412"/>
      <c r="H347" s="412"/>
      <c r="I347" s="412"/>
      <c r="J347" s="412"/>
      <c r="K347" s="413"/>
      <c r="L347" s="413"/>
      <c r="M347" s="413"/>
      <c r="N347" s="414"/>
      <c r="O347" s="412"/>
      <c r="P347" s="412"/>
      <c r="Q347" s="412"/>
      <c r="R347" s="412"/>
      <c r="S347" s="412"/>
      <c r="T347" s="412"/>
      <c r="U347" s="292"/>
      <c r="V347" s="292"/>
      <c r="W347" s="292"/>
      <c r="X347" s="415"/>
      <c r="Y347" s="416"/>
      <c r="Z347" s="417"/>
      <c r="AA347" s="304"/>
      <c r="AB347" s="304"/>
      <c r="AC347" s="304"/>
      <c r="AD347" s="304"/>
      <c r="AE347" s="304"/>
      <c r="AF347" s="304"/>
      <c r="AG347" s="304"/>
      <c r="AH347" s="304"/>
    </row>
    <row r="348">
      <c r="A348" s="292"/>
      <c r="B348" s="292"/>
      <c r="C348" s="292"/>
      <c r="D348" s="412"/>
      <c r="E348" s="412"/>
      <c r="F348" s="412"/>
      <c r="G348" s="412"/>
      <c r="H348" s="412"/>
      <c r="I348" s="412"/>
      <c r="J348" s="412"/>
      <c r="K348" s="413"/>
      <c r="L348" s="413"/>
      <c r="M348" s="413"/>
      <c r="N348" s="414"/>
      <c r="O348" s="412"/>
      <c r="P348" s="412"/>
      <c r="Q348" s="412"/>
      <c r="R348" s="412"/>
      <c r="S348" s="412"/>
      <c r="T348" s="412"/>
      <c r="U348" s="292"/>
      <c r="V348" s="292"/>
      <c r="W348" s="292"/>
      <c r="X348" s="415"/>
      <c r="Y348" s="416"/>
      <c r="Z348" s="417"/>
      <c r="AA348" s="304"/>
      <c r="AB348" s="304"/>
      <c r="AC348" s="304"/>
      <c r="AD348" s="304"/>
      <c r="AE348" s="304"/>
      <c r="AF348" s="304"/>
      <c r="AG348" s="304"/>
      <c r="AH348" s="304"/>
    </row>
    <row r="349">
      <c r="A349" s="292"/>
      <c r="B349" s="292"/>
      <c r="C349" s="292"/>
      <c r="D349" s="412"/>
      <c r="E349" s="412"/>
      <c r="F349" s="412"/>
      <c r="G349" s="412"/>
      <c r="H349" s="412"/>
      <c r="I349" s="412"/>
      <c r="J349" s="412"/>
      <c r="K349" s="413"/>
      <c r="L349" s="413"/>
      <c r="M349" s="413"/>
      <c r="N349" s="414"/>
      <c r="O349" s="412"/>
      <c r="P349" s="412"/>
      <c r="Q349" s="412"/>
      <c r="R349" s="412"/>
      <c r="S349" s="412"/>
      <c r="T349" s="412"/>
      <c r="U349" s="292"/>
      <c r="V349" s="292"/>
      <c r="W349" s="292"/>
      <c r="X349" s="415"/>
      <c r="Y349" s="416"/>
      <c r="Z349" s="417"/>
      <c r="AA349" s="304"/>
      <c r="AB349" s="304"/>
      <c r="AC349" s="304"/>
      <c r="AD349" s="304"/>
      <c r="AE349" s="304"/>
      <c r="AF349" s="304"/>
      <c r="AG349" s="304"/>
      <c r="AH349" s="304"/>
    </row>
    <row r="350">
      <c r="A350" s="292"/>
      <c r="B350" s="292"/>
      <c r="C350" s="292"/>
      <c r="D350" s="412"/>
      <c r="E350" s="412"/>
      <c r="F350" s="412"/>
      <c r="G350" s="412"/>
      <c r="H350" s="412"/>
      <c r="I350" s="412"/>
      <c r="J350" s="412"/>
      <c r="K350" s="413"/>
      <c r="L350" s="413"/>
      <c r="M350" s="413"/>
      <c r="N350" s="414"/>
      <c r="O350" s="412"/>
      <c r="P350" s="412"/>
      <c r="Q350" s="412"/>
      <c r="R350" s="412"/>
      <c r="S350" s="412"/>
      <c r="T350" s="412"/>
      <c r="U350" s="292"/>
      <c r="V350" s="292"/>
      <c r="W350" s="292"/>
      <c r="X350" s="415"/>
      <c r="Y350" s="416"/>
      <c r="Z350" s="417"/>
      <c r="AA350" s="304"/>
      <c r="AB350" s="304"/>
      <c r="AC350" s="304"/>
      <c r="AD350" s="304"/>
      <c r="AE350" s="304"/>
      <c r="AF350" s="304"/>
      <c r="AG350" s="304"/>
      <c r="AH350" s="304"/>
    </row>
    <row r="351">
      <c r="A351" s="292"/>
      <c r="B351" s="292"/>
      <c r="C351" s="292"/>
      <c r="D351" s="412"/>
      <c r="E351" s="412"/>
      <c r="F351" s="412"/>
      <c r="G351" s="412"/>
      <c r="H351" s="412"/>
      <c r="I351" s="412"/>
      <c r="J351" s="412"/>
      <c r="K351" s="413"/>
      <c r="L351" s="413"/>
      <c r="M351" s="413"/>
      <c r="N351" s="414"/>
      <c r="O351" s="412"/>
      <c r="P351" s="412"/>
      <c r="Q351" s="412"/>
      <c r="R351" s="412"/>
      <c r="S351" s="412"/>
      <c r="T351" s="412"/>
      <c r="U351" s="292"/>
      <c r="V351" s="292"/>
      <c r="W351" s="292"/>
      <c r="X351" s="415"/>
      <c r="Y351" s="416"/>
      <c r="Z351" s="417"/>
      <c r="AA351" s="304"/>
      <c r="AB351" s="304"/>
      <c r="AC351" s="304"/>
      <c r="AD351" s="304"/>
      <c r="AE351" s="304"/>
      <c r="AF351" s="304"/>
      <c r="AG351" s="304"/>
      <c r="AH351" s="304"/>
    </row>
    <row r="352">
      <c r="A352" s="292"/>
      <c r="B352" s="292"/>
      <c r="C352" s="292"/>
      <c r="D352" s="412"/>
      <c r="E352" s="412"/>
      <c r="F352" s="412"/>
      <c r="G352" s="412"/>
      <c r="H352" s="412"/>
      <c r="I352" s="412"/>
      <c r="J352" s="412"/>
      <c r="K352" s="413"/>
      <c r="L352" s="413"/>
      <c r="M352" s="413"/>
      <c r="N352" s="414"/>
      <c r="O352" s="412"/>
      <c r="P352" s="412"/>
      <c r="Q352" s="412"/>
      <c r="R352" s="412"/>
      <c r="S352" s="412"/>
      <c r="T352" s="412"/>
      <c r="U352" s="292"/>
      <c r="V352" s="292"/>
      <c r="W352" s="292"/>
      <c r="X352" s="415"/>
      <c r="Y352" s="416"/>
      <c r="Z352" s="417"/>
      <c r="AA352" s="304"/>
      <c r="AB352" s="304"/>
      <c r="AC352" s="304"/>
      <c r="AD352" s="304"/>
      <c r="AE352" s="304"/>
      <c r="AF352" s="304"/>
      <c r="AG352" s="304"/>
      <c r="AH352" s="304"/>
    </row>
    <row r="353">
      <c r="A353" s="292"/>
      <c r="B353" s="292"/>
      <c r="C353" s="292"/>
      <c r="D353" s="412"/>
      <c r="E353" s="412"/>
      <c r="F353" s="412"/>
      <c r="G353" s="412"/>
      <c r="H353" s="412"/>
      <c r="I353" s="412"/>
      <c r="J353" s="412"/>
      <c r="K353" s="413"/>
      <c r="L353" s="413"/>
      <c r="M353" s="413"/>
      <c r="N353" s="414"/>
      <c r="O353" s="412"/>
      <c r="P353" s="412"/>
      <c r="Q353" s="412"/>
      <c r="R353" s="412"/>
      <c r="S353" s="412"/>
      <c r="T353" s="412"/>
      <c r="U353" s="292"/>
      <c r="V353" s="292"/>
      <c r="W353" s="292"/>
      <c r="X353" s="415"/>
      <c r="Y353" s="416"/>
      <c r="Z353" s="417"/>
      <c r="AA353" s="304"/>
      <c r="AB353" s="304"/>
      <c r="AC353" s="304"/>
      <c r="AD353" s="304"/>
      <c r="AE353" s="304"/>
      <c r="AF353" s="304"/>
      <c r="AG353" s="304"/>
      <c r="AH353" s="304"/>
    </row>
    <row r="354">
      <c r="A354" s="292"/>
      <c r="B354" s="292"/>
      <c r="C354" s="292"/>
      <c r="D354" s="412"/>
      <c r="E354" s="412"/>
      <c r="F354" s="412"/>
      <c r="G354" s="412"/>
      <c r="H354" s="412"/>
      <c r="I354" s="412"/>
      <c r="J354" s="412"/>
      <c r="K354" s="413"/>
      <c r="L354" s="413"/>
      <c r="M354" s="413"/>
      <c r="N354" s="414"/>
      <c r="O354" s="412"/>
      <c r="P354" s="412"/>
      <c r="Q354" s="412"/>
      <c r="R354" s="412"/>
      <c r="S354" s="412"/>
      <c r="T354" s="412"/>
      <c r="U354" s="292"/>
      <c r="V354" s="292"/>
      <c r="W354" s="292"/>
      <c r="X354" s="415"/>
      <c r="Y354" s="416"/>
      <c r="Z354" s="417"/>
      <c r="AA354" s="304"/>
      <c r="AB354" s="304"/>
      <c r="AC354" s="304"/>
      <c r="AD354" s="304"/>
      <c r="AE354" s="304"/>
      <c r="AF354" s="304"/>
      <c r="AG354" s="304"/>
      <c r="AH354" s="304"/>
    </row>
    <row r="355">
      <c r="A355" s="292"/>
      <c r="B355" s="292"/>
      <c r="C355" s="292"/>
      <c r="D355" s="412"/>
      <c r="E355" s="412"/>
      <c r="F355" s="412"/>
      <c r="G355" s="412"/>
      <c r="H355" s="412"/>
      <c r="I355" s="412"/>
      <c r="J355" s="412"/>
      <c r="K355" s="413"/>
      <c r="L355" s="413"/>
      <c r="M355" s="413"/>
      <c r="N355" s="414"/>
      <c r="O355" s="412"/>
      <c r="P355" s="412"/>
      <c r="Q355" s="412"/>
      <c r="R355" s="412"/>
      <c r="S355" s="412"/>
      <c r="T355" s="412"/>
      <c r="U355" s="292"/>
      <c r="V355" s="292"/>
      <c r="W355" s="292"/>
      <c r="X355" s="415"/>
      <c r="Y355" s="416"/>
      <c r="Z355" s="417"/>
      <c r="AA355" s="304"/>
      <c r="AB355" s="304"/>
      <c r="AC355" s="304"/>
      <c r="AD355" s="304"/>
      <c r="AE355" s="304"/>
      <c r="AF355" s="304"/>
      <c r="AG355" s="304"/>
      <c r="AH355" s="304"/>
    </row>
    <row r="356">
      <c r="A356" s="292"/>
      <c r="B356" s="292"/>
      <c r="C356" s="292"/>
      <c r="D356" s="412"/>
      <c r="E356" s="412"/>
      <c r="F356" s="412"/>
      <c r="G356" s="412"/>
      <c r="H356" s="412"/>
      <c r="I356" s="412"/>
      <c r="J356" s="412"/>
      <c r="K356" s="413"/>
      <c r="L356" s="413"/>
      <c r="M356" s="413"/>
      <c r="N356" s="414"/>
      <c r="O356" s="412"/>
      <c r="P356" s="412"/>
      <c r="Q356" s="412"/>
      <c r="R356" s="412"/>
      <c r="S356" s="412"/>
      <c r="T356" s="412"/>
      <c r="U356" s="292"/>
      <c r="V356" s="292"/>
      <c r="W356" s="292"/>
      <c r="X356" s="415"/>
      <c r="Y356" s="416"/>
      <c r="Z356" s="417"/>
      <c r="AA356" s="304"/>
      <c r="AB356" s="304"/>
      <c r="AC356" s="304"/>
      <c r="AD356" s="304"/>
      <c r="AE356" s="304"/>
      <c r="AF356" s="304"/>
      <c r="AG356" s="304"/>
      <c r="AH356" s="304"/>
    </row>
    <row r="357">
      <c r="A357" s="292"/>
      <c r="B357" s="292"/>
      <c r="C357" s="292"/>
      <c r="D357" s="412"/>
      <c r="E357" s="412"/>
      <c r="F357" s="412"/>
      <c r="G357" s="412"/>
      <c r="H357" s="412"/>
      <c r="I357" s="412"/>
      <c r="J357" s="412"/>
      <c r="K357" s="413"/>
      <c r="L357" s="413"/>
      <c r="M357" s="413"/>
      <c r="N357" s="414"/>
      <c r="O357" s="412"/>
      <c r="P357" s="412"/>
      <c r="Q357" s="412"/>
      <c r="R357" s="412"/>
      <c r="S357" s="412"/>
      <c r="T357" s="412"/>
      <c r="U357" s="292"/>
      <c r="V357" s="292"/>
      <c r="W357" s="292"/>
      <c r="X357" s="415"/>
      <c r="Y357" s="416"/>
      <c r="Z357" s="417"/>
      <c r="AA357" s="304"/>
      <c r="AB357" s="304"/>
      <c r="AC357" s="304"/>
      <c r="AD357" s="304"/>
      <c r="AE357" s="304"/>
      <c r="AF357" s="304"/>
      <c r="AG357" s="304"/>
      <c r="AH357" s="304"/>
    </row>
    <row r="358">
      <c r="A358" s="292"/>
      <c r="B358" s="292"/>
      <c r="C358" s="292"/>
      <c r="D358" s="412"/>
      <c r="E358" s="412"/>
      <c r="F358" s="412"/>
      <c r="G358" s="412"/>
      <c r="H358" s="412"/>
      <c r="I358" s="412"/>
      <c r="J358" s="412"/>
      <c r="K358" s="413"/>
      <c r="L358" s="413"/>
      <c r="M358" s="413"/>
      <c r="N358" s="414"/>
      <c r="O358" s="412"/>
      <c r="P358" s="412"/>
      <c r="Q358" s="412"/>
      <c r="R358" s="412"/>
      <c r="S358" s="412"/>
      <c r="T358" s="412"/>
      <c r="U358" s="292"/>
      <c r="V358" s="292"/>
      <c r="W358" s="292"/>
      <c r="X358" s="415"/>
      <c r="Y358" s="416"/>
      <c r="Z358" s="417"/>
      <c r="AA358" s="304"/>
      <c r="AB358" s="304"/>
      <c r="AC358" s="304"/>
      <c r="AD358" s="304"/>
      <c r="AE358" s="304"/>
      <c r="AF358" s="304"/>
      <c r="AG358" s="304"/>
      <c r="AH358" s="304"/>
    </row>
    <row r="359">
      <c r="A359" s="292"/>
      <c r="B359" s="292"/>
      <c r="C359" s="292"/>
      <c r="D359" s="412"/>
      <c r="E359" s="412"/>
      <c r="F359" s="412"/>
      <c r="G359" s="412"/>
      <c r="H359" s="412"/>
      <c r="I359" s="412"/>
      <c r="J359" s="412"/>
      <c r="K359" s="413"/>
      <c r="L359" s="413"/>
      <c r="M359" s="413"/>
      <c r="N359" s="414"/>
      <c r="O359" s="412"/>
      <c r="P359" s="412"/>
      <c r="Q359" s="412"/>
      <c r="R359" s="412"/>
      <c r="S359" s="412"/>
      <c r="T359" s="412"/>
      <c r="U359" s="292"/>
      <c r="V359" s="292"/>
      <c r="W359" s="292"/>
      <c r="X359" s="415"/>
      <c r="Y359" s="416"/>
      <c r="Z359" s="417"/>
      <c r="AA359" s="304"/>
      <c r="AB359" s="304"/>
      <c r="AC359" s="304"/>
      <c r="AD359" s="304"/>
      <c r="AE359" s="304"/>
      <c r="AF359" s="304"/>
      <c r="AG359" s="304"/>
      <c r="AH359" s="304"/>
    </row>
    <row r="360">
      <c r="A360" s="292"/>
      <c r="B360" s="292"/>
      <c r="C360" s="292"/>
      <c r="D360" s="412"/>
      <c r="E360" s="412"/>
      <c r="F360" s="412"/>
      <c r="G360" s="412"/>
      <c r="H360" s="412"/>
      <c r="I360" s="412"/>
      <c r="J360" s="412"/>
      <c r="K360" s="413"/>
      <c r="L360" s="413"/>
      <c r="M360" s="413"/>
      <c r="N360" s="414"/>
      <c r="O360" s="412"/>
      <c r="P360" s="412"/>
      <c r="Q360" s="412"/>
      <c r="R360" s="412"/>
      <c r="S360" s="412"/>
      <c r="T360" s="412"/>
      <c r="U360" s="292"/>
      <c r="V360" s="292"/>
      <c r="W360" s="292"/>
      <c r="X360" s="415"/>
      <c r="Y360" s="416"/>
      <c r="Z360" s="417"/>
      <c r="AA360" s="304"/>
      <c r="AB360" s="304"/>
      <c r="AC360" s="304"/>
      <c r="AD360" s="304"/>
      <c r="AE360" s="304"/>
      <c r="AF360" s="304"/>
      <c r="AG360" s="304"/>
      <c r="AH360" s="304"/>
    </row>
    <row r="361">
      <c r="A361" s="292"/>
      <c r="B361" s="292"/>
      <c r="C361" s="292"/>
      <c r="D361" s="412"/>
      <c r="E361" s="412"/>
      <c r="F361" s="412"/>
      <c r="G361" s="412"/>
      <c r="H361" s="412"/>
      <c r="I361" s="412"/>
      <c r="J361" s="412"/>
      <c r="K361" s="413"/>
      <c r="L361" s="413"/>
      <c r="M361" s="413"/>
      <c r="N361" s="414"/>
      <c r="O361" s="412"/>
      <c r="P361" s="412"/>
      <c r="Q361" s="412"/>
      <c r="R361" s="412"/>
      <c r="S361" s="412"/>
      <c r="T361" s="412"/>
      <c r="U361" s="292"/>
      <c r="V361" s="292"/>
      <c r="W361" s="292"/>
      <c r="X361" s="415"/>
      <c r="Y361" s="416"/>
      <c r="Z361" s="417"/>
      <c r="AA361" s="304"/>
      <c r="AB361" s="304"/>
      <c r="AC361" s="304"/>
      <c r="AD361" s="304"/>
      <c r="AE361" s="304"/>
      <c r="AF361" s="304"/>
      <c r="AG361" s="304"/>
      <c r="AH361" s="304"/>
    </row>
    <row r="362">
      <c r="A362" s="292"/>
      <c r="B362" s="292"/>
      <c r="C362" s="292"/>
      <c r="D362" s="412"/>
      <c r="E362" s="412"/>
      <c r="F362" s="412"/>
      <c r="G362" s="412"/>
      <c r="H362" s="412"/>
      <c r="I362" s="412"/>
      <c r="J362" s="412"/>
      <c r="K362" s="413"/>
      <c r="L362" s="413"/>
      <c r="M362" s="413"/>
      <c r="N362" s="414"/>
      <c r="O362" s="412"/>
      <c r="P362" s="412"/>
      <c r="Q362" s="412"/>
      <c r="R362" s="412"/>
      <c r="S362" s="412"/>
      <c r="T362" s="412"/>
      <c r="U362" s="292"/>
      <c r="V362" s="292"/>
      <c r="W362" s="292"/>
      <c r="X362" s="415"/>
      <c r="Y362" s="416"/>
      <c r="Z362" s="417"/>
      <c r="AA362" s="304"/>
      <c r="AB362" s="304"/>
      <c r="AC362" s="304"/>
      <c r="AD362" s="304"/>
      <c r="AE362" s="304"/>
      <c r="AF362" s="304"/>
      <c r="AG362" s="304"/>
      <c r="AH362" s="304"/>
    </row>
    <row r="363">
      <c r="A363" s="292"/>
      <c r="B363" s="292"/>
      <c r="C363" s="292"/>
      <c r="D363" s="412"/>
      <c r="E363" s="412"/>
      <c r="F363" s="412"/>
      <c r="G363" s="412"/>
      <c r="H363" s="412"/>
      <c r="I363" s="412"/>
      <c r="J363" s="412"/>
      <c r="K363" s="413"/>
      <c r="L363" s="413"/>
      <c r="M363" s="413"/>
      <c r="N363" s="414"/>
      <c r="O363" s="412"/>
      <c r="P363" s="412"/>
      <c r="Q363" s="412"/>
      <c r="R363" s="412"/>
      <c r="S363" s="412"/>
      <c r="T363" s="412"/>
      <c r="U363" s="292"/>
      <c r="V363" s="292"/>
      <c r="W363" s="292"/>
      <c r="X363" s="415"/>
      <c r="Y363" s="416"/>
      <c r="Z363" s="417"/>
      <c r="AA363" s="304"/>
      <c r="AB363" s="304"/>
      <c r="AC363" s="304"/>
      <c r="AD363" s="304"/>
      <c r="AE363" s="304"/>
      <c r="AF363" s="304"/>
      <c r="AG363" s="304"/>
      <c r="AH363" s="304"/>
    </row>
    <row r="364">
      <c r="A364" s="292"/>
      <c r="B364" s="292"/>
      <c r="C364" s="292"/>
      <c r="D364" s="412"/>
      <c r="E364" s="412"/>
      <c r="F364" s="412"/>
      <c r="G364" s="412"/>
      <c r="H364" s="412"/>
      <c r="I364" s="412"/>
      <c r="J364" s="412"/>
      <c r="K364" s="413"/>
      <c r="L364" s="413"/>
      <c r="M364" s="413"/>
      <c r="N364" s="414"/>
      <c r="O364" s="412"/>
      <c r="P364" s="412"/>
      <c r="Q364" s="412"/>
      <c r="R364" s="412"/>
      <c r="S364" s="412"/>
      <c r="T364" s="412"/>
      <c r="U364" s="292"/>
      <c r="V364" s="292"/>
      <c r="W364" s="292"/>
      <c r="X364" s="415"/>
      <c r="Y364" s="416"/>
      <c r="Z364" s="417"/>
      <c r="AA364" s="304"/>
      <c r="AB364" s="304"/>
      <c r="AC364" s="304"/>
      <c r="AD364" s="304"/>
      <c r="AE364" s="304"/>
      <c r="AF364" s="304"/>
      <c r="AG364" s="304"/>
      <c r="AH364" s="304"/>
    </row>
    <row r="365">
      <c r="A365" s="292"/>
      <c r="B365" s="292"/>
      <c r="C365" s="292"/>
      <c r="D365" s="412"/>
      <c r="E365" s="412"/>
      <c r="F365" s="412"/>
      <c r="G365" s="412"/>
      <c r="H365" s="412"/>
      <c r="I365" s="412"/>
      <c r="J365" s="412"/>
      <c r="K365" s="413"/>
      <c r="L365" s="413"/>
      <c r="M365" s="413"/>
      <c r="N365" s="414"/>
      <c r="O365" s="412"/>
      <c r="P365" s="412"/>
      <c r="Q365" s="412"/>
      <c r="R365" s="412"/>
      <c r="S365" s="412"/>
      <c r="T365" s="412"/>
      <c r="U365" s="292"/>
      <c r="V365" s="292"/>
      <c r="W365" s="292"/>
      <c r="X365" s="415"/>
      <c r="Y365" s="416"/>
      <c r="Z365" s="417"/>
      <c r="AA365" s="304"/>
      <c r="AB365" s="304"/>
      <c r="AC365" s="304"/>
      <c r="AD365" s="304"/>
      <c r="AE365" s="304"/>
      <c r="AF365" s="304"/>
      <c r="AG365" s="304"/>
      <c r="AH365" s="304"/>
    </row>
    <row r="366">
      <c r="A366" s="292"/>
      <c r="B366" s="292"/>
      <c r="C366" s="292"/>
      <c r="D366" s="412"/>
      <c r="E366" s="412"/>
      <c r="F366" s="412"/>
      <c r="G366" s="412"/>
      <c r="H366" s="412"/>
      <c r="I366" s="412"/>
      <c r="J366" s="412"/>
      <c r="K366" s="413"/>
      <c r="L366" s="413"/>
      <c r="M366" s="413"/>
      <c r="N366" s="414"/>
      <c r="O366" s="412"/>
      <c r="P366" s="412"/>
      <c r="Q366" s="412"/>
      <c r="R366" s="412"/>
      <c r="S366" s="412"/>
      <c r="T366" s="412"/>
      <c r="U366" s="292"/>
      <c r="V366" s="292"/>
      <c r="W366" s="292"/>
      <c r="X366" s="415"/>
      <c r="Y366" s="416"/>
      <c r="Z366" s="417"/>
      <c r="AA366" s="304"/>
      <c r="AB366" s="304"/>
      <c r="AC366" s="304"/>
      <c r="AD366" s="304"/>
      <c r="AE366" s="304"/>
      <c r="AF366" s="304"/>
      <c r="AG366" s="304"/>
      <c r="AH366" s="304"/>
    </row>
    <row r="367">
      <c r="A367" s="292"/>
      <c r="B367" s="292"/>
      <c r="C367" s="292"/>
      <c r="D367" s="412"/>
      <c r="E367" s="412"/>
      <c r="F367" s="412"/>
      <c r="G367" s="412"/>
      <c r="H367" s="412"/>
      <c r="I367" s="412"/>
      <c r="J367" s="412"/>
      <c r="K367" s="413"/>
      <c r="L367" s="413"/>
      <c r="M367" s="413"/>
      <c r="N367" s="414"/>
      <c r="O367" s="412"/>
      <c r="P367" s="412"/>
      <c r="Q367" s="412"/>
      <c r="R367" s="412"/>
      <c r="S367" s="412"/>
      <c r="T367" s="412"/>
      <c r="U367" s="292"/>
      <c r="V367" s="292"/>
      <c r="W367" s="292"/>
      <c r="X367" s="415"/>
      <c r="Y367" s="416"/>
      <c r="Z367" s="417"/>
      <c r="AA367" s="304"/>
      <c r="AB367" s="304"/>
      <c r="AC367" s="304"/>
      <c r="AD367" s="304"/>
      <c r="AE367" s="304"/>
      <c r="AF367" s="304"/>
      <c r="AG367" s="304"/>
      <c r="AH367" s="304"/>
    </row>
    <row r="368">
      <c r="A368" s="292"/>
      <c r="B368" s="292"/>
      <c r="C368" s="292"/>
      <c r="D368" s="412"/>
      <c r="E368" s="412"/>
      <c r="F368" s="412"/>
      <c r="G368" s="412"/>
      <c r="H368" s="412"/>
      <c r="I368" s="412"/>
      <c r="J368" s="412"/>
      <c r="K368" s="413"/>
      <c r="L368" s="413"/>
      <c r="M368" s="413"/>
      <c r="N368" s="414"/>
      <c r="O368" s="412"/>
      <c r="P368" s="412"/>
      <c r="Q368" s="412"/>
      <c r="R368" s="412"/>
      <c r="S368" s="412"/>
      <c r="T368" s="412"/>
      <c r="U368" s="292"/>
      <c r="V368" s="292"/>
      <c r="W368" s="292"/>
      <c r="X368" s="415"/>
      <c r="Y368" s="416"/>
      <c r="Z368" s="417"/>
      <c r="AA368" s="304"/>
      <c r="AB368" s="304"/>
      <c r="AC368" s="304"/>
      <c r="AD368" s="304"/>
      <c r="AE368" s="304"/>
      <c r="AF368" s="304"/>
      <c r="AG368" s="304"/>
      <c r="AH368" s="304"/>
    </row>
    <row r="369">
      <c r="A369" s="292"/>
      <c r="B369" s="292"/>
      <c r="C369" s="292"/>
      <c r="D369" s="412"/>
      <c r="E369" s="412"/>
      <c r="F369" s="412"/>
      <c r="G369" s="412"/>
      <c r="H369" s="412"/>
      <c r="I369" s="412"/>
      <c r="J369" s="412"/>
      <c r="K369" s="413"/>
      <c r="L369" s="413"/>
      <c r="M369" s="413"/>
      <c r="N369" s="414"/>
      <c r="O369" s="412"/>
      <c r="P369" s="412"/>
      <c r="Q369" s="412"/>
      <c r="R369" s="412"/>
      <c r="S369" s="412"/>
      <c r="T369" s="412"/>
      <c r="U369" s="292"/>
      <c r="V369" s="292"/>
      <c r="W369" s="292"/>
      <c r="X369" s="415"/>
      <c r="Y369" s="416"/>
      <c r="Z369" s="417"/>
      <c r="AA369" s="304"/>
      <c r="AB369" s="304"/>
      <c r="AC369" s="304"/>
      <c r="AD369" s="304"/>
      <c r="AE369" s="304"/>
      <c r="AF369" s="304"/>
      <c r="AG369" s="304"/>
      <c r="AH369" s="304"/>
    </row>
    <row r="370">
      <c r="A370" s="292"/>
      <c r="B370" s="292"/>
      <c r="C370" s="292"/>
      <c r="D370" s="412"/>
      <c r="E370" s="412"/>
      <c r="F370" s="412"/>
      <c r="G370" s="412"/>
      <c r="H370" s="412"/>
      <c r="I370" s="412"/>
      <c r="J370" s="412"/>
      <c r="K370" s="413"/>
      <c r="L370" s="413"/>
      <c r="M370" s="413"/>
      <c r="N370" s="414"/>
      <c r="O370" s="412"/>
      <c r="P370" s="412"/>
      <c r="Q370" s="412"/>
      <c r="R370" s="412"/>
      <c r="S370" s="412"/>
      <c r="T370" s="412"/>
      <c r="U370" s="292"/>
      <c r="V370" s="292"/>
      <c r="W370" s="292"/>
      <c r="X370" s="415"/>
      <c r="Y370" s="416"/>
      <c r="Z370" s="417"/>
      <c r="AA370" s="304"/>
      <c r="AB370" s="304"/>
      <c r="AC370" s="304"/>
      <c r="AD370" s="304"/>
      <c r="AE370" s="304"/>
      <c r="AF370" s="304"/>
      <c r="AG370" s="304"/>
      <c r="AH370" s="304"/>
    </row>
    <row r="371">
      <c r="A371" s="292"/>
      <c r="B371" s="292"/>
      <c r="C371" s="292"/>
      <c r="D371" s="412"/>
      <c r="E371" s="412"/>
      <c r="F371" s="412"/>
      <c r="G371" s="412"/>
      <c r="H371" s="412"/>
      <c r="I371" s="412"/>
      <c r="J371" s="412"/>
      <c r="K371" s="413"/>
      <c r="L371" s="413"/>
      <c r="M371" s="413"/>
      <c r="N371" s="414"/>
      <c r="O371" s="412"/>
      <c r="P371" s="412"/>
      <c r="Q371" s="412"/>
      <c r="R371" s="412"/>
      <c r="S371" s="412"/>
      <c r="T371" s="412"/>
      <c r="U371" s="292"/>
      <c r="V371" s="292"/>
      <c r="W371" s="292"/>
      <c r="X371" s="415"/>
      <c r="Y371" s="416"/>
      <c r="Z371" s="417"/>
      <c r="AA371" s="304"/>
      <c r="AB371" s="304"/>
      <c r="AC371" s="304"/>
      <c r="AD371" s="304"/>
      <c r="AE371" s="304"/>
      <c r="AF371" s="304"/>
      <c r="AG371" s="304"/>
      <c r="AH371" s="304"/>
    </row>
    <row r="372">
      <c r="A372" s="292"/>
      <c r="B372" s="292"/>
      <c r="C372" s="292"/>
      <c r="D372" s="412"/>
      <c r="E372" s="412"/>
      <c r="F372" s="412"/>
      <c r="G372" s="412"/>
      <c r="H372" s="412"/>
      <c r="I372" s="412"/>
      <c r="J372" s="412"/>
      <c r="K372" s="413"/>
      <c r="L372" s="413"/>
      <c r="M372" s="413"/>
      <c r="N372" s="414"/>
      <c r="O372" s="412"/>
      <c r="P372" s="412"/>
      <c r="Q372" s="412"/>
      <c r="R372" s="412"/>
      <c r="S372" s="412"/>
      <c r="T372" s="412"/>
      <c r="U372" s="292"/>
      <c r="V372" s="292"/>
      <c r="W372" s="292"/>
      <c r="X372" s="415"/>
      <c r="Y372" s="416"/>
      <c r="Z372" s="417"/>
      <c r="AA372" s="304"/>
      <c r="AB372" s="304"/>
      <c r="AC372" s="304"/>
      <c r="AD372" s="304"/>
      <c r="AE372" s="304"/>
      <c r="AF372" s="304"/>
      <c r="AG372" s="304"/>
      <c r="AH372" s="304"/>
    </row>
    <row r="373">
      <c r="A373" s="292"/>
      <c r="B373" s="292"/>
      <c r="C373" s="292"/>
      <c r="D373" s="412"/>
      <c r="E373" s="412"/>
      <c r="F373" s="412"/>
      <c r="G373" s="412"/>
      <c r="H373" s="412"/>
      <c r="I373" s="412"/>
      <c r="J373" s="412"/>
      <c r="K373" s="413"/>
      <c r="L373" s="413"/>
      <c r="M373" s="413"/>
      <c r="N373" s="414"/>
      <c r="O373" s="412"/>
      <c r="P373" s="412"/>
      <c r="Q373" s="412"/>
      <c r="R373" s="412"/>
      <c r="S373" s="412"/>
      <c r="T373" s="412"/>
      <c r="U373" s="292"/>
      <c r="V373" s="292"/>
      <c r="W373" s="292"/>
      <c r="X373" s="415"/>
      <c r="Y373" s="416"/>
      <c r="Z373" s="417"/>
      <c r="AA373" s="304"/>
      <c r="AB373" s="304"/>
      <c r="AC373" s="304"/>
      <c r="AD373" s="304"/>
      <c r="AE373" s="304"/>
      <c r="AF373" s="304"/>
      <c r="AG373" s="304"/>
      <c r="AH373" s="304"/>
    </row>
    <row r="374">
      <c r="A374" s="292"/>
      <c r="B374" s="292"/>
      <c r="C374" s="292"/>
      <c r="D374" s="412"/>
      <c r="E374" s="412"/>
      <c r="F374" s="412"/>
      <c r="G374" s="412"/>
      <c r="H374" s="412"/>
      <c r="I374" s="412"/>
      <c r="J374" s="412"/>
      <c r="K374" s="413"/>
      <c r="L374" s="413"/>
      <c r="M374" s="413"/>
      <c r="N374" s="414"/>
      <c r="O374" s="412"/>
      <c r="P374" s="412"/>
      <c r="Q374" s="412"/>
      <c r="R374" s="412"/>
      <c r="S374" s="412"/>
      <c r="T374" s="412"/>
      <c r="U374" s="292"/>
      <c r="V374" s="292"/>
      <c r="W374" s="292"/>
      <c r="X374" s="415"/>
      <c r="Y374" s="416"/>
      <c r="Z374" s="417"/>
      <c r="AA374" s="304"/>
      <c r="AB374" s="304"/>
      <c r="AC374" s="304"/>
      <c r="AD374" s="304"/>
      <c r="AE374" s="304"/>
      <c r="AF374" s="304"/>
      <c r="AG374" s="304"/>
      <c r="AH374" s="304"/>
    </row>
    <row r="375">
      <c r="A375" s="292"/>
      <c r="B375" s="292"/>
      <c r="C375" s="292"/>
      <c r="D375" s="412"/>
      <c r="E375" s="412"/>
      <c r="F375" s="412"/>
      <c r="G375" s="412"/>
      <c r="H375" s="412"/>
      <c r="I375" s="412"/>
      <c r="J375" s="412"/>
      <c r="K375" s="413"/>
      <c r="L375" s="413"/>
      <c r="M375" s="413"/>
      <c r="N375" s="414"/>
      <c r="O375" s="412"/>
      <c r="P375" s="412"/>
      <c r="Q375" s="412"/>
      <c r="R375" s="412"/>
      <c r="S375" s="412"/>
      <c r="T375" s="412"/>
      <c r="U375" s="292"/>
      <c r="V375" s="292"/>
      <c r="W375" s="292"/>
      <c r="X375" s="415"/>
      <c r="Y375" s="416"/>
      <c r="Z375" s="417"/>
      <c r="AA375" s="304"/>
      <c r="AB375" s="304"/>
      <c r="AC375" s="304"/>
      <c r="AD375" s="304"/>
      <c r="AE375" s="304"/>
      <c r="AF375" s="304"/>
      <c r="AG375" s="304"/>
      <c r="AH375" s="304"/>
    </row>
    <row r="376">
      <c r="A376" s="292"/>
      <c r="B376" s="292"/>
      <c r="C376" s="292"/>
      <c r="D376" s="412"/>
      <c r="E376" s="412"/>
      <c r="F376" s="412"/>
      <c r="G376" s="412"/>
      <c r="H376" s="412"/>
      <c r="I376" s="412"/>
      <c r="J376" s="412"/>
      <c r="K376" s="413"/>
      <c r="L376" s="413"/>
      <c r="M376" s="413"/>
      <c r="N376" s="414"/>
      <c r="O376" s="412"/>
      <c r="P376" s="412"/>
      <c r="Q376" s="412"/>
      <c r="R376" s="412"/>
      <c r="S376" s="412"/>
      <c r="T376" s="412"/>
      <c r="U376" s="292"/>
      <c r="V376" s="292"/>
      <c r="W376" s="292"/>
      <c r="X376" s="415"/>
      <c r="Y376" s="416"/>
      <c r="Z376" s="417"/>
      <c r="AA376" s="304"/>
      <c r="AB376" s="304"/>
      <c r="AC376" s="304"/>
      <c r="AD376" s="304"/>
      <c r="AE376" s="304"/>
      <c r="AF376" s="304"/>
      <c r="AG376" s="304"/>
      <c r="AH376" s="304"/>
    </row>
    <row r="377">
      <c r="A377" s="292"/>
      <c r="B377" s="292"/>
      <c r="C377" s="292"/>
      <c r="D377" s="412"/>
      <c r="E377" s="412"/>
      <c r="F377" s="412"/>
      <c r="G377" s="412"/>
      <c r="H377" s="412"/>
      <c r="I377" s="412"/>
      <c r="J377" s="412"/>
      <c r="K377" s="413"/>
      <c r="L377" s="413"/>
      <c r="M377" s="413"/>
      <c r="N377" s="414"/>
      <c r="O377" s="412"/>
      <c r="P377" s="412"/>
      <c r="Q377" s="412"/>
      <c r="R377" s="412"/>
      <c r="S377" s="412"/>
      <c r="T377" s="412"/>
      <c r="U377" s="292"/>
      <c r="V377" s="292"/>
      <c r="W377" s="292"/>
      <c r="X377" s="415"/>
      <c r="Y377" s="416"/>
      <c r="Z377" s="417"/>
      <c r="AA377" s="304"/>
      <c r="AB377" s="304"/>
      <c r="AC377" s="304"/>
      <c r="AD377" s="304"/>
      <c r="AE377" s="304"/>
      <c r="AF377" s="304"/>
      <c r="AG377" s="304"/>
      <c r="AH377" s="304"/>
    </row>
    <row r="378">
      <c r="A378" s="292"/>
      <c r="B378" s="292"/>
      <c r="C378" s="292"/>
      <c r="D378" s="412"/>
      <c r="E378" s="412"/>
      <c r="F378" s="412"/>
      <c r="G378" s="412"/>
      <c r="H378" s="412"/>
      <c r="I378" s="412"/>
      <c r="J378" s="412"/>
      <c r="K378" s="413"/>
      <c r="L378" s="413"/>
      <c r="M378" s="413"/>
      <c r="N378" s="414"/>
      <c r="O378" s="412"/>
      <c r="P378" s="412"/>
      <c r="Q378" s="412"/>
      <c r="R378" s="412"/>
      <c r="S378" s="412"/>
      <c r="T378" s="412"/>
      <c r="U378" s="292"/>
      <c r="V378" s="292"/>
      <c r="W378" s="292"/>
      <c r="X378" s="415"/>
      <c r="Y378" s="416"/>
      <c r="Z378" s="417"/>
      <c r="AA378" s="304"/>
      <c r="AB378" s="304"/>
      <c r="AC378" s="304"/>
      <c r="AD378" s="304"/>
      <c r="AE378" s="304"/>
      <c r="AF378" s="304"/>
      <c r="AG378" s="304"/>
      <c r="AH378" s="304"/>
    </row>
    <row r="379">
      <c r="A379" s="292"/>
      <c r="B379" s="292"/>
      <c r="C379" s="292"/>
      <c r="D379" s="412"/>
      <c r="E379" s="412"/>
      <c r="F379" s="412"/>
      <c r="G379" s="412"/>
      <c r="H379" s="412"/>
      <c r="I379" s="412"/>
      <c r="J379" s="412"/>
      <c r="K379" s="413"/>
      <c r="L379" s="413"/>
      <c r="M379" s="413"/>
      <c r="N379" s="414"/>
      <c r="O379" s="412"/>
      <c r="P379" s="412"/>
      <c r="Q379" s="412"/>
      <c r="R379" s="412"/>
      <c r="S379" s="412"/>
      <c r="T379" s="412"/>
      <c r="U379" s="292"/>
      <c r="V379" s="292"/>
      <c r="W379" s="292"/>
      <c r="X379" s="415"/>
      <c r="Y379" s="416"/>
      <c r="Z379" s="417"/>
      <c r="AA379" s="304"/>
      <c r="AB379" s="304"/>
      <c r="AC379" s="304"/>
      <c r="AD379" s="304"/>
      <c r="AE379" s="304"/>
      <c r="AF379" s="304"/>
      <c r="AG379" s="304"/>
      <c r="AH379" s="304"/>
    </row>
    <row r="380">
      <c r="A380" s="292"/>
      <c r="B380" s="292"/>
      <c r="C380" s="292"/>
      <c r="D380" s="412"/>
      <c r="E380" s="412"/>
      <c r="F380" s="412"/>
      <c r="G380" s="412"/>
      <c r="H380" s="412"/>
      <c r="I380" s="412"/>
      <c r="J380" s="412"/>
      <c r="K380" s="413"/>
      <c r="L380" s="413"/>
      <c r="M380" s="413"/>
      <c r="N380" s="414"/>
      <c r="O380" s="412"/>
      <c r="P380" s="412"/>
      <c r="Q380" s="412"/>
      <c r="R380" s="412"/>
      <c r="S380" s="412"/>
      <c r="T380" s="412"/>
      <c r="U380" s="292"/>
      <c r="V380" s="292"/>
      <c r="W380" s="292"/>
      <c r="X380" s="415"/>
      <c r="Y380" s="416"/>
      <c r="Z380" s="417"/>
      <c r="AA380" s="304"/>
      <c r="AB380" s="304"/>
      <c r="AC380" s="304"/>
      <c r="AD380" s="304"/>
      <c r="AE380" s="304"/>
      <c r="AF380" s="304"/>
      <c r="AG380" s="304"/>
      <c r="AH380" s="304"/>
    </row>
    <row r="381">
      <c r="A381" s="292"/>
      <c r="B381" s="292"/>
      <c r="C381" s="292"/>
      <c r="D381" s="412"/>
      <c r="E381" s="412"/>
      <c r="F381" s="412"/>
      <c r="G381" s="412"/>
      <c r="H381" s="412"/>
      <c r="I381" s="412"/>
      <c r="J381" s="412"/>
      <c r="K381" s="413"/>
      <c r="L381" s="413"/>
      <c r="M381" s="413"/>
      <c r="N381" s="414"/>
      <c r="O381" s="412"/>
      <c r="P381" s="412"/>
      <c r="Q381" s="412"/>
      <c r="R381" s="412"/>
      <c r="S381" s="412"/>
      <c r="T381" s="412"/>
      <c r="U381" s="292"/>
      <c r="V381" s="292"/>
      <c r="W381" s="292"/>
      <c r="X381" s="415"/>
      <c r="Y381" s="416"/>
      <c r="Z381" s="417"/>
      <c r="AA381" s="304"/>
      <c r="AB381" s="304"/>
      <c r="AC381" s="304"/>
      <c r="AD381" s="304"/>
      <c r="AE381" s="304"/>
      <c r="AF381" s="304"/>
      <c r="AG381" s="304"/>
      <c r="AH381" s="304"/>
    </row>
    <row r="382">
      <c r="A382" s="292"/>
      <c r="B382" s="292"/>
      <c r="C382" s="292"/>
      <c r="D382" s="412"/>
      <c r="E382" s="412"/>
      <c r="F382" s="412"/>
      <c r="G382" s="412"/>
      <c r="H382" s="412"/>
      <c r="I382" s="412"/>
      <c r="J382" s="412"/>
      <c r="K382" s="413"/>
      <c r="L382" s="413"/>
      <c r="M382" s="413"/>
      <c r="N382" s="414"/>
      <c r="O382" s="412"/>
      <c r="P382" s="412"/>
      <c r="Q382" s="412"/>
      <c r="R382" s="412"/>
      <c r="S382" s="412"/>
      <c r="T382" s="412"/>
      <c r="U382" s="292"/>
      <c r="V382" s="292"/>
      <c r="W382" s="292"/>
      <c r="X382" s="415"/>
      <c r="Y382" s="416"/>
      <c r="Z382" s="417"/>
      <c r="AA382" s="304"/>
      <c r="AB382" s="304"/>
      <c r="AC382" s="304"/>
      <c r="AD382" s="304"/>
      <c r="AE382" s="304"/>
      <c r="AF382" s="304"/>
      <c r="AG382" s="304"/>
      <c r="AH382" s="304"/>
    </row>
    <row r="383">
      <c r="A383" s="292"/>
      <c r="B383" s="292"/>
      <c r="C383" s="292"/>
      <c r="D383" s="412"/>
      <c r="E383" s="412"/>
      <c r="F383" s="412"/>
      <c r="G383" s="412"/>
      <c r="H383" s="412"/>
      <c r="I383" s="412"/>
      <c r="J383" s="412"/>
      <c r="K383" s="413"/>
      <c r="L383" s="413"/>
      <c r="M383" s="413"/>
      <c r="N383" s="414"/>
      <c r="O383" s="412"/>
      <c r="P383" s="412"/>
      <c r="Q383" s="412"/>
      <c r="R383" s="412"/>
      <c r="S383" s="412"/>
      <c r="T383" s="412"/>
      <c r="U383" s="292"/>
      <c r="V383" s="292"/>
      <c r="W383" s="292"/>
      <c r="X383" s="415"/>
      <c r="Y383" s="416"/>
      <c r="Z383" s="417"/>
      <c r="AA383" s="304"/>
      <c r="AB383" s="304"/>
      <c r="AC383" s="304"/>
      <c r="AD383" s="304"/>
      <c r="AE383" s="304"/>
      <c r="AF383" s="304"/>
      <c r="AG383" s="304"/>
      <c r="AH383" s="304"/>
    </row>
    <row r="384">
      <c r="A384" s="292"/>
      <c r="B384" s="292"/>
      <c r="C384" s="292"/>
      <c r="D384" s="412"/>
      <c r="E384" s="412"/>
      <c r="F384" s="412"/>
      <c r="G384" s="412"/>
      <c r="H384" s="412"/>
      <c r="I384" s="412"/>
      <c r="J384" s="412"/>
      <c r="K384" s="413"/>
      <c r="L384" s="413"/>
      <c r="M384" s="413"/>
      <c r="N384" s="414"/>
      <c r="O384" s="412"/>
      <c r="P384" s="412"/>
      <c r="Q384" s="412"/>
      <c r="R384" s="412"/>
      <c r="S384" s="412"/>
      <c r="T384" s="412"/>
      <c r="U384" s="292"/>
      <c r="V384" s="292"/>
      <c r="W384" s="292"/>
      <c r="X384" s="415"/>
      <c r="Y384" s="416"/>
      <c r="Z384" s="417"/>
      <c r="AA384" s="304"/>
      <c r="AB384" s="304"/>
      <c r="AC384" s="304"/>
      <c r="AD384" s="304"/>
      <c r="AE384" s="304"/>
      <c r="AF384" s="304"/>
      <c r="AG384" s="304"/>
      <c r="AH384" s="304"/>
    </row>
    <row r="385">
      <c r="A385" s="292"/>
      <c r="B385" s="292"/>
      <c r="C385" s="292"/>
      <c r="D385" s="412"/>
      <c r="E385" s="412"/>
      <c r="F385" s="412"/>
      <c r="G385" s="412"/>
      <c r="H385" s="412"/>
      <c r="I385" s="412"/>
      <c r="J385" s="412"/>
      <c r="K385" s="413"/>
      <c r="L385" s="413"/>
      <c r="M385" s="413"/>
      <c r="N385" s="414"/>
      <c r="O385" s="412"/>
      <c r="P385" s="412"/>
      <c r="Q385" s="412"/>
      <c r="R385" s="412"/>
      <c r="S385" s="412"/>
      <c r="T385" s="412"/>
      <c r="U385" s="292"/>
      <c r="V385" s="292"/>
      <c r="W385" s="292"/>
      <c r="X385" s="415"/>
      <c r="Y385" s="416"/>
      <c r="Z385" s="417"/>
      <c r="AA385" s="304"/>
      <c r="AB385" s="304"/>
      <c r="AC385" s="304"/>
      <c r="AD385" s="304"/>
      <c r="AE385" s="304"/>
      <c r="AF385" s="304"/>
      <c r="AG385" s="304"/>
      <c r="AH385" s="304"/>
    </row>
    <row r="386">
      <c r="A386" s="292"/>
      <c r="B386" s="292"/>
      <c r="C386" s="292"/>
      <c r="D386" s="412"/>
      <c r="E386" s="412"/>
      <c r="F386" s="412"/>
      <c r="G386" s="412"/>
      <c r="H386" s="412"/>
      <c r="I386" s="412"/>
      <c r="J386" s="412"/>
      <c r="K386" s="413"/>
      <c r="L386" s="413"/>
      <c r="M386" s="413"/>
      <c r="N386" s="414"/>
      <c r="O386" s="412"/>
      <c r="P386" s="412"/>
      <c r="Q386" s="412"/>
      <c r="R386" s="412"/>
      <c r="S386" s="412"/>
      <c r="T386" s="412"/>
      <c r="U386" s="292"/>
      <c r="V386" s="292"/>
      <c r="W386" s="292"/>
      <c r="X386" s="415"/>
      <c r="Y386" s="416"/>
      <c r="Z386" s="417"/>
      <c r="AA386" s="304"/>
      <c r="AB386" s="304"/>
      <c r="AC386" s="304"/>
      <c r="AD386" s="304"/>
      <c r="AE386" s="304"/>
      <c r="AF386" s="304"/>
      <c r="AG386" s="304"/>
      <c r="AH386" s="304"/>
    </row>
    <row r="387">
      <c r="A387" s="292"/>
      <c r="B387" s="292"/>
      <c r="C387" s="292"/>
      <c r="D387" s="412"/>
      <c r="E387" s="412"/>
      <c r="F387" s="412"/>
      <c r="G387" s="412"/>
      <c r="H387" s="412"/>
      <c r="I387" s="412"/>
      <c r="J387" s="412"/>
      <c r="K387" s="413"/>
      <c r="L387" s="413"/>
      <c r="M387" s="413"/>
      <c r="N387" s="414"/>
      <c r="O387" s="412"/>
      <c r="P387" s="412"/>
      <c r="Q387" s="412"/>
      <c r="R387" s="412"/>
      <c r="S387" s="412"/>
      <c r="T387" s="412"/>
      <c r="U387" s="292"/>
      <c r="V387" s="292"/>
      <c r="W387" s="292"/>
      <c r="X387" s="415"/>
      <c r="Y387" s="416"/>
      <c r="Z387" s="417"/>
      <c r="AA387" s="304"/>
      <c r="AB387" s="304"/>
      <c r="AC387" s="304"/>
      <c r="AD387" s="304"/>
      <c r="AE387" s="304"/>
      <c r="AF387" s="304"/>
      <c r="AG387" s="304"/>
      <c r="AH387" s="304"/>
    </row>
    <row r="388">
      <c r="A388" s="292"/>
      <c r="B388" s="292"/>
      <c r="C388" s="292"/>
      <c r="D388" s="412"/>
      <c r="E388" s="412"/>
      <c r="F388" s="412"/>
      <c r="G388" s="412"/>
      <c r="H388" s="412"/>
      <c r="I388" s="412"/>
      <c r="J388" s="412"/>
      <c r="K388" s="413"/>
      <c r="L388" s="413"/>
      <c r="M388" s="413"/>
      <c r="N388" s="414"/>
      <c r="O388" s="412"/>
      <c r="P388" s="412"/>
      <c r="Q388" s="412"/>
      <c r="R388" s="412"/>
      <c r="S388" s="412"/>
      <c r="T388" s="412"/>
      <c r="U388" s="292"/>
      <c r="V388" s="292"/>
      <c r="W388" s="292"/>
      <c r="X388" s="415"/>
      <c r="Y388" s="416"/>
      <c r="Z388" s="417"/>
      <c r="AA388" s="304"/>
      <c r="AB388" s="304"/>
      <c r="AC388" s="304"/>
      <c r="AD388" s="304"/>
      <c r="AE388" s="304"/>
      <c r="AF388" s="304"/>
      <c r="AG388" s="304"/>
      <c r="AH388" s="304"/>
    </row>
    <row r="389">
      <c r="A389" s="292"/>
      <c r="B389" s="292"/>
      <c r="C389" s="292"/>
      <c r="D389" s="412"/>
      <c r="E389" s="412"/>
      <c r="F389" s="412"/>
      <c r="G389" s="412"/>
      <c r="H389" s="412"/>
      <c r="I389" s="412"/>
      <c r="J389" s="412"/>
      <c r="K389" s="413"/>
      <c r="L389" s="413"/>
      <c r="M389" s="413"/>
      <c r="N389" s="414"/>
      <c r="O389" s="412"/>
      <c r="P389" s="412"/>
      <c r="Q389" s="412"/>
      <c r="R389" s="412"/>
      <c r="S389" s="412"/>
      <c r="T389" s="412"/>
      <c r="U389" s="292"/>
      <c r="V389" s="292"/>
      <c r="W389" s="292"/>
      <c r="X389" s="415"/>
      <c r="Y389" s="416"/>
      <c r="Z389" s="417"/>
      <c r="AA389" s="304"/>
      <c r="AB389" s="304"/>
      <c r="AC389" s="304"/>
      <c r="AD389" s="304"/>
      <c r="AE389" s="304"/>
      <c r="AF389" s="304"/>
      <c r="AG389" s="304"/>
      <c r="AH389" s="304"/>
    </row>
    <row r="390">
      <c r="A390" s="292"/>
      <c r="B390" s="292"/>
      <c r="C390" s="292"/>
      <c r="D390" s="412"/>
      <c r="E390" s="412"/>
      <c r="F390" s="412"/>
      <c r="G390" s="412"/>
      <c r="H390" s="412"/>
      <c r="I390" s="412"/>
      <c r="J390" s="412"/>
      <c r="K390" s="413"/>
      <c r="L390" s="413"/>
      <c r="M390" s="413"/>
      <c r="N390" s="414"/>
      <c r="O390" s="412"/>
      <c r="P390" s="412"/>
      <c r="Q390" s="412"/>
      <c r="R390" s="412"/>
      <c r="S390" s="412"/>
      <c r="T390" s="412"/>
      <c r="U390" s="292"/>
      <c r="V390" s="292"/>
      <c r="W390" s="292"/>
      <c r="X390" s="415"/>
      <c r="Y390" s="416"/>
      <c r="Z390" s="417"/>
      <c r="AA390" s="304"/>
      <c r="AB390" s="304"/>
      <c r="AC390" s="304"/>
      <c r="AD390" s="304"/>
      <c r="AE390" s="304"/>
      <c r="AF390" s="304"/>
      <c r="AG390" s="304"/>
      <c r="AH390" s="304"/>
    </row>
    <row r="391">
      <c r="A391" s="292"/>
      <c r="B391" s="292"/>
      <c r="C391" s="292"/>
      <c r="D391" s="412"/>
      <c r="E391" s="412"/>
      <c r="F391" s="412"/>
      <c r="G391" s="412"/>
      <c r="H391" s="412"/>
      <c r="I391" s="412"/>
      <c r="J391" s="412"/>
      <c r="K391" s="413"/>
      <c r="L391" s="413"/>
      <c r="M391" s="413"/>
      <c r="N391" s="414"/>
      <c r="O391" s="412"/>
      <c r="P391" s="412"/>
      <c r="Q391" s="412"/>
      <c r="R391" s="412"/>
      <c r="S391" s="412"/>
      <c r="T391" s="412"/>
      <c r="U391" s="292"/>
      <c r="V391" s="292"/>
      <c r="W391" s="292"/>
      <c r="X391" s="415"/>
      <c r="Y391" s="416"/>
      <c r="Z391" s="417"/>
      <c r="AA391" s="304"/>
      <c r="AB391" s="304"/>
      <c r="AC391" s="304"/>
      <c r="AD391" s="304"/>
      <c r="AE391" s="304"/>
      <c r="AF391" s="304"/>
      <c r="AG391" s="304"/>
      <c r="AH391" s="304"/>
    </row>
    <row r="392">
      <c r="A392" s="292"/>
      <c r="B392" s="292"/>
      <c r="C392" s="292"/>
      <c r="D392" s="412"/>
      <c r="E392" s="412"/>
      <c r="F392" s="412"/>
      <c r="G392" s="412"/>
      <c r="H392" s="412"/>
      <c r="I392" s="412"/>
      <c r="J392" s="412"/>
      <c r="K392" s="413"/>
      <c r="L392" s="413"/>
      <c r="M392" s="413"/>
      <c r="N392" s="414"/>
      <c r="O392" s="412"/>
      <c r="P392" s="412"/>
      <c r="Q392" s="412"/>
      <c r="R392" s="412"/>
      <c r="S392" s="412"/>
      <c r="T392" s="412"/>
      <c r="U392" s="292"/>
      <c r="V392" s="292"/>
      <c r="W392" s="292"/>
      <c r="X392" s="415"/>
      <c r="Y392" s="416"/>
      <c r="Z392" s="417"/>
      <c r="AA392" s="304"/>
      <c r="AB392" s="304"/>
      <c r="AC392" s="304"/>
      <c r="AD392" s="304"/>
      <c r="AE392" s="304"/>
      <c r="AF392" s="304"/>
      <c r="AG392" s="304"/>
      <c r="AH392" s="304"/>
    </row>
    <row r="393">
      <c r="A393" s="292"/>
      <c r="B393" s="292"/>
      <c r="C393" s="292"/>
      <c r="D393" s="412"/>
      <c r="E393" s="412"/>
      <c r="F393" s="412"/>
      <c r="G393" s="412"/>
      <c r="H393" s="412"/>
      <c r="I393" s="412"/>
      <c r="J393" s="412"/>
      <c r="K393" s="413"/>
      <c r="L393" s="413"/>
      <c r="M393" s="413"/>
      <c r="N393" s="414"/>
      <c r="O393" s="412"/>
      <c r="P393" s="412"/>
      <c r="Q393" s="412"/>
      <c r="R393" s="412"/>
      <c r="S393" s="412"/>
      <c r="T393" s="412"/>
      <c r="U393" s="292"/>
      <c r="V393" s="292"/>
      <c r="W393" s="292"/>
      <c r="X393" s="415"/>
      <c r="Y393" s="416"/>
      <c r="Z393" s="417"/>
      <c r="AA393" s="304"/>
      <c r="AB393" s="304"/>
      <c r="AC393" s="304"/>
      <c r="AD393" s="304"/>
      <c r="AE393" s="304"/>
      <c r="AF393" s="304"/>
      <c r="AG393" s="304"/>
      <c r="AH393" s="304"/>
    </row>
    <row r="394">
      <c r="A394" s="292"/>
      <c r="B394" s="292"/>
      <c r="C394" s="292"/>
      <c r="D394" s="412"/>
      <c r="E394" s="412"/>
      <c r="F394" s="412"/>
      <c r="G394" s="412"/>
      <c r="H394" s="412"/>
      <c r="I394" s="412"/>
      <c r="J394" s="412"/>
      <c r="K394" s="413"/>
      <c r="L394" s="413"/>
      <c r="M394" s="413"/>
      <c r="N394" s="414"/>
      <c r="O394" s="412"/>
      <c r="P394" s="412"/>
      <c r="Q394" s="412"/>
      <c r="R394" s="412"/>
      <c r="S394" s="412"/>
      <c r="T394" s="412"/>
      <c r="U394" s="292"/>
      <c r="V394" s="292"/>
      <c r="W394" s="292"/>
      <c r="X394" s="415"/>
      <c r="Y394" s="416"/>
      <c r="Z394" s="417"/>
      <c r="AA394" s="304"/>
      <c r="AB394" s="304"/>
      <c r="AC394" s="304"/>
      <c r="AD394" s="304"/>
      <c r="AE394" s="304"/>
      <c r="AF394" s="304"/>
      <c r="AG394" s="304"/>
      <c r="AH394" s="304"/>
    </row>
    <row r="395">
      <c r="A395" s="292"/>
      <c r="B395" s="292"/>
      <c r="C395" s="292"/>
      <c r="D395" s="412"/>
      <c r="E395" s="412"/>
      <c r="F395" s="412"/>
      <c r="G395" s="412"/>
      <c r="H395" s="412"/>
      <c r="I395" s="412"/>
      <c r="J395" s="412"/>
      <c r="K395" s="413"/>
      <c r="L395" s="413"/>
      <c r="M395" s="413"/>
      <c r="N395" s="414"/>
      <c r="O395" s="412"/>
      <c r="P395" s="412"/>
      <c r="Q395" s="412"/>
      <c r="R395" s="412"/>
      <c r="S395" s="412"/>
      <c r="T395" s="412"/>
      <c r="U395" s="292"/>
      <c r="V395" s="292"/>
      <c r="W395" s="292"/>
      <c r="X395" s="415"/>
      <c r="Y395" s="416"/>
      <c r="Z395" s="417"/>
      <c r="AA395" s="304"/>
      <c r="AB395" s="304"/>
      <c r="AC395" s="304"/>
      <c r="AD395" s="304"/>
      <c r="AE395" s="304"/>
      <c r="AF395" s="304"/>
      <c r="AG395" s="304"/>
      <c r="AH395" s="304"/>
    </row>
    <row r="396">
      <c r="A396" s="292"/>
      <c r="B396" s="292"/>
      <c r="C396" s="292"/>
      <c r="D396" s="412"/>
      <c r="E396" s="412"/>
      <c r="F396" s="412"/>
      <c r="G396" s="412"/>
      <c r="H396" s="412"/>
      <c r="I396" s="412"/>
      <c r="J396" s="412"/>
      <c r="K396" s="413"/>
      <c r="L396" s="413"/>
      <c r="M396" s="413"/>
      <c r="N396" s="414"/>
      <c r="O396" s="412"/>
      <c r="P396" s="412"/>
      <c r="Q396" s="412"/>
      <c r="R396" s="412"/>
      <c r="S396" s="412"/>
      <c r="T396" s="412"/>
      <c r="U396" s="292"/>
      <c r="V396" s="292"/>
      <c r="W396" s="292"/>
      <c r="X396" s="415"/>
      <c r="Y396" s="416"/>
      <c r="Z396" s="417"/>
      <c r="AA396" s="304"/>
      <c r="AB396" s="304"/>
      <c r="AC396" s="304"/>
      <c r="AD396" s="304"/>
      <c r="AE396" s="304"/>
      <c r="AF396" s="304"/>
      <c r="AG396" s="304"/>
      <c r="AH396" s="304"/>
    </row>
    <row r="397">
      <c r="A397" s="292"/>
      <c r="B397" s="292"/>
      <c r="C397" s="292"/>
      <c r="D397" s="412"/>
      <c r="E397" s="412"/>
      <c r="F397" s="412"/>
      <c r="G397" s="412"/>
      <c r="H397" s="412"/>
      <c r="I397" s="412"/>
      <c r="J397" s="412"/>
      <c r="K397" s="413"/>
      <c r="L397" s="413"/>
      <c r="M397" s="413"/>
      <c r="N397" s="414"/>
      <c r="O397" s="412"/>
      <c r="P397" s="412"/>
      <c r="Q397" s="412"/>
      <c r="R397" s="412"/>
      <c r="S397" s="412"/>
      <c r="T397" s="412"/>
      <c r="U397" s="292"/>
      <c r="V397" s="292"/>
      <c r="W397" s="292"/>
      <c r="X397" s="415"/>
      <c r="Y397" s="416"/>
      <c r="Z397" s="417"/>
      <c r="AA397" s="304"/>
      <c r="AB397" s="304"/>
      <c r="AC397" s="304"/>
      <c r="AD397" s="304"/>
      <c r="AE397" s="304"/>
      <c r="AF397" s="304"/>
      <c r="AG397" s="304"/>
      <c r="AH397" s="304"/>
    </row>
    <row r="398">
      <c r="A398" s="292"/>
      <c r="B398" s="292"/>
      <c r="C398" s="292"/>
      <c r="D398" s="412"/>
      <c r="E398" s="412"/>
      <c r="F398" s="412"/>
      <c r="G398" s="412"/>
      <c r="H398" s="412"/>
      <c r="I398" s="412"/>
      <c r="J398" s="412"/>
      <c r="K398" s="413"/>
      <c r="L398" s="413"/>
      <c r="M398" s="413"/>
      <c r="N398" s="414"/>
      <c r="O398" s="412"/>
      <c r="P398" s="412"/>
      <c r="Q398" s="412"/>
      <c r="R398" s="412"/>
      <c r="S398" s="412"/>
      <c r="T398" s="412"/>
      <c r="U398" s="292"/>
      <c r="V398" s="292"/>
      <c r="W398" s="292"/>
      <c r="X398" s="415"/>
      <c r="Y398" s="416"/>
      <c r="Z398" s="417"/>
      <c r="AA398" s="304"/>
      <c r="AB398" s="304"/>
      <c r="AC398" s="304"/>
      <c r="AD398" s="304"/>
      <c r="AE398" s="304"/>
      <c r="AF398" s="304"/>
      <c r="AG398" s="304"/>
      <c r="AH398" s="304"/>
    </row>
    <row r="399">
      <c r="A399" s="292"/>
      <c r="B399" s="292"/>
      <c r="C399" s="292"/>
      <c r="D399" s="412"/>
      <c r="E399" s="412"/>
      <c r="F399" s="412"/>
      <c r="G399" s="412"/>
      <c r="H399" s="412"/>
      <c r="I399" s="412"/>
      <c r="J399" s="412"/>
      <c r="K399" s="413"/>
      <c r="L399" s="413"/>
      <c r="M399" s="413"/>
      <c r="N399" s="414"/>
      <c r="O399" s="412"/>
      <c r="P399" s="412"/>
      <c r="Q399" s="412"/>
      <c r="R399" s="412"/>
      <c r="S399" s="412"/>
      <c r="T399" s="412"/>
      <c r="U399" s="292"/>
      <c r="V399" s="292"/>
      <c r="W399" s="292"/>
      <c r="X399" s="415"/>
      <c r="Y399" s="416"/>
      <c r="Z399" s="417"/>
      <c r="AA399" s="304"/>
      <c r="AB399" s="304"/>
      <c r="AC399" s="304"/>
      <c r="AD399" s="304"/>
      <c r="AE399" s="304"/>
      <c r="AF399" s="304"/>
      <c r="AG399" s="304"/>
      <c r="AH399" s="304"/>
    </row>
    <row r="400">
      <c r="A400" s="292"/>
      <c r="B400" s="292"/>
      <c r="C400" s="292"/>
      <c r="D400" s="412"/>
      <c r="E400" s="412"/>
      <c r="F400" s="412"/>
      <c r="G400" s="412"/>
      <c r="H400" s="412"/>
      <c r="I400" s="412"/>
      <c r="J400" s="412"/>
      <c r="K400" s="413"/>
      <c r="L400" s="413"/>
      <c r="M400" s="413"/>
      <c r="N400" s="414"/>
      <c r="O400" s="412"/>
      <c r="P400" s="412"/>
      <c r="Q400" s="412"/>
      <c r="R400" s="412"/>
      <c r="S400" s="412"/>
      <c r="T400" s="412"/>
      <c r="U400" s="292"/>
      <c r="V400" s="292"/>
      <c r="W400" s="292"/>
      <c r="X400" s="415"/>
      <c r="Y400" s="416"/>
      <c r="Z400" s="417"/>
      <c r="AA400" s="304"/>
      <c r="AB400" s="304"/>
      <c r="AC400" s="304"/>
      <c r="AD400" s="304"/>
      <c r="AE400" s="304"/>
      <c r="AF400" s="304"/>
      <c r="AG400" s="304"/>
      <c r="AH400" s="304"/>
    </row>
    <row r="401">
      <c r="A401" s="292"/>
      <c r="B401" s="292"/>
      <c r="C401" s="292"/>
      <c r="D401" s="412"/>
      <c r="E401" s="412"/>
      <c r="F401" s="412"/>
      <c r="G401" s="412"/>
      <c r="H401" s="412"/>
      <c r="I401" s="412"/>
      <c r="J401" s="412"/>
      <c r="K401" s="413"/>
      <c r="L401" s="413"/>
      <c r="M401" s="413"/>
      <c r="N401" s="414"/>
      <c r="O401" s="412"/>
      <c r="P401" s="412"/>
      <c r="Q401" s="412"/>
      <c r="R401" s="412"/>
      <c r="S401" s="412"/>
      <c r="T401" s="412"/>
      <c r="U401" s="292"/>
      <c r="V401" s="292"/>
      <c r="W401" s="292"/>
      <c r="X401" s="415"/>
      <c r="Y401" s="416"/>
      <c r="Z401" s="417"/>
      <c r="AA401" s="304"/>
      <c r="AB401" s="304"/>
      <c r="AC401" s="304"/>
      <c r="AD401" s="304"/>
      <c r="AE401" s="304"/>
      <c r="AF401" s="304"/>
      <c r="AG401" s="304"/>
      <c r="AH401" s="304"/>
    </row>
    <row r="402">
      <c r="A402" s="292"/>
      <c r="B402" s="292"/>
      <c r="C402" s="292"/>
      <c r="D402" s="412"/>
      <c r="E402" s="412"/>
      <c r="F402" s="412"/>
      <c r="G402" s="412"/>
      <c r="H402" s="412"/>
      <c r="I402" s="412"/>
      <c r="J402" s="412"/>
      <c r="K402" s="413"/>
      <c r="L402" s="413"/>
      <c r="M402" s="413"/>
      <c r="N402" s="414"/>
      <c r="O402" s="412"/>
      <c r="P402" s="412"/>
      <c r="Q402" s="412"/>
      <c r="R402" s="412"/>
      <c r="S402" s="412"/>
      <c r="T402" s="412"/>
      <c r="U402" s="292"/>
      <c r="V402" s="292"/>
      <c r="W402" s="292"/>
      <c r="X402" s="415"/>
      <c r="Y402" s="416"/>
      <c r="Z402" s="417"/>
      <c r="AA402" s="304"/>
      <c r="AB402" s="304"/>
      <c r="AC402" s="304"/>
      <c r="AD402" s="304"/>
      <c r="AE402" s="304"/>
      <c r="AF402" s="304"/>
      <c r="AG402" s="304"/>
      <c r="AH402" s="304"/>
    </row>
    <row r="403">
      <c r="A403" s="292"/>
      <c r="B403" s="292"/>
      <c r="C403" s="292"/>
      <c r="D403" s="412"/>
      <c r="E403" s="412"/>
      <c r="F403" s="412"/>
      <c r="G403" s="412"/>
      <c r="H403" s="412"/>
      <c r="I403" s="412"/>
      <c r="J403" s="412"/>
      <c r="K403" s="413"/>
      <c r="L403" s="413"/>
      <c r="M403" s="413"/>
      <c r="N403" s="414"/>
      <c r="O403" s="412"/>
      <c r="P403" s="412"/>
      <c r="Q403" s="412"/>
      <c r="R403" s="412"/>
      <c r="S403" s="412"/>
      <c r="T403" s="412"/>
      <c r="U403" s="292"/>
      <c r="V403" s="292"/>
      <c r="W403" s="292"/>
      <c r="X403" s="415"/>
      <c r="Y403" s="416"/>
      <c r="Z403" s="417"/>
      <c r="AA403" s="304"/>
      <c r="AB403" s="304"/>
      <c r="AC403" s="304"/>
      <c r="AD403" s="304"/>
      <c r="AE403" s="304"/>
      <c r="AF403" s="304"/>
      <c r="AG403" s="304"/>
      <c r="AH403" s="304"/>
    </row>
    <row r="404">
      <c r="A404" s="292"/>
      <c r="B404" s="292"/>
      <c r="C404" s="292"/>
      <c r="D404" s="412"/>
      <c r="E404" s="412"/>
      <c r="F404" s="412"/>
      <c r="G404" s="412"/>
      <c r="H404" s="412"/>
      <c r="I404" s="412"/>
      <c r="J404" s="412"/>
      <c r="K404" s="413"/>
      <c r="L404" s="413"/>
      <c r="M404" s="413"/>
      <c r="N404" s="414"/>
      <c r="O404" s="412"/>
      <c r="P404" s="412"/>
      <c r="Q404" s="412"/>
      <c r="R404" s="412"/>
      <c r="S404" s="412"/>
      <c r="T404" s="412"/>
      <c r="U404" s="292"/>
      <c r="V404" s="292"/>
      <c r="W404" s="292"/>
      <c r="X404" s="415"/>
      <c r="Y404" s="416"/>
      <c r="Z404" s="417"/>
      <c r="AA404" s="304"/>
      <c r="AB404" s="304"/>
      <c r="AC404" s="304"/>
      <c r="AD404" s="304"/>
      <c r="AE404" s="304"/>
      <c r="AF404" s="304"/>
      <c r="AG404" s="304"/>
      <c r="AH404" s="304"/>
    </row>
    <row r="405">
      <c r="A405" s="292"/>
      <c r="B405" s="292"/>
      <c r="C405" s="292"/>
      <c r="D405" s="412"/>
      <c r="E405" s="412"/>
      <c r="F405" s="412"/>
      <c r="G405" s="412"/>
      <c r="H405" s="412"/>
      <c r="I405" s="412"/>
      <c r="J405" s="412"/>
      <c r="K405" s="413"/>
      <c r="L405" s="413"/>
      <c r="M405" s="413"/>
      <c r="N405" s="414"/>
      <c r="O405" s="412"/>
      <c r="P405" s="412"/>
      <c r="Q405" s="412"/>
      <c r="R405" s="412"/>
      <c r="S405" s="412"/>
      <c r="T405" s="412"/>
      <c r="U405" s="292"/>
      <c r="V405" s="292"/>
      <c r="W405" s="292"/>
      <c r="X405" s="415"/>
      <c r="Y405" s="416"/>
      <c r="Z405" s="417"/>
      <c r="AA405" s="304"/>
      <c r="AB405" s="304"/>
      <c r="AC405" s="304"/>
      <c r="AD405" s="304"/>
      <c r="AE405" s="304"/>
      <c r="AF405" s="304"/>
      <c r="AG405" s="304"/>
      <c r="AH405" s="304"/>
    </row>
    <row r="406">
      <c r="A406" s="292"/>
      <c r="B406" s="292"/>
      <c r="C406" s="292"/>
      <c r="D406" s="412"/>
      <c r="E406" s="412"/>
      <c r="F406" s="412"/>
      <c r="G406" s="412"/>
      <c r="H406" s="412"/>
      <c r="I406" s="412"/>
      <c r="J406" s="412"/>
      <c r="K406" s="413"/>
      <c r="L406" s="413"/>
      <c r="M406" s="413"/>
      <c r="N406" s="414"/>
      <c r="O406" s="412"/>
      <c r="P406" s="412"/>
      <c r="Q406" s="412"/>
      <c r="R406" s="412"/>
      <c r="S406" s="412"/>
      <c r="T406" s="412"/>
      <c r="U406" s="292"/>
      <c r="V406" s="292"/>
      <c r="W406" s="292"/>
      <c r="X406" s="415"/>
      <c r="Y406" s="416"/>
      <c r="Z406" s="417"/>
      <c r="AA406" s="304"/>
      <c r="AB406" s="304"/>
      <c r="AC406" s="304"/>
      <c r="AD406" s="304"/>
      <c r="AE406" s="304"/>
      <c r="AF406" s="304"/>
      <c r="AG406" s="304"/>
      <c r="AH406" s="304"/>
    </row>
    <row r="407">
      <c r="A407" s="292"/>
      <c r="B407" s="292"/>
      <c r="C407" s="292"/>
      <c r="D407" s="412"/>
      <c r="E407" s="412"/>
      <c r="F407" s="412"/>
      <c r="G407" s="412"/>
      <c r="H407" s="412"/>
      <c r="I407" s="412"/>
      <c r="J407" s="412"/>
      <c r="K407" s="413"/>
      <c r="L407" s="413"/>
      <c r="M407" s="413"/>
      <c r="N407" s="414"/>
      <c r="O407" s="412"/>
      <c r="P407" s="412"/>
      <c r="Q407" s="412"/>
      <c r="R407" s="412"/>
      <c r="S407" s="412"/>
      <c r="T407" s="412"/>
      <c r="U407" s="292"/>
      <c r="V407" s="292"/>
      <c r="W407" s="292"/>
      <c r="X407" s="415"/>
      <c r="Y407" s="416"/>
      <c r="Z407" s="417"/>
      <c r="AA407" s="304"/>
      <c r="AB407" s="304"/>
      <c r="AC407" s="304"/>
      <c r="AD407" s="304"/>
      <c r="AE407" s="304"/>
      <c r="AF407" s="304"/>
      <c r="AG407" s="304"/>
      <c r="AH407" s="304"/>
    </row>
    <row r="408">
      <c r="A408" s="292"/>
      <c r="B408" s="292"/>
      <c r="C408" s="292"/>
      <c r="D408" s="412"/>
      <c r="E408" s="412"/>
      <c r="F408" s="412"/>
      <c r="G408" s="412"/>
      <c r="H408" s="412"/>
      <c r="I408" s="412"/>
      <c r="J408" s="412"/>
      <c r="K408" s="413"/>
      <c r="L408" s="413"/>
      <c r="M408" s="413"/>
      <c r="N408" s="414"/>
      <c r="O408" s="412"/>
      <c r="P408" s="412"/>
      <c r="Q408" s="412"/>
      <c r="R408" s="412"/>
      <c r="S408" s="412"/>
      <c r="T408" s="412"/>
      <c r="U408" s="292"/>
      <c r="V408" s="292"/>
      <c r="W408" s="292"/>
      <c r="X408" s="415"/>
      <c r="Y408" s="416"/>
      <c r="Z408" s="417"/>
      <c r="AA408" s="304"/>
      <c r="AB408" s="304"/>
      <c r="AC408" s="304"/>
      <c r="AD408" s="304"/>
      <c r="AE408" s="304"/>
      <c r="AF408" s="304"/>
      <c r="AG408" s="304"/>
      <c r="AH408" s="304"/>
    </row>
    <row r="409">
      <c r="A409" s="292"/>
      <c r="B409" s="292"/>
      <c r="C409" s="292"/>
      <c r="D409" s="412"/>
      <c r="E409" s="412"/>
      <c r="F409" s="412"/>
      <c r="G409" s="412"/>
      <c r="H409" s="412"/>
      <c r="I409" s="412"/>
      <c r="J409" s="412"/>
      <c r="K409" s="413"/>
      <c r="L409" s="413"/>
      <c r="M409" s="413"/>
      <c r="N409" s="414"/>
      <c r="O409" s="412"/>
      <c r="P409" s="412"/>
      <c r="Q409" s="412"/>
      <c r="R409" s="412"/>
      <c r="S409" s="412"/>
      <c r="T409" s="412"/>
      <c r="U409" s="292"/>
      <c r="V409" s="292"/>
      <c r="W409" s="292"/>
      <c r="X409" s="415"/>
      <c r="Y409" s="416"/>
      <c r="Z409" s="417"/>
      <c r="AA409" s="304"/>
      <c r="AB409" s="304"/>
      <c r="AC409" s="304"/>
      <c r="AD409" s="304"/>
      <c r="AE409" s="304"/>
      <c r="AF409" s="304"/>
      <c r="AG409" s="304"/>
      <c r="AH409" s="304"/>
    </row>
    <row r="410">
      <c r="A410" s="292"/>
      <c r="B410" s="292"/>
      <c r="C410" s="292"/>
      <c r="D410" s="412"/>
      <c r="E410" s="412"/>
      <c r="F410" s="412"/>
      <c r="G410" s="412"/>
      <c r="H410" s="412"/>
      <c r="I410" s="412"/>
      <c r="J410" s="412"/>
      <c r="K410" s="413"/>
      <c r="L410" s="413"/>
      <c r="M410" s="413"/>
      <c r="N410" s="414"/>
      <c r="O410" s="412"/>
      <c r="P410" s="412"/>
      <c r="Q410" s="412"/>
      <c r="R410" s="412"/>
      <c r="S410" s="412"/>
      <c r="T410" s="412"/>
      <c r="U410" s="292"/>
      <c r="V410" s="292"/>
      <c r="W410" s="292"/>
      <c r="X410" s="415"/>
      <c r="Y410" s="416"/>
      <c r="Z410" s="417"/>
      <c r="AA410" s="304"/>
      <c r="AB410" s="304"/>
      <c r="AC410" s="304"/>
      <c r="AD410" s="304"/>
      <c r="AE410" s="304"/>
      <c r="AF410" s="304"/>
      <c r="AG410" s="304"/>
      <c r="AH410" s="304"/>
    </row>
    <row r="411">
      <c r="A411" s="292"/>
      <c r="B411" s="292"/>
      <c r="C411" s="292"/>
      <c r="D411" s="412"/>
      <c r="E411" s="412"/>
      <c r="F411" s="412"/>
      <c r="G411" s="412"/>
      <c r="H411" s="412"/>
      <c r="I411" s="412"/>
      <c r="J411" s="412"/>
      <c r="K411" s="413"/>
      <c r="L411" s="413"/>
      <c r="M411" s="413"/>
      <c r="N411" s="414"/>
      <c r="O411" s="412"/>
      <c r="P411" s="412"/>
      <c r="Q411" s="412"/>
      <c r="R411" s="412"/>
      <c r="S411" s="412"/>
      <c r="T411" s="412"/>
      <c r="U411" s="292"/>
      <c r="V411" s="292"/>
      <c r="W411" s="292"/>
      <c r="X411" s="415"/>
      <c r="Y411" s="416"/>
      <c r="Z411" s="417"/>
      <c r="AA411" s="304"/>
      <c r="AB411" s="304"/>
      <c r="AC411" s="304"/>
      <c r="AD411" s="304"/>
      <c r="AE411" s="304"/>
      <c r="AF411" s="304"/>
      <c r="AG411" s="304"/>
      <c r="AH411" s="304"/>
    </row>
    <row r="412">
      <c r="A412" s="292"/>
      <c r="B412" s="292"/>
      <c r="C412" s="292"/>
      <c r="D412" s="412"/>
      <c r="E412" s="412"/>
      <c r="F412" s="412"/>
      <c r="G412" s="412"/>
      <c r="H412" s="412"/>
      <c r="I412" s="412"/>
      <c r="J412" s="412"/>
      <c r="K412" s="413"/>
      <c r="L412" s="413"/>
      <c r="M412" s="413"/>
      <c r="N412" s="414"/>
      <c r="O412" s="412"/>
      <c r="P412" s="412"/>
      <c r="Q412" s="412"/>
      <c r="R412" s="412"/>
      <c r="S412" s="412"/>
      <c r="T412" s="412"/>
      <c r="U412" s="292"/>
      <c r="V412" s="292"/>
      <c r="W412" s="292"/>
      <c r="X412" s="415"/>
      <c r="Y412" s="416"/>
      <c r="Z412" s="417"/>
      <c r="AA412" s="304"/>
      <c r="AB412" s="304"/>
      <c r="AC412" s="304"/>
      <c r="AD412" s="304"/>
      <c r="AE412" s="304"/>
      <c r="AF412" s="304"/>
      <c r="AG412" s="304"/>
      <c r="AH412" s="304"/>
    </row>
    <row r="413">
      <c r="A413" s="292"/>
      <c r="B413" s="292"/>
      <c r="C413" s="292"/>
      <c r="D413" s="412"/>
      <c r="E413" s="412"/>
      <c r="F413" s="412"/>
      <c r="G413" s="412"/>
      <c r="H413" s="412"/>
      <c r="I413" s="412"/>
      <c r="J413" s="412"/>
      <c r="K413" s="413"/>
      <c r="L413" s="413"/>
      <c r="M413" s="413"/>
      <c r="N413" s="414"/>
      <c r="O413" s="412"/>
      <c r="P413" s="412"/>
      <c r="Q413" s="412"/>
      <c r="R413" s="412"/>
      <c r="S413" s="412"/>
      <c r="T413" s="412"/>
      <c r="U413" s="292"/>
      <c r="V413" s="292"/>
      <c r="W413" s="292"/>
      <c r="X413" s="415"/>
      <c r="Y413" s="416"/>
      <c r="Z413" s="417"/>
      <c r="AA413" s="304"/>
      <c r="AB413" s="304"/>
      <c r="AC413" s="304"/>
      <c r="AD413" s="304"/>
      <c r="AE413" s="304"/>
      <c r="AF413" s="304"/>
      <c r="AG413" s="304"/>
      <c r="AH413" s="304"/>
    </row>
    <row r="414">
      <c r="A414" s="292"/>
      <c r="B414" s="292"/>
      <c r="C414" s="292"/>
      <c r="D414" s="412"/>
      <c r="E414" s="412"/>
      <c r="F414" s="412"/>
      <c r="G414" s="412"/>
      <c r="H414" s="412"/>
      <c r="I414" s="412"/>
      <c r="J414" s="412"/>
      <c r="K414" s="413"/>
      <c r="L414" s="413"/>
      <c r="M414" s="413"/>
      <c r="N414" s="414"/>
      <c r="O414" s="412"/>
      <c r="P414" s="412"/>
      <c r="Q414" s="412"/>
      <c r="R414" s="412"/>
      <c r="S414" s="412"/>
      <c r="T414" s="412"/>
      <c r="U414" s="292"/>
      <c r="V414" s="292"/>
      <c r="W414" s="292"/>
      <c r="X414" s="415"/>
      <c r="Y414" s="416"/>
      <c r="Z414" s="417"/>
      <c r="AA414" s="304"/>
      <c r="AB414" s="304"/>
      <c r="AC414" s="304"/>
      <c r="AD414" s="304"/>
      <c r="AE414" s="304"/>
      <c r="AF414" s="304"/>
      <c r="AG414" s="304"/>
      <c r="AH414" s="304"/>
    </row>
    <row r="415">
      <c r="A415" s="292"/>
      <c r="B415" s="292"/>
      <c r="C415" s="292"/>
      <c r="D415" s="412"/>
      <c r="E415" s="412"/>
      <c r="F415" s="412"/>
      <c r="G415" s="412"/>
      <c r="H415" s="412"/>
      <c r="I415" s="412"/>
      <c r="J415" s="412"/>
      <c r="K415" s="413"/>
      <c r="L415" s="413"/>
      <c r="M415" s="413"/>
      <c r="N415" s="414"/>
      <c r="O415" s="412"/>
      <c r="P415" s="412"/>
      <c r="Q415" s="412"/>
      <c r="R415" s="412"/>
      <c r="S415" s="412"/>
      <c r="T415" s="412"/>
      <c r="U415" s="292"/>
      <c r="V415" s="292"/>
      <c r="W415" s="292"/>
      <c r="X415" s="415"/>
      <c r="Y415" s="416"/>
      <c r="Z415" s="417"/>
      <c r="AA415" s="304"/>
      <c r="AB415" s="304"/>
      <c r="AC415" s="304"/>
      <c r="AD415" s="304"/>
      <c r="AE415" s="304"/>
      <c r="AF415" s="304"/>
      <c r="AG415" s="304"/>
      <c r="AH415" s="304"/>
    </row>
    <row r="416">
      <c r="A416" s="292"/>
      <c r="B416" s="292"/>
      <c r="C416" s="292"/>
      <c r="D416" s="412"/>
      <c r="E416" s="412"/>
      <c r="F416" s="412"/>
      <c r="G416" s="412"/>
      <c r="H416" s="412"/>
      <c r="I416" s="412"/>
      <c r="J416" s="412"/>
      <c r="K416" s="413"/>
      <c r="L416" s="413"/>
      <c r="M416" s="413"/>
      <c r="N416" s="414"/>
      <c r="O416" s="412"/>
      <c r="P416" s="412"/>
      <c r="Q416" s="412"/>
      <c r="R416" s="412"/>
      <c r="S416" s="412"/>
      <c r="T416" s="412"/>
      <c r="U416" s="292"/>
      <c r="V416" s="292"/>
      <c r="W416" s="292"/>
      <c r="X416" s="415"/>
      <c r="Y416" s="416"/>
      <c r="Z416" s="417"/>
      <c r="AA416" s="304"/>
      <c r="AB416" s="304"/>
      <c r="AC416" s="304"/>
      <c r="AD416" s="304"/>
      <c r="AE416" s="304"/>
      <c r="AF416" s="304"/>
      <c r="AG416" s="304"/>
      <c r="AH416" s="304"/>
    </row>
    <row r="417">
      <c r="A417" s="292"/>
      <c r="B417" s="292"/>
      <c r="C417" s="292"/>
      <c r="D417" s="412"/>
      <c r="E417" s="412"/>
      <c r="F417" s="412"/>
      <c r="G417" s="412"/>
      <c r="H417" s="412"/>
      <c r="I417" s="412"/>
      <c r="J417" s="412"/>
      <c r="K417" s="413"/>
      <c r="L417" s="413"/>
      <c r="M417" s="413"/>
      <c r="N417" s="414"/>
      <c r="O417" s="412"/>
      <c r="P417" s="412"/>
      <c r="Q417" s="412"/>
      <c r="R417" s="412"/>
      <c r="S417" s="412"/>
      <c r="T417" s="412"/>
      <c r="U417" s="292"/>
      <c r="V417" s="292"/>
      <c r="W417" s="292"/>
      <c r="X417" s="415"/>
      <c r="Y417" s="416"/>
      <c r="Z417" s="417"/>
      <c r="AA417" s="304"/>
      <c r="AB417" s="304"/>
      <c r="AC417" s="304"/>
      <c r="AD417" s="304"/>
      <c r="AE417" s="304"/>
      <c r="AF417" s="304"/>
      <c r="AG417" s="304"/>
      <c r="AH417" s="304"/>
    </row>
    <row r="418">
      <c r="A418" s="292"/>
      <c r="B418" s="292"/>
      <c r="C418" s="292"/>
      <c r="D418" s="412"/>
      <c r="E418" s="412"/>
      <c r="F418" s="412"/>
      <c r="G418" s="412"/>
      <c r="H418" s="412"/>
      <c r="I418" s="412"/>
      <c r="J418" s="412"/>
      <c r="K418" s="413"/>
      <c r="L418" s="413"/>
      <c r="M418" s="413"/>
      <c r="N418" s="414"/>
      <c r="O418" s="412"/>
      <c r="P418" s="412"/>
      <c r="Q418" s="412"/>
      <c r="R418" s="412"/>
      <c r="S418" s="412"/>
      <c r="T418" s="412"/>
      <c r="U418" s="292"/>
      <c r="V418" s="292"/>
      <c r="W418" s="292"/>
      <c r="X418" s="415"/>
      <c r="Y418" s="416"/>
      <c r="Z418" s="417"/>
      <c r="AA418" s="304"/>
      <c r="AB418" s="304"/>
      <c r="AC418" s="304"/>
      <c r="AD418" s="304"/>
      <c r="AE418" s="304"/>
      <c r="AF418" s="304"/>
      <c r="AG418" s="304"/>
      <c r="AH418" s="304"/>
    </row>
    <row r="419">
      <c r="A419" s="292"/>
      <c r="B419" s="292"/>
      <c r="C419" s="292"/>
      <c r="D419" s="412"/>
      <c r="E419" s="412"/>
      <c r="F419" s="412"/>
      <c r="G419" s="412"/>
      <c r="H419" s="412"/>
      <c r="I419" s="412"/>
      <c r="J419" s="412"/>
      <c r="K419" s="413"/>
      <c r="L419" s="413"/>
      <c r="M419" s="413"/>
      <c r="N419" s="414"/>
      <c r="O419" s="412"/>
      <c r="P419" s="412"/>
      <c r="Q419" s="412"/>
      <c r="R419" s="412"/>
      <c r="S419" s="412"/>
      <c r="T419" s="412"/>
      <c r="U419" s="292"/>
      <c r="V419" s="292"/>
      <c r="W419" s="292"/>
      <c r="X419" s="415"/>
      <c r="Y419" s="416"/>
      <c r="Z419" s="417"/>
      <c r="AA419" s="304"/>
      <c r="AB419" s="304"/>
      <c r="AC419" s="304"/>
      <c r="AD419" s="304"/>
      <c r="AE419" s="304"/>
      <c r="AF419" s="304"/>
      <c r="AG419" s="304"/>
      <c r="AH419" s="304"/>
    </row>
    <row r="420">
      <c r="A420" s="292"/>
      <c r="B420" s="292"/>
      <c r="C420" s="292"/>
      <c r="D420" s="412"/>
      <c r="E420" s="412"/>
      <c r="F420" s="412"/>
      <c r="G420" s="412"/>
      <c r="H420" s="412"/>
      <c r="I420" s="412"/>
      <c r="J420" s="412"/>
      <c r="K420" s="413"/>
      <c r="L420" s="413"/>
      <c r="M420" s="413"/>
      <c r="N420" s="414"/>
      <c r="O420" s="412"/>
      <c r="P420" s="412"/>
      <c r="Q420" s="412"/>
      <c r="R420" s="412"/>
      <c r="S420" s="412"/>
      <c r="T420" s="412"/>
      <c r="U420" s="292"/>
      <c r="V420" s="292"/>
      <c r="W420" s="292"/>
      <c r="X420" s="415"/>
      <c r="Y420" s="416"/>
      <c r="Z420" s="417"/>
      <c r="AA420" s="304"/>
      <c r="AB420" s="304"/>
      <c r="AC420" s="304"/>
      <c r="AD420" s="304"/>
      <c r="AE420" s="304"/>
      <c r="AF420" s="304"/>
      <c r="AG420" s="304"/>
      <c r="AH420" s="304"/>
    </row>
    <row r="421">
      <c r="A421" s="292"/>
      <c r="B421" s="292"/>
      <c r="C421" s="292"/>
      <c r="D421" s="412"/>
      <c r="E421" s="412"/>
      <c r="F421" s="412"/>
      <c r="G421" s="412"/>
      <c r="H421" s="412"/>
      <c r="I421" s="412"/>
      <c r="J421" s="412"/>
      <c r="K421" s="413"/>
      <c r="L421" s="413"/>
      <c r="M421" s="413"/>
      <c r="N421" s="414"/>
      <c r="O421" s="412"/>
      <c r="P421" s="412"/>
      <c r="Q421" s="412"/>
      <c r="R421" s="412"/>
      <c r="S421" s="412"/>
      <c r="T421" s="412"/>
      <c r="U421" s="292"/>
      <c r="V421" s="292"/>
      <c r="W421" s="292"/>
      <c r="X421" s="415"/>
      <c r="Y421" s="416"/>
      <c r="Z421" s="417"/>
      <c r="AA421" s="304"/>
      <c r="AB421" s="304"/>
      <c r="AC421" s="304"/>
      <c r="AD421" s="304"/>
      <c r="AE421" s="304"/>
      <c r="AF421" s="304"/>
      <c r="AG421" s="304"/>
      <c r="AH421" s="304"/>
    </row>
    <row r="422">
      <c r="A422" s="292"/>
      <c r="B422" s="292"/>
      <c r="C422" s="292"/>
      <c r="D422" s="412"/>
      <c r="E422" s="412"/>
      <c r="F422" s="412"/>
      <c r="G422" s="412"/>
      <c r="H422" s="412"/>
      <c r="I422" s="412"/>
      <c r="J422" s="412"/>
      <c r="K422" s="413"/>
      <c r="L422" s="413"/>
      <c r="M422" s="413"/>
      <c r="N422" s="414"/>
      <c r="O422" s="412"/>
      <c r="P422" s="412"/>
      <c r="Q422" s="412"/>
      <c r="R422" s="412"/>
      <c r="S422" s="412"/>
      <c r="T422" s="412"/>
      <c r="U422" s="292"/>
      <c r="V422" s="292"/>
      <c r="W422" s="292"/>
      <c r="X422" s="415"/>
      <c r="Y422" s="416"/>
      <c r="Z422" s="417"/>
      <c r="AA422" s="304"/>
      <c r="AB422" s="304"/>
      <c r="AC422" s="304"/>
      <c r="AD422" s="304"/>
      <c r="AE422" s="304"/>
      <c r="AF422" s="304"/>
      <c r="AG422" s="304"/>
      <c r="AH422" s="304"/>
    </row>
    <row r="423">
      <c r="A423" s="292"/>
      <c r="B423" s="292"/>
      <c r="C423" s="292"/>
      <c r="D423" s="412"/>
      <c r="E423" s="412"/>
      <c r="F423" s="412"/>
      <c r="G423" s="412"/>
      <c r="H423" s="412"/>
      <c r="I423" s="412"/>
      <c r="J423" s="412"/>
      <c r="K423" s="413"/>
      <c r="L423" s="413"/>
      <c r="M423" s="413"/>
      <c r="N423" s="414"/>
      <c r="O423" s="412"/>
      <c r="P423" s="412"/>
      <c r="Q423" s="412"/>
      <c r="R423" s="412"/>
      <c r="S423" s="412"/>
      <c r="T423" s="412"/>
      <c r="U423" s="292"/>
      <c r="V423" s="292"/>
      <c r="W423" s="292"/>
      <c r="X423" s="415"/>
      <c r="Y423" s="416"/>
      <c r="Z423" s="417"/>
      <c r="AA423" s="304"/>
      <c r="AB423" s="304"/>
      <c r="AC423" s="304"/>
      <c r="AD423" s="304"/>
      <c r="AE423" s="304"/>
      <c r="AF423" s="304"/>
      <c r="AG423" s="304"/>
      <c r="AH423" s="304"/>
    </row>
    <row r="424">
      <c r="A424" s="292"/>
      <c r="B424" s="292"/>
      <c r="C424" s="292"/>
      <c r="D424" s="412"/>
      <c r="E424" s="412"/>
      <c r="F424" s="412"/>
      <c r="G424" s="412"/>
      <c r="H424" s="412"/>
      <c r="I424" s="412"/>
      <c r="J424" s="412"/>
      <c r="K424" s="413"/>
      <c r="L424" s="413"/>
      <c r="M424" s="413"/>
      <c r="N424" s="414"/>
      <c r="O424" s="412"/>
      <c r="P424" s="412"/>
      <c r="Q424" s="412"/>
      <c r="R424" s="412"/>
      <c r="S424" s="412"/>
      <c r="T424" s="412"/>
      <c r="U424" s="292"/>
      <c r="V424" s="292"/>
      <c r="W424" s="292"/>
      <c r="X424" s="415"/>
      <c r="Y424" s="416"/>
      <c r="Z424" s="417"/>
      <c r="AA424" s="304"/>
      <c r="AB424" s="304"/>
      <c r="AC424" s="304"/>
      <c r="AD424" s="304"/>
      <c r="AE424" s="304"/>
      <c r="AF424" s="304"/>
      <c r="AG424" s="304"/>
      <c r="AH424" s="304"/>
    </row>
    <row r="425">
      <c r="A425" s="292"/>
      <c r="B425" s="292"/>
      <c r="C425" s="292"/>
      <c r="D425" s="412"/>
      <c r="E425" s="412"/>
      <c r="F425" s="412"/>
      <c r="G425" s="412"/>
      <c r="H425" s="412"/>
      <c r="I425" s="412"/>
      <c r="J425" s="412"/>
      <c r="K425" s="413"/>
      <c r="L425" s="413"/>
      <c r="M425" s="413"/>
      <c r="N425" s="414"/>
      <c r="O425" s="412"/>
      <c r="P425" s="412"/>
      <c r="Q425" s="412"/>
      <c r="R425" s="412"/>
      <c r="S425" s="412"/>
      <c r="T425" s="412"/>
      <c r="U425" s="292"/>
      <c r="V425" s="292"/>
      <c r="W425" s="292"/>
      <c r="X425" s="415"/>
      <c r="Y425" s="416"/>
      <c r="Z425" s="417"/>
      <c r="AA425" s="304"/>
      <c r="AB425" s="304"/>
      <c r="AC425" s="304"/>
      <c r="AD425" s="304"/>
      <c r="AE425" s="304"/>
      <c r="AF425" s="304"/>
      <c r="AG425" s="304"/>
      <c r="AH425" s="304"/>
    </row>
    <row r="426">
      <c r="A426" s="292"/>
      <c r="B426" s="292"/>
      <c r="C426" s="292"/>
      <c r="D426" s="412"/>
      <c r="E426" s="412"/>
      <c r="F426" s="412"/>
      <c r="G426" s="412"/>
      <c r="H426" s="412"/>
      <c r="I426" s="412"/>
      <c r="J426" s="412"/>
      <c r="K426" s="413"/>
      <c r="L426" s="413"/>
      <c r="M426" s="413"/>
      <c r="N426" s="414"/>
      <c r="O426" s="412"/>
      <c r="P426" s="412"/>
      <c r="Q426" s="412"/>
      <c r="R426" s="412"/>
      <c r="S426" s="412"/>
      <c r="T426" s="412"/>
      <c r="U426" s="292"/>
      <c r="V426" s="292"/>
      <c r="W426" s="292"/>
      <c r="X426" s="415"/>
      <c r="Y426" s="416"/>
      <c r="Z426" s="417"/>
      <c r="AA426" s="304"/>
      <c r="AB426" s="304"/>
      <c r="AC426" s="304"/>
      <c r="AD426" s="304"/>
      <c r="AE426" s="304"/>
      <c r="AF426" s="304"/>
      <c r="AG426" s="304"/>
      <c r="AH426" s="304"/>
    </row>
    <row r="427">
      <c r="A427" s="292"/>
      <c r="B427" s="292"/>
      <c r="C427" s="292"/>
      <c r="D427" s="412"/>
      <c r="E427" s="412"/>
      <c r="F427" s="412"/>
      <c r="G427" s="412"/>
      <c r="H427" s="412"/>
      <c r="I427" s="412"/>
      <c r="J427" s="412"/>
      <c r="K427" s="413"/>
      <c r="L427" s="413"/>
      <c r="M427" s="413"/>
      <c r="N427" s="414"/>
      <c r="O427" s="412"/>
      <c r="P427" s="412"/>
      <c r="Q427" s="412"/>
      <c r="R427" s="412"/>
      <c r="S427" s="412"/>
      <c r="T427" s="412"/>
      <c r="U427" s="292"/>
      <c r="V427" s="292"/>
      <c r="W427" s="292"/>
      <c r="X427" s="415"/>
      <c r="Y427" s="416"/>
      <c r="Z427" s="417"/>
      <c r="AA427" s="304"/>
      <c r="AB427" s="304"/>
      <c r="AC427" s="304"/>
      <c r="AD427" s="304"/>
      <c r="AE427" s="304"/>
      <c r="AF427" s="304"/>
      <c r="AG427" s="304"/>
      <c r="AH427" s="304"/>
    </row>
    <row r="428">
      <c r="A428" s="292"/>
      <c r="B428" s="292"/>
      <c r="C428" s="292"/>
      <c r="D428" s="412"/>
      <c r="E428" s="412"/>
      <c r="F428" s="412"/>
      <c r="G428" s="412"/>
      <c r="H428" s="412"/>
      <c r="I428" s="412"/>
      <c r="J428" s="412"/>
      <c r="K428" s="413"/>
      <c r="L428" s="413"/>
      <c r="M428" s="413"/>
      <c r="N428" s="414"/>
      <c r="O428" s="412"/>
      <c r="P428" s="412"/>
      <c r="Q428" s="412"/>
      <c r="R428" s="412"/>
      <c r="S428" s="412"/>
      <c r="T428" s="412"/>
      <c r="U428" s="292"/>
      <c r="V428" s="292"/>
      <c r="W428" s="292"/>
      <c r="X428" s="415"/>
      <c r="Y428" s="416"/>
      <c r="Z428" s="417"/>
      <c r="AA428" s="304"/>
      <c r="AB428" s="304"/>
      <c r="AC428" s="304"/>
      <c r="AD428" s="304"/>
      <c r="AE428" s="304"/>
      <c r="AF428" s="304"/>
      <c r="AG428" s="304"/>
      <c r="AH428" s="304"/>
    </row>
    <row r="429">
      <c r="A429" s="292"/>
      <c r="B429" s="292"/>
      <c r="C429" s="292"/>
      <c r="D429" s="412"/>
      <c r="E429" s="412"/>
      <c r="F429" s="412"/>
      <c r="G429" s="412"/>
      <c r="H429" s="412"/>
      <c r="I429" s="412"/>
      <c r="J429" s="412"/>
      <c r="K429" s="413"/>
      <c r="L429" s="413"/>
      <c r="M429" s="413"/>
      <c r="N429" s="414"/>
      <c r="O429" s="412"/>
      <c r="P429" s="412"/>
      <c r="Q429" s="412"/>
      <c r="R429" s="412"/>
      <c r="S429" s="412"/>
      <c r="T429" s="412"/>
      <c r="U429" s="292"/>
      <c r="V429" s="292"/>
      <c r="W429" s="292"/>
      <c r="X429" s="415"/>
      <c r="Y429" s="416"/>
      <c r="Z429" s="417"/>
      <c r="AA429" s="304"/>
      <c r="AB429" s="304"/>
      <c r="AC429" s="304"/>
      <c r="AD429" s="304"/>
      <c r="AE429" s="304"/>
      <c r="AF429" s="304"/>
      <c r="AG429" s="304"/>
      <c r="AH429" s="304"/>
    </row>
    <row r="430">
      <c r="A430" s="292"/>
      <c r="B430" s="292"/>
      <c r="C430" s="292"/>
      <c r="D430" s="412"/>
      <c r="E430" s="412"/>
      <c r="F430" s="412"/>
      <c r="G430" s="412"/>
      <c r="H430" s="412"/>
      <c r="I430" s="412"/>
      <c r="J430" s="412"/>
      <c r="K430" s="413"/>
      <c r="L430" s="413"/>
      <c r="M430" s="413"/>
      <c r="N430" s="414"/>
      <c r="O430" s="412"/>
      <c r="P430" s="412"/>
      <c r="Q430" s="412"/>
      <c r="R430" s="412"/>
      <c r="S430" s="412"/>
      <c r="T430" s="412"/>
      <c r="U430" s="292"/>
      <c r="V430" s="292"/>
      <c r="W430" s="292"/>
      <c r="X430" s="415"/>
      <c r="Y430" s="416"/>
      <c r="Z430" s="417"/>
      <c r="AA430" s="304"/>
      <c r="AB430" s="304"/>
      <c r="AC430" s="304"/>
      <c r="AD430" s="304"/>
      <c r="AE430" s="304"/>
      <c r="AF430" s="304"/>
      <c r="AG430" s="304"/>
      <c r="AH430" s="304"/>
    </row>
    <row r="431">
      <c r="A431" s="292"/>
      <c r="B431" s="292"/>
      <c r="C431" s="292"/>
      <c r="D431" s="412"/>
      <c r="E431" s="412"/>
      <c r="F431" s="412"/>
      <c r="G431" s="412"/>
      <c r="H431" s="412"/>
      <c r="I431" s="412"/>
      <c r="J431" s="412"/>
      <c r="K431" s="413"/>
      <c r="L431" s="413"/>
      <c r="M431" s="413"/>
      <c r="N431" s="414"/>
      <c r="O431" s="412"/>
      <c r="P431" s="412"/>
      <c r="Q431" s="412"/>
      <c r="R431" s="412"/>
      <c r="S431" s="412"/>
      <c r="T431" s="412"/>
      <c r="U431" s="292"/>
      <c r="V431" s="292"/>
      <c r="W431" s="292"/>
      <c r="X431" s="415"/>
      <c r="Y431" s="416"/>
      <c r="Z431" s="417"/>
      <c r="AA431" s="304"/>
      <c r="AB431" s="304"/>
      <c r="AC431" s="304"/>
      <c r="AD431" s="304"/>
      <c r="AE431" s="304"/>
      <c r="AF431" s="304"/>
      <c r="AG431" s="304"/>
      <c r="AH431" s="304"/>
    </row>
    <row r="432">
      <c r="A432" s="292"/>
      <c r="B432" s="292"/>
      <c r="C432" s="292"/>
      <c r="D432" s="412"/>
      <c r="E432" s="412"/>
      <c r="F432" s="412"/>
      <c r="G432" s="412"/>
      <c r="H432" s="412"/>
      <c r="I432" s="412"/>
      <c r="J432" s="412"/>
      <c r="K432" s="413"/>
      <c r="L432" s="413"/>
      <c r="M432" s="413"/>
      <c r="N432" s="414"/>
      <c r="O432" s="412"/>
      <c r="P432" s="412"/>
      <c r="Q432" s="412"/>
      <c r="R432" s="412"/>
      <c r="S432" s="412"/>
      <c r="T432" s="412"/>
      <c r="U432" s="292"/>
      <c r="V432" s="292"/>
      <c r="W432" s="292"/>
      <c r="X432" s="415"/>
      <c r="Y432" s="416"/>
      <c r="Z432" s="417"/>
      <c r="AA432" s="304"/>
      <c r="AB432" s="304"/>
      <c r="AC432" s="304"/>
      <c r="AD432" s="304"/>
      <c r="AE432" s="304"/>
      <c r="AF432" s="304"/>
      <c r="AG432" s="304"/>
      <c r="AH432" s="304"/>
    </row>
    <row r="433">
      <c r="A433" s="292"/>
      <c r="B433" s="292"/>
      <c r="C433" s="292"/>
      <c r="D433" s="412"/>
      <c r="E433" s="412"/>
      <c r="F433" s="412"/>
      <c r="G433" s="412"/>
      <c r="H433" s="412"/>
      <c r="I433" s="412"/>
      <c r="J433" s="412"/>
      <c r="K433" s="413"/>
      <c r="L433" s="413"/>
      <c r="M433" s="413"/>
      <c r="N433" s="414"/>
      <c r="O433" s="412"/>
      <c r="P433" s="412"/>
      <c r="Q433" s="412"/>
      <c r="R433" s="412"/>
      <c r="S433" s="412"/>
      <c r="T433" s="412"/>
      <c r="U433" s="292"/>
      <c r="V433" s="292"/>
      <c r="W433" s="292"/>
      <c r="X433" s="415"/>
      <c r="Y433" s="416"/>
      <c r="Z433" s="417"/>
      <c r="AA433" s="304"/>
      <c r="AB433" s="304"/>
      <c r="AC433" s="304"/>
      <c r="AD433" s="304"/>
      <c r="AE433" s="304"/>
      <c r="AF433" s="304"/>
      <c r="AG433" s="304"/>
      <c r="AH433" s="304"/>
    </row>
    <row r="434">
      <c r="A434" s="292"/>
      <c r="B434" s="292"/>
      <c r="C434" s="292"/>
      <c r="D434" s="412"/>
      <c r="E434" s="412"/>
      <c r="F434" s="412"/>
      <c r="G434" s="412"/>
      <c r="H434" s="412"/>
      <c r="I434" s="412"/>
      <c r="J434" s="412"/>
      <c r="K434" s="413"/>
      <c r="L434" s="413"/>
      <c r="M434" s="413"/>
      <c r="N434" s="414"/>
      <c r="O434" s="412"/>
      <c r="P434" s="412"/>
      <c r="Q434" s="412"/>
      <c r="R434" s="412"/>
      <c r="S434" s="412"/>
      <c r="T434" s="412"/>
      <c r="U434" s="292"/>
      <c r="V434" s="292"/>
      <c r="W434" s="292"/>
      <c r="X434" s="415"/>
      <c r="Y434" s="416"/>
      <c r="Z434" s="417"/>
      <c r="AA434" s="304"/>
      <c r="AB434" s="304"/>
      <c r="AC434" s="304"/>
      <c r="AD434" s="304"/>
      <c r="AE434" s="304"/>
      <c r="AF434" s="304"/>
      <c r="AG434" s="304"/>
      <c r="AH434" s="304"/>
    </row>
    <row r="435">
      <c r="A435" s="292"/>
      <c r="B435" s="292"/>
      <c r="C435" s="292"/>
      <c r="D435" s="412"/>
      <c r="E435" s="412"/>
      <c r="F435" s="412"/>
      <c r="G435" s="412"/>
      <c r="H435" s="412"/>
      <c r="I435" s="412"/>
      <c r="J435" s="412"/>
      <c r="K435" s="413"/>
      <c r="L435" s="413"/>
      <c r="M435" s="413"/>
      <c r="N435" s="414"/>
      <c r="O435" s="412"/>
      <c r="P435" s="412"/>
      <c r="Q435" s="412"/>
      <c r="R435" s="412"/>
      <c r="S435" s="412"/>
      <c r="T435" s="412"/>
      <c r="U435" s="292"/>
      <c r="V435" s="292"/>
      <c r="W435" s="292"/>
      <c r="X435" s="415"/>
      <c r="Y435" s="416"/>
      <c r="Z435" s="417"/>
      <c r="AA435" s="304"/>
      <c r="AB435" s="304"/>
      <c r="AC435" s="304"/>
      <c r="AD435" s="304"/>
      <c r="AE435" s="304"/>
      <c r="AF435" s="304"/>
      <c r="AG435" s="304"/>
      <c r="AH435" s="304"/>
    </row>
    <row r="436">
      <c r="A436" s="292"/>
      <c r="B436" s="292"/>
      <c r="C436" s="292"/>
      <c r="D436" s="412"/>
      <c r="E436" s="412"/>
      <c r="F436" s="412"/>
      <c r="G436" s="412"/>
      <c r="H436" s="412"/>
      <c r="I436" s="412"/>
      <c r="J436" s="412"/>
      <c r="K436" s="413"/>
      <c r="L436" s="413"/>
      <c r="M436" s="413"/>
      <c r="N436" s="414"/>
      <c r="O436" s="412"/>
      <c r="P436" s="412"/>
      <c r="Q436" s="412"/>
      <c r="R436" s="412"/>
      <c r="S436" s="412"/>
      <c r="T436" s="412"/>
      <c r="U436" s="292"/>
      <c r="V436" s="292"/>
      <c r="W436" s="292"/>
      <c r="X436" s="415"/>
      <c r="Y436" s="416"/>
      <c r="Z436" s="417"/>
      <c r="AA436" s="304"/>
      <c r="AB436" s="304"/>
      <c r="AC436" s="304"/>
      <c r="AD436" s="304"/>
      <c r="AE436" s="304"/>
      <c r="AF436" s="304"/>
      <c r="AG436" s="304"/>
      <c r="AH436" s="304"/>
    </row>
    <row r="437">
      <c r="A437" s="292"/>
      <c r="B437" s="292"/>
      <c r="C437" s="292"/>
      <c r="D437" s="412"/>
      <c r="E437" s="412"/>
      <c r="F437" s="412"/>
      <c r="G437" s="412"/>
      <c r="H437" s="412"/>
      <c r="I437" s="412"/>
      <c r="J437" s="412"/>
      <c r="K437" s="413"/>
      <c r="L437" s="413"/>
      <c r="M437" s="413"/>
      <c r="N437" s="414"/>
      <c r="O437" s="412"/>
      <c r="P437" s="412"/>
      <c r="Q437" s="412"/>
      <c r="R437" s="412"/>
      <c r="S437" s="412"/>
      <c r="T437" s="412"/>
      <c r="U437" s="292"/>
      <c r="V437" s="292"/>
      <c r="W437" s="292"/>
      <c r="X437" s="415"/>
      <c r="Y437" s="416"/>
      <c r="Z437" s="417"/>
      <c r="AA437" s="304"/>
      <c r="AB437" s="304"/>
      <c r="AC437" s="304"/>
      <c r="AD437" s="304"/>
      <c r="AE437" s="304"/>
      <c r="AF437" s="304"/>
      <c r="AG437" s="304"/>
      <c r="AH437" s="304"/>
    </row>
    <row r="438">
      <c r="A438" s="292"/>
      <c r="B438" s="292"/>
      <c r="C438" s="292"/>
      <c r="D438" s="412"/>
      <c r="E438" s="412"/>
      <c r="F438" s="412"/>
      <c r="G438" s="412"/>
      <c r="H438" s="412"/>
      <c r="I438" s="412"/>
      <c r="J438" s="412"/>
      <c r="K438" s="413"/>
      <c r="L438" s="413"/>
      <c r="M438" s="413"/>
      <c r="N438" s="414"/>
      <c r="O438" s="412"/>
      <c r="P438" s="412"/>
      <c r="Q438" s="412"/>
      <c r="R438" s="412"/>
      <c r="S438" s="412"/>
      <c r="T438" s="412"/>
      <c r="U438" s="292"/>
      <c r="V438" s="292"/>
      <c r="W438" s="292"/>
      <c r="X438" s="415"/>
      <c r="Y438" s="416"/>
      <c r="Z438" s="417"/>
      <c r="AA438" s="304"/>
      <c r="AB438" s="304"/>
      <c r="AC438" s="304"/>
      <c r="AD438" s="304"/>
      <c r="AE438" s="304"/>
      <c r="AF438" s="304"/>
      <c r="AG438" s="304"/>
      <c r="AH438" s="304"/>
    </row>
    <row r="439">
      <c r="A439" s="292"/>
      <c r="B439" s="292"/>
      <c r="C439" s="292"/>
      <c r="D439" s="412"/>
      <c r="E439" s="412"/>
      <c r="F439" s="412"/>
      <c r="G439" s="412"/>
      <c r="H439" s="412"/>
      <c r="I439" s="412"/>
      <c r="J439" s="412"/>
      <c r="K439" s="413"/>
      <c r="L439" s="413"/>
      <c r="M439" s="413"/>
      <c r="N439" s="414"/>
      <c r="O439" s="412"/>
      <c r="P439" s="412"/>
      <c r="Q439" s="412"/>
      <c r="R439" s="412"/>
      <c r="S439" s="412"/>
      <c r="T439" s="412"/>
      <c r="U439" s="292"/>
      <c r="V439" s="292"/>
      <c r="W439" s="292"/>
      <c r="X439" s="415"/>
      <c r="Y439" s="416"/>
      <c r="Z439" s="417"/>
      <c r="AA439" s="304"/>
      <c r="AB439" s="304"/>
      <c r="AC439" s="304"/>
      <c r="AD439" s="304"/>
      <c r="AE439" s="304"/>
      <c r="AF439" s="304"/>
      <c r="AG439" s="304"/>
      <c r="AH439" s="304"/>
    </row>
    <row r="440">
      <c r="A440" s="292"/>
      <c r="B440" s="292"/>
      <c r="C440" s="292"/>
      <c r="D440" s="412"/>
      <c r="E440" s="412"/>
      <c r="F440" s="412"/>
      <c r="G440" s="412"/>
      <c r="H440" s="412"/>
      <c r="I440" s="412"/>
      <c r="J440" s="412"/>
      <c r="K440" s="413"/>
      <c r="L440" s="413"/>
      <c r="M440" s="413"/>
      <c r="N440" s="414"/>
      <c r="O440" s="412"/>
      <c r="P440" s="412"/>
      <c r="Q440" s="412"/>
      <c r="R440" s="412"/>
      <c r="S440" s="412"/>
      <c r="T440" s="412"/>
      <c r="U440" s="292"/>
      <c r="V440" s="292"/>
      <c r="W440" s="292"/>
      <c r="X440" s="415"/>
      <c r="Y440" s="416"/>
      <c r="Z440" s="417"/>
      <c r="AA440" s="304"/>
      <c r="AB440" s="304"/>
      <c r="AC440" s="304"/>
      <c r="AD440" s="304"/>
      <c r="AE440" s="304"/>
      <c r="AF440" s="304"/>
      <c r="AG440" s="304"/>
      <c r="AH440" s="304"/>
    </row>
    <row r="441">
      <c r="A441" s="292"/>
      <c r="B441" s="292"/>
      <c r="C441" s="292"/>
      <c r="D441" s="412"/>
      <c r="E441" s="412"/>
      <c r="F441" s="412"/>
      <c r="G441" s="412"/>
      <c r="H441" s="412"/>
      <c r="I441" s="412"/>
      <c r="J441" s="412"/>
      <c r="K441" s="413"/>
      <c r="L441" s="413"/>
      <c r="M441" s="413"/>
      <c r="N441" s="414"/>
      <c r="O441" s="412"/>
      <c r="P441" s="412"/>
      <c r="Q441" s="412"/>
      <c r="R441" s="412"/>
      <c r="S441" s="412"/>
      <c r="T441" s="412"/>
      <c r="U441" s="292"/>
      <c r="V441" s="292"/>
      <c r="W441" s="292"/>
      <c r="X441" s="415"/>
      <c r="Y441" s="416"/>
      <c r="Z441" s="417"/>
      <c r="AA441" s="304"/>
      <c r="AB441" s="304"/>
      <c r="AC441" s="304"/>
      <c r="AD441" s="304"/>
      <c r="AE441" s="304"/>
      <c r="AF441" s="304"/>
      <c r="AG441" s="304"/>
      <c r="AH441" s="304"/>
    </row>
    <row r="442">
      <c r="A442" s="292"/>
      <c r="B442" s="292"/>
      <c r="C442" s="292"/>
      <c r="D442" s="412"/>
      <c r="E442" s="412"/>
      <c r="F442" s="412"/>
      <c r="G442" s="412"/>
      <c r="H442" s="412"/>
      <c r="I442" s="412"/>
      <c r="J442" s="412"/>
      <c r="K442" s="413"/>
      <c r="L442" s="413"/>
      <c r="M442" s="413"/>
      <c r="N442" s="414"/>
      <c r="O442" s="412"/>
      <c r="P442" s="412"/>
      <c r="Q442" s="412"/>
      <c r="R442" s="412"/>
      <c r="S442" s="412"/>
      <c r="T442" s="412"/>
      <c r="U442" s="292"/>
      <c r="V442" s="292"/>
      <c r="W442" s="292"/>
      <c r="X442" s="415"/>
      <c r="Y442" s="416"/>
      <c r="Z442" s="417"/>
      <c r="AA442" s="304"/>
      <c r="AB442" s="304"/>
      <c r="AC442" s="304"/>
      <c r="AD442" s="304"/>
      <c r="AE442" s="304"/>
      <c r="AF442" s="304"/>
      <c r="AG442" s="304"/>
      <c r="AH442" s="304"/>
    </row>
    <row r="443">
      <c r="A443" s="292"/>
      <c r="B443" s="292"/>
      <c r="C443" s="292"/>
      <c r="D443" s="412"/>
      <c r="E443" s="412"/>
      <c r="F443" s="412"/>
      <c r="G443" s="412"/>
      <c r="H443" s="412"/>
      <c r="I443" s="412"/>
      <c r="J443" s="412"/>
      <c r="K443" s="413"/>
      <c r="L443" s="413"/>
      <c r="M443" s="413"/>
      <c r="N443" s="414"/>
      <c r="O443" s="412"/>
      <c r="P443" s="412"/>
      <c r="Q443" s="412"/>
      <c r="R443" s="412"/>
      <c r="S443" s="412"/>
      <c r="T443" s="412"/>
      <c r="U443" s="292"/>
      <c r="V443" s="292"/>
      <c r="W443" s="292"/>
      <c r="X443" s="415"/>
      <c r="Y443" s="416"/>
      <c r="Z443" s="417"/>
      <c r="AA443" s="304"/>
      <c r="AB443" s="304"/>
      <c r="AC443" s="304"/>
      <c r="AD443" s="304"/>
      <c r="AE443" s="304"/>
      <c r="AF443" s="304"/>
      <c r="AG443" s="304"/>
      <c r="AH443" s="304"/>
    </row>
    <row r="444">
      <c r="A444" s="292"/>
      <c r="B444" s="292"/>
      <c r="C444" s="292"/>
      <c r="D444" s="412"/>
      <c r="E444" s="412"/>
      <c r="F444" s="412"/>
      <c r="G444" s="412"/>
      <c r="H444" s="412"/>
      <c r="I444" s="412"/>
      <c r="J444" s="412"/>
      <c r="K444" s="413"/>
      <c r="L444" s="413"/>
      <c r="M444" s="413"/>
      <c r="N444" s="414"/>
      <c r="O444" s="412"/>
      <c r="P444" s="412"/>
      <c r="Q444" s="412"/>
      <c r="R444" s="412"/>
      <c r="S444" s="412"/>
      <c r="T444" s="412"/>
      <c r="U444" s="292"/>
      <c r="V444" s="292"/>
      <c r="W444" s="292"/>
      <c r="X444" s="415"/>
      <c r="Y444" s="416"/>
      <c r="Z444" s="417"/>
      <c r="AA444" s="304"/>
      <c r="AB444" s="304"/>
      <c r="AC444" s="304"/>
      <c r="AD444" s="304"/>
      <c r="AE444" s="304"/>
      <c r="AF444" s="304"/>
      <c r="AG444" s="304"/>
      <c r="AH444" s="304"/>
    </row>
    <row r="445">
      <c r="A445" s="292"/>
      <c r="B445" s="292"/>
      <c r="C445" s="292"/>
      <c r="D445" s="412"/>
      <c r="E445" s="412"/>
      <c r="F445" s="412"/>
      <c r="G445" s="412"/>
      <c r="H445" s="412"/>
      <c r="I445" s="412"/>
      <c r="J445" s="412"/>
      <c r="K445" s="413"/>
      <c r="L445" s="413"/>
      <c r="M445" s="413"/>
      <c r="N445" s="414"/>
      <c r="O445" s="412"/>
      <c r="P445" s="412"/>
      <c r="Q445" s="412"/>
      <c r="R445" s="412"/>
      <c r="S445" s="412"/>
      <c r="T445" s="412"/>
      <c r="U445" s="292"/>
      <c r="V445" s="292"/>
      <c r="W445" s="292"/>
      <c r="X445" s="415"/>
      <c r="Y445" s="416"/>
      <c r="Z445" s="417"/>
      <c r="AA445" s="304"/>
      <c r="AB445" s="304"/>
      <c r="AC445" s="304"/>
      <c r="AD445" s="304"/>
      <c r="AE445" s="304"/>
      <c r="AF445" s="304"/>
      <c r="AG445" s="304"/>
      <c r="AH445" s="304"/>
    </row>
    <row r="446">
      <c r="A446" s="292"/>
      <c r="B446" s="292"/>
      <c r="C446" s="292"/>
      <c r="D446" s="412"/>
      <c r="E446" s="412"/>
      <c r="F446" s="412"/>
      <c r="G446" s="412"/>
      <c r="H446" s="412"/>
      <c r="I446" s="412"/>
      <c r="J446" s="412"/>
      <c r="K446" s="413"/>
      <c r="L446" s="413"/>
      <c r="M446" s="413"/>
      <c r="N446" s="414"/>
      <c r="O446" s="412"/>
      <c r="P446" s="412"/>
      <c r="Q446" s="412"/>
      <c r="R446" s="412"/>
      <c r="S446" s="412"/>
      <c r="T446" s="412"/>
      <c r="U446" s="292"/>
      <c r="V446" s="292"/>
      <c r="W446" s="292"/>
      <c r="X446" s="415"/>
      <c r="Y446" s="416"/>
      <c r="Z446" s="417"/>
      <c r="AA446" s="304"/>
      <c r="AB446" s="304"/>
      <c r="AC446" s="304"/>
      <c r="AD446" s="304"/>
      <c r="AE446" s="304"/>
      <c r="AF446" s="304"/>
      <c r="AG446" s="304"/>
      <c r="AH446" s="304"/>
    </row>
    <row r="447">
      <c r="A447" s="292"/>
      <c r="B447" s="292"/>
      <c r="C447" s="292"/>
      <c r="D447" s="412"/>
      <c r="E447" s="412"/>
      <c r="F447" s="412"/>
      <c r="G447" s="412"/>
      <c r="H447" s="412"/>
      <c r="I447" s="412"/>
      <c r="J447" s="412"/>
      <c r="K447" s="413"/>
      <c r="L447" s="413"/>
      <c r="M447" s="413"/>
      <c r="N447" s="414"/>
      <c r="O447" s="412"/>
      <c r="P447" s="412"/>
      <c r="Q447" s="412"/>
      <c r="R447" s="412"/>
      <c r="S447" s="412"/>
      <c r="T447" s="412"/>
      <c r="U447" s="292"/>
      <c r="V447" s="292"/>
      <c r="W447" s="292"/>
      <c r="X447" s="415"/>
      <c r="Y447" s="416"/>
      <c r="Z447" s="417"/>
      <c r="AA447" s="304"/>
      <c r="AB447" s="304"/>
      <c r="AC447" s="304"/>
      <c r="AD447" s="304"/>
      <c r="AE447" s="304"/>
      <c r="AF447" s="304"/>
      <c r="AG447" s="304"/>
      <c r="AH447" s="304"/>
    </row>
    <row r="448">
      <c r="A448" s="292"/>
      <c r="B448" s="292"/>
      <c r="C448" s="292"/>
      <c r="D448" s="412"/>
      <c r="E448" s="412"/>
      <c r="F448" s="412"/>
      <c r="G448" s="412"/>
      <c r="H448" s="412"/>
      <c r="I448" s="412"/>
      <c r="J448" s="412"/>
      <c r="K448" s="413"/>
      <c r="L448" s="413"/>
      <c r="M448" s="413"/>
      <c r="N448" s="414"/>
      <c r="O448" s="412"/>
      <c r="P448" s="412"/>
      <c r="Q448" s="412"/>
      <c r="R448" s="412"/>
      <c r="S448" s="412"/>
      <c r="T448" s="412"/>
      <c r="U448" s="292"/>
      <c r="V448" s="292"/>
      <c r="W448" s="292"/>
      <c r="X448" s="415"/>
      <c r="Y448" s="416"/>
      <c r="Z448" s="417"/>
      <c r="AA448" s="304"/>
      <c r="AB448" s="304"/>
      <c r="AC448" s="304"/>
      <c r="AD448" s="304"/>
      <c r="AE448" s="304"/>
      <c r="AF448" s="304"/>
      <c r="AG448" s="304"/>
      <c r="AH448" s="304"/>
    </row>
    <row r="449">
      <c r="A449" s="292"/>
      <c r="B449" s="292"/>
      <c r="C449" s="292"/>
      <c r="D449" s="412"/>
      <c r="E449" s="412"/>
      <c r="F449" s="412"/>
      <c r="G449" s="412"/>
      <c r="H449" s="412"/>
      <c r="I449" s="412"/>
      <c r="J449" s="412"/>
      <c r="K449" s="413"/>
      <c r="L449" s="413"/>
      <c r="M449" s="413"/>
      <c r="N449" s="414"/>
      <c r="O449" s="412"/>
      <c r="P449" s="412"/>
      <c r="Q449" s="412"/>
      <c r="R449" s="412"/>
      <c r="S449" s="412"/>
      <c r="T449" s="412"/>
      <c r="U449" s="292"/>
      <c r="V449" s="292"/>
      <c r="W449" s="292"/>
      <c r="X449" s="415"/>
      <c r="Y449" s="416"/>
      <c r="Z449" s="417"/>
      <c r="AA449" s="304"/>
      <c r="AB449" s="304"/>
      <c r="AC449" s="304"/>
      <c r="AD449" s="304"/>
      <c r="AE449" s="304"/>
      <c r="AF449" s="304"/>
      <c r="AG449" s="304"/>
      <c r="AH449" s="304"/>
    </row>
    <row r="450">
      <c r="A450" s="292"/>
      <c r="B450" s="292"/>
      <c r="C450" s="292"/>
      <c r="D450" s="412"/>
      <c r="E450" s="412"/>
      <c r="F450" s="412"/>
      <c r="G450" s="412"/>
      <c r="H450" s="412"/>
      <c r="I450" s="412"/>
      <c r="J450" s="412"/>
      <c r="K450" s="413"/>
      <c r="L450" s="413"/>
      <c r="M450" s="413"/>
      <c r="N450" s="414"/>
      <c r="O450" s="412"/>
      <c r="P450" s="412"/>
      <c r="Q450" s="412"/>
      <c r="R450" s="412"/>
      <c r="S450" s="412"/>
      <c r="T450" s="412"/>
      <c r="U450" s="292"/>
      <c r="V450" s="292"/>
      <c r="W450" s="292"/>
      <c r="X450" s="415"/>
      <c r="Y450" s="416"/>
      <c r="Z450" s="417"/>
      <c r="AA450" s="304"/>
      <c r="AB450" s="304"/>
      <c r="AC450" s="304"/>
      <c r="AD450" s="304"/>
      <c r="AE450" s="304"/>
      <c r="AF450" s="304"/>
      <c r="AG450" s="304"/>
      <c r="AH450" s="304"/>
    </row>
    <row r="451">
      <c r="A451" s="292"/>
      <c r="B451" s="292"/>
      <c r="C451" s="292"/>
      <c r="D451" s="412"/>
      <c r="E451" s="412"/>
      <c r="F451" s="412"/>
      <c r="G451" s="412"/>
      <c r="H451" s="412"/>
      <c r="I451" s="412"/>
      <c r="J451" s="412"/>
      <c r="K451" s="413"/>
      <c r="L451" s="413"/>
      <c r="M451" s="413"/>
      <c r="N451" s="414"/>
      <c r="O451" s="412"/>
      <c r="P451" s="412"/>
      <c r="Q451" s="412"/>
      <c r="R451" s="412"/>
      <c r="S451" s="412"/>
      <c r="T451" s="412"/>
      <c r="U451" s="292"/>
      <c r="V451" s="292"/>
      <c r="W451" s="292"/>
      <c r="X451" s="415"/>
      <c r="Y451" s="416"/>
      <c r="Z451" s="417"/>
      <c r="AA451" s="304"/>
      <c r="AB451" s="304"/>
      <c r="AC451" s="304"/>
      <c r="AD451" s="304"/>
      <c r="AE451" s="304"/>
      <c r="AF451" s="304"/>
      <c r="AG451" s="304"/>
      <c r="AH451" s="304"/>
    </row>
    <row r="452">
      <c r="A452" s="292"/>
      <c r="B452" s="292"/>
      <c r="C452" s="292"/>
      <c r="D452" s="412"/>
      <c r="E452" s="412"/>
      <c r="F452" s="412"/>
      <c r="G452" s="412"/>
      <c r="H452" s="412"/>
      <c r="I452" s="412"/>
      <c r="J452" s="412"/>
      <c r="K452" s="413"/>
      <c r="L452" s="413"/>
      <c r="M452" s="413"/>
      <c r="N452" s="414"/>
      <c r="O452" s="412"/>
      <c r="P452" s="412"/>
      <c r="Q452" s="412"/>
      <c r="R452" s="412"/>
      <c r="S452" s="412"/>
      <c r="T452" s="412"/>
      <c r="U452" s="292"/>
      <c r="V452" s="292"/>
      <c r="W452" s="292"/>
      <c r="X452" s="415"/>
      <c r="Y452" s="416"/>
      <c r="Z452" s="417"/>
      <c r="AA452" s="304"/>
      <c r="AB452" s="304"/>
      <c r="AC452" s="304"/>
      <c r="AD452" s="304"/>
      <c r="AE452" s="304"/>
      <c r="AF452" s="304"/>
      <c r="AG452" s="304"/>
      <c r="AH452" s="304"/>
    </row>
    <row r="453">
      <c r="A453" s="292"/>
      <c r="B453" s="292"/>
      <c r="C453" s="292"/>
      <c r="D453" s="412"/>
      <c r="E453" s="412"/>
      <c r="F453" s="412"/>
      <c r="G453" s="412"/>
      <c r="H453" s="412"/>
      <c r="I453" s="412"/>
      <c r="J453" s="412"/>
      <c r="K453" s="413"/>
      <c r="L453" s="413"/>
      <c r="M453" s="413"/>
      <c r="N453" s="414"/>
      <c r="O453" s="412"/>
      <c r="P453" s="412"/>
      <c r="Q453" s="412"/>
      <c r="R453" s="412"/>
      <c r="S453" s="412"/>
      <c r="T453" s="412"/>
      <c r="U453" s="292"/>
      <c r="V453" s="292"/>
      <c r="W453" s="292"/>
      <c r="X453" s="415"/>
      <c r="Y453" s="416"/>
      <c r="Z453" s="417"/>
      <c r="AA453" s="304"/>
      <c r="AB453" s="304"/>
      <c r="AC453" s="304"/>
      <c r="AD453" s="304"/>
      <c r="AE453" s="304"/>
      <c r="AF453" s="304"/>
      <c r="AG453" s="304"/>
      <c r="AH453" s="304"/>
    </row>
    <row r="454">
      <c r="A454" s="292"/>
      <c r="B454" s="292"/>
      <c r="C454" s="292"/>
      <c r="D454" s="412"/>
      <c r="E454" s="412"/>
      <c r="F454" s="412"/>
      <c r="G454" s="412"/>
      <c r="H454" s="412"/>
      <c r="I454" s="412"/>
      <c r="J454" s="412"/>
      <c r="K454" s="413"/>
      <c r="L454" s="413"/>
      <c r="M454" s="413"/>
      <c r="N454" s="414"/>
      <c r="O454" s="412"/>
      <c r="P454" s="412"/>
      <c r="Q454" s="412"/>
      <c r="R454" s="412"/>
      <c r="S454" s="412"/>
      <c r="T454" s="412"/>
      <c r="U454" s="292"/>
      <c r="V454" s="292"/>
      <c r="W454" s="292"/>
      <c r="X454" s="415"/>
      <c r="Y454" s="416"/>
      <c r="Z454" s="417"/>
      <c r="AA454" s="304"/>
      <c r="AB454" s="304"/>
      <c r="AC454" s="304"/>
      <c r="AD454" s="304"/>
      <c r="AE454" s="304"/>
      <c r="AF454" s="304"/>
      <c r="AG454" s="304"/>
      <c r="AH454" s="304"/>
    </row>
    <row r="455">
      <c r="A455" s="292"/>
      <c r="B455" s="292"/>
      <c r="C455" s="292"/>
      <c r="D455" s="412"/>
      <c r="E455" s="412"/>
      <c r="F455" s="412"/>
      <c r="G455" s="412"/>
      <c r="H455" s="412"/>
      <c r="I455" s="412"/>
      <c r="J455" s="412"/>
      <c r="K455" s="413"/>
      <c r="L455" s="413"/>
      <c r="M455" s="413"/>
      <c r="N455" s="414"/>
      <c r="O455" s="412"/>
      <c r="P455" s="412"/>
      <c r="Q455" s="412"/>
      <c r="R455" s="412"/>
      <c r="S455" s="412"/>
      <c r="T455" s="412"/>
      <c r="U455" s="292"/>
      <c r="V455" s="292"/>
      <c r="W455" s="292"/>
      <c r="X455" s="415"/>
      <c r="Y455" s="416"/>
      <c r="Z455" s="417"/>
      <c r="AA455" s="304"/>
      <c r="AB455" s="304"/>
      <c r="AC455" s="304"/>
      <c r="AD455" s="304"/>
      <c r="AE455" s="304"/>
      <c r="AF455" s="304"/>
      <c r="AG455" s="304"/>
      <c r="AH455" s="304"/>
    </row>
    <row r="456">
      <c r="A456" s="292"/>
      <c r="B456" s="292"/>
      <c r="C456" s="292"/>
      <c r="D456" s="412"/>
      <c r="E456" s="412"/>
      <c r="F456" s="412"/>
      <c r="G456" s="412"/>
      <c r="H456" s="412"/>
      <c r="I456" s="412"/>
      <c r="J456" s="412"/>
      <c r="K456" s="413"/>
      <c r="L456" s="413"/>
      <c r="M456" s="413"/>
      <c r="N456" s="414"/>
      <c r="O456" s="412"/>
      <c r="P456" s="412"/>
      <c r="Q456" s="412"/>
      <c r="R456" s="412"/>
      <c r="S456" s="412"/>
      <c r="T456" s="412"/>
      <c r="U456" s="292"/>
      <c r="V456" s="292"/>
      <c r="W456" s="292"/>
      <c r="X456" s="415"/>
      <c r="Y456" s="416"/>
      <c r="Z456" s="417"/>
      <c r="AA456" s="304"/>
      <c r="AB456" s="304"/>
      <c r="AC456" s="304"/>
      <c r="AD456" s="304"/>
      <c r="AE456" s="304"/>
      <c r="AF456" s="304"/>
      <c r="AG456" s="304"/>
      <c r="AH456" s="304"/>
    </row>
    <row r="457">
      <c r="A457" s="292"/>
      <c r="B457" s="292"/>
      <c r="C457" s="292"/>
      <c r="D457" s="412"/>
      <c r="E457" s="412"/>
      <c r="F457" s="412"/>
      <c r="G457" s="412"/>
      <c r="H457" s="412"/>
      <c r="I457" s="412"/>
      <c r="J457" s="412"/>
      <c r="K457" s="413"/>
      <c r="L457" s="413"/>
      <c r="M457" s="413"/>
      <c r="N457" s="414"/>
      <c r="O457" s="412"/>
      <c r="P457" s="412"/>
      <c r="Q457" s="412"/>
      <c r="R457" s="412"/>
      <c r="S457" s="412"/>
      <c r="T457" s="412"/>
      <c r="U457" s="292"/>
      <c r="V457" s="292"/>
      <c r="W457" s="292"/>
      <c r="X457" s="415"/>
      <c r="Y457" s="416"/>
      <c r="Z457" s="417"/>
      <c r="AA457" s="304"/>
      <c r="AB457" s="304"/>
      <c r="AC457" s="304"/>
      <c r="AD457" s="304"/>
      <c r="AE457" s="304"/>
      <c r="AF457" s="304"/>
      <c r="AG457" s="304"/>
      <c r="AH457" s="304"/>
    </row>
    <row r="458">
      <c r="A458" s="292"/>
      <c r="B458" s="292"/>
      <c r="C458" s="292"/>
      <c r="D458" s="412"/>
      <c r="E458" s="412"/>
      <c r="F458" s="412"/>
      <c r="G458" s="412"/>
      <c r="H458" s="412"/>
      <c r="I458" s="412"/>
      <c r="J458" s="412"/>
      <c r="K458" s="413"/>
      <c r="L458" s="413"/>
      <c r="M458" s="413"/>
      <c r="N458" s="414"/>
      <c r="O458" s="412"/>
      <c r="P458" s="412"/>
      <c r="Q458" s="412"/>
      <c r="R458" s="412"/>
      <c r="S458" s="412"/>
      <c r="T458" s="412"/>
      <c r="U458" s="292"/>
      <c r="V458" s="292"/>
      <c r="W458" s="292"/>
      <c r="X458" s="415"/>
      <c r="Y458" s="416"/>
      <c r="Z458" s="417"/>
      <c r="AA458" s="304"/>
      <c r="AB458" s="304"/>
      <c r="AC458" s="304"/>
      <c r="AD458" s="304"/>
      <c r="AE458" s="304"/>
      <c r="AF458" s="304"/>
      <c r="AG458" s="304"/>
      <c r="AH458" s="304"/>
    </row>
    <row r="459">
      <c r="A459" s="292"/>
      <c r="B459" s="292"/>
      <c r="C459" s="292"/>
      <c r="D459" s="412"/>
      <c r="E459" s="412"/>
      <c r="F459" s="412"/>
      <c r="G459" s="412"/>
      <c r="H459" s="412"/>
      <c r="I459" s="412"/>
      <c r="J459" s="412"/>
      <c r="K459" s="413"/>
      <c r="L459" s="413"/>
      <c r="M459" s="413"/>
      <c r="N459" s="414"/>
      <c r="O459" s="412"/>
      <c r="P459" s="412"/>
      <c r="Q459" s="412"/>
      <c r="R459" s="412"/>
      <c r="S459" s="412"/>
      <c r="T459" s="412"/>
      <c r="U459" s="292"/>
      <c r="V459" s="292"/>
      <c r="W459" s="292"/>
      <c r="X459" s="415"/>
      <c r="Y459" s="416"/>
      <c r="Z459" s="417"/>
      <c r="AA459" s="304"/>
      <c r="AB459" s="304"/>
      <c r="AC459" s="304"/>
      <c r="AD459" s="304"/>
      <c r="AE459" s="304"/>
      <c r="AF459" s="304"/>
      <c r="AG459" s="304"/>
      <c r="AH459" s="304"/>
    </row>
    <row r="460">
      <c r="A460" s="292"/>
      <c r="B460" s="292"/>
      <c r="C460" s="292"/>
      <c r="D460" s="412"/>
      <c r="E460" s="412"/>
      <c r="F460" s="412"/>
      <c r="G460" s="412"/>
      <c r="H460" s="412"/>
      <c r="I460" s="412"/>
      <c r="J460" s="412"/>
      <c r="K460" s="413"/>
      <c r="L460" s="413"/>
      <c r="M460" s="413"/>
      <c r="N460" s="414"/>
      <c r="O460" s="412"/>
      <c r="P460" s="412"/>
      <c r="Q460" s="412"/>
      <c r="R460" s="412"/>
      <c r="S460" s="412"/>
      <c r="T460" s="412"/>
      <c r="U460" s="292"/>
      <c r="V460" s="292"/>
      <c r="W460" s="292"/>
      <c r="X460" s="415"/>
      <c r="Y460" s="416"/>
      <c r="Z460" s="417"/>
      <c r="AA460" s="304"/>
      <c r="AB460" s="304"/>
      <c r="AC460" s="304"/>
      <c r="AD460" s="304"/>
      <c r="AE460" s="304"/>
      <c r="AF460" s="304"/>
      <c r="AG460" s="304"/>
      <c r="AH460" s="304"/>
    </row>
    <row r="461">
      <c r="A461" s="292"/>
      <c r="B461" s="292"/>
      <c r="C461" s="292"/>
      <c r="D461" s="412"/>
      <c r="E461" s="412"/>
      <c r="F461" s="412"/>
      <c r="G461" s="412"/>
      <c r="H461" s="412"/>
      <c r="I461" s="412"/>
      <c r="J461" s="412"/>
      <c r="K461" s="413"/>
      <c r="L461" s="413"/>
      <c r="M461" s="413"/>
      <c r="N461" s="414"/>
      <c r="O461" s="412"/>
      <c r="P461" s="412"/>
      <c r="Q461" s="412"/>
      <c r="R461" s="412"/>
      <c r="S461" s="412"/>
      <c r="T461" s="412"/>
      <c r="U461" s="292"/>
      <c r="V461" s="292"/>
      <c r="W461" s="292"/>
      <c r="X461" s="415"/>
      <c r="Y461" s="416"/>
      <c r="Z461" s="417"/>
      <c r="AA461" s="304"/>
      <c r="AB461" s="304"/>
      <c r="AC461" s="304"/>
      <c r="AD461" s="304"/>
      <c r="AE461" s="304"/>
      <c r="AF461" s="304"/>
      <c r="AG461" s="304"/>
      <c r="AH461" s="304"/>
    </row>
    <row r="462">
      <c r="A462" s="292"/>
      <c r="B462" s="292"/>
      <c r="C462" s="292"/>
      <c r="D462" s="412"/>
      <c r="E462" s="412"/>
      <c r="F462" s="412"/>
      <c r="G462" s="412"/>
      <c r="H462" s="412"/>
      <c r="I462" s="412"/>
      <c r="J462" s="412"/>
      <c r="K462" s="413"/>
      <c r="L462" s="413"/>
      <c r="M462" s="413"/>
      <c r="N462" s="414"/>
      <c r="O462" s="412"/>
      <c r="P462" s="412"/>
      <c r="Q462" s="412"/>
      <c r="R462" s="412"/>
      <c r="S462" s="412"/>
      <c r="T462" s="412"/>
      <c r="U462" s="292"/>
      <c r="V462" s="292"/>
      <c r="W462" s="292"/>
      <c r="X462" s="415"/>
      <c r="Y462" s="416"/>
      <c r="Z462" s="417"/>
      <c r="AA462" s="304"/>
      <c r="AB462" s="304"/>
      <c r="AC462" s="304"/>
      <c r="AD462" s="304"/>
      <c r="AE462" s="304"/>
      <c r="AF462" s="304"/>
      <c r="AG462" s="304"/>
      <c r="AH462" s="304"/>
    </row>
    <row r="463">
      <c r="A463" s="292"/>
      <c r="B463" s="292"/>
      <c r="C463" s="292"/>
      <c r="D463" s="412"/>
      <c r="E463" s="412"/>
      <c r="F463" s="412"/>
      <c r="G463" s="412"/>
      <c r="H463" s="412"/>
      <c r="I463" s="412"/>
      <c r="J463" s="412"/>
      <c r="K463" s="413"/>
      <c r="L463" s="413"/>
      <c r="M463" s="413"/>
      <c r="N463" s="414"/>
      <c r="O463" s="412"/>
      <c r="P463" s="412"/>
      <c r="Q463" s="412"/>
      <c r="R463" s="412"/>
      <c r="S463" s="412"/>
      <c r="T463" s="412"/>
      <c r="U463" s="292"/>
      <c r="V463" s="292"/>
      <c r="W463" s="292"/>
      <c r="X463" s="415"/>
      <c r="Y463" s="416"/>
      <c r="Z463" s="417"/>
      <c r="AA463" s="304"/>
      <c r="AB463" s="304"/>
      <c r="AC463" s="304"/>
      <c r="AD463" s="304"/>
      <c r="AE463" s="304"/>
      <c r="AF463" s="304"/>
      <c r="AG463" s="304"/>
      <c r="AH463" s="304"/>
    </row>
    <row r="464">
      <c r="A464" s="292"/>
      <c r="B464" s="292"/>
      <c r="C464" s="292"/>
      <c r="D464" s="412"/>
      <c r="E464" s="412"/>
      <c r="F464" s="412"/>
      <c r="G464" s="412"/>
      <c r="H464" s="412"/>
      <c r="I464" s="412"/>
      <c r="J464" s="412"/>
      <c r="K464" s="413"/>
      <c r="L464" s="413"/>
      <c r="M464" s="413"/>
      <c r="N464" s="414"/>
      <c r="O464" s="412"/>
      <c r="P464" s="412"/>
      <c r="Q464" s="412"/>
      <c r="R464" s="412"/>
      <c r="S464" s="412"/>
      <c r="T464" s="412"/>
      <c r="U464" s="292"/>
      <c r="V464" s="292"/>
      <c r="W464" s="292"/>
      <c r="X464" s="415"/>
      <c r="Y464" s="416"/>
      <c r="Z464" s="417"/>
      <c r="AA464" s="304"/>
      <c r="AB464" s="304"/>
      <c r="AC464" s="304"/>
      <c r="AD464" s="304"/>
      <c r="AE464" s="304"/>
      <c r="AF464" s="304"/>
      <c r="AG464" s="304"/>
      <c r="AH464" s="304"/>
    </row>
    <row r="465">
      <c r="A465" s="292"/>
      <c r="B465" s="292"/>
      <c r="C465" s="292"/>
      <c r="D465" s="412"/>
      <c r="E465" s="412"/>
      <c r="F465" s="412"/>
      <c r="G465" s="412"/>
      <c r="H465" s="412"/>
      <c r="I465" s="412"/>
      <c r="J465" s="412"/>
      <c r="K465" s="413"/>
      <c r="L465" s="413"/>
      <c r="M465" s="413"/>
      <c r="N465" s="414"/>
      <c r="O465" s="412"/>
      <c r="P465" s="412"/>
      <c r="Q465" s="412"/>
      <c r="R465" s="412"/>
      <c r="S465" s="412"/>
      <c r="T465" s="412"/>
      <c r="U465" s="292"/>
      <c r="V465" s="292"/>
      <c r="W465" s="292"/>
      <c r="X465" s="415"/>
      <c r="Y465" s="416"/>
      <c r="Z465" s="417"/>
      <c r="AA465" s="304"/>
      <c r="AB465" s="304"/>
      <c r="AC465" s="304"/>
      <c r="AD465" s="304"/>
      <c r="AE465" s="304"/>
      <c r="AF465" s="304"/>
      <c r="AG465" s="304"/>
      <c r="AH465" s="304"/>
    </row>
    <row r="466">
      <c r="A466" s="292"/>
      <c r="B466" s="292"/>
      <c r="C466" s="292"/>
      <c r="D466" s="412"/>
      <c r="E466" s="412"/>
      <c r="F466" s="412"/>
      <c r="G466" s="412"/>
      <c r="H466" s="412"/>
      <c r="I466" s="412"/>
      <c r="J466" s="412"/>
      <c r="K466" s="413"/>
      <c r="L466" s="413"/>
      <c r="M466" s="413"/>
      <c r="N466" s="414"/>
      <c r="O466" s="412"/>
      <c r="P466" s="412"/>
      <c r="Q466" s="412"/>
      <c r="R466" s="412"/>
      <c r="S466" s="412"/>
      <c r="T466" s="412"/>
      <c r="U466" s="292"/>
      <c r="V466" s="292"/>
      <c r="W466" s="292"/>
      <c r="X466" s="415"/>
      <c r="Y466" s="416"/>
      <c r="Z466" s="417"/>
      <c r="AA466" s="304"/>
      <c r="AB466" s="304"/>
      <c r="AC466" s="304"/>
      <c r="AD466" s="304"/>
      <c r="AE466" s="304"/>
      <c r="AF466" s="304"/>
      <c r="AG466" s="304"/>
      <c r="AH466" s="304"/>
    </row>
    <row r="467">
      <c r="A467" s="292"/>
      <c r="B467" s="292"/>
      <c r="C467" s="292"/>
      <c r="D467" s="412"/>
      <c r="E467" s="412"/>
      <c r="F467" s="412"/>
      <c r="G467" s="412"/>
      <c r="H467" s="412"/>
      <c r="I467" s="412"/>
      <c r="J467" s="412"/>
      <c r="K467" s="413"/>
      <c r="L467" s="413"/>
      <c r="M467" s="413"/>
      <c r="N467" s="414"/>
      <c r="O467" s="412"/>
      <c r="P467" s="412"/>
      <c r="Q467" s="412"/>
      <c r="R467" s="412"/>
      <c r="S467" s="412"/>
      <c r="T467" s="412"/>
      <c r="U467" s="292"/>
      <c r="V467" s="292"/>
      <c r="W467" s="292"/>
      <c r="X467" s="415"/>
      <c r="Y467" s="416"/>
      <c r="Z467" s="417"/>
      <c r="AA467" s="304"/>
      <c r="AB467" s="304"/>
      <c r="AC467" s="304"/>
      <c r="AD467" s="304"/>
      <c r="AE467" s="304"/>
      <c r="AF467" s="304"/>
      <c r="AG467" s="304"/>
      <c r="AH467" s="304"/>
    </row>
    <row r="468">
      <c r="A468" s="292"/>
      <c r="B468" s="292"/>
      <c r="C468" s="292"/>
      <c r="D468" s="412"/>
      <c r="E468" s="412"/>
      <c r="F468" s="412"/>
      <c r="G468" s="412"/>
      <c r="H468" s="412"/>
      <c r="I468" s="412"/>
      <c r="J468" s="412"/>
      <c r="K468" s="413"/>
      <c r="L468" s="413"/>
      <c r="M468" s="413"/>
      <c r="N468" s="414"/>
      <c r="O468" s="412"/>
      <c r="P468" s="412"/>
      <c r="Q468" s="412"/>
      <c r="R468" s="412"/>
      <c r="S468" s="412"/>
      <c r="T468" s="412"/>
      <c r="U468" s="292"/>
      <c r="V468" s="292"/>
      <c r="W468" s="292"/>
      <c r="X468" s="415"/>
      <c r="Y468" s="416"/>
      <c r="Z468" s="417"/>
      <c r="AA468" s="304"/>
      <c r="AB468" s="304"/>
      <c r="AC468" s="304"/>
      <c r="AD468" s="304"/>
      <c r="AE468" s="304"/>
      <c r="AF468" s="304"/>
      <c r="AG468" s="304"/>
      <c r="AH468" s="304"/>
    </row>
    <row r="469">
      <c r="A469" s="292"/>
      <c r="B469" s="292"/>
      <c r="C469" s="292"/>
      <c r="D469" s="412"/>
      <c r="E469" s="412"/>
      <c r="F469" s="412"/>
      <c r="G469" s="412"/>
      <c r="H469" s="412"/>
      <c r="I469" s="412"/>
      <c r="J469" s="412"/>
      <c r="K469" s="413"/>
      <c r="L469" s="413"/>
      <c r="M469" s="413"/>
      <c r="N469" s="414"/>
      <c r="O469" s="412"/>
      <c r="P469" s="412"/>
      <c r="Q469" s="412"/>
      <c r="R469" s="412"/>
      <c r="S469" s="412"/>
      <c r="T469" s="412"/>
      <c r="U469" s="292"/>
      <c r="V469" s="292"/>
      <c r="W469" s="292"/>
      <c r="X469" s="415"/>
      <c r="Y469" s="416"/>
      <c r="Z469" s="417"/>
      <c r="AA469" s="304"/>
      <c r="AB469" s="304"/>
      <c r="AC469" s="304"/>
      <c r="AD469" s="304"/>
      <c r="AE469" s="304"/>
      <c r="AF469" s="304"/>
      <c r="AG469" s="304"/>
      <c r="AH469" s="304"/>
    </row>
    <row r="470">
      <c r="A470" s="292"/>
      <c r="B470" s="292"/>
      <c r="C470" s="292"/>
      <c r="D470" s="412"/>
      <c r="E470" s="412"/>
      <c r="F470" s="412"/>
      <c r="G470" s="412"/>
      <c r="H470" s="412"/>
      <c r="I470" s="412"/>
      <c r="J470" s="412"/>
      <c r="K470" s="413"/>
      <c r="L470" s="413"/>
      <c r="M470" s="413"/>
      <c r="N470" s="414"/>
      <c r="O470" s="412"/>
      <c r="P470" s="412"/>
      <c r="Q470" s="412"/>
      <c r="R470" s="412"/>
      <c r="S470" s="412"/>
      <c r="T470" s="412"/>
      <c r="U470" s="292"/>
      <c r="V470" s="292"/>
      <c r="W470" s="292"/>
      <c r="X470" s="415"/>
      <c r="Y470" s="416"/>
      <c r="Z470" s="417"/>
      <c r="AA470" s="304"/>
      <c r="AB470" s="304"/>
      <c r="AC470" s="304"/>
      <c r="AD470" s="304"/>
      <c r="AE470" s="304"/>
      <c r="AF470" s="304"/>
      <c r="AG470" s="304"/>
      <c r="AH470" s="304"/>
    </row>
    <row r="471">
      <c r="A471" s="292"/>
      <c r="B471" s="292"/>
      <c r="C471" s="292"/>
      <c r="D471" s="412"/>
      <c r="E471" s="412"/>
      <c r="F471" s="412"/>
      <c r="G471" s="412"/>
      <c r="H471" s="412"/>
      <c r="I471" s="412"/>
      <c r="J471" s="412"/>
      <c r="K471" s="413"/>
      <c r="L471" s="413"/>
      <c r="M471" s="413"/>
      <c r="N471" s="414"/>
      <c r="O471" s="412"/>
      <c r="P471" s="412"/>
      <c r="Q471" s="412"/>
      <c r="R471" s="412"/>
      <c r="S471" s="412"/>
      <c r="T471" s="412"/>
      <c r="U471" s="292"/>
      <c r="V471" s="292"/>
      <c r="W471" s="292"/>
      <c r="X471" s="415"/>
      <c r="Y471" s="416"/>
      <c r="Z471" s="417"/>
      <c r="AA471" s="304"/>
      <c r="AB471" s="304"/>
      <c r="AC471" s="304"/>
      <c r="AD471" s="304"/>
      <c r="AE471" s="304"/>
      <c r="AF471" s="304"/>
      <c r="AG471" s="304"/>
      <c r="AH471" s="304"/>
    </row>
    <row r="472">
      <c r="A472" s="292"/>
      <c r="B472" s="292"/>
      <c r="C472" s="292"/>
      <c r="D472" s="412"/>
      <c r="E472" s="412"/>
      <c r="F472" s="412"/>
      <c r="G472" s="412"/>
      <c r="H472" s="412"/>
      <c r="I472" s="412"/>
      <c r="J472" s="412"/>
      <c r="K472" s="413"/>
      <c r="L472" s="413"/>
      <c r="M472" s="413"/>
      <c r="N472" s="414"/>
      <c r="O472" s="412"/>
      <c r="P472" s="412"/>
      <c r="Q472" s="412"/>
      <c r="R472" s="412"/>
      <c r="S472" s="412"/>
      <c r="T472" s="412"/>
      <c r="U472" s="292"/>
      <c r="V472" s="292"/>
      <c r="W472" s="292"/>
      <c r="X472" s="415"/>
      <c r="Y472" s="416"/>
      <c r="Z472" s="417"/>
      <c r="AA472" s="304"/>
      <c r="AB472" s="304"/>
      <c r="AC472" s="304"/>
      <c r="AD472" s="304"/>
      <c r="AE472" s="304"/>
      <c r="AF472" s="304"/>
      <c r="AG472" s="304"/>
      <c r="AH472" s="304"/>
    </row>
    <row r="473">
      <c r="A473" s="292"/>
      <c r="B473" s="292"/>
      <c r="C473" s="292"/>
      <c r="D473" s="412"/>
      <c r="E473" s="412"/>
      <c r="F473" s="412"/>
      <c r="G473" s="412"/>
      <c r="H473" s="412"/>
      <c r="I473" s="412"/>
      <c r="J473" s="412"/>
      <c r="K473" s="413"/>
      <c r="L473" s="413"/>
      <c r="M473" s="413"/>
      <c r="N473" s="414"/>
      <c r="O473" s="412"/>
      <c r="P473" s="412"/>
      <c r="Q473" s="412"/>
      <c r="R473" s="412"/>
      <c r="S473" s="412"/>
      <c r="T473" s="412"/>
      <c r="U473" s="292"/>
      <c r="V473" s="292"/>
      <c r="W473" s="292"/>
      <c r="X473" s="415"/>
      <c r="Y473" s="416"/>
      <c r="Z473" s="417"/>
      <c r="AA473" s="304"/>
      <c r="AB473" s="304"/>
      <c r="AC473" s="304"/>
      <c r="AD473" s="304"/>
      <c r="AE473" s="304"/>
      <c r="AF473" s="304"/>
      <c r="AG473" s="304"/>
      <c r="AH473" s="304"/>
    </row>
    <row r="474">
      <c r="A474" s="292"/>
      <c r="B474" s="292"/>
      <c r="C474" s="292"/>
      <c r="D474" s="412"/>
      <c r="E474" s="412"/>
      <c r="F474" s="412"/>
      <c r="G474" s="412"/>
      <c r="H474" s="412"/>
      <c r="I474" s="412"/>
      <c r="J474" s="412"/>
      <c r="K474" s="413"/>
      <c r="L474" s="413"/>
      <c r="M474" s="413"/>
      <c r="N474" s="414"/>
      <c r="O474" s="412"/>
      <c r="P474" s="412"/>
      <c r="Q474" s="412"/>
      <c r="R474" s="412"/>
      <c r="S474" s="412"/>
      <c r="T474" s="412"/>
      <c r="U474" s="292"/>
      <c r="V474" s="292"/>
      <c r="W474" s="292"/>
      <c r="X474" s="415"/>
      <c r="Y474" s="416"/>
      <c r="Z474" s="417"/>
      <c r="AA474" s="304"/>
      <c r="AB474" s="304"/>
      <c r="AC474" s="304"/>
      <c r="AD474" s="304"/>
      <c r="AE474" s="304"/>
      <c r="AF474" s="304"/>
      <c r="AG474" s="304"/>
      <c r="AH474" s="304"/>
    </row>
    <row r="475">
      <c r="A475" s="292"/>
      <c r="B475" s="292"/>
      <c r="C475" s="292"/>
      <c r="D475" s="412"/>
      <c r="E475" s="412"/>
      <c r="F475" s="412"/>
      <c r="G475" s="412"/>
      <c r="H475" s="412"/>
      <c r="I475" s="412"/>
      <c r="J475" s="412"/>
      <c r="K475" s="413"/>
      <c r="L475" s="413"/>
      <c r="M475" s="413"/>
      <c r="N475" s="414"/>
      <c r="O475" s="412"/>
      <c r="P475" s="412"/>
      <c r="Q475" s="412"/>
      <c r="R475" s="412"/>
      <c r="S475" s="412"/>
      <c r="T475" s="412"/>
      <c r="U475" s="292"/>
      <c r="V475" s="292"/>
      <c r="W475" s="292"/>
      <c r="X475" s="415"/>
      <c r="Y475" s="416"/>
      <c r="Z475" s="417"/>
      <c r="AA475" s="304"/>
      <c r="AB475" s="304"/>
      <c r="AC475" s="304"/>
      <c r="AD475" s="304"/>
      <c r="AE475" s="304"/>
      <c r="AF475" s="304"/>
      <c r="AG475" s="304"/>
      <c r="AH475" s="304"/>
    </row>
    <row r="476">
      <c r="A476" s="292"/>
      <c r="B476" s="292"/>
      <c r="C476" s="292"/>
      <c r="D476" s="412"/>
      <c r="E476" s="412"/>
      <c r="F476" s="412"/>
      <c r="G476" s="412"/>
      <c r="H476" s="412"/>
      <c r="I476" s="412"/>
      <c r="J476" s="412"/>
      <c r="K476" s="413"/>
      <c r="L476" s="413"/>
      <c r="M476" s="413"/>
      <c r="N476" s="414"/>
      <c r="O476" s="412"/>
      <c r="P476" s="412"/>
      <c r="Q476" s="412"/>
      <c r="R476" s="412"/>
      <c r="S476" s="412"/>
      <c r="T476" s="412"/>
      <c r="U476" s="292"/>
      <c r="V476" s="292"/>
      <c r="W476" s="292"/>
      <c r="X476" s="415"/>
      <c r="Y476" s="416"/>
      <c r="Z476" s="417"/>
      <c r="AA476" s="304"/>
      <c r="AB476" s="304"/>
      <c r="AC476" s="304"/>
      <c r="AD476" s="304"/>
      <c r="AE476" s="304"/>
      <c r="AF476" s="304"/>
      <c r="AG476" s="304"/>
      <c r="AH476" s="304"/>
    </row>
    <row r="477">
      <c r="A477" s="292"/>
      <c r="B477" s="292"/>
      <c r="C477" s="292"/>
      <c r="D477" s="412"/>
      <c r="E477" s="412"/>
      <c r="F477" s="412"/>
      <c r="G477" s="412"/>
      <c r="H477" s="412"/>
      <c r="I477" s="412"/>
      <c r="J477" s="412"/>
      <c r="K477" s="413"/>
      <c r="L477" s="413"/>
      <c r="M477" s="413"/>
      <c r="N477" s="414"/>
      <c r="O477" s="412"/>
      <c r="P477" s="412"/>
      <c r="Q477" s="412"/>
      <c r="R477" s="412"/>
      <c r="S477" s="412"/>
      <c r="T477" s="412"/>
      <c r="U477" s="292"/>
      <c r="V477" s="292"/>
      <c r="W477" s="292"/>
      <c r="X477" s="415"/>
      <c r="Y477" s="416"/>
      <c r="Z477" s="417"/>
      <c r="AA477" s="304"/>
      <c r="AB477" s="304"/>
      <c r="AC477" s="304"/>
      <c r="AD477" s="304"/>
      <c r="AE477" s="304"/>
      <c r="AF477" s="304"/>
      <c r="AG477" s="304"/>
      <c r="AH477" s="304"/>
    </row>
    <row r="478">
      <c r="A478" s="292"/>
      <c r="B478" s="292"/>
      <c r="C478" s="292"/>
      <c r="D478" s="412"/>
      <c r="E478" s="412"/>
      <c r="F478" s="412"/>
      <c r="G478" s="412"/>
      <c r="H478" s="412"/>
      <c r="I478" s="412"/>
      <c r="J478" s="412"/>
      <c r="K478" s="413"/>
      <c r="L478" s="413"/>
      <c r="M478" s="413"/>
      <c r="N478" s="414"/>
      <c r="O478" s="412"/>
      <c r="P478" s="412"/>
      <c r="Q478" s="412"/>
      <c r="R478" s="412"/>
      <c r="S478" s="412"/>
      <c r="T478" s="412"/>
      <c r="U478" s="292"/>
      <c r="V478" s="292"/>
      <c r="W478" s="292"/>
      <c r="X478" s="415"/>
      <c r="Y478" s="416"/>
      <c r="Z478" s="417"/>
      <c r="AA478" s="304"/>
      <c r="AB478" s="304"/>
      <c r="AC478" s="304"/>
      <c r="AD478" s="304"/>
      <c r="AE478" s="304"/>
      <c r="AF478" s="304"/>
      <c r="AG478" s="304"/>
      <c r="AH478" s="304"/>
    </row>
    <row r="479">
      <c r="A479" s="292"/>
      <c r="B479" s="292"/>
      <c r="C479" s="292"/>
      <c r="D479" s="412"/>
      <c r="E479" s="412"/>
      <c r="F479" s="412"/>
      <c r="G479" s="412"/>
      <c r="H479" s="412"/>
      <c r="I479" s="412"/>
      <c r="J479" s="412"/>
      <c r="K479" s="413"/>
      <c r="L479" s="413"/>
      <c r="M479" s="413"/>
      <c r="N479" s="414"/>
      <c r="O479" s="412"/>
      <c r="P479" s="412"/>
      <c r="Q479" s="412"/>
      <c r="R479" s="412"/>
      <c r="S479" s="412"/>
      <c r="T479" s="412"/>
      <c r="U479" s="292"/>
      <c r="V479" s="292"/>
      <c r="W479" s="292"/>
      <c r="X479" s="415"/>
      <c r="Y479" s="416"/>
      <c r="Z479" s="417"/>
      <c r="AA479" s="304"/>
      <c r="AB479" s="304"/>
      <c r="AC479" s="304"/>
      <c r="AD479" s="304"/>
      <c r="AE479" s="304"/>
      <c r="AF479" s="304"/>
      <c r="AG479" s="304"/>
      <c r="AH479" s="304"/>
    </row>
    <row r="480">
      <c r="A480" s="292"/>
      <c r="B480" s="292"/>
      <c r="C480" s="292"/>
      <c r="D480" s="412"/>
      <c r="E480" s="412"/>
      <c r="F480" s="412"/>
      <c r="G480" s="412"/>
      <c r="H480" s="412"/>
      <c r="I480" s="412"/>
      <c r="J480" s="412"/>
      <c r="K480" s="413"/>
      <c r="L480" s="413"/>
      <c r="M480" s="413"/>
      <c r="N480" s="414"/>
      <c r="O480" s="412"/>
      <c r="P480" s="412"/>
      <c r="Q480" s="412"/>
      <c r="R480" s="412"/>
      <c r="S480" s="412"/>
      <c r="T480" s="412"/>
      <c r="U480" s="292"/>
      <c r="V480" s="292"/>
      <c r="W480" s="292"/>
      <c r="X480" s="415"/>
      <c r="Y480" s="416"/>
      <c r="Z480" s="417"/>
      <c r="AA480" s="304"/>
      <c r="AB480" s="304"/>
      <c r="AC480" s="304"/>
      <c r="AD480" s="304"/>
      <c r="AE480" s="304"/>
      <c r="AF480" s="304"/>
      <c r="AG480" s="304"/>
      <c r="AH480" s="304"/>
    </row>
    <row r="481">
      <c r="A481" s="292"/>
      <c r="B481" s="292"/>
      <c r="C481" s="292"/>
      <c r="D481" s="412"/>
      <c r="E481" s="412"/>
      <c r="F481" s="412"/>
      <c r="G481" s="412"/>
      <c r="H481" s="412"/>
      <c r="I481" s="412"/>
      <c r="J481" s="412"/>
      <c r="K481" s="413"/>
      <c r="L481" s="413"/>
      <c r="M481" s="413"/>
      <c r="N481" s="414"/>
      <c r="O481" s="412"/>
      <c r="P481" s="412"/>
      <c r="Q481" s="412"/>
      <c r="R481" s="412"/>
      <c r="S481" s="412"/>
      <c r="T481" s="412"/>
      <c r="U481" s="292"/>
      <c r="V481" s="292"/>
      <c r="W481" s="292"/>
      <c r="X481" s="415"/>
      <c r="Y481" s="416"/>
      <c r="Z481" s="417"/>
      <c r="AA481" s="304"/>
      <c r="AB481" s="304"/>
      <c r="AC481" s="304"/>
      <c r="AD481" s="304"/>
      <c r="AE481" s="304"/>
      <c r="AF481" s="304"/>
      <c r="AG481" s="304"/>
      <c r="AH481" s="304"/>
    </row>
    <row r="482">
      <c r="A482" s="292"/>
      <c r="B482" s="292"/>
      <c r="C482" s="292"/>
      <c r="D482" s="412"/>
      <c r="E482" s="412"/>
      <c r="F482" s="412"/>
      <c r="G482" s="412"/>
      <c r="H482" s="412"/>
      <c r="I482" s="412"/>
      <c r="J482" s="412"/>
      <c r="K482" s="413"/>
      <c r="L482" s="413"/>
      <c r="M482" s="413"/>
      <c r="N482" s="414"/>
      <c r="O482" s="412"/>
      <c r="P482" s="412"/>
      <c r="Q482" s="412"/>
      <c r="R482" s="412"/>
      <c r="S482" s="412"/>
      <c r="T482" s="412"/>
      <c r="U482" s="292"/>
      <c r="V482" s="292"/>
      <c r="W482" s="292"/>
      <c r="X482" s="415"/>
      <c r="Y482" s="416"/>
      <c r="Z482" s="417"/>
      <c r="AA482" s="304"/>
      <c r="AB482" s="304"/>
      <c r="AC482" s="304"/>
      <c r="AD482" s="304"/>
      <c r="AE482" s="304"/>
      <c r="AF482" s="304"/>
      <c r="AG482" s="304"/>
      <c r="AH482" s="304"/>
    </row>
    <row r="483">
      <c r="A483" s="292"/>
      <c r="B483" s="292"/>
      <c r="C483" s="292"/>
      <c r="D483" s="412"/>
      <c r="E483" s="412"/>
      <c r="F483" s="412"/>
      <c r="G483" s="412"/>
      <c r="H483" s="412"/>
      <c r="I483" s="412"/>
      <c r="J483" s="412"/>
      <c r="K483" s="413"/>
      <c r="L483" s="413"/>
      <c r="M483" s="413"/>
      <c r="N483" s="414"/>
      <c r="O483" s="412"/>
      <c r="P483" s="412"/>
      <c r="Q483" s="412"/>
      <c r="R483" s="412"/>
      <c r="S483" s="412"/>
      <c r="T483" s="412"/>
      <c r="U483" s="292"/>
      <c r="V483" s="292"/>
      <c r="W483" s="292"/>
      <c r="X483" s="415"/>
      <c r="Y483" s="416"/>
      <c r="Z483" s="417"/>
      <c r="AA483" s="304"/>
      <c r="AB483" s="304"/>
      <c r="AC483" s="304"/>
      <c r="AD483" s="304"/>
      <c r="AE483" s="304"/>
      <c r="AF483" s="304"/>
      <c r="AG483" s="304"/>
      <c r="AH483" s="304"/>
    </row>
    <row r="484">
      <c r="A484" s="292"/>
      <c r="B484" s="292"/>
      <c r="C484" s="292"/>
      <c r="D484" s="412"/>
      <c r="E484" s="412"/>
      <c r="F484" s="412"/>
      <c r="G484" s="412"/>
      <c r="H484" s="412"/>
      <c r="I484" s="412"/>
      <c r="J484" s="412"/>
      <c r="K484" s="413"/>
      <c r="L484" s="413"/>
      <c r="M484" s="413"/>
      <c r="N484" s="414"/>
      <c r="O484" s="412"/>
      <c r="P484" s="412"/>
      <c r="Q484" s="412"/>
      <c r="R484" s="412"/>
      <c r="S484" s="412"/>
      <c r="T484" s="412"/>
      <c r="U484" s="292"/>
      <c r="V484" s="292"/>
      <c r="W484" s="292"/>
      <c r="X484" s="415"/>
      <c r="Y484" s="416"/>
      <c r="Z484" s="417"/>
      <c r="AA484" s="304"/>
      <c r="AB484" s="304"/>
      <c r="AC484" s="304"/>
      <c r="AD484" s="304"/>
      <c r="AE484" s="304"/>
      <c r="AF484" s="304"/>
      <c r="AG484" s="304"/>
      <c r="AH484" s="304"/>
    </row>
    <row r="485">
      <c r="A485" s="292"/>
      <c r="B485" s="292"/>
      <c r="C485" s="292"/>
      <c r="D485" s="412"/>
      <c r="E485" s="412"/>
      <c r="F485" s="412"/>
      <c r="G485" s="412"/>
      <c r="H485" s="412"/>
      <c r="I485" s="412"/>
      <c r="J485" s="412"/>
      <c r="K485" s="413"/>
      <c r="L485" s="413"/>
      <c r="M485" s="413"/>
      <c r="N485" s="414"/>
      <c r="O485" s="412"/>
      <c r="P485" s="412"/>
      <c r="Q485" s="412"/>
      <c r="R485" s="412"/>
      <c r="S485" s="412"/>
      <c r="T485" s="412"/>
      <c r="U485" s="292"/>
      <c r="V485" s="292"/>
      <c r="W485" s="292"/>
      <c r="X485" s="415"/>
      <c r="Y485" s="416"/>
      <c r="Z485" s="417"/>
      <c r="AA485" s="304"/>
      <c r="AB485" s="304"/>
      <c r="AC485" s="304"/>
      <c r="AD485" s="304"/>
      <c r="AE485" s="304"/>
      <c r="AF485" s="304"/>
      <c r="AG485" s="304"/>
      <c r="AH485" s="304"/>
    </row>
    <row r="486">
      <c r="A486" s="292"/>
      <c r="B486" s="292"/>
      <c r="C486" s="292"/>
      <c r="D486" s="412"/>
      <c r="E486" s="412"/>
      <c r="F486" s="412"/>
      <c r="G486" s="412"/>
      <c r="H486" s="412"/>
      <c r="I486" s="412"/>
      <c r="J486" s="412"/>
      <c r="K486" s="413"/>
      <c r="L486" s="413"/>
      <c r="M486" s="413"/>
      <c r="N486" s="414"/>
      <c r="O486" s="412"/>
      <c r="P486" s="412"/>
      <c r="Q486" s="412"/>
      <c r="R486" s="412"/>
      <c r="S486" s="412"/>
      <c r="T486" s="412"/>
      <c r="U486" s="292"/>
      <c r="V486" s="292"/>
      <c r="W486" s="292"/>
      <c r="X486" s="415"/>
      <c r="Y486" s="416"/>
      <c r="Z486" s="417"/>
      <c r="AA486" s="304"/>
      <c r="AB486" s="304"/>
      <c r="AC486" s="304"/>
      <c r="AD486" s="304"/>
      <c r="AE486" s="304"/>
      <c r="AF486" s="304"/>
      <c r="AG486" s="304"/>
      <c r="AH486" s="304"/>
    </row>
    <row r="487">
      <c r="A487" s="292"/>
      <c r="B487" s="292"/>
      <c r="C487" s="292"/>
      <c r="D487" s="412"/>
      <c r="E487" s="412"/>
      <c r="F487" s="412"/>
      <c r="G487" s="412"/>
      <c r="H487" s="412"/>
      <c r="I487" s="412"/>
      <c r="J487" s="412"/>
      <c r="K487" s="413"/>
      <c r="L487" s="413"/>
      <c r="M487" s="413"/>
      <c r="N487" s="414"/>
      <c r="O487" s="412"/>
      <c r="P487" s="412"/>
      <c r="Q487" s="412"/>
      <c r="R487" s="412"/>
      <c r="S487" s="412"/>
      <c r="T487" s="412"/>
      <c r="U487" s="292"/>
      <c r="V487" s="292"/>
      <c r="W487" s="292"/>
      <c r="X487" s="415"/>
      <c r="Y487" s="416"/>
      <c r="Z487" s="417"/>
      <c r="AA487" s="304"/>
      <c r="AB487" s="304"/>
      <c r="AC487" s="304"/>
      <c r="AD487" s="304"/>
      <c r="AE487" s="304"/>
      <c r="AF487" s="304"/>
      <c r="AG487" s="304"/>
      <c r="AH487" s="304"/>
    </row>
    <row r="488">
      <c r="A488" s="292"/>
      <c r="B488" s="292"/>
      <c r="C488" s="292"/>
      <c r="D488" s="412"/>
      <c r="E488" s="412"/>
      <c r="F488" s="412"/>
      <c r="G488" s="412"/>
      <c r="H488" s="412"/>
      <c r="I488" s="412"/>
      <c r="J488" s="412"/>
      <c r="K488" s="413"/>
      <c r="L488" s="413"/>
      <c r="M488" s="413"/>
      <c r="N488" s="414"/>
      <c r="O488" s="412"/>
      <c r="P488" s="412"/>
      <c r="Q488" s="412"/>
      <c r="R488" s="412"/>
      <c r="S488" s="412"/>
      <c r="T488" s="412"/>
      <c r="U488" s="292"/>
      <c r="V488" s="292"/>
      <c r="W488" s="292"/>
      <c r="X488" s="415"/>
      <c r="Y488" s="416"/>
      <c r="Z488" s="417"/>
      <c r="AA488" s="304"/>
      <c r="AB488" s="304"/>
      <c r="AC488" s="304"/>
      <c r="AD488" s="304"/>
      <c r="AE488" s="304"/>
      <c r="AF488" s="304"/>
      <c r="AG488" s="304"/>
      <c r="AH488" s="304"/>
    </row>
    <row r="489">
      <c r="A489" s="292"/>
      <c r="B489" s="292"/>
      <c r="C489" s="292"/>
      <c r="D489" s="412"/>
      <c r="E489" s="412"/>
      <c r="F489" s="412"/>
      <c r="G489" s="412"/>
      <c r="H489" s="412"/>
      <c r="I489" s="412"/>
      <c r="J489" s="412"/>
      <c r="K489" s="413"/>
      <c r="L489" s="413"/>
      <c r="M489" s="413"/>
      <c r="N489" s="414"/>
      <c r="O489" s="412"/>
      <c r="P489" s="412"/>
      <c r="Q489" s="412"/>
      <c r="R489" s="412"/>
      <c r="S489" s="412"/>
      <c r="T489" s="412"/>
      <c r="U489" s="292"/>
      <c r="V489" s="292"/>
      <c r="W489" s="292"/>
      <c r="X489" s="415"/>
      <c r="Y489" s="416"/>
      <c r="Z489" s="417"/>
      <c r="AA489" s="304"/>
      <c r="AB489" s="304"/>
      <c r="AC489" s="304"/>
      <c r="AD489" s="304"/>
      <c r="AE489" s="304"/>
      <c r="AF489" s="304"/>
      <c r="AG489" s="304"/>
      <c r="AH489" s="304"/>
    </row>
    <row r="490">
      <c r="A490" s="292"/>
      <c r="B490" s="292"/>
      <c r="C490" s="292"/>
      <c r="D490" s="412"/>
      <c r="E490" s="412"/>
      <c r="F490" s="412"/>
      <c r="G490" s="412"/>
      <c r="H490" s="412"/>
      <c r="I490" s="412"/>
      <c r="J490" s="412"/>
      <c r="K490" s="413"/>
      <c r="L490" s="413"/>
      <c r="M490" s="413"/>
      <c r="N490" s="414"/>
      <c r="O490" s="412"/>
      <c r="P490" s="412"/>
      <c r="Q490" s="412"/>
      <c r="R490" s="412"/>
      <c r="S490" s="412"/>
      <c r="T490" s="412"/>
      <c r="U490" s="292"/>
      <c r="V490" s="292"/>
      <c r="W490" s="292"/>
      <c r="X490" s="415"/>
      <c r="Y490" s="416"/>
      <c r="Z490" s="417"/>
      <c r="AA490" s="304"/>
      <c r="AB490" s="304"/>
      <c r="AC490" s="304"/>
      <c r="AD490" s="304"/>
      <c r="AE490" s="304"/>
      <c r="AF490" s="304"/>
      <c r="AG490" s="304"/>
      <c r="AH490" s="304"/>
    </row>
    <row r="491">
      <c r="A491" s="292"/>
      <c r="B491" s="292"/>
      <c r="C491" s="292"/>
      <c r="D491" s="412"/>
      <c r="E491" s="412"/>
      <c r="F491" s="412"/>
      <c r="G491" s="412"/>
      <c r="H491" s="412"/>
      <c r="I491" s="412"/>
      <c r="J491" s="412"/>
      <c r="K491" s="413"/>
      <c r="L491" s="413"/>
      <c r="M491" s="413"/>
      <c r="N491" s="414"/>
      <c r="O491" s="412"/>
      <c r="P491" s="412"/>
      <c r="Q491" s="412"/>
      <c r="R491" s="412"/>
      <c r="S491" s="412"/>
      <c r="T491" s="412"/>
      <c r="U491" s="292"/>
      <c r="V491" s="292"/>
      <c r="W491" s="292"/>
      <c r="X491" s="415"/>
      <c r="Y491" s="416"/>
      <c r="Z491" s="417"/>
      <c r="AA491" s="304"/>
      <c r="AB491" s="304"/>
      <c r="AC491" s="304"/>
      <c r="AD491" s="304"/>
      <c r="AE491" s="304"/>
      <c r="AF491" s="304"/>
      <c r="AG491" s="304"/>
      <c r="AH491" s="304"/>
    </row>
    <row r="492">
      <c r="A492" s="292"/>
      <c r="B492" s="292"/>
      <c r="C492" s="292"/>
      <c r="D492" s="412"/>
      <c r="E492" s="412"/>
      <c r="F492" s="412"/>
      <c r="G492" s="412"/>
      <c r="H492" s="412"/>
      <c r="I492" s="412"/>
      <c r="J492" s="412"/>
      <c r="K492" s="413"/>
      <c r="L492" s="413"/>
      <c r="M492" s="413"/>
      <c r="N492" s="414"/>
      <c r="O492" s="412"/>
      <c r="P492" s="412"/>
      <c r="Q492" s="412"/>
      <c r="R492" s="412"/>
      <c r="S492" s="412"/>
      <c r="T492" s="412"/>
      <c r="U492" s="292"/>
      <c r="V492" s="292"/>
      <c r="W492" s="292"/>
      <c r="X492" s="415"/>
      <c r="Y492" s="416"/>
      <c r="Z492" s="417"/>
      <c r="AA492" s="304"/>
      <c r="AB492" s="304"/>
      <c r="AC492" s="304"/>
      <c r="AD492" s="304"/>
      <c r="AE492" s="304"/>
      <c r="AF492" s="304"/>
      <c r="AG492" s="304"/>
      <c r="AH492" s="304"/>
    </row>
    <row r="493">
      <c r="A493" s="292"/>
      <c r="B493" s="292"/>
      <c r="C493" s="292"/>
      <c r="D493" s="412"/>
      <c r="E493" s="412"/>
      <c r="F493" s="412"/>
      <c r="G493" s="412"/>
      <c r="H493" s="412"/>
      <c r="I493" s="412"/>
      <c r="J493" s="412"/>
      <c r="K493" s="413"/>
      <c r="L493" s="413"/>
      <c r="M493" s="413"/>
      <c r="N493" s="414"/>
      <c r="O493" s="412"/>
      <c r="P493" s="412"/>
      <c r="Q493" s="412"/>
      <c r="R493" s="412"/>
      <c r="S493" s="412"/>
      <c r="T493" s="412"/>
      <c r="U493" s="292"/>
      <c r="V493" s="292"/>
      <c r="W493" s="292"/>
      <c r="X493" s="415"/>
      <c r="Y493" s="416"/>
      <c r="Z493" s="417"/>
      <c r="AA493" s="304"/>
      <c r="AB493" s="304"/>
      <c r="AC493" s="304"/>
      <c r="AD493" s="304"/>
      <c r="AE493" s="304"/>
      <c r="AF493" s="304"/>
      <c r="AG493" s="304"/>
      <c r="AH493" s="304"/>
    </row>
    <row r="494">
      <c r="A494" s="292"/>
      <c r="B494" s="292"/>
      <c r="C494" s="292"/>
      <c r="D494" s="412"/>
      <c r="E494" s="412"/>
      <c r="F494" s="412"/>
      <c r="G494" s="412"/>
      <c r="H494" s="412"/>
      <c r="I494" s="412"/>
      <c r="J494" s="412"/>
      <c r="K494" s="413"/>
      <c r="L494" s="413"/>
      <c r="M494" s="413"/>
      <c r="N494" s="414"/>
      <c r="O494" s="412"/>
      <c r="P494" s="412"/>
      <c r="Q494" s="412"/>
      <c r="R494" s="412"/>
      <c r="S494" s="412"/>
      <c r="T494" s="412"/>
      <c r="U494" s="292"/>
      <c r="V494" s="292"/>
      <c r="W494" s="292"/>
      <c r="X494" s="415"/>
      <c r="Y494" s="416"/>
      <c r="Z494" s="417"/>
      <c r="AA494" s="304"/>
      <c r="AB494" s="304"/>
      <c r="AC494" s="304"/>
      <c r="AD494" s="304"/>
      <c r="AE494" s="304"/>
      <c r="AF494" s="304"/>
      <c r="AG494" s="304"/>
      <c r="AH494" s="304"/>
    </row>
    <row r="495">
      <c r="A495" s="292"/>
      <c r="B495" s="292"/>
      <c r="C495" s="292"/>
      <c r="D495" s="412"/>
      <c r="E495" s="412"/>
      <c r="F495" s="412"/>
      <c r="G495" s="412"/>
      <c r="H495" s="412"/>
      <c r="I495" s="412"/>
      <c r="J495" s="412"/>
      <c r="K495" s="413"/>
      <c r="L495" s="413"/>
      <c r="M495" s="413"/>
      <c r="N495" s="414"/>
      <c r="O495" s="412"/>
      <c r="P495" s="412"/>
      <c r="Q495" s="412"/>
      <c r="R495" s="412"/>
      <c r="S495" s="412"/>
      <c r="T495" s="412"/>
      <c r="U495" s="292"/>
      <c r="V495" s="292"/>
      <c r="W495" s="292"/>
      <c r="X495" s="415"/>
      <c r="Y495" s="416"/>
      <c r="Z495" s="417"/>
      <c r="AA495" s="304"/>
      <c r="AB495" s="304"/>
      <c r="AC495" s="304"/>
      <c r="AD495" s="304"/>
      <c r="AE495" s="304"/>
      <c r="AF495" s="304"/>
      <c r="AG495" s="304"/>
      <c r="AH495" s="304"/>
    </row>
    <row r="496">
      <c r="A496" s="292"/>
      <c r="B496" s="292"/>
      <c r="C496" s="292"/>
      <c r="D496" s="412"/>
      <c r="E496" s="412"/>
      <c r="F496" s="412"/>
      <c r="G496" s="412"/>
      <c r="H496" s="412"/>
      <c r="I496" s="412"/>
      <c r="J496" s="412"/>
      <c r="K496" s="413"/>
      <c r="L496" s="413"/>
      <c r="M496" s="413"/>
      <c r="N496" s="414"/>
      <c r="O496" s="412"/>
      <c r="P496" s="412"/>
      <c r="Q496" s="412"/>
      <c r="R496" s="412"/>
      <c r="S496" s="412"/>
      <c r="T496" s="412"/>
      <c r="U496" s="292"/>
      <c r="V496" s="292"/>
      <c r="W496" s="292"/>
      <c r="X496" s="415"/>
      <c r="Y496" s="416"/>
      <c r="Z496" s="417"/>
      <c r="AA496" s="304"/>
      <c r="AB496" s="304"/>
      <c r="AC496" s="304"/>
      <c r="AD496" s="304"/>
      <c r="AE496" s="304"/>
      <c r="AF496" s="304"/>
      <c r="AG496" s="304"/>
      <c r="AH496" s="304"/>
    </row>
    <row r="497">
      <c r="A497" s="292"/>
      <c r="B497" s="292"/>
      <c r="C497" s="292"/>
      <c r="D497" s="412"/>
      <c r="E497" s="412"/>
      <c r="F497" s="412"/>
      <c r="G497" s="412"/>
      <c r="H497" s="412"/>
      <c r="I497" s="412"/>
      <c r="J497" s="412"/>
      <c r="K497" s="413"/>
      <c r="L497" s="413"/>
      <c r="M497" s="413"/>
      <c r="N497" s="414"/>
      <c r="O497" s="412"/>
      <c r="P497" s="412"/>
      <c r="Q497" s="412"/>
      <c r="R497" s="412"/>
      <c r="S497" s="412"/>
      <c r="T497" s="412"/>
      <c r="U497" s="292"/>
      <c r="V497" s="292"/>
      <c r="W497" s="292"/>
      <c r="X497" s="415"/>
      <c r="Y497" s="416"/>
      <c r="Z497" s="417"/>
      <c r="AA497" s="304"/>
      <c r="AB497" s="304"/>
      <c r="AC497" s="304"/>
      <c r="AD497" s="304"/>
      <c r="AE497" s="304"/>
      <c r="AF497" s="304"/>
      <c r="AG497" s="304"/>
      <c r="AH497" s="304"/>
    </row>
    <row r="498">
      <c r="A498" s="292"/>
      <c r="B498" s="292"/>
      <c r="C498" s="292"/>
      <c r="D498" s="412"/>
      <c r="E498" s="412"/>
      <c r="F498" s="412"/>
      <c r="G498" s="412"/>
      <c r="H498" s="412"/>
      <c r="I498" s="412"/>
      <c r="J498" s="412"/>
      <c r="K498" s="413"/>
      <c r="L498" s="413"/>
      <c r="M498" s="413"/>
      <c r="N498" s="414"/>
      <c r="O498" s="412"/>
      <c r="P498" s="412"/>
      <c r="Q498" s="412"/>
      <c r="R498" s="412"/>
      <c r="S498" s="412"/>
      <c r="T498" s="412"/>
      <c r="U498" s="292"/>
      <c r="V498" s="292"/>
      <c r="W498" s="292"/>
      <c r="X498" s="415"/>
      <c r="Y498" s="416"/>
      <c r="Z498" s="417"/>
      <c r="AA498" s="304"/>
      <c r="AB498" s="304"/>
      <c r="AC498" s="304"/>
      <c r="AD498" s="304"/>
      <c r="AE498" s="304"/>
      <c r="AF498" s="304"/>
      <c r="AG498" s="304"/>
      <c r="AH498" s="304"/>
    </row>
    <row r="499">
      <c r="A499" s="292"/>
      <c r="B499" s="292"/>
      <c r="C499" s="292"/>
      <c r="D499" s="412"/>
      <c r="E499" s="412"/>
      <c r="F499" s="412"/>
      <c r="G499" s="412"/>
      <c r="H499" s="412"/>
      <c r="I499" s="412"/>
      <c r="J499" s="412"/>
      <c r="K499" s="413"/>
      <c r="L499" s="413"/>
      <c r="M499" s="413"/>
      <c r="N499" s="414"/>
      <c r="O499" s="412"/>
      <c r="P499" s="412"/>
      <c r="Q499" s="412"/>
      <c r="R499" s="412"/>
      <c r="S499" s="412"/>
      <c r="T499" s="412"/>
      <c r="U499" s="292"/>
      <c r="V499" s="292"/>
      <c r="W499" s="292"/>
      <c r="X499" s="415"/>
      <c r="Y499" s="416"/>
      <c r="Z499" s="417"/>
      <c r="AA499" s="304"/>
      <c r="AB499" s="304"/>
      <c r="AC499" s="304"/>
      <c r="AD499" s="304"/>
      <c r="AE499" s="304"/>
      <c r="AF499" s="304"/>
      <c r="AG499" s="304"/>
      <c r="AH499" s="304"/>
    </row>
    <row r="500">
      <c r="A500" s="292"/>
      <c r="B500" s="292"/>
      <c r="C500" s="292"/>
      <c r="D500" s="412"/>
      <c r="E500" s="412"/>
      <c r="F500" s="412"/>
      <c r="G500" s="412"/>
      <c r="H500" s="412"/>
      <c r="I500" s="412"/>
      <c r="J500" s="412"/>
      <c r="K500" s="413"/>
      <c r="L500" s="413"/>
      <c r="M500" s="413"/>
      <c r="N500" s="414"/>
      <c r="O500" s="412"/>
      <c r="P500" s="412"/>
      <c r="Q500" s="412"/>
      <c r="R500" s="412"/>
      <c r="S500" s="412"/>
      <c r="T500" s="412"/>
      <c r="U500" s="292"/>
      <c r="V500" s="292"/>
      <c r="W500" s="292"/>
      <c r="X500" s="415"/>
      <c r="Y500" s="416"/>
      <c r="Z500" s="417"/>
      <c r="AA500" s="304"/>
      <c r="AB500" s="304"/>
      <c r="AC500" s="304"/>
      <c r="AD500" s="304"/>
      <c r="AE500" s="304"/>
      <c r="AF500" s="304"/>
      <c r="AG500" s="304"/>
      <c r="AH500" s="304"/>
    </row>
    <row r="501">
      <c r="A501" s="292"/>
      <c r="B501" s="292"/>
      <c r="C501" s="292"/>
      <c r="D501" s="412"/>
      <c r="E501" s="412"/>
      <c r="F501" s="412"/>
      <c r="G501" s="412"/>
      <c r="H501" s="412"/>
      <c r="I501" s="412"/>
      <c r="J501" s="412"/>
      <c r="K501" s="413"/>
      <c r="L501" s="413"/>
      <c r="M501" s="413"/>
      <c r="N501" s="414"/>
      <c r="O501" s="412"/>
      <c r="P501" s="412"/>
      <c r="Q501" s="412"/>
      <c r="R501" s="412"/>
      <c r="S501" s="412"/>
      <c r="T501" s="412"/>
      <c r="U501" s="292"/>
      <c r="V501" s="292"/>
      <c r="W501" s="292"/>
      <c r="X501" s="415"/>
      <c r="Y501" s="416"/>
      <c r="Z501" s="417"/>
      <c r="AA501" s="304"/>
      <c r="AB501" s="304"/>
      <c r="AC501" s="304"/>
      <c r="AD501" s="304"/>
      <c r="AE501" s="304"/>
      <c r="AF501" s="304"/>
      <c r="AG501" s="304"/>
      <c r="AH501" s="304"/>
    </row>
    <row r="502">
      <c r="A502" s="292"/>
      <c r="B502" s="292"/>
      <c r="C502" s="292"/>
      <c r="D502" s="412"/>
      <c r="E502" s="412"/>
      <c r="F502" s="412"/>
      <c r="G502" s="412"/>
      <c r="H502" s="412"/>
      <c r="I502" s="412"/>
      <c r="J502" s="412"/>
      <c r="K502" s="413"/>
      <c r="L502" s="413"/>
      <c r="M502" s="413"/>
      <c r="N502" s="414"/>
      <c r="O502" s="412"/>
      <c r="P502" s="412"/>
      <c r="Q502" s="412"/>
      <c r="R502" s="412"/>
      <c r="S502" s="412"/>
      <c r="T502" s="412"/>
      <c r="U502" s="292"/>
      <c r="V502" s="292"/>
      <c r="W502" s="292"/>
      <c r="X502" s="415"/>
      <c r="Y502" s="416"/>
      <c r="Z502" s="417"/>
      <c r="AA502" s="304"/>
      <c r="AB502" s="304"/>
      <c r="AC502" s="304"/>
      <c r="AD502" s="304"/>
      <c r="AE502" s="304"/>
      <c r="AF502" s="304"/>
      <c r="AG502" s="304"/>
      <c r="AH502" s="304"/>
    </row>
    <row r="503">
      <c r="A503" s="292"/>
      <c r="B503" s="292"/>
      <c r="C503" s="292"/>
      <c r="D503" s="412"/>
      <c r="E503" s="412"/>
      <c r="F503" s="412"/>
      <c r="G503" s="412"/>
      <c r="H503" s="412"/>
      <c r="I503" s="412"/>
      <c r="J503" s="412"/>
      <c r="K503" s="413"/>
      <c r="L503" s="413"/>
      <c r="M503" s="413"/>
      <c r="N503" s="414"/>
      <c r="O503" s="412"/>
      <c r="P503" s="412"/>
      <c r="Q503" s="412"/>
      <c r="R503" s="412"/>
      <c r="S503" s="412"/>
      <c r="T503" s="412"/>
      <c r="U503" s="292"/>
      <c r="V503" s="292"/>
      <c r="W503" s="292"/>
      <c r="X503" s="415"/>
      <c r="Y503" s="416"/>
      <c r="Z503" s="417"/>
      <c r="AA503" s="304"/>
      <c r="AB503" s="304"/>
      <c r="AC503" s="304"/>
      <c r="AD503" s="304"/>
      <c r="AE503" s="304"/>
      <c r="AF503" s="304"/>
      <c r="AG503" s="304"/>
      <c r="AH503" s="304"/>
    </row>
    <row r="504">
      <c r="A504" s="292"/>
      <c r="B504" s="292"/>
      <c r="C504" s="292"/>
      <c r="D504" s="412"/>
      <c r="E504" s="412"/>
      <c r="F504" s="412"/>
      <c r="G504" s="412"/>
      <c r="H504" s="412"/>
      <c r="I504" s="412"/>
      <c r="J504" s="412"/>
      <c r="K504" s="413"/>
      <c r="L504" s="413"/>
      <c r="M504" s="413"/>
      <c r="N504" s="414"/>
      <c r="O504" s="412"/>
      <c r="P504" s="412"/>
      <c r="Q504" s="412"/>
      <c r="R504" s="412"/>
      <c r="S504" s="412"/>
      <c r="T504" s="412"/>
      <c r="U504" s="292"/>
      <c r="V504" s="292"/>
      <c r="W504" s="292"/>
      <c r="X504" s="415"/>
      <c r="Y504" s="416"/>
      <c r="Z504" s="417"/>
      <c r="AA504" s="304"/>
      <c r="AB504" s="304"/>
      <c r="AC504" s="304"/>
      <c r="AD504" s="304"/>
      <c r="AE504" s="304"/>
      <c r="AF504" s="304"/>
      <c r="AG504" s="304"/>
      <c r="AH504" s="304"/>
    </row>
    <row r="505">
      <c r="A505" s="292"/>
      <c r="B505" s="292"/>
      <c r="C505" s="292"/>
      <c r="D505" s="412"/>
      <c r="E505" s="412"/>
      <c r="F505" s="412"/>
      <c r="G505" s="412"/>
      <c r="H505" s="412"/>
      <c r="I505" s="412"/>
      <c r="J505" s="412"/>
      <c r="K505" s="413"/>
      <c r="L505" s="413"/>
      <c r="M505" s="413"/>
      <c r="N505" s="414"/>
      <c r="O505" s="412"/>
      <c r="P505" s="412"/>
      <c r="Q505" s="412"/>
      <c r="R505" s="412"/>
      <c r="S505" s="412"/>
      <c r="T505" s="412"/>
      <c r="U505" s="292"/>
      <c r="V505" s="292"/>
      <c r="W505" s="292"/>
      <c r="X505" s="415"/>
      <c r="Y505" s="416"/>
      <c r="Z505" s="417"/>
      <c r="AA505" s="304"/>
      <c r="AB505" s="304"/>
      <c r="AC505" s="304"/>
      <c r="AD505" s="304"/>
      <c r="AE505" s="304"/>
      <c r="AF505" s="304"/>
      <c r="AG505" s="304"/>
      <c r="AH505" s="304"/>
    </row>
    <row r="506">
      <c r="A506" s="292"/>
      <c r="B506" s="292"/>
      <c r="C506" s="292"/>
      <c r="D506" s="412"/>
      <c r="E506" s="412"/>
      <c r="F506" s="412"/>
      <c r="G506" s="412"/>
      <c r="H506" s="412"/>
      <c r="I506" s="412"/>
      <c r="J506" s="412"/>
      <c r="K506" s="413"/>
      <c r="L506" s="413"/>
      <c r="M506" s="413"/>
      <c r="N506" s="414"/>
      <c r="O506" s="412"/>
      <c r="P506" s="412"/>
      <c r="Q506" s="412"/>
      <c r="R506" s="412"/>
      <c r="S506" s="412"/>
      <c r="T506" s="412"/>
      <c r="U506" s="292"/>
      <c r="V506" s="292"/>
      <c r="W506" s="292"/>
      <c r="X506" s="415"/>
      <c r="Y506" s="416"/>
      <c r="Z506" s="417"/>
      <c r="AA506" s="304"/>
      <c r="AB506" s="304"/>
      <c r="AC506" s="304"/>
      <c r="AD506" s="304"/>
      <c r="AE506" s="304"/>
      <c r="AF506" s="304"/>
      <c r="AG506" s="304"/>
      <c r="AH506" s="304"/>
    </row>
    <row r="507">
      <c r="A507" s="292"/>
      <c r="B507" s="292"/>
      <c r="C507" s="292"/>
      <c r="D507" s="412"/>
      <c r="E507" s="412"/>
      <c r="F507" s="412"/>
      <c r="G507" s="412"/>
      <c r="H507" s="412"/>
      <c r="I507" s="412"/>
      <c r="J507" s="412"/>
      <c r="K507" s="413"/>
      <c r="L507" s="413"/>
      <c r="M507" s="413"/>
      <c r="N507" s="414"/>
      <c r="O507" s="412"/>
      <c r="P507" s="412"/>
      <c r="Q507" s="412"/>
      <c r="R507" s="412"/>
      <c r="S507" s="412"/>
      <c r="T507" s="412"/>
      <c r="U507" s="292"/>
      <c r="V507" s="292"/>
      <c r="W507" s="292"/>
      <c r="X507" s="415"/>
      <c r="Y507" s="416"/>
      <c r="Z507" s="417"/>
      <c r="AA507" s="304"/>
      <c r="AB507" s="304"/>
      <c r="AC507" s="304"/>
      <c r="AD507" s="304"/>
      <c r="AE507" s="304"/>
      <c r="AF507" s="304"/>
      <c r="AG507" s="304"/>
      <c r="AH507" s="304"/>
    </row>
    <row r="508">
      <c r="A508" s="292"/>
      <c r="B508" s="292"/>
      <c r="C508" s="292"/>
      <c r="D508" s="412"/>
      <c r="E508" s="412"/>
      <c r="F508" s="412"/>
      <c r="G508" s="412"/>
      <c r="H508" s="412"/>
      <c r="I508" s="412"/>
      <c r="J508" s="412"/>
      <c r="K508" s="413"/>
      <c r="L508" s="413"/>
      <c r="M508" s="413"/>
      <c r="N508" s="414"/>
      <c r="O508" s="412"/>
      <c r="P508" s="412"/>
      <c r="Q508" s="412"/>
      <c r="R508" s="412"/>
      <c r="S508" s="412"/>
      <c r="T508" s="412"/>
      <c r="U508" s="292"/>
      <c r="V508" s="292"/>
      <c r="W508" s="292"/>
      <c r="X508" s="415"/>
      <c r="Y508" s="416"/>
      <c r="Z508" s="417"/>
      <c r="AA508" s="304"/>
      <c r="AB508" s="304"/>
      <c r="AC508" s="304"/>
      <c r="AD508" s="304"/>
      <c r="AE508" s="304"/>
      <c r="AF508" s="304"/>
      <c r="AG508" s="304"/>
      <c r="AH508" s="304"/>
    </row>
    <row r="509">
      <c r="A509" s="292"/>
      <c r="B509" s="292"/>
      <c r="C509" s="292"/>
      <c r="D509" s="412"/>
      <c r="E509" s="412"/>
      <c r="F509" s="412"/>
      <c r="G509" s="412"/>
      <c r="H509" s="412"/>
      <c r="I509" s="412"/>
      <c r="J509" s="412"/>
      <c r="K509" s="413"/>
      <c r="L509" s="413"/>
      <c r="M509" s="413"/>
      <c r="N509" s="414"/>
      <c r="O509" s="412"/>
      <c r="P509" s="412"/>
      <c r="Q509" s="412"/>
      <c r="R509" s="412"/>
      <c r="S509" s="412"/>
      <c r="T509" s="412"/>
      <c r="U509" s="292"/>
      <c r="V509" s="292"/>
      <c r="W509" s="292"/>
      <c r="X509" s="415"/>
      <c r="Y509" s="416"/>
      <c r="Z509" s="417"/>
      <c r="AA509" s="304"/>
      <c r="AB509" s="304"/>
      <c r="AC509" s="304"/>
      <c r="AD509" s="304"/>
      <c r="AE509" s="304"/>
      <c r="AF509" s="304"/>
      <c r="AG509" s="304"/>
      <c r="AH509" s="304"/>
    </row>
    <row r="510">
      <c r="A510" s="292"/>
      <c r="B510" s="292"/>
      <c r="C510" s="292"/>
      <c r="D510" s="412"/>
      <c r="E510" s="412"/>
      <c r="F510" s="412"/>
      <c r="G510" s="412"/>
      <c r="H510" s="412"/>
      <c r="I510" s="412"/>
      <c r="J510" s="412"/>
      <c r="K510" s="413"/>
      <c r="L510" s="413"/>
      <c r="M510" s="413"/>
      <c r="N510" s="414"/>
      <c r="O510" s="412"/>
      <c r="P510" s="412"/>
      <c r="Q510" s="412"/>
      <c r="R510" s="412"/>
      <c r="S510" s="412"/>
      <c r="T510" s="412"/>
      <c r="U510" s="292"/>
      <c r="V510" s="292"/>
      <c r="W510" s="292"/>
      <c r="X510" s="415"/>
      <c r="Y510" s="416"/>
      <c r="Z510" s="417"/>
      <c r="AA510" s="304"/>
      <c r="AB510" s="304"/>
      <c r="AC510" s="304"/>
      <c r="AD510" s="304"/>
      <c r="AE510" s="304"/>
      <c r="AF510" s="304"/>
      <c r="AG510" s="304"/>
      <c r="AH510" s="304"/>
    </row>
    <row r="511">
      <c r="A511" s="292"/>
      <c r="B511" s="292"/>
      <c r="C511" s="292"/>
      <c r="D511" s="412"/>
      <c r="E511" s="412"/>
      <c r="F511" s="412"/>
      <c r="G511" s="412"/>
      <c r="H511" s="412"/>
      <c r="I511" s="412"/>
      <c r="J511" s="412"/>
      <c r="K511" s="413"/>
      <c r="L511" s="413"/>
      <c r="M511" s="413"/>
      <c r="N511" s="414"/>
      <c r="O511" s="412"/>
      <c r="P511" s="412"/>
      <c r="Q511" s="412"/>
      <c r="R511" s="412"/>
      <c r="S511" s="412"/>
      <c r="T511" s="412"/>
      <c r="U511" s="292"/>
      <c r="V511" s="292"/>
      <c r="W511" s="292"/>
      <c r="X511" s="415"/>
      <c r="Y511" s="416"/>
      <c r="Z511" s="417"/>
      <c r="AA511" s="304"/>
      <c r="AB511" s="304"/>
      <c r="AC511" s="304"/>
      <c r="AD511" s="304"/>
      <c r="AE511" s="304"/>
      <c r="AF511" s="304"/>
      <c r="AG511" s="304"/>
      <c r="AH511" s="304"/>
    </row>
    <row r="512">
      <c r="A512" s="292"/>
      <c r="B512" s="292"/>
      <c r="C512" s="292"/>
      <c r="D512" s="412"/>
      <c r="E512" s="412"/>
      <c r="F512" s="412"/>
      <c r="G512" s="412"/>
      <c r="H512" s="412"/>
      <c r="I512" s="412"/>
      <c r="J512" s="412"/>
      <c r="K512" s="413"/>
      <c r="L512" s="413"/>
      <c r="M512" s="413"/>
      <c r="N512" s="414"/>
      <c r="O512" s="412"/>
      <c r="P512" s="412"/>
      <c r="Q512" s="412"/>
      <c r="R512" s="412"/>
      <c r="S512" s="412"/>
      <c r="T512" s="412"/>
      <c r="U512" s="292"/>
      <c r="V512" s="292"/>
      <c r="W512" s="292"/>
      <c r="X512" s="415"/>
      <c r="Y512" s="416"/>
      <c r="Z512" s="417"/>
      <c r="AA512" s="304"/>
      <c r="AB512" s="304"/>
      <c r="AC512" s="304"/>
      <c r="AD512" s="304"/>
      <c r="AE512" s="304"/>
      <c r="AF512" s="304"/>
      <c r="AG512" s="304"/>
      <c r="AH512" s="304"/>
    </row>
    <row r="513">
      <c r="A513" s="292"/>
      <c r="B513" s="292"/>
      <c r="C513" s="292"/>
      <c r="D513" s="412"/>
      <c r="E513" s="412"/>
      <c r="F513" s="412"/>
      <c r="G513" s="412"/>
      <c r="H513" s="412"/>
      <c r="I513" s="412"/>
      <c r="J513" s="412"/>
      <c r="K513" s="413"/>
      <c r="L513" s="413"/>
      <c r="M513" s="413"/>
      <c r="N513" s="414"/>
      <c r="O513" s="412"/>
      <c r="P513" s="412"/>
      <c r="Q513" s="412"/>
      <c r="R513" s="412"/>
      <c r="S513" s="412"/>
      <c r="T513" s="412"/>
      <c r="U513" s="292"/>
      <c r="V513" s="292"/>
      <c r="W513" s="292"/>
      <c r="X513" s="415"/>
      <c r="Y513" s="416"/>
      <c r="Z513" s="417"/>
      <c r="AA513" s="304"/>
      <c r="AB513" s="304"/>
      <c r="AC513" s="304"/>
      <c r="AD513" s="304"/>
      <c r="AE513" s="304"/>
      <c r="AF513" s="304"/>
      <c r="AG513" s="304"/>
      <c r="AH513" s="304"/>
    </row>
    <row r="514">
      <c r="A514" s="292"/>
      <c r="B514" s="292"/>
      <c r="C514" s="292"/>
      <c r="D514" s="412"/>
      <c r="E514" s="412"/>
      <c r="F514" s="412"/>
      <c r="G514" s="412"/>
      <c r="H514" s="412"/>
      <c r="I514" s="412"/>
      <c r="J514" s="412"/>
      <c r="K514" s="413"/>
      <c r="L514" s="413"/>
      <c r="M514" s="413"/>
      <c r="N514" s="414"/>
      <c r="O514" s="412"/>
      <c r="P514" s="412"/>
      <c r="Q514" s="412"/>
      <c r="R514" s="412"/>
      <c r="S514" s="412"/>
      <c r="T514" s="412"/>
      <c r="U514" s="292"/>
      <c r="V514" s="292"/>
      <c r="W514" s="292"/>
      <c r="X514" s="415"/>
      <c r="Y514" s="416"/>
      <c r="Z514" s="417"/>
      <c r="AA514" s="304"/>
      <c r="AB514" s="304"/>
      <c r="AC514" s="304"/>
      <c r="AD514" s="304"/>
      <c r="AE514" s="304"/>
      <c r="AF514" s="304"/>
      <c r="AG514" s="304"/>
      <c r="AH514" s="304"/>
    </row>
    <row r="515">
      <c r="A515" s="292"/>
      <c r="B515" s="292"/>
      <c r="C515" s="292"/>
      <c r="D515" s="412"/>
      <c r="E515" s="412"/>
      <c r="F515" s="412"/>
      <c r="G515" s="412"/>
      <c r="H515" s="412"/>
      <c r="I515" s="412"/>
      <c r="J515" s="412"/>
      <c r="K515" s="413"/>
      <c r="L515" s="413"/>
      <c r="M515" s="413"/>
      <c r="N515" s="414"/>
      <c r="O515" s="412"/>
      <c r="P515" s="412"/>
      <c r="Q515" s="412"/>
      <c r="R515" s="412"/>
      <c r="S515" s="412"/>
      <c r="T515" s="412"/>
      <c r="U515" s="292"/>
      <c r="V515" s="292"/>
      <c r="W515" s="292"/>
      <c r="X515" s="415"/>
      <c r="Y515" s="416"/>
      <c r="Z515" s="417"/>
      <c r="AA515" s="304"/>
      <c r="AB515" s="304"/>
      <c r="AC515" s="304"/>
      <c r="AD515" s="304"/>
      <c r="AE515" s="304"/>
      <c r="AF515" s="304"/>
      <c r="AG515" s="304"/>
      <c r="AH515" s="304"/>
    </row>
    <row r="516">
      <c r="A516" s="292"/>
      <c r="B516" s="292"/>
      <c r="C516" s="292"/>
      <c r="D516" s="412"/>
      <c r="E516" s="412"/>
      <c r="F516" s="412"/>
      <c r="G516" s="412"/>
      <c r="H516" s="412"/>
      <c r="I516" s="412"/>
      <c r="J516" s="412"/>
      <c r="K516" s="413"/>
      <c r="L516" s="413"/>
      <c r="M516" s="413"/>
      <c r="N516" s="414"/>
      <c r="O516" s="412"/>
      <c r="P516" s="412"/>
      <c r="Q516" s="412"/>
      <c r="R516" s="412"/>
      <c r="S516" s="412"/>
      <c r="T516" s="412"/>
      <c r="U516" s="292"/>
      <c r="V516" s="292"/>
      <c r="W516" s="292"/>
      <c r="X516" s="415"/>
      <c r="Y516" s="416"/>
      <c r="Z516" s="417"/>
      <c r="AA516" s="304"/>
      <c r="AB516" s="304"/>
      <c r="AC516" s="304"/>
      <c r="AD516" s="304"/>
      <c r="AE516" s="304"/>
      <c r="AF516" s="304"/>
      <c r="AG516" s="304"/>
      <c r="AH516" s="304"/>
    </row>
    <row r="517">
      <c r="A517" s="292"/>
      <c r="B517" s="292"/>
      <c r="C517" s="292"/>
      <c r="D517" s="412"/>
      <c r="E517" s="412"/>
      <c r="F517" s="412"/>
      <c r="G517" s="412"/>
      <c r="H517" s="412"/>
      <c r="I517" s="412"/>
      <c r="J517" s="412"/>
      <c r="K517" s="413"/>
      <c r="L517" s="413"/>
      <c r="M517" s="413"/>
      <c r="N517" s="414"/>
      <c r="O517" s="412"/>
      <c r="P517" s="412"/>
      <c r="Q517" s="412"/>
      <c r="R517" s="412"/>
      <c r="S517" s="412"/>
      <c r="T517" s="412"/>
      <c r="U517" s="292"/>
      <c r="V517" s="292"/>
      <c r="W517" s="292"/>
      <c r="X517" s="415"/>
      <c r="Y517" s="416"/>
      <c r="Z517" s="417"/>
      <c r="AA517" s="304"/>
      <c r="AB517" s="304"/>
      <c r="AC517" s="304"/>
      <c r="AD517" s="304"/>
      <c r="AE517" s="304"/>
      <c r="AF517" s="304"/>
      <c r="AG517" s="304"/>
      <c r="AH517" s="304"/>
    </row>
    <row r="518">
      <c r="A518" s="292"/>
      <c r="B518" s="292"/>
      <c r="C518" s="292"/>
      <c r="D518" s="412"/>
      <c r="E518" s="412"/>
      <c r="F518" s="412"/>
      <c r="G518" s="412"/>
      <c r="H518" s="412"/>
      <c r="I518" s="412"/>
      <c r="J518" s="412"/>
      <c r="K518" s="413"/>
      <c r="L518" s="413"/>
      <c r="M518" s="413"/>
      <c r="N518" s="414"/>
      <c r="O518" s="412"/>
      <c r="P518" s="412"/>
      <c r="Q518" s="412"/>
      <c r="R518" s="412"/>
      <c r="S518" s="412"/>
      <c r="T518" s="412"/>
      <c r="U518" s="292"/>
      <c r="V518" s="292"/>
      <c r="W518" s="292"/>
      <c r="X518" s="415"/>
      <c r="Y518" s="416"/>
      <c r="Z518" s="417"/>
      <c r="AA518" s="304"/>
      <c r="AB518" s="304"/>
      <c r="AC518" s="304"/>
      <c r="AD518" s="304"/>
      <c r="AE518" s="304"/>
      <c r="AF518" s="304"/>
      <c r="AG518" s="304"/>
      <c r="AH518" s="304"/>
    </row>
    <row r="519">
      <c r="A519" s="292"/>
      <c r="B519" s="292"/>
      <c r="C519" s="292"/>
      <c r="D519" s="412"/>
      <c r="E519" s="412"/>
      <c r="F519" s="412"/>
      <c r="G519" s="412"/>
      <c r="H519" s="412"/>
      <c r="I519" s="412"/>
      <c r="J519" s="412"/>
      <c r="K519" s="413"/>
      <c r="L519" s="413"/>
      <c r="M519" s="413"/>
      <c r="N519" s="414"/>
      <c r="O519" s="412"/>
      <c r="P519" s="412"/>
      <c r="Q519" s="412"/>
      <c r="R519" s="412"/>
      <c r="S519" s="412"/>
      <c r="T519" s="412"/>
      <c r="U519" s="292"/>
      <c r="V519" s="292"/>
      <c r="W519" s="292"/>
      <c r="X519" s="415"/>
      <c r="Y519" s="416"/>
      <c r="Z519" s="417"/>
      <c r="AA519" s="304"/>
      <c r="AB519" s="304"/>
      <c r="AC519" s="304"/>
      <c r="AD519" s="304"/>
      <c r="AE519" s="304"/>
      <c r="AF519" s="304"/>
      <c r="AG519" s="304"/>
      <c r="AH519" s="304"/>
    </row>
    <row r="520">
      <c r="A520" s="292"/>
      <c r="B520" s="292"/>
      <c r="C520" s="292"/>
      <c r="D520" s="412"/>
      <c r="E520" s="412"/>
      <c r="F520" s="412"/>
      <c r="G520" s="412"/>
      <c r="H520" s="412"/>
      <c r="I520" s="412"/>
      <c r="J520" s="412"/>
      <c r="K520" s="413"/>
      <c r="L520" s="413"/>
      <c r="M520" s="413"/>
      <c r="N520" s="414"/>
      <c r="O520" s="412"/>
      <c r="P520" s="412"/>
      <c r="Q520" s="412"/>
      <c r="R520" s="412"/>
      <c r="S520" s="412"/>
      <c r="T520" s="412"/>
      <c r="U520" s="292"/>
      <c r="V520" s="292"/>
      <c r="W520" s="292"/>
      <c r="X520" s="415"/>
      <c r="Y520" s="416"/>
      <c r="Z520" s="417"/>
      <c r="AA520" s="304"/>
      <c r="AB520" s="304"/>
      <c r="AC520" s="304"/>
      <c r="AD520" s="304"/>
      <c r="AE520" s="304"/>
      <c r="AF520" s="304"/>
      <c r="AG520" s="304"/>
      <c r="AH520" s="304"/>
    </row>
    <row r="521">
      <c r="A521" s="292"/>
      <c r="B521" s="292"/>
      <c r="C521" s="292"/>
      <c r="D521" s="412"/>
      <c r="E521" s="412"/>
      <c r="F521" s="412"/>
      <c r="G521" s="412"/>
      <c r="H521" s="412"/>
      <c r="I521" s="412"/>
      <c r="J521" s="412"/>
      <c r="K521" s="413"/>
      <c r="L521" s="413"/>
      <c r="M521" s="413"/>
      <c r="N521" s="414"/>
      <c r="O521" s="412"/>
      <c r="P521" s="412"/>
      <c r="Q521" s="412"/>
      <c r="R521" s="412"/>
      <c r="S521" s="412"/>
      <c r="T521" s="412"/>
      <c r="U521" s="292"/>
      <c r="V521" s="292"/>
      <c r="W521" s="292"/>
      <c r="X521" s="415"/>
      <c r="Y521" s="416"/>
      <c r="Z521" s="417"/>
      <c r="AA521" s="304"/>
      <c r="AB521" s="304"/>
      <c r="AC521" s="304"/>
      <c r="AD521" s="304"/>
      <c r="AE521" s="304"/>
      <c r="AF521" s="304"/>
      <c r="AG521" s="304"/>
      <c r="AH521" s="304"/>
    </row>
    <row r="522">
      <c r="A522" s="292"/>
      <c r="B522" s="292"/>
      <c r="C522" s="292"/>
      <c r="D522" s="412"/>
      <c r="E522" s="412"/>
      <c r="F522" s="412"/>
      <c r="G522" s="412"/>
      <c r="H522" s="412"/>
      <c r="I522" s="412"/>
      <c r="J522" s="412"/>
      <c r="K522" s="413"/>
      <c r="L522" s="413"/>
      <c r="M522" s="413"/>
      <c r="N522" s="414"/>
      <c r="O522" s="412"/>
      <c r="P522" s="412"/>
      <c r="Q522" s="412"/>
      <c r="R522" s="412"/>
      <c r="S522" s="412"/>
      <c r="T522" s="412"/>
      <c r="U522" s="292"/>
      <c r="V522" s="292"/>
      <c r="W522" s="292"/>
      <c r="X522" s="415"/>
      <c r="Y522" s="416"/>
      <c r="Z522" s="417"/>
      <c r="AA522" s="304"/>
      <c r="AB522" s="304"/>
      <c r="AC522" s="304"/>
      <c r="AD522" s="304"/>
      <c r="AE522" s="304"/>
      <c r="AF522" s="304"/>
      <c r="AG522" s="304"/>
      <c r="AH522" s="304"/>
    </row>
    <row r="523">
      <c r="A523" s="292"/>
      <c r="B523" s="292"/>
      <c r="C523" s="292"/>
      <c r="D523" s="412"/>
      <c r="E523" s="412"/>
      <c r="F523" s="412"/>
      <c r="G523" s="412"/>
      <c r="H523" s="412"/>
      <c r="I523" s="412"/>
      <c r="J523" s="412"/>
      <c r="K523" s="413"/>
      <c r="L523" s="413"/>
      <c r="M523" s="413"/>
      <c r="N523" s="414"/>
      <c r="O523" s="412"/>
      <c r="P523" s="412"/>
      <c r="Q523" s="412"/>
      <c r="R523" s="412"/>
      <c r="S523" s="412"/>
      <c r="T523" s="412"/>
      <c r="U523" s="292"/>
      <c r="V523" s="292"/>
      <c r="W523" s="292"/>
      <c r="X523" s="415"/>
      <c r="Y523" s="416"/>
      <c r="Z523" s="417"/>
      <c r="AA523" s="304"/>
      <c r="AB523" s="304"/>
      <c r="AC523" s="304"/>
      <c r="AD523" s="304"/>
      <c r="AE523" s="304"/>
      <c r="AF523" s="304"/>
      <c r="AG523" s="304"/>
      <c r="AH523" s="304"/>
    </row>
    <row r="524">
      <c r="A524" s="292"/>
      <c r="B524" s="292"/>
      <c r="C524" s="292"/>
      <c r="D524" s="412"/>
      <c r="E524" s="412"/>
      <c r="F524" s="412"/>
      <c r="G524" s="412"/>
      <c r="H524" s="412"/>
      <c r="I524" s="412"/>
      <c r="J524" s="412"/>
      <c r="K524" s="413"/>
      <c r="L524" s="413"/>
      <c r="M524" s="413"/>
      <c r="N524" s="414"/>
      <c r="O524" s="412"/>
      <c r="P524" s="412"/>
      <c r="Q524" s="412"/>
      <c r="R524" s="412"/>
      <c r="S524" s="412"/>
      <c r="T524" s="412"/>
      <c r="U524" s="292"/>
      <c r="V524" s="292"/>
      <c r="W524" s="292"/>
      <c r="X524" s="415"/>
      <c r="Y524" s="416"/>
      <c r="Z524" s="417"/>
      <c r="AA524" s="304"/>
      <c r="AB524" s="304"/>
      <c r="AC524" s="304"/>
      <c r="AD524" s="304"/>
      <c r="AE524" s="304"/>
      <c r="AF524" s="304"/>
      <c r="AG524" s="304"/>
      <c r="AH524" s="304"/>
    </row>
    <row r="525">
      <c r="A525" s="292"/>
      <c r="B525" s="292"/>
      <c r="C525" s="292"/>
      <c r="D525" s="412"/>
      <c r="E525" s="412"/>
      <c r="F525" s="412"/>
      <c r="G525" s="412"/>
      <c r="H525" s="412"/>
      <c r="I525" s="412"/>
      <c r="J525" s="412"/>
      <c r="K525" s="413"/>
      <c r="L525" s="413"/>
      <c r="M525" s="413"/>
      <c r="N525" s="414"/>
      <c r="O525" s="412"/>
      <c r="P525" s="412"/>
      <c r="Q525" s="412"/>
      <c r="R525" s="412"/>
      <c r="S525" s="412"/>
      <c r="T525" s="412"/>
      <c r="U525" s="292"/>
      <c r="V525" s="292"/>
      <c r="W525" s="292"/>
      <c r="X525" s="415"/>
      <c r="Y525" s="416"/>
      <c r="Z525" s="417"/>
      <c r="AA525" s="304"/>
      <c r="AB525" s="304"/>
      <c r="AC525" s="304"/>
      <c r="AD525" s="304"/>
      <c r="AE525" s="304"/>
      <c r="AF525" s="304"/>
      <c r="AG525" s="304"/>
      <c r="AH525" s="304"/>
    </row>
    <row r="526">
      <c r="A526" s="292"/>
      <c r="B526" s="292"/>
      <c r="C526" s="292"/>
      <c r="D526" s="412"/>
      <c r="E526" s="412"/>
      <c r="F526" s="412"/>
      <c r="G526" s="412"/>
      <c r="H526" s="412"/>
      <c r="I526" s="412"/>
      <c r="J526" s="412"/>
      <c r="K526" s="413"/>
      <c r="L526" s="413"/>
      <c r="M526" s="413"/>
      <c r="N526" s="414"/>
      <c r="O526" s="412"/>
      <c r="P526" s="412"/>
      <c r="Q526" s="412"/>
      <c r="R526" s="412"/>
      <c r="S526" s="412"/>
      <c r="T526" s="412"/>
      <c r="U526" s="292"/>
      <c r="V526" s="292"/>
      <c r="W526" s="292"/>
      <c r="X526" s="415"/>
      <c r="Y526" s="416"/>
      <c r="Z526" s="417"/>
      <c r="AA526" s="304"/>
      <c r="AB526" s="304"/>
      <c r="AC526" s="304"/>
      <c r="AD526" s="304"/>
      <c r="AE526" s="304"/>
      <c r="AF526" s="304"/>
      <c r="AG526" s="304"/>
      <c r="AH526" s="304"/>
    </row>
    <row r="527">
      <c r="A527" s="292"/>
      <c r="B527" s="292"/>
      <c r="C527" s="292"/>
      <c r="D527" s="412"/>
      <c r="E527" s="412"/>
      <c r="F527" s="412"/>
      <c r="G527" s="412"/>
      <c r="H527" s="412"/>
      <c r="I527" s="412"/>
      <c r="J527" s="412"/>
      <c r="K527" s="413"/>
      <c r="L527" s="413"/>
      <c r="M527" s="413"/>
      <c r="N527" s="414"/>
      <c r="O527" s="412"/>
      <c r="P527" s="412"/>
      <c r="Q527" s="412"/>
      <c r="R527" s="412"/>
      <c r="S527" s="412"/>
      <c r="T527" s="412"/>
      <c r="U527" s="292"/>
      <c r="V527" s="292"/>
      <c r="W527" s="292"/>
      <c r="X527" s="415"/>
      <c r="Y527" s="416"/>
      <c r="Z527" s="417"/>
      <c r="AA527" s="304"/>
      <c r="AB527" s="304"/>
      <c r="AC527" s="304"/>
      <c r="AD527" s="304"/>
      <c r="AE527" s="304"/>
      <c r="AF527" s="304"/>
      <c r="AG527" s="304"/>
      <c r="AH527" s="304"/>
    </row>
    <row r="528">
      <c r="A528" s="292"/>
      <c r="B528" s="292"/>
      <c r="C528" s="292"/>
      <c r="D528" s="412"/>
      <c r="E528" s="412"/>
      <c r="F528" s="412"/>
      <c r="G528" s="412"/>
      <c r="H528" s="412"/>
      <c r="I528" s="412"/>
      <c r="J528" s="412"/>
      <c r="K528" s="413"/>
      <c r="L528" s="413"/>
      <c r="M528" s="413"/>
      <c r="N528" s="414"/>
      <c r="O528" s="412"/>
      <c r="P528" s="412"/>
      <c r="Q528" s="412"/>
      <c r="R528" s="412"/>
      <c r="S528" s="412"/>
      <c r="T528" s="412"/>
      <c r="U528" s="292"/>
      <c r="V528" s="292"/>
      <c r="W528" s="292"/>
      <c r="X528" s="415"/>
      <c r="Y528" s="416"/>
      <c r="Z528" s="417"/>
      <c r="AA528" s="304"/>
      <c r="AB528" s="304"/>
      <c r="AC528" s="304"/>
      <c r="AD528" s="304"/>
      <c r="AE528" s="304"/>
      <c r="AF528" s="304"/>
      <c r="AG528" s="304"/>
      <c r="AH528" s="304"/>
    </row>
    <row r="529">
      <c r="A529" s="292"/>
      <c r="B529" s="292"/>
      <c r="C529" s="292"/>
      <c r="D529" s="412"/>
      <c r="E529" s="412"/>
      <c r="F529" s="412"/>
      <c r="G529" s="412"/>
      <c r="H529" s="412"/>
      <c r="I529" s="412"/>
      <c r="J529" s="412"/>
      <c r="K529" s="413"/>
      <c r="L529" s="413"/>
      <c r="M529" s="413"/>
      <c r="N529" s="414"/>
      <c r="O529" s="412"/>
      <c r="P529" s="412"/>
      <c r="Q529" s="412"/>
      <c r="R529" s="412"/>
      <c r="S529" s="412"/>
      <c r="T529" s="412"/>
      <c r="U529" s="292"/>
      <c r="V529" s="292"/>
      <c r="W529" s="292"/>
      <c r="X529" s="415"/>
      <c r="Y529" s="416"/>
      <c r="Z529" s="417"/>
      <c r="AA529" s="304"/>
      <c r="AB529" s="304"/>
      <c r="AC529" s="304"/>
      <c r="AD529" s="304"/>
      <c r="AE529" s="304"/>
      <c r="AF529" s="304"/>
      <c r="AG529" s="304"/>
      <c r="AH529" s="304"/>
    </row>
    <row r="530">
      <c r="A530" s="292"/>
      <c r="B530" s="292"/>
      <c r="C530" s="292"/>
      <c r="D530" s="412"/>
      <c r="E530" s="412"/>
      <c r="F530" s="412"/>
      <c r="G530" s="412"/>
      <c r="H530" s="412"/>
      <c r="I530" s="412"/>
      <c r="J530" s="412"/>
      <c r="K530" s="413"/>
      <c r="L530" s="413"/>
      <c r="M530" s="413"/>
      <c r="N530" s="414"/>
      <c r="O530" s="412"/>
      <c r="P530" s="412"/>
      <c r="Q530" s="412"/>
      <c r="R530" s="412"/>
      <c r="S530" s="412"/>
      <c r="T530" s="412"/>
      <c r="U530" s="292"/>
      <c r="V530" s="292"/>
      <c r="W530" s="292"/>
      <c r="X530" s="415"/>
      <c r="Y530" s="416"/>
      <c r="Z530" s="417"/>
      <c r="AA530" s="304"/>
      <c r="AB530" s="304"/>
      <c r="AC530" s="304"/>
      <c r="AD530" s="304"/>
      <c r="AE530" s="304"/>
      <c r="AF530" s="304"/>
      <c r="AG530" s="304"/>
      <c r="AH530" s="304"/>
    </row>
    <row r="531">
      <c r="A531" s="292"/>
      <c r="B531" s="292"/>
      <c r="C531" s="292"/>
      <c r="D531" s="412"/>
      <c r="E531" s="412"/>
      <c r="F531" s="412"/>
      <c r="G531" s="412"/>
      <c r="H531" s="412"/>
      <c r="I531" s="412"/>
      <c r="J531" s="412"/>
      <c r="K531" s="413"/>
      <c r="L531" s="413"/>
      <c r="M531" s="413"/>
      <c r="N531" s="414"/>
      <c r="O531" s="412"/>
      <c r="P531" s="412"/>
      <c r="Q531" s="412"/>
      <c r="R531" s="412"/>
      <c r="S531" s="412"/>
      <c r="T531" s="412"/>
      <c r="U531" s="292"/>
      <c r="V531" s="292"/>
      <c r="W531" s="292"/>
      <c r="X531" s="415"/>
      <c r="Y531" s="416"/>
      <c r="Z531" s="417"/>
      <c r="AA531" s="304"/>
      <c r="AB531" s="304"/>
      <c r="AC531" s="304"/>
      <c r="AD531" s="304"/>
      <c r="AE531" s="304"/>
      <c r="AF531" s="304"/>
      <c r="AG531" s="304"/>
      <c r="AH531" s="304"/>
    </row>
    <row r="532">
      <c r="A532" s="292"/>
      <c r="B532" s="292"/>
      <c r="C532" s="292"/>
      <c r="D532" s="412"/>
      <c r="E532" s="412"/>
      <c r="F532" s="412"/>
      <c r="G532" s="412"/>
      <c r="H532" s="412"/>
      <c r="I532" s="412"/>
      <c r="J532" s="412"/>
      <c r="K532" s="413"/>
      <c r="L532" s="413"/>
      <c r="M532" s="413"/>
      <c r="N532" s="414"/>
      <c r="O532" s="412"/>
      <c r="P532" s="412"/>
      <c r="Q532" s="412"/>
      <c r="R532" s="412"/>
      <c r="S532" s="412"/>
      <c r="T532" s="412"/>
      <c r="U532" s="292"/>
      <c r="V532" s="292"/>
      <c r="W532" s="292"/>
      <c r="X532" s="415"/>
      <c r="Y532" s="416"/>
      <c r="Z532" s="417"/>
      <c r="AA532" s="304"/>
      <c r="AB532" s="304"/>
      <c r="AC532" s="304"/>
      <c r="AD532" s="304"/>
      <c r="AE532" s="304"/>
      <c r="AF532" s="304"/>
      <c r="AG532" s="304"/>
      <c r="AH532" s="304"/>
    </row>
    <row r="533">
      <c r="A533" s="292"/>
      <c r="B533" s="292"/>
      <c r="C533" s="292"/>
      <c r="D533" s="412"/>
      <c r="E533" s="412"/>
      <c r="F533" s="412"/>
      <c r="G533" s="412"/>
      <c r="H533" s="412"/>
      <c r="I533" s="412"/>
      <c r="J533" s="412"/>
      <c r="K533" s="413"/>
      <c r="L533" s="413"/>
      <c r="M533" s="413"/>
      <c r="N533" s="414"/>
      <c r="O533" s="412"/>
      <c r="P533" s="412"/>
      <c r="Q533" s="412"/>
      <c r="R533" s="412"/>
      <c r="S533" s="412"/>
      <c r="T533" s="412"/>
      <c r="U533" s="292"/>
      <c r="V533" s="292"/>
      <c r="W533" s="292"/>
      <c r="X533" s="415"/>
      <c r="Y533" s="416"/>
      <c r="Z533" s="417"/>
      <c r="AA533" s="304"/>
      <c r="AB533" s="304"/>
      <c r="AC533" s="304"/>
      <c r="AD533" s="304"/>
      <c r="AE533" s="304"/>
      <c r="AF533" s="304"/>
      <c r="AG533" s="304"/>
      <c r="AH533" s="304"/>
    </row>
    <row r="534">
      <c r="A534" s="292"/>
      <c r="B534" s="292"/>
      <c r="C534" s="292"/>
      <c r="D534" s="412"/>
      <c r="E534" s="412"/>
      <c r="F534" s="412"/>
      <c r="G534" s="412"/>
      <c r="H534" s="412"/>
      <c r="I534" s="412"/>
      <c r="J534" s="412"/>
      <c r="K534" s="413"/>
      <c r="L534" s="413"/>
      <c r="M534" s="413"/>
      <c r="N534" s="414"/>
      <c r="O534" s="412"/>
      <c r="P534" s="412"/>
      <c r="Q534" s="412"/>
      <c r="R534" s="412"/>
      <c r="S534" s="412"/>
      <c r="T534" s="412"/>
      <c r="U534" s="292"/>
      <c r="V534" s="292"/>
      <c r="W534" s="292"/>
      <c r="X534" s="415"/>
      <c r="Y534" s="416"/>
      <c r="Z534" s="417"/>
      <c r="AA534" s="304"/>
      <c r="AB534" s="304"/>
      <c r="AC534" s="304"/>
      <c r="AD534" s="304"/>
      <c r="AE534" s="304"/>
      <c r="AF534" s="304"/>
      <c r="AG534" s="304"/>
      <c r="AH534" s="304"/>
    </row>
    <row r="535">
      <c r="A535" s="292"/>
      <c r="B535" s="292"/>
      <c r="C535" s="292"/>
      <c r="D535" s="412"/>
      <c r="E535" s="412"/>
      <c r="F535" s="412"/>
      <c r="G535" s="412"/>
      <c r="H535" s="412"/>
      <c r="I535" s="412"/>
      <c r="J535" s="412"/>
      <c r="K535" s="413"/>
      <c r="L535" s="413"/>
      <c r="M535" s="413"/>
      <c r="N535" s="414"/>
      <c r="O535" s="412"/>
      <c r="P535" s="412"/>
      <c r="Q535" s="412"/>
      <c r="R535" s="412"/>
      <c r="S535" s="412"/>
      <c r="T535" s="412"/>
      <c r="U535" s="292"/>
      <c r="V535" s="292"/>
      <c r="W535" s="292"/>
      <c r="X535" s="415"/>
      <c r="Y535" s="416"/>
      <c r="Z535" s="417"/>
      <c r="AA535" s="304"/>
      <c r="AB535" s="304"/>
      <c r="AC535" s="304"/>
      <c r="AD535" s="304"/>
      <c r="AE535" s="304"/>
      <c r="AF535" s="304"/>
      <c r="AG535" s="304"/>
      <c r="AH535" s="304"/>
    </row>
    <row r="536">
      <c r="A536" s="292"/>
      <c r="B536" s="292"/>
      <c r="C536" s="292"/>
      <c r="D536" s="412"/>
      <c r="E536" s="412"/>
      <c r="F536" s="412"/>
      <c r="G536" s="412"/>
      <c r="H536" s="412"/>
      <c r="I536" s="412"/>
      <c r="J536" s="412"/>
      <c r="K536" s="413"/>
      <c r="L536" s="413"/>
      <c r="M536" s="413"/>
      <c r="N536" s="414"/>
      <c r="O536" s="412"/>
      <c r="P536" s="412"/>
      <c r="Q536" s="412"/>
      <c r="R536" s="412"/>
      <c r="S536" s="412"/>
      <c r="T536" s="412"/>
      <c r="U536" s="292"/>
      <c r="V536" s="292"/>
      <c r="W536" s="292"/>
      <c r="X536" s="415"/>
      <c r="Y536" s="416"/>
      <c r="Z536" s="417"/>
      <c r="AA536" s="304"/>
      <c r="AB536" s="304"/>
      <c r="AC536" s="304"/>
      <c r="AD536" s="304"/>
      <c r="AE536" s="304"/>
      <c r="AF536" s="304"/>
      <c r="AG536" s="304"/>
      <c r="AH536" s="304"/>
    </row>
    <row r="537">
      <c r="A537" s="292"/>
      <c r="B537" s="292"/>
      <c r="C537" s="292"/>
      <c r="D537" s="412"/>
      <c r="E537" s="412"/>
      <c r="F537" s="412"/>
      <c r="G537" s="412"/>
      <c r="H537" s="412"/>
      <c r="I537" s="412"/>
      <c r="J537" s="412"/>
      <c r="K537" s="413"/>
      <c r="L537" s="413"/>
      <c r="M537" s="413"/>
      <c r="N537" s="414"/>
      <c r="O537" s="412"/>
      <c r="P537" s="412"/>
      <c r="Q537" s="412"/>
      <c r="R537" s="412"/>
      <c r="S537" s="412"/>
      <c r="T537" s="412"/>
      <c r="U537" s="292"/>
      <c r="V537" s="292"/>
      <c r="W537" s="292"/>
      <c r="X537" s="415"/>
      <c r="Y537" s="416"/>
      <c r="Z537" s="417"/>
      <c r="AA537" s="304"/>
      <c r="AB537" s="304"/>
      <c r="AC537" s="304"/>
      <c r="AD537" s="304"/>
      <c r="AE537" s="304"/>
      <c r="AF537" s="304"/>
      <c r="AG537" s="304"/>
      <c r="AH537" s="304"/>
    </row>
    <row r="538">
      <c r="A538" s="292"/>
      <c r="B538" s="292"/>
      <c r="C538" s="292"/>
      <c r="D538" s="412"/>
      <c r="E538" s="412"/>
      <c r="F538" s="412"/>
      <c r="G538" s="412"/>
      <c r="H538" s="412"/>
      <c r="I538" s="412"/>
      <c r="J538" s="412"/>
      <c r="K538" s="413"/>
      <c r="L538" s="413"/>
      <c r="M538" s="413"/>
      <c r="N538" s="414"/>
      <c r="O538" s="412"/>
      <c r="P538" s="412"/>
      <c r="Q538" s="412"/>
      <c r="R538" s="412"/>
      <c r="S538" s="412"/>
      <c r="T538" s="412"/>
      <c r="U538" s="292"/>
      <c r="V538" s="292"/>
      <c r="W538" s="292"/>
      <c r="X538" s="415"/>
      <c r="Y538" s="416"/>
      <c r="Z538" s="417"/>
      <c r="AA538" s="304"/>
      <c r="AB538" s="304"/>
      <c r="AC538" s="304"/>
      <c r="AD538" s="304"/>
      <c r="AE538" s="304"/>
      <c r="AF538" s="304"/>
      <c r="AG538" s="304"/>
      <c r="AH538" s="304"/>
    </row>
    <row r="539">
      <c r="A539" s="292"/>
      <c r="B539" s="292"/>
      <c r="C539" s="292"/>
      <c r="D539" s="412"/>
      <c r="E539" s="412"/>
      <c r="F539" s="412"/>
      <c r="G539" s="412"/>
      <c r="H539" s="412"/>
      <c r="I539" s="412"/>
      <c r="J539" s="412"/>
      <c r="K539" s="413"/>
      <c r="L539" s="413"/>
      <c r="M539" s="413"/>
      <c r="N539" s="414"/>
      <c r="O539" s="412"/>
      <c r="P539" s="412"/>
      <c r="Q539" s="412"/>
      <c r="R539" s="412"/>
      <c r="S539" s="412"/>
      <c r="T539" s="412"/>
      <c r="U539" s="292"/>
      <c r="V539" s="292"/>
      <c r="W539" s="292"/>
      <c r="X539" s="415"/>
      <c r="Y539" s="416"/>
      <c r="Z539" s="417"/>
      <c r="AA539" s="304"/>
      <c r="AB539" s="304"/>
      <c r="AC539" s="304"/>
      <c r="AD539" s="304"/>
      <c r="AE539" s="304"/>
      <c r="AF539" s="304"/>
      <c r="AG539" s="304"/>
      <c r="AH539" s="304"/>
    </row>
    <row r="540">
      <c r="A540" s="292"/>
      <c r="B540" s="292"/>
      <c r="C540" s="292"/>
      <c r="D540" s="412"/>
      <c r="E540" s="412"/>
      <c r="F540" s="412"/>
      <c r="G540" s="412"/>
      <c r="H540" s="412"/>
      <c r="I540" s="412"/>
      <c r="J540" s="412"/>
      <c r="K540" s="413"/>
      <c r="L540" s="413"/>
      <c r="M540" s="413"/>
      <c r="N540" s="414"/>
      <c r="O540" s="412"/>
      <c r="P540" s="412"/>
      <c r="Q540" s="412"/>
      <c r="R540" s="412"/>
      <c r="S540" s="412"/>
      <c r="T540" s="412"/>
      <c r="U540" s="292"/>
      <c r="V540" s="292"/>
      <c r="W540" s="292"/>
      <c r="X540" s="415"/>
      <c r="Y540" s="416"/>
      <c r="Z540" s="417"/>
      <c r="AA540" s="304"/>
      <c r="AB540" s="304"/>
      <c r="AC540" s="304"/>
      <c r="AD540" s="304"/>
      <c r="AE540" s="304"/>
      <c r="AF540" s="304"/>
      <c r="AG540" s="304"/>
      <c r="AH540" s="304"/>
    </row>
    <row r="541">
      <c r="A541" s="292"/>
      <c r="B541" s="292"/>
      <c r="C541" s="292"/>
      <c r="D541" s="412"/>
      <c r="E541" s="412"/>
      <c r="F541" s="412"/>
      <c r="G541" s="412"/>
      <c r="H541" s="412"/>
      <c r="I541" s="412"/>
      <c r="J541" s="412"/>
      <c r="K541" s="413"/>
      <c r="L541" s="413"/>
      <c r="M541" s="413"/>
      <c r="N541" s="414"/>
      <c r="O541" s="412"/>
      <c r="P541" s="412"/>
      <c r="Q541" s="412"/>
      <c r="R541" s="412"/>
      <c r="S541" s="412"/>
      <c r="T541" s="412"/>
      <c r="U541" s="292"/>
      <c r="V541" s="292"/>
      <c r="W541" s="292"/>
      <c r="X541" s="415"/>
      <c r="Y541" s="416"/>
      <c r="Z541" s="417"/>
      <c r="AA541" s="304"/>
      <c r="AB541" s="304"/>
      <c r="AC541" s="304"/>
      <c r="AD541" s="304"/>
      <c r="AE541" s="304"/>
      <c r="AF541" s="304"/>
      <c r="AG541" s="304"/>
      <c r="AH541" s="304"/>
    </row>
    <row r="542">
      <c r="A542" s="292"/>
      <c r="B542" s="292"/>
      <c r="C542" s="292"/>
      <c r="D542" s="412"/>
      <c r="E542" s="412"/>
      <c r="F542" s="412"/>
      <c r="G542" s="412"/>
      <c r="H542" s="412"/>
      <c r="I542" s="412"/>
      <c r="J542" s="412"/>
      <c r="K542" s="413"/>
      <c r="L542" s="413"/>
      <c r="M542" s="413"/>
      <c r="N542" s="414"/>
      <c r="O542" s="412"/>
      <c r="P542" s="412"/>
      <c r="Q542" s="412"/>
      <c r="R542" s="412"/>
      <c r="S542" s="412"/>
      <c r="T542" s="412"/>
      <c r="U542" s="292"/>
      <c r="V542" s="292"/>
      <c r="W542" s="292"/>
      <c r="X542" s="415"/>
      <c r="Y542" s="416"/>
      <c r="Z542" s="417"/>
      <c r="AA542" s="304"/>
      <c r="AB542" s="304"/>
      <c r="AC542" s="304"/>
      <c r="AD542" s="304"/>
      <c r="AE542" s="304"/>
      <c r="AF542" s="304"/>
      <c r="AG542" s="304"/>
      <c r="AH542" s="304"/>
    </row>
    <row r="543">
      <c r="A543" s="292"/>
      <c r="B543" s="292"/>
      <c r="C543" s="292"/>
      <c r="D543" s="412"/>
      <c r="E543" s="412"/>
      <c r="F543" s="412"/>
      <c r="G543" s="412"/>
      <c r="H543" s="412"/>
      <c r="I543" s="412"/>
      <c r="J543" s="412"/>
      <c r="K543" s="413"/>
      <c r="L543" s="413"/>
      <c r="M543" s="413"/>
      <c r="N543" s="414"/>
      <c r="O543" s="412"/>
      <c r="P543" s="412"/>
      <c r="Q543" s="412"/>
      <c r="R543" s="412"/>
      <c r="S543" s="412"/>
      <c r="T543" s="412"/>
      <c r="U543" s="292"/>
      <c r="V543" s="292"/>
      <c r="W543" s="292"/>
      <c r="X543" s="415"/>
      <c r="Y543" s="416"/>
      <c r="Z543" s="417"/>
      <c r="AA543" s="304"/>
      <c r="AB543" s="304"/>
      <c r="AC543" s="304"/>
      <c r="AD543" s="304"/>
      <c r="AE543" s="304"/>
      <c r="AF543" s="304"/>
      <c r="AG543" s="304"/>
      <c r="AH543" s="304"/>
    </row>
    <row r="544">
      <c r="A544" s="292"/>
      <c r="B544" s="292"/>
      <c r="C544" s="292"/>
      <c r="D544" s="412"/>
      <c r="E544" s="412"/>
      <c r="F544" s="412"/>
      <c r="G544" s="412"/>
      <c r="H544" s="412"/>
      <c r="I544" s="412"/>
      <c r="J544" s="412"/>
      <c r="K544" s="413"/>
      <c r="L544" s="413"/>
      <c r="M544" s="413"/>
      <c r="N544" s="414"/>
      <c r="O544" s="412"/>
      <c r="P544" s="412"/>
      <c r="Q544" s="412"/>
      <c r="R544" s="412"/>
      <c r="S544" s="412"/>
      <c r="T544" s="412"/>
      <c r="U544" s="292"/>
      <c r="V544" s="292"/>
      <c r="W544" s="292"/>
      <c r="X544" s="415"/>
      <c r="Y544" s="416"/>
      <c r="Z544" s="417"/>
      <c r="AA544" s="304"/>
      <c r="AB544" s="304"/>
      <c r="AC544" s="304"/>
      <c r="AD544" s="304"/>
      <c r="AE544" s="304"/>
      <c r="AF544" s="304"/>
      <c r="AG544" s="304"/>
      <c r="AH544" s="304"/>
    </row>
    <row r="545">
      <c r="A545" s="292"/>
      <c r="B545" s="292"/>
      <c r="C545" s="292"/>
      <c r="D545" s="412"/>
      <c r="E545" s="412"/>
      <c r="F545" s="412"/>
      <c r="G545" s="412"/>
      <c r="H545" s="412"/>
      <c r="I545" s="412"/>
      <c r="J545" s="412"/>
      <c r="K545" s="413"/>
      <c r="L545" s="413"/>
      <c r="M545" s="413"/>
      <c r="N545" s="414"/>
      <c r="O545" s="412"/>
      <c r="P545" s="412"/>
      <c r="Q545" s="412"/>
      <c r="R545" s="412"/>
      <c r="S545" s="412"/>
      <c r="T545" s="412"/>
      <c r="U545" s="292"/>
      <c r="V545" s="292"/>
      <c r="W545" s="292"/>
      <c r="X545" s="415"/>
      <c r="Y545" s="416"/>
      <c r="Z545" s="417"/>
      <c r="AA545" s="304"/>
      <c r="AB545" s="304"/>
      <c r="AC545" s="304"/>
      <c r="AD545" s="304"/>
      <c r="AE545" s="304"/>
      <c r="AF545" s="304"/>
      <c r="AG545" s="304"/>
      <c r="AH545" s="304"/>
    </row>
    <row r="546">
      <c r="A546" s="292"/>
      <c r="B546" s="292"/>
      <c r="C546" s="292"/>
      <c r="D546" s="412"/>
      <c r="E546" s="412"/>
      <c r="F546" s="412"/>
      <c r="G546" s="412"/>
      <c r="H546" s="412"/>
      <c r="I546" s="412"/>
      <c r="J546" s="412"/>
      <c r="K546" s="413"/>
      <c r="L546" s="413"/>
      <c r="M546" s="413"/>
      <c r="N546" s="414"/>
      <c r="O546" s="412"/>
      <c r="P546" s="412"/>
      <c r="Q546" s="412"/>
      <c r="R546" s="412"/>
      <c r="S546" s="412"/>
      <c r="T546" s="412"/>
      <c r="U546" s="292"/>
      <c r="V546" s="292"/>
      <c r="W546" s="292"/>
      <c r="X546" s="415"/>
      <c r="Y546" s="416"/>
      <c r="Z546" s="417"/>
      <c r="AA546" s="304"/>
      <c r="AB546" s="304"/>
      <c r="AC546" s="304"/>
      <c r="AD546" s="304"/>
      <c r="AE546" s="304"/>
      <c r="AF546" s="304"/>
      <c r="AG546" s="304"/>
      <c r="AH546" s="304"/>
    </row>
    <row r="547">
      <c r="A547" s="292"/>
      <c r="B547" s="292"/>
      <c r="C547" s="292"/>
      <c r="D547" s="412"/>
      <c r="E547" s="412"/>
      <c r="F547" s="412"/>
      <c r="G547" s="412"/>
      <c r="H547" s="412"/>
      <c r="I547" s="412"/>
      <c r="J547" s="412"/>
      <c r="K547" s="413"/>
      <c r="L547" s="413"/>
      <c r="M547" s="413"/>
      <c r="N547" s="414"/>
      <c r="O547" s="412"/>
      <c r="P547" s="412"/>
      <c r="Q547" s="412"/>
      <c r="R547" s="412"/>
      <c r="S547" s="412"/>
      <c r="T547" s="412"/>
      <c r="U547" s="292"/>
      <c r="V547" s="292"/>
      <c r="W547" s="292"/>
      <c r="X547" s="415"/>
      <c r="Y547" s="416"/>
      <c r="Z547" s="417"/>
      <c r="AA547" s="304"/>
      <c r="AB547" s="304"/>
      <c r="AC547" s="304"/>
      <c r="AD547" s="304"/>
      <c r="AE547" s="304"/>
      <c r="AF547" s="304"/>
      <c r="AG547" s="304"/>
      <c r="AH547" s="304"/>
    </row>
    <row r="548">
      <c r="A548" s="292"/>
      <c r="B548" s="292"/>
      <c r="C548" s="292"/>
      <c r="D548" s="412"/>
      <c r="E548" s="412"/>
      <c r="F548" s="412"/>
      <c r="G548" s="412"/>
      <c r="H548" s="412"/>
      <c r="I548" s="412"/>
      <c r="J548" s="412"/>
      <c r="K548" s="413"/>
      <c r="L548" s="413"/>
      <c r="M548" s="413"/>
      <c r="N548" s="414"/>
      <c r="O548" s="412"/>
      <c r="P548" s="412"/>
      <c r="Q548" s="412"/>
      <c r="R548" s="412"/>
      <c r="S548" s="412"/>
      <c r="T548" s="412"/>
      <c r="U548" s="292"/>
      <c r="V548" s="292"/>
      <c r="W548" s="292"/>
      <c r="X548" s="415"/>
      <c r="Y548" s="416"/>
      <c r="Z548" s="417"/>
      <c r="AA548" s="304"/>
      <c r="AB548" s="304"/>
      <c r="AC548" s="304"/>
      <c r="AD548" s="304"/>
      <c r="AE548" s="304"/>
      <c r="AF548" s="304"/>
      <c r="AG548" s="304"/>
      <c r="AH548" s="304"/>
    </row>
    <row r="549">
      <c r="A549" s="292"/>
      <c r="B549" s="292"/>
      <c r="C549" s="292"/>
      <c r="D549" s="412"/>
      <c r="E549" s="412"/>
      <c r="F549" s="412"/>
      <c r="G549" s="412"/>
      <c r="H549" s="412"/>
      <c r="I549" s="412"/>
      <c r="J549" s="412"/>
      <c r="K549" s="413"/>
      <c r="L549" s="413"/>
      <c r="M549" s="413"/>
      <c r="N549" s="414"/>
      <c r="O549" s="412"/>
      <c r="P549" s="412"/>
      <c r="Q549" s="412"/>
      <c r="R549" s="412"/>
      <c r="S549" s="412"/>
      <c r="T549" s="412"/>
      <c r="U549" s="292"/>
      <c r="V549" s="292"/>
      <c r="W549" s="292"/>
      <c r="X549" s="415"/>
      <c r="Y549" s="416"/>
      <c r="Z549" s="417"/>
      <c r="AA549" s="304"/>
      <c r="AB549" s="304"/>
      <c r="AC549" s="304"/>
      <c r="AD549" s="304"/>
      <c r="AE549" s="304"/>
      <c r="AF549" s="304"/>
      <c r="AG549" s="304"/>
      <c r="AH549" s="304"/>
    </row>
    <row r="550">
      <c r="A550" s="292"/>
      <c r="B550" s="292"/>
      <c r="C550" s="292"/>
      <c r="D550" s="412"/>
      <c r="E550" s="412"/>
      <c r="F550" s="412"/>
      <c r="G550" s="412"/>
      <c r="H550" s="412"/>
      <c r="I550" s="412"/>
      <c r="J550" s="412"/>
      <c r="K550" s="413"/>
      <c r="L550" s="413"/>
      <c r="M550" s="413"/>
      <c r="N550" s="414"/>
      <c r="O550" s="412"/>
      <c r="P550" s="412"/>
      <c r="Q550" s="412"/>
      <c r="R550" s="412"/>
      <c r="S550" s="412"/>
      <c r="T550" s="412"/>
      <c r="U550" s="292"/>
      <c r="V550" s="292"/>
      <c r="W550" s="292"/>
      <c r="X550" s="415"/>
      <c r="Y550" s="416"/>
      <c r="Z550" s="417"/>
      <c r="AA550" s="304"/>
      <c r="AB550" s="304"/>
      <c r="AC550" s="304"/>
      <c r="AD550" s="304"/>
      <c r="AE550" s="304"/>
      <c r="AF550" s="304"/>
      <c r="AG550" s="304"/>
      <c r="AH550" s="304"/>
    </row>
    <row r="551">
      <c r="A551" s="292"/>
      <c r="B551" s="292"/>
      <c r="C551" s="292"/>
      <c r="D551" s="412"/>
      <c r="E551" s="412"/>
      <c r="F551" s="412"/>
      <c r="G551" s="412"/>
      <c r="H551" s="412"/>
      <c r="I551" s="412"/>
      <c r="J551" s="412"/>
      <c r="K551" s="413"/>
      <c r="L551" s="413"/>
      <c r="M551" s="413"/>
      <c r="N551" s="414"/>
      <c r="O551" s="412"/>
      <c r="P551" s="412"/>
      <c r="Q551" s="412"/>
      <c r="R551" s="412"/>
      <c r="S551" s="412"/>
      <c r="T551" s="412"/>
      <c r="U551" s="292"/>
      <c r="V551" s="292"/>
      <c r="W551" s="292"/>
      <c r="X551" s="415"/>
      <c r="Y551" s="416"/>
      <c r="Z551" s="417"/>
      <c r="AA551" s="304"/>
      <c r="AB551" s="304"/>
      <c r="AC551" s="304"/>
      <c r="AD551" s="304"/>
      <c r="AE551" s="304"/>
      <c r="AF551" s="304"/>
      <c r="AG551" s="304"/>
      <c r="AH551" s="304"/>
    </row>
    <row r="552">
      <c r="A552" s="292"/>
      <c r="B552" s="292"/>
      <c r="C552" s="292"/>
      <c r="D552" s="412"/>
      <c r="E552" s="412"/>
      <c r="F552" s="412"/>
      <c r="G552" s="412"/>
      <c r="H552" s="412"/>
      <c r="I552" s="412"/>
      <c r="J552" s="412"/>
      <c r="K552" s="413"/>
      <c r="L552" s="413"/>
      <c r="M552" s="413"/>
      <c r="N552" s="414"/>
      <c r="O552" s="412"/>
      <c r="P552" s="412"/>
      <c r="Q552" s="412"/>
      <c r="R552" s="412"/>
      <c r="S552" s="412"/>
      <c r="T552" s="412"/>
      <c r="U552" s="292"/>
      <c r="V552" s="292"/>
      <c r="W552" s="292"/>
      <c r="X552" s="415"/>
      <c r="Y552" s="416"/>
      <c r="Z552" s="417"/>
      <c r="AA552" s="304"/>
      <c r="AB552" s="304"/>
      <c r="AC552" s="304"/>
      <c r="AD552" s="304"/>
      <c r="AE552" s="304"/>
      <c r="AF552" s="304"/>
      <c r="AG552" s="304"/>
      <c r="AH552" s="304"/>
    </row>
    <row r="553">
      <c r="A553" s="292"/>
      <c r="B553" s="292"/>
      <c r="C553" s="292"/>
      <c r="D553" s="412"/>
      <c r="E553" s="412"/>
      <c r="F553" s="412"/>
      <c r="G553" s="412"/>
      <c r="H553" s="412"/>
      <c r="I553" s="412"/>
      <c r="J553" s="412"/>
      <c r="K553" s="413"/>
      <c r="L553" s="413"/>
      <c r="M553" s="413"/>
      <c r="N553" s="414"/>
      <c r="O553" s="412"/>
      <c r="P553" s="412"/>
      <c r="Q553" s="412"/>
      <c r="R553" s="412"/>
      <c r="S553" s="412"/>
      <c r="T553" s="412"/>
      <c r="U553" s="292"/>
      <c r="V553" s="292"/>
      <c r="W553" s="292"/>
      <c r="X553" s="415"/>
      <c r="Y553" s="416"/>
      <c r="Z553" s="417"/>
      <c r="AA553" s="304"/>
      <c r="AB553" s="304"/>
      <c r="AC553" s="304"/>
      <c r="AD553" s="304"/>
      <c r="AE553" s="304"/>
      <c r="AF553" s="304"/>
      <c r="AG553" s="304"/>
      <c r="AH553" s="304"/>
    </row>
    <row r="554">
      <c r="A554" s="292"/>
      <c r="B554" s="292"/>
      <c r="C554" s="292"/>
      <c r="D554" s="412"/>
      <c r="E554" s="412"/>
      <c r="F554" s="412"/>
      <c r="G554" s="412"/>
      <c r="H554" s="412"/>
      <c r="I554" s="412"/>
      <c r="J554" s="412"/>
      <c r="K554" s="413"/>
      <c r="L554" s="413"/>
      <c r="M554" s="413"/>
      <c r="N554" s="414"/>
      <c r="O554" s="412"/>
      <c r="P554" s="412"/>
      <c r="Q554" s="412"/>
      <c r="R554" s="412"/>
      <c r="S554" s="412"/>
      <c r="T554" s="412"/>
      <c r="U554" s="292"/>
      <c r="V554" s="292"/>
      <c r="W554" s="292"/>
      <c r="X554" s="415"/>
      <c r="Y554" s="416"/>
      <c r="Z554" s="417"/>
      <c r="AA554" s="304"/>
      <c r="AB554" s="304"/>
      <c r="AC554" s="304"/>
      <c r="AD554" s="304"/>
      <c r="AE554" s="304"/>
      <c r="AF554" s="304"/>
      <c r="AG554" s="304"/>
      <c r="AH554" s="304"/>
    </row>
    <row r="555">
      <c r="A555" s="292"/>
      <c r="B555" s="292"/>
      <c r="C555" s="292"/>
      <c r="D555" s="412"/>
      <c r="E555" s="412"/>
      <c r="F555" s="412"/>
      <c r="G555" s="412"/>
      <c r="H555" s="412"/>
      <c r="I555" s="412"/>
      <c r="J555" s="412"/>
      <c r="K555" s="413"/>
      <c r="L555" s="413"/>
      <c r="M555" s="413"/>
      <c r="N555" s="414"/>
      <c r="O555" s="412"/>
      <c r="P555" s="412"/>
      <c r="Q555" s="412"/>
      <c r="R555" s="412"/>
      <c r="S555" s="412"/>
      <c r="T555" s="412"/>
      <c r="U555" s="292"/>
      <c r="V555" s="292"/>
      <c r="W555" s="292"/>
      <c r="X555" s="415"/>
      <c r="Y555" s="416"/>
      <c r="Z555" s="417"/>
      <c r="AA555" s="304"/>
      <c r="AB555" s="304"/>
      <c r="AC555" s="304"/>
      <c r="AD555" s="304"/>
      <c r="AE555" s="304"/>
      <c r="AF555" s="304"/>
      <c r="AG555" s="304"/>
      <c r="AH555" s="304"/>
    </row>
    <row r="556">
      <c r="A556" s="292"/>
      <c r="B556" s="292"/>
      <c r="C556" s="292"/>
      <c r="D556" s="412"/>
      <c r="E556" s="412"/>
      <c r="F556" s="412"/>
      <c r="G556" s="412"/>
      <c r="H556" s="412"/>
      <c r="I556" s="412"/>
      <c r="J556" s="412"/>
      <c r="K556" s="413"/>
      <c r="L556" s="413"/>
      <c r="M556" s="413"/>
      <c r="N556" s="414"/>
      <c r="O556" s="412"/>
      <c r="P556" s="412"/>
      <c r="Q556" s="412"/>
      <c r="R556" s="412"/>
      <c r="S556" s="412"/>
      <c r="T556" s="412"/>
      <c r="U556" s="292"/>
      <c r="V556" s="292"/>
      <c r="W556" s="292"/>
      <c r="X556" s="415"/>
      <c r="Y556" s="416"/>
      <c r="Z556" s="417"/>
      <c r="AA556" s="304"/>
      <c r="AB556" s="304"/>
      <c r="AC556" s="304"/>
      <c r="AD556" s="304"/>
      <c r="AE556" s="304"/>
      <c r="AF556" s="304"/>
      <c r="AG556" s="304"/>
      <c r="AH556" s="304"/>
    </row>
    <row r="557">
      <c r="A557" s="292"/>
      <c r="B557" s="292"/>
      <c r="C557" s="292"/>
      <c r="D557" s="412"/>
      <c r="E557" s="412"/>
      <c r="F557" s="412"/>
      <c r="G557" s="412"/>
      <c r="H557" s="412"/>
      <c r="I557" s="412"/>
      <c r="J557" s="412"/>
      <c r="K557" s="413"/>
      <c r="L557" s="413"/>
      <c r="M557" s="413"/>
      <c r="N557" s="414"/>
      <c r="O557" s="412"/>
      <c r="P557" s="412"/>
      <c r="Q557" s="412"/>
      <c r="R557" s="412"/>
      <c r="S557" s="412"/>
      <c r="T557" s="412"/>
      <c r="U557" s="292"/>
      <c r="V557" s="292"/>
      <c r="W557" s="292"/>
      <c r="X557" s="415"/>
      <c r="Y557" s="416"/>
      <c r="Z557" s="417"/>
      <c r="AA557" s="304"/>
      <c r="AB557" s="304"/>
      <c r="AC557" s="304"/>
      <c r="AD557" s="304"/>
      <c r="AE557" s="304"/>
      <c r="AF557" s="304"/>
      <c r="AG557" s="304"/>
      <c r="AH557" s="304"/>
    </row>
    <row r="558">
      <c r="A558" s="292"/>
      <c r="B558" s="292"/>
      <c r="C558" s="292"/>
      <c r="D558" s="412"/>
      <c r="E558" s="412"/>
      <c r="F558" s="412"/>
      <c r="G558" s="412"/>
      <c r="H558" s="412"/>
      <c r="I558" s="412"/>
      <c r="J558" s="412"/>
      <c r="K558" s="413"/>
      <c r="L558" s="413"/>
      <c r="M558" s="413"/>
      <c r="N558" s="414"/>
      <c r="O558" s="412"/>
      <c r="P558" s="412"/>
      <c r="Q558" s="412"/>
      <c r="R558" s="412"/>
      <c r="S558" s="412"/>
      <c r="T558" s="412"/>
      <c r="U558" s="292"/>
      <c r="V558" s="292"/>
      <c r="W558" s="292"/>
      <c r="X558" s="415"/>
      <c r="Y558" s="416"/>
      <c r="Z558" s="417"/>
      <c r="AA558" s="304"/>
      <c r="AB558" s="304"/>
      <c r="AC558" s="304"/>
      <c r="AD558" s="304"/>
      <c r="AE558" s="304"/>
      <c r="AF558" s="304"/>
      <c r="AG558" s="304"/>
      <c r="AH558" s="304"/>
    </row>
    <row r="559">
      <c r="A559" s="292"/>
      <c r="B559" s="292"/>
      <c r="C559" s="292"/>
      <c r="D559" s="412"/>
      <c r="E559" s="412"/>
      <c r="F559" s="412"/>
      <c r="G559" s="412"/>
      <c r="H559" s="412"/>
      <c r="I559" s="412"/>
      <c r="J559" s="412"/>
      <c r="K559" s="413"/>
      <c r="L559" s="413"/>
      <c r="M559" s="413"/>
      <c r="N559" s="414"/>
      <c r="O559" s="412"/>
      <c r="P559" s="412"/>
      <c r="Q559" s="412"/>
      <c r="R559" s="412"/>
      <c r="S559" s="412"/>
      <c r="T559" s="412"/>
      <c r="U559" s="292"/>
      <c r="V559" s="292"/>
      <c r="W559" s="292"/>
      <c r="X559" s="415"/>
      <c r="Y559" s="416"/>
      <c r="Z559" s="417"/>
      <c r="AA559" s="304"/>
      <c r="AB559" s="304"/>
      <c r="AC559" s="304"/>
      <c r="AD559" s="304"/>
      <c r="AE559" s="304"/>
      <c r="AF559" s="304"/>
      <c r="AG559" s="304"/>
      <c r="AH559" s="304"/>
    </row>
    <row r="560">
      <c r="A560" s="292"/>
      <c r="B560" s="292"/>
      <c r="C560" s="292"/>
      <c r="D560" s="412"/>
      <c r="E560" s="412"/>
      <c r="F560" s="412"/>
      <c r="G560" s="412"/>
      <c r="H560" s="412"/>
      <c r="I560" s="412"/>
      <c r="J560" s="412"/>
      <c r="K560" s="413"/>
      <c r="L560" s="413"/>
      <c r="M560" s="413"/>
      <c r="N560" s="414"/>
      <c r="O560" s="412"/>
      <c r="P560" s="412"/>
      <c r="Q560" s="412"/>
      <c r="R560" s="412"/>
      <c r="S560" s="412"/>
      <c r="T560" s="412"/>
      <c r="U560" s="292"/>
      <c r="V560" s="292"/>
      <c r="W560" s="292"/>
      <c r="X560" s="415"/>
      <c r="Y560" s="416"/>
      <c r="Z560" s="417"/>
      <c r="AA560" s="304"/>
      <c r="AB560" s="304"/>
      <c r="AC560" s="304"/>
      <c r="AD560" s="304"/>
      <c r="AE560" s="304"/>
      <c r="AF560" s="304"/>
      <c r="AG560" s="304"/>
      <c r="AH560" s="304"/>
    </row>
    <row r="561">
      <c r="A561" s="292"/>
      <c r="B561" s="292"/>
      <c r="C561" s="292"/>
      <c r="D561" s="412"/>
      <c r="E561" s="412"/>
      <c r="F561" s="412"/>
      <c r="G561" s="412"/>
      <c r="H561" s="412"/>
      <c r="I561" s="412"/>
      <c r="J561" s="412"/>
      <c r="K561" s="413"/>
      <c r="L561" s="413"/>
      <c r="M561" s="413"/>
      <c r="N561" s="414"/>
      <c r="O561" s="412"/>
      <c r="P561" s="412"/>
      <c r="Q561" s="412"/>
      <c r="R561" s="412"/>
      <c r="S561" s="412"/>
      <c r="T561" s="412"/>
      <c r="U561" s="292"/>
      <c r="V561" s="292"/>
      <c r="W561" s="292"/>
      <c r="X561" s="415"/>
      <c r="Y561" s="416"/>
      <c r="Z561" s="417"/>
      <c r="AA561" s="304"/>
      <c r="AB561" s="304"/>
      <c r="AC561" s="304"/>
      <c r="AD561" s="304"/>
      <c r="AE561" s="304"/>
      <c r="AF561" s="304"/>
      <c r="AG561" s="304"/>
      <c r="AH561" s="304"/>
    </row>
    <row r="562">
      <c r="A562" s="292"/>
      <c r="B562" s="292"/>
      <c r="C562" s="292"/>
      <c r="D562" s="412"/>
      <c r="E562" s="412"/>
      <c r="F562" s="412"/>
      <c r="G562" s="412"/>
      <c r="H562" s="412"/>
      <c r="I562" s="412"/>
      <c r="J562" s="412"/>
      <c r="K562" s="413"/>
      <c r="L562" s="413"/>
      <c r="M562" s="413"/>
      <c r="N562" s="414"/>
      <c r="O562" s="412"/>
      <c r="P562" s="412"/>
      <c r="Q562" s="412"/>
      <c r="R562" s="412"/>
      <c r="S562" s="412"/>
      <c r="T562" s="412"/>
      <c r="U562" s="292"/>
      <c r="V562" s="292"/>
      <c r="W562" s="292"/>
      <c r="X562" s="415"/>
      <c r="Y562" s="416"/>
      <c r="Z562" s="417"/>
      <c r="AA562" s="304"/>
      <c r="AB562" s="304"/>
      <c r="AC562" s="304"/>
      <c r="AD562" s="304"/>
      <c r="AE562" s="304"/>
      <c r="AF562" s="304"/>
      <c r="AG562" s="304"/>
      <c r="AH562" s="304"/>
    </row>
    <row r="563">
      <c r="A563" s="292"/>
      <c r="B563" s="292"/>
      <c r="C563" s="292"/>
      <c r="D563" s="412"/>
      <c r="E563" s="412"/>
      <c r="F563" s="412"/>
      <c r="G563" s="412"/>
      <c r="H563" s="412"/>
      <c r="I563" s="412"/>
      <c r="J563" s="412"/>
      <c r="K563" s="413"/>
      <c r="L563" s="413"/>
      <c r="M563" s="413"/>
      <c r="N563" s="414"/>
      <c r="O563" s="412"/>
      <c r="P563" s="412"/>
      <c r="Q563" s="412"/>
      <c r="R563" s="412"/>
      <c r="S563" s="412"/>
      <c r="T563" s="412"/>
      <c r="U563" s="292"/>
      <c r="V563" s="292"/>
      <c r="W563" s="292"/>
      <c r="X563" s="415"/>
      <c r="Y563" s="416"/>
      <c r="Z563" s="417"/>
      <c r="AA563" s="304"/>
      <c r="AB563" s="304"/>
      <c r="AC563" s="304"/>
      <c r="AD563" s="304"/>
      <c r="AE563" s="304"/>
      <c r="AF563" s="304"/>
      <c r="AG563" s="304"/>
      <c r="AH563" s="304"/>
    </row>
    <row r="564">
      <c r="A564" s="292"/>
      <c r="B564" s="292"/>
      <c r="C564" s="292"/>
      <c r="D564" s="412"/>
      <c r="E564" s="412"/>
      <c r="F564" s="412"/>
      <c r="G564" s="412"/>
      <c r="H564" s="412"/>
      <c r="I564" s="412"/>
      <c r="J564" s="412"/>
      <c r="K564" s="413"/>
      <c r="L564" s="413"/>
      <c r="M564" s="413"/>
      <c r="N564" s="414"/>
      <c r="O564" s="412"/>
      <c r="P564" s="412"/>
      <c r="Q564" s="412"/>
      <c r="R564" s="412"/>
      <c r="S564" s="412"/>
      <c r="T564" s="412"/>
      <c r="U564" s="292"/>
      <c r="V564" s="292"/>
      <c r="W564" s="292"/>
      <c r="X564" s="415"/>
      <c r="Y564" s="416"/>
      <c r="Z564" s="417"/>
      <c r="AA564" s="304"/>
      <c r="AB564" s="304"/>
      <c r="AC564" s="304"/>
      <c r="AD564" s="304"/>
      <c r="AE564" s="304"/>
      <c r="AF564" s="304"/>
      <c r="AG564" s="304"/>
      <c r="AH564" s="304"/>
    </row>
    <row r="565">
      <c r="A565" s="292"/>
      <c r="B565" s="292"/>
      <c r="C565" s="292"/>
      <c r="D565" s="412"/>
      <c r="E565" s="412"/>
      <c r="F565" s="412"/>
      <c r="G565" s="412"/>
      <c r="H565" s="412"/>
      <c r="I565" s="412"/>
      <c r="J565" s="412"/>
      <c r="K565" s="413"/>
      <c r="L565" s="413"/>
      <c r="M565" s="413"/>
      <c r="N565" s="414"/>
      <c r="O565" s="412"/>
      <c r="P565" s="412"/>
      <c r="Q565" s="412"/>
      <c r="R565" s="412"/>
      <c r="S565" s="412"/>
      <c r="T565" s="412"/>
      <c r="U565" s="292"/>
      <c r="V565" s="292"/>
      <c r="W565" s="292"/>
      <c r="X565" s="415"/>
      <c r="Y565" s="416"/>
      <c r="Z565" s="417"/>
      <c r="AA565" s="304"/>
      <c r="AB565" s="304"/>
      <c r="AC565" s="304"/>
      <c r="AD565" s="304"/>
      <c r="AE565" s="304"/>
      <c r="AF565" s="304"/>
      <c r="AG565" s="304"/>
      <c r="AH565" s="304"/>
    </row>
    <row r="566">
      <c r="A566" s="292"/>
      <c r="B566" s="292"/>
      <c r="C566" s="292"/>
      <c r="D566" s="412"/>
      <c r="E566" s="412"/>
      <c r="F566" s="412"/>
      <c r="G566" s="412"/>
      <c r="H566" s="412"/>
      <c r="I566" s="412"/>
      <c r="J566" s="412"/>
      <c r="K566" s="413"/>
      <c r="L566" s="413"/>
      <c r="M566" s="413"/>
      <c r="N566" s="414"/>
      <c r="O566" s="412"/>
      <c r="P566" s="412"/>
      <c r="Q566" s="412"/>
      <c r="R566" s="412"/>
      <c r="S566" s="412"/>
      <c r="T566" s="412"/>
      <c r="U566" s="292"/>
      <c r="V566" s="292"/>
      <c r="W566" s="292"/>
      <c r="X566" s="415"/>
      <c r="Y566" s="416"/>
      <c r="Z566" s="417"/>
      <c r="AA566" s="304"/>
      <c r="AB566" s="304"/>
      <c r="AC566" s="304"/>
      <c r="AD566" s="304"/>
      <c r="AE566" s="304"/>
      <c r="AF566" s="304"/>
      <c r="AG566" s="304"/>
      <c r="AH566" s="304"/>
    </row>
    <row r="567">
      <c r="A567" s="292"/>
      <c r="B567" s="292"/>
      <c r="C567" s="292"/>
      <c r="D567" s="412"/>
      <c r="E567" s="412"/>
      <c r="F567" s="412"/>
      <c r="G567" s="412"/>
      <c r="H567" s="412"/>
      <c r="I567" s="412"/>
      <c r="J567" s="412"/>
      <c r="K567" s="413"/>
      <c r="L567" s="413"/>
      <c r="M567" s="413"/>
      <c r="N567" s="414"/>
      <c r="O567" s="412"/>
      <c r="P567" s="412"/>
      <c r="Q567" s="412"/>
      <c r="R567" s="412"/>
      <c r="S567" s="412"/>
      <c r="T567" s="412"/>
      <c r="U567" s="292"/>
      <c r="V567" s="292"/>
      <c r="W567" s="292"/>
      <c r="X567" s="415"/>
      <c r="Y567" s="416"/>
      <c r="Z567" s="417"/>
      <c r="AA567" s="304"/>
      <c r="AB567" s="304"/>
      <c r="AC567" s="304"/>
      <c r="AD567" s="304"/>
      <c r="AE567" s="304"/>
      <c r="AF567" s="304"/>
      <c r="AG567" s="304"/>
      <c r="AH567" s="304"/>
    </row>
    <row r="568">
      <c r="A568" s="292"/>
      <c r="B568" s="292"/>
      <c r="C568" s="292"/>
      <c r="D568" s="412"/>
      <c r="E568" s="412"/>
      <c r="F568" s="412"/>
      <c r="G568" s="412"/>
      <c r="H568" s="412"/>
      <c r="I568" s="412"/>
      <c r="J568" s="412"/>
      <c r="K568" s="413"/>
      <c r="L568" s="413"/>
      <c r="M568" s="413"/>
      <c r="N568" s="414"/>
      <c r="O568" s="412"/>
      <c r="P568" s="412"/>
      <c r="Q568" s="412"/>
      <c r="R568" s="412"/>
      <c r="S568" s="412"/>
      <c r="T568" s="412"/>
      <c r="U568" s="292"/>
      <c r="V568" s="292"/>
      <c r="W568" s="292"/>
      <c r="X568" s="415"/>
      <c r="Y568" s="416"/>
      <c r="Z568" s="417"/>
      <c r="AA568" s="304"/>
      <c r="AB568" s="304"/>
      <c r="AC568" s="304"/>
      <c r="AD568" s="304"/>
      <c r="AE568" s="304"/>
      <c r="AF568" s="304"/>
      <c r="AG568" s="304"/>
      <c r="AH568" s="304"/>
    </row>
    <row r="569">
      <c r="A569" s="292"/>
      <c r="B569" s="292"/>
      <c r="C569" s="292"/>
      <c r="D569" s="412"/>
      <c r="E569" s="412"/>
      <c r="F569" s="412"/>
      <c r="G569" s="412"/>
      <c r="H569" s="412"/>
      <c r="I569" s="412"/>
      <c r="J569" s="412"/>
      <c r="K569" s="413"/>
      <c r="L569" s="413"/>
      <c r="M569" s="413"/>
      <c r="N569" s="414"/>
      <c r="O569" s="412"/>
      <c r="P569" s="412"/>
      <c r="Q569" s="412"/>
      <c r="R569" s="412"/>
      <c r="S569" s="412"/>
      <c r="T569" s="412"/>
      <c r="U569" s="292"/>
      <c r="V569" s="292"/>
      <c r="W569" s="292"/>
      <c r="X569" s="415"/>
      <c r="Y569" s="416"/>
      <c r="Z569" s="417"/>
      <c r="AA569" s="304"/>
      <c r="AB569" s="304"/>
      <c r="AC569" s="304"/>
      <c r="AD569" s="304"/>
      <c r="AE569" s="304"/>
      <c r="AF569" s="304"/>
      <c r="AG569" s="304"/>
      <c r="AH569" s="304"/>
    </row>
    <row r="570">
      <c r="A570" s="292"/>
      <c r="B570" s="292"/>
      <c r="C570" s="292"/>
      <c r="D570" s="412"/>
      <c r="E570" s="412"/>
      <c r="F570" s="412"/>
      <c r="G570" s="412"/>
      <c r="H570" s="412"/>
      <c r="I570" s="412"/>
      <c r="J570" s="412"/>
      <c r="K570" s="413"/>
      <c r="L570" s="413"/>
      <c r="M570" s="413"/>
      <c r="N570" s="414"/>
      <c r="O570" s="412"/>
      <c r="P570" s="412"/>
      <c r="Q570" s="412"/>
      <c r="R570" s="412"/>
      <c r="S570" s="412"/>
      <c r="T570" s="412"/>
      <c r="U570" s="292"/>
      <c r="V570" s="292"/>
      <c r="W570" s="292"/>
      <c r="X570" s="415"/>
      <c r="Y570" s="416"/>
      <c r="Z570" s="417"/>
      <c r="AA570" s="304"/>
      <c r="AB570" s="304"/>
      <c r="AC570" s="304"/>
      <c r="AD570" s="304"/>
      <c r="AE570" s="304"/>
      <c r="AF570" s="304"/>
      <c r="AG570" s="304"/>
      <c r="AH570" s="304"/>
    </row>
    <row r="571">
      <c r="A571" s="292"/>
      <c r="B571" s="292"/>
      <c r="C571" s="292"/>
      <c r="D571" s="412"/>
      <c r="E571" s="412"/>
      <c r="F571" s="412"/>
      <c r="G571" s="412"/>
      <c r="H571" s="412"/>
      <c r="I571" s="412"/>
      <c r="J571" s="412"/>
      <c r="K571" s="413"/>
      <c r="L571" s="413"/>
      <c r="M571" s="413"/>
      <c r="N571" s="414"/>
      <c r="O571" s="412"/>
      <c r="P571" s="412"/>
      <c r="Q571" s="412"/>
      <c r="R571" s="412"/>
      <c r="S571" s="412"/>
      <c r="T571" s="412"/>
      <c r="U571" s="292"/>
      <c r="V571" s="292"/>
      <c r="W571" s="292"/>
      <c r="X571" s="415"/>
      <c r="Y571" s="416"/>
      <c r="Z571" s="417"/>
      <c r="AA571" s="304"/>
      <c r="AB571" s="304"/>
      <c r="AC571" s="304"/>
      <c r="AD571" s="304"/>
      <c r="AE571" s="304"/>
      <c r="AF571" s="304"/>
      <c r="AG571" s="304"/>
      <c r="AH571" s="304"/>
    </row>
    <row r="572">
      <c r="A572" s="292"/>
      <c r="B572" s="292"/>
      <c r="C572" s="292"/>
      <c r="D572" s="412"/>
      <c r="E572" s="412"/>
      <c r="F572" s="412"/>
      <c r="G572" s="412"/>
      <c r="H572" s="412"/>
      <c r="I572" s="412"/>
      <c r="J572" s="412"/>
      <c r="K572" s="413"/>
      <c r="L572" s="413"/>
      <c r="M572" s="413"/>
      <c r="N572" s="414"/>
      <c r="O572" s="412"/>
      <c r="P572" s="412"/>
      <c r="Q572" s="412"/>
      <c r="R572" s="412"/>
      <c r="S572" s="412"/>
      <c r="T572" s="412"/>
      <c r="U572" s="292"/>
      <c r="V572" s="292"/>
      <c r="W572" s="292"/>
      <c r="X572" s="415"/>
      <c r="Y572" s="416"/>
      <c r="Z572" s="417"/>
      <c r="AA572" s="304"/>
      <c r="AB572" s="304"/>
      <c r="AC572" s="304"/>
      <c r="AD572" s="304"/>
      <c r="AE572" s="304"/>
      <c r="AF572" s="304"/>
      <c r="AG572" s="304"/>
      <c r="AH572" s="304"/>
    </row>
    <row r="573">
      <c r="A573" s="292"/>
      <c r="B573" s="292"/>
      <c r="C573" s="292"/>
      <c r="D573" s="412"/>
      <c r="E573" s="412"/>
      <c r="F573" s="412"/>
      <c r="G573" s="412"/>
      <c r="H573" s="412"/>
      <c r="I573" s="412"/>
      <c r="J573" s="412"/>
      <c r="K573" s="413"/>
      <c r="L573" s="413"/>
      <c r="M573" s="413"/>
      <c r="N573" s="414"/>
      <c r="O573" s="412"/>
      <c r="P573" s="412"/>
      <c r="Q573" s="412"/>
      <c r="R573" s="412"/>
      <c r="S573" s="412"/>
      <c r="T573" s="412"/>
      <c r="U573" s="292"/>
      <c r="V573" s="292"/>
      <c r="W573" s="292"/>
      <c r="X573" s="415"/>
      <c r="Y573" s="416"/>
      <c r="Z573" s="417"/>
      <c r="AA573" s="304"/>
      <c r="AB573" s="304"/>
      <c r="AC573" s="304"/>
      <c r="AD573" s="304"/>
      <c r="AE573" s="304"/>
      <c r="AF573" s="304"/>
      <c r="AG573" s="304"/>
      <c r="AH573" s="304"/>
    </row>
    <row r="574">
      <c r="A574" s="292"/>
      <c r="B574" s="292"/>
      <c r="C574" s="292"/>
      <c r="D574" s="412"/>
      <c r="E574" s="412"/>
      <c r="F574" s="412"/>
      <c r="G574" s="412"/>
      <c r="H574" s="412"/>
      <c r="I574" s="412"/>
      <c r="J574" s="412"/>
      <c r="K574" s="413"/>
      <c r="L574" s="413"/>
      <c r="M574" s="413"/>
      <c r="N574" s="414"/>
      <c r="O574" s="412"/>
      <c r="P574" s="412"/>
      <c r="Q574" s="412"/>
      <c r="R574" s="412"/>
      <c r="S574" s="412"/>
      <c r="T574" s="412"/>
      <c r="U574" s="292"/>
      <c r="V574" s="292"/>
      <c r="W574" s="292"/>
      <c r="X574" s="415"/>
      <c r="Y574" s="416"/>
      <c r="Z574" s="417"/>
      <c r="AA574" s="304"/>
      <c r="AB574" s="304"/>
      <c r="AC574" s="304"/>
      <c r="AD574" s="304"/>
      <c r="AE574" s="304"/>
      <c r="AF574" s="304"/>
      <c r="AG574" s="304"/>
      <c r="AH574" s="304"/>
    </row>
    <row r="575">
      <c r="A575" s="292"/>
      <c r="B575" s="292"/>
      <c r="C575" s="292"/>
      <c r="D575" s="412"/>
      <c r="E575" s="412"/>
      <c r="F575" s="412"/>
      <c r="G575" s="412"/>
      <c r="H575" s="412"/>
      <c r="I575" s="412"/>
      <c r="J575" s="412"/>
      <c r="K575" s="413"/>
      <c r="L575" s="413"/>
      <c r="M575" s="413"/>
      <c r="N575" s="414"/>
      <c r="O575" s="412"/>
      <c r="P575" s="412"/>
      <c r="Q575" s="412"/>
      <c r="R575" s="412"/>
      <c r="S575" s="412"/>
      <c r="T575" s="412"/>
      <c r="U575" s="292"/>
      <c r="V575" s="292"/>
      <c r="W575" s="292"/>
      <c r="X575" s="415"/>
      <c r="Y575" s="416"/>
      <c r="Z575" s="417"/>
      <c r="AA575" s="304"/>
      <c r="AB575" s="304"/>
      <c r="AC575" s="304"/>
      <c r="AD575" s="304"/>
      <c r="AE575" s="304"/>
      <c r="AF575" s="304"/>
      <c r="AG575" s="304"/>
      <c r="AH575" s="304"/>
    </row>
    <row r="576">
      <c r="A576" s="292"/>
      <c r="B576" s="292"/>
      <c r="C576" s="292"/>
      <c r="D576" s="412"/>
      <c r="E576" s="412"/>
      <c r="F576" s="412"/>
      <c r="G576" s="412"/>
      <c r="H576" s="412"/>
      <c r="I576" s="412"/>
      <c r="J576" s="412"/>
      <c r="K576" s="413"/>
      <c r="L576" s="413"/>
      <c r="M576" s="413"/>
      <c r="N576" s="414"/>
      <c r="O576" s="412"/>
      <c r="P576" s="412"/>
      <c r="Q576" s="412"/>
      <c r="R576" s="412"/>
      <c r="S576" s="412"/>
      <c r="T576" s="412"/>
      <c r="U576" s="292"/>
      <c r="V576" s="292"/>
      <c r="W576" s="292"/>
      <c r="X576" s="415"/>
      <c r="Y576" s="416"/>
      <c r="Z576" s="417"/>
      <c r="AA576" s="304"/>
      <c r="AB576" s="304"/>
      <c r="AC576" s="304"/>
      <c r="AD576" s="304"/>
      <c r="AE576" s="304"/>
      <c r="AF576" s="304"/>
      <c r="AG576" s="304"/>
      <c r="AH576" s="304"/>
    </row>
    <row r="577">
      <c r="A577" s="292"/>
      <c r="B577" s="292"/>
      <c r="C577" s="292"/>
      <c r="D577" s="412"/>
      <c r="E577" s="412"/>
      <c r="F577" s="412"/>
      <c r="G577" s="412"/>
      <c r="H577" s="412"/>
      <c r="I577" s="412"/>
      <c r="J577" s="412"/>
      <c r="K577" s="413"/>
      <c r="L577" s="413"/>
      <c r="M577" s="413"/>
      <c r="N577" s="414"/>
      <c r="O577" s="412"/>
      <c r="P577" s="412"/>
      <c r="Q577" s="412"/>
      <c r="R577" s="412"/>
      <c r="S577" s="412"/>
      <c r="T577" s="412"/>
      <c r="U577" s="292"/>
      <c r="V577" s="292"/>
      <c r="W577" s="292"/>
      <c r="X577" s="415"/>
      <c r="Y577" s="416"/>
      <c r="Z577" s="417"/>
      <c r="AA577" s="304"/>
      <c r="AB577" s="304"/>
      <c r="AC577" s="304"/>
      <c r="AD577" s="304"/>
      <c r="AE577" s="304"/>
      <c r="AF577" s="304"/>
      <c r="AG577" s="304"/>
      <c r="AH577" s="304"/>
    </row>
    <row r="578">
      <c r="A578" s="292"/>
      <c r="B578" s="292"/>
      <c r="C578" s="292"/>
      <c r="D578" s="412"/>
      <c r="E578" s="412"/>
      <c r="F578" s="412"/>
      <c r="G578" s="412"/>
      <c r="H578" s="412"/>
      <c r="I578" s="412"/>
      <c r="J578" s="412"/>
      <c r="K578" s="413"/>
      <c r="L578" s="413"/>
      <c r="M578" s="413"/>
      <c r="N578" s="414"/>
      <c r="O578" s="412"/>
      <c r="P578" s="412"/>
      <c r="Q578" s="412"/>
      <c r="R578" s="412"/>
      <c r="S578" s="412"/>
      <c r="T578" s="412"/>
      <c r="U578" s="292"/>
      <c r="V578" s="292"/>
      <c r="W578" s="292"/>
      <c r="X578" s="415"/>
      <c r="Y578" s="416"/>
      <c r="Z578" s="417"/>
      <c r="AA578" s="304"/>
      <c r="AB578" s="304"/>
      <c r="AC578" s="304"/>
      <c r="AD578" s="304"/>
      <c r="AE578" s="304"/>
      <c r="AF578" s="304"/>
      <c r="AG578" s="304"/>
      <c r="AH578" s="304"/>
    </row>
    <row r="579">
      <c r="A579" s="292"/>
      <c r="B579" s="292"/>
      <c r="C579" s="292"/>
      <c r="D579" s="412"/>
      <c r="E579" s="412"/>
      <c r="F579" s="412"/>
      <c r="G579" s="412"/>
      <c r="H579" s="412"/>
      <c r="I579" s="412"/>
      <c r="J579" s="412"/>
      <c r="K579" s="413"/>
      <c r="L579" s="413"/>
      <c r="M579" s="413"/>
      <c r="N579" s="414"/>
      <c r="O579" s="412"/>
      <c r="P579" s="412"/>
      <c r="Q579" s="412"/>
      <c r="R579" s="412"/>
      <c r="S579" s="412"/>
      <c r="T579" s="412"/>
      <c r="U579" s="292"/>
      <c r="V579" s="292"/>
      <c r="W579" s="292"/>
      <c r="X579" s="415"/>
      <c r="Y579" s="416"/>
      <c r="Z579" s="417"/>
      <c r="AA579" s="304"/>
      <c r="AB579" s="304"/>
      <c r="AC579" s="304"/>
      <c r="AD579" s="304"/>
      <c r="AE579" s="304"/>
      <c r="AF579" s="304"/>
      <c r="AG579" s="304"/>
      <c r="AH579" s="304"/>
    </row>
    <row r="580">
      <c r="A580" s="292"/>
      <c r="B580" s="292"/>
      <c r="C580" s="292"/>
      <c r="D580" s="412"/>
      <c r="E580" s="412"/>
      <c r="F580" s="412"/>
      <c r="G580" s="412"/>
      <c r="H580" s="412"/>
      <c r="I580" s="412"/>
      <c r="J580" s="412"/>
      <c r="K580" s="413"/>
      <c r="L580" s="413"/>
      <c r="M580" s="413"/>
      <c r="N580" s="414"/>
      <c r="O580" s="412"/>
      <c r="P580" s="412"/>
      <c r="Q580" s="412"/>
      <c r="R580" s="412"/>
      <c r="S580" s="412"/>
      <c r="T580" s="412"/>
      <c r="U580" s="292"/>
      <c r="V580" s="292"/>
      <c r="W580" s="292"/>
      <c r="X580" s="415"/>
      <c r="Y580" s="416"/>
      <c r="Z580" s="417"/>
      <c r="AA580" s="304"/>
      <c r="AB580" s="304"/>
      <c r="AC580" s="304"/>
      <c r="AD580" s="304"/>
      <c r="AE580" s="304"/>
      <c r="AF580" s="304"/>
      <c r="AG580" s="304"/>
      <c r="AH580" s="304"/>
    </row>
    <row r="581">
      <c r="A581" s="292"/>
      <c r="B581" s="292"/>
      <c r="C581" s="292"/>
      <c r="D581" s="412"/>
      <c r="E581" s="412"/>
      <c r="F581" s="412"/>
      <c r="G581" s="412"/>
      <c r="H581" s="412"/>
      <c r="I581" s="412"/>
      <c r="J581" s="412"/>
      <c r="K581" s="413"/>
      <c r="L581" s="413"/>
      <c r="M581" s="413"/>
      <c r="N581" s="414"/>
      <c r="O581" s="412"/>
      <c r="P581" s="412"/>
      <c r="Q581" s="412"/>
      <c r="R581" s="412"/>
      <c r="S581" s="412"/>
      <c r="T581" s="412"/>
      <c r="U581" s="292"/>
      <c r="V581" s="292"/>
      <c r="W581" s="292"/>
      <c r="X581" s="415"/>
      <c r="Y581" s="416"/>
      <c r="Z581" s="417"/>
      <c r="AA581" s="304"/>
      <c r="AB581" s="304"/>
      <c r="AC581" s="304"/>
      <c r="AD581" s="304"/>
      <c r="AE581" s="304"/>
      <c r="AF581" s="304"/>
      <c r="AG581" s="304"/>
      <c r="AH581" s="304"/>
    </row>
    <row r="582">
      <c r="A582" s="292"/>
      <c r="B582" s="292"/>
      <c r="C582" s="292"/>
      <c r="D582" s="412"/>
      <c r="E582" s="412"/>
      <c r="F582" s="412"/>
      <c r="G582" s="412"/>
      <c r="H582" s="412"/>
      <c r="I582" s="412"/>
      <c r="J582" s="412"/>
      <c r="K582" s="413"/>
      <c r="L582" s="413"/>
      <c r="M582" s="413"/>
      <c r="N582" s="414"/>
      <c r="O582" s="412"/>
      <c r="P582" s="412"/>
      <c r="Q582" s="412"/>
      <c r="R582" s="412"/>
      <c r="S582" s="412"/>
      <c r="T582" s="412"/>
      <c r="U582" s="292"/>
      <c r="V582" s="292"/>
      <c r="W582" s="292"/>
      <c r="X582" s="415"/>
      <c r="Y582" s="416"/>
      <c r="Z582" s="417"/>
      <c r="AA582" s="304"/>
      <c r="AB582" s="304"/>
      <c r="AC582" s="304"/>
      <c r="AD582" s="304"/>
      <c r="AE582" s="304"/>
      <c r="AF582" s="304"/>
      <c r="AG582" s="304"/>
      <c r="AH582" s="304"/>
    </row>
    <row r="583">
      <c r="A583" s="292"/>
      <c r="B583" s="292"/>
      <c r="C583" s="292"/>
      <c r="D583" s="412"/>
      <c r="E583" s="412"/>
      <c r="F583" s="412"/>
      <c r="G583" s="412"/>
      <c r="H583" s="412"/>
      <c r="I583" s="412"/>
      <c r="J583" s="412"/>
      <c r="K583" s="413"/>
      <c r="L583" s="413"/>
      <c r="M583" s="413"/>
      <c r="N583" s="414"/>
      <c r="O583" s="412"/>
      <c r="P583" s="412"/>
      <c r="Q583" s="412"/>
      <c r="R583" s="412"/>
      <c r="S583" s="412"/>
      <c r="T583" s="412"/>
      <c r="U583" s="292"/>
      <c r="V583" s="292"/>
      <c r="W583" s="292"/>
      <c r="X583" s="415"/>
      <c r="Y583" s="416"/>
      <c r="Z583" s="417"/>
      <c r="AA583" s="304"/>
      <c r="AB583" s="304"/>
      <c r="AC583" s="304"/>
      <c r="AD583" s="304"/>
      <c r="AE583" s="304"/>
      <c r="AF583" s="304"/>
      <c r="AG583" s="304"/>
      <c r="AH583" s="304"/>
    </row>
    <row r="584">
      <c r="A584" s="292"/>
      <c r="B584" s="292"/>
      <c r="C584" s="292"/>
      <c r="D584" s="412"/>
      <c r="E584" s="412"/>
      <c r="F584" s="412"/>
      <c r="G584" s="412"/>
      <c r="H584" s="412"/>
      <c r="I584" s="412"/>
      <c r="J584" s="412"/>
      <c r="K584" s="413"/>
      <c r="L584" s="413"/>
      <c r="M584" s="413"/>
      <c r="N584" s="414"/>
      <c r="O584" s="412"/>
      <c r="P584" s="412"/>
      <c r="Q584" s="412"/>
      <c r="R584" s="412"/>
      <c r="S584" s="412"/>
      <c r="T584" s="412"/>
      <c r="U584" s="292"/>
      <c r="V584" s="292"/>
      <c r="W584" s="292"/>
      <c r="X584" s="415"/>
      <c r="Y584" s="416"/>
      <c r="Z584" s="417"/>
      <c r="AA584" s="304"/>
      <c r="AB584" s="304"/>
      <c r="AC584" s="304"/>
      <c r="AD584" s="304"/>
      <c r="AE584" s="304"/>
      <c r="AF584" s="304"/>
      <c r="AG584" s="304"/>
      <c r="AH584" s="304"/>
    </row>
    <row r="585">
      <c r="A585" s="292"/>
      <c r="B585" s="292"/>
      <c r="C585" s="292"/>
      <c r="D585" s="412"/>
      <c r="E585" s="412"/>
      <c r="F585" s="412"/>
      <c r="G585" s="412"/>
      <c r="H585" s="412"/>
      <c r="I585" s="412"/>
      <c r="J585" s="412"/>
      <c r="K585" s="413"/>
      <c r="L585" s="413"/>
      <c r="M585" s="413"/>
      <c r="N585" s="414"/>
      <c r="O585" s="412"/>
      <c r="P585" s="412"/>
      <c r="Q585" s="412"/>
      <c r="R585" s="412"/>
      <c r="S585" s="412"/>
      <c r="T585" s="412"/>
      <c r="U585" s="292"/>
      <c r="V585" s="292"/>
      <c r="W585" s="292"/>
      <c r="X585" s="415"/>
      <c r="Y585" s="416"/>
      <c r="Z585" s="417"/>
      <c r="AA585" s="304"/>
      <c r="AB585" s="304"/>
      <c r="AC585" s="304"/>
      <c r="AD585" s="304"/>
      <c r="AE585" s="304"/>
      <c r="AF585" s="304"/>
      <c r="AG585" s="304"/>
      <c r="AH585" s="304"/>
    </row>
    <row r="586">
      <c r="A586" s="292"/>
      <c r="B586" s="292"/>
      <c r="C586" s="292"/>
      <c r="D586" s="412"/>
      <c r="E586" s="412"/>
      <c r="F586" s="412"/>
      <c r="G586" s="412"/>
      <c r="H586" s="412"/>
      <c r="I586" s="412"/>
      <c r="J586" s="412"/>
      <c r="K586" s="413"/>
      <c r="L586" s="413"/>
      <c r="M586" s="413"/>
      <c r="N586" s="414"/>
      <c r="O586" s="412"/>
      <c r="P586" s="412"/>
      <c r="Q586" s="412"/>
      <c r="R586" s="412"/>
      <c r="S586" s="412"/>
      <c r="T586" s="412"/>
      <c r="U586" s="292"/>
      <c r="V586" s="292"/>
      <c r="W586" s="292"/>
      <c r="X586" s="415"/>
      <c r="Y586" s="416"/>
      <c r="Z586" s="417"/>
      <c r="AA586" s="304"/>
      <c r="AB586" s="304"/>
      <c r="AC586" s="304"/>
      <c r="AD586" s="304"/>
      <c r="AE586" s="304"/>
      <c r="AF586" s="304"/>
      <c r="AG586" s="304"/>
      <c r="AH586" s="304"/>
    </row>
    <row r="587">
      <c r="A587" s="292"/>
      <c r="B587" s="292"/>
      <c r="C587" s="292"/>
      <c r="D587" s="412"/>
      <c r="E587" s="412"/>
      <c r="F587" s="412"/>
      <c r="G587" s="412"/>
      <c r="H587" s="412"/>
      <c r="I587" s="412"/>
      <c r="J587" s="412"/>
      <c r="K587" s="413"/>
      <c r="L587" s="413"/>
      <c r="M587" s="413"/>
      <c r="N587" s="414"/>
      <c r="O587" s="412"/>
      <c r="P587" s="412"/>
      <c r="Q587" s="412"/>
      <c r="R587" s="412"/>
      <c r="S587" s="412"/>
      <c r="T587" s="412"/>
      <c r="U587" s="292"/>
      <c r="V587" s="292"/>
      <c r="W587" s="292"/>
      <c r="X587" s="415"/>
      <c r="Y587" s="416"/>
      <c r="Z587" s="417"/>
      <c r="AA587" s="304"/>
      <c r="AB587" s="304"/>
      <c r="AC587" s="304"/>
      <c r="AD587" s="304"/>
      <c r="AE587" s="304"/>
      <c r="AF587" s="304"/>
      <c r="AG587" s="304"/>
      <c r="AH587" s="304"/>
    </row>
    <row r="588">
      <c r="A588" s="292"/>
      <c r="B588" s="292"/>
      <c r="C588" s="292"/>
      <c r="D588" s="412"/>
      <c r="E588" s="412"/>
      <c r="F588" s="412"/>
      <c r="G588" s="412"/>
      <c r="H588" s="412"/>
      <c r="I588" s="412"/>
      <c r="J588" s="412"/>
      <c r="K588" s="413"/>
      <c r="L588" s="413"/>
      <c r="M588" s="413"/>
      <c r="N588" s="414"/>
      <c r="O588" s="412"/>
      <c r="P588" s="412"/>
      <c r="Q588" s="412"/>
      <c r="R588" s="412"/>
      <c r="S588" s="412"/>
      <c r="T588" s="412"/>
      <c r="U588" s="292"/>
      <c r="V588" s="292"/>
      <c r="W588" s="292"/>
      <c r="X588" s="415"/>
      <c r="Y588" s="416"/>
      <c r="Z588" s="417"/>
      <c r="AA588" s="304"/>
      <c r="AB588" s="304"/>
      <c r="AC588" s="304"/>
      <c r="AD588" s="304"/>
      <c r="AE588" s="304"/>
      <c r="AF588" s="304"/>
      <c r="AG588" s="304"/>
      <c r="AH588" s="304"/>
    </row>
    <row r="589">
      <c r="A589" s="292"/>
      <c r="B589" s="292"/>
      <c r="C589" s="292"/>
      <c r="D589" s="412"/>
      <c r="E589" s="412"/>
      <c r="F589" s="412"/>
      <c r="G589" s="412"/>
      <c r="H589" s="412"/>
      <c r="I589" s="412"/>
      <c r="J589" s="412"/>
      <c r="K589" s="413"/>
      <c r="L589" s="413"/>
      <c r="M589" s="413"/>
      <c r="N589" s="414"/>
      <c r="O589" s="412"/>
      <c r="P589" s="412"/>
      <c r="Q589" s="412"/>
      <c r="R589" s="412"/>
      <c r="S589" s="412"/>
      <c r="T589" s="412"/>
      <c r="U589" s="292"/>
      <c r="V589" s="292"/>
      <c r="W589" s="292"/>
      <c r="X589" s="415"/>
      <c r="Y589" s="416"/>
      <c r="Z589" s="417"/>
      <c r="AA589" s="304"/>
      <c r="AB589" s="304"/>
      <c r="AC589" s="304"/>
      <c r="AD589" s="304"/>
      <c r="AE589" s="304"/>
      <c r="AF589" s="304"/>
      <c r="AG589" s="304"/>
      <c r="AH589" s="304"/>
    </row>
    <row r="590">
      <c r="A590" s="292"/>
      <c r="B590" s="292"/>
      <c r="C590" s="292"/>
      <c r="D590" s="412"/>
      <c r="E590" s="412"/>
      <c r="F590" s="412"/>
      <c r="G590" s="412"/>
      <c r="H590" s="412"/>
      <c r="I590" s="412"/>
      <c r="J590" s="412"/>
      <c r="K590" s="413"/>
      <c r="L590" s="413"/>
      <c r="M590" s="413"/>
      <c r="N590" s="414"/>
      <c r="O590" s="412"/>
      <c r="P590" s="412"/>
      <c r="Q590" s="412"/>
      <c r="R590" s="412"/>
      <c r="S590" s="412"/>
      <c r="T590" s="412"/>
      <c r="U590" s="292"/>
      <c r="V590" s="292"/>
      <c r="W590" s="292"/>
      <c r="X590" s="415"/>
      <c r="Y590" s="416"/>
      <c r="Z590" s="417"/>
      <c r="AA590" s="304"/>
      <c r="AB590" s="304"/>
      <c r="AC590" s="304"/>
      <c r="AD590" s="304"/>
      <c r="AE590" s="304"/>
      <c r="AF590" s="304"/>
      <c r="AG590" s="304"/>
      <c r="AH590" s="304"/>
    </row>
    <row r="591">
      <c r="A591" s="292"/>
      <c r="B591" s="292"/>
      <c r="C591" s="292"/>
      <c r="D591" s="412"/>
      <c r="E591" s="412"/>
      <c r="F591" s="412"/>
      <c r="G591" s="412"/>
      <c r="H591" s="412"/>
      <c r="I591" s="412"/>
      <c r="J591" s="412"/>
      <c r="K591" s="413"/>
      <c r="L591" s="413"/>
      <c r="M591" s="413"/>
      <c r="N591" s="414"/>
      <c r="O591" s="412"/>
      <c r="P591" s="412"/>
      <c r="Q591" s="412"/>
      <c r="R591" s="412"/>
      <c r="S591" s="412"/>
      <c r="T591" s="412"/>
      <c r="U591" s="292"/>
      <c r="V591" s="292"/>
      <c r="W591" s="292"/>
      <c r="X591" s="415"/>
      <c r="Y591" s="416"/>
      <c r="Z591" s="417"/>
      <c r="AA591" s="304"/>
      <c r="AB591" s="304"/>
      <c r="AC591" s="304"/>
      <c r="AD591" s="304"/>
      <c r="AE591" s="304"/>
      <c r="AF591" s="304"/>
      <c r="AG591" s="304"/>
      <c r="AH591" s="304"/>
    </row>
    <row r="592">
      <c r="A592" s="292"/>
      <c r="B592" s="292"/>
      <c r="C592" s="292"/>
      <c r="D592" s="412"/>
      <c r="E592" s="412"/>
      <c r="F592" s="412"/>
      <c r="G592" s="412"/>
      <c r="H592" s="412"/>
      <c r="I592" s="412"/>
      <c r="J592" s="412"/>
      <c r="K592" s="413"/>
      <c r="L592" s="413"/>
      <c r="M592" s="413"/>
      <c r="N592" s="414"/>
      <c r="O592" s="412"/>
      <c r="P592" s="412"/>
      <c r="Q592" s="412"/>
      <c r="R592" s="412"/>
      <c r="S592" s="412"/>
      <c r="T592" s="412"/>
      <c r="U592" s="292"/>
      <c r="V592" s="292"/>
      <c r="W592" s="292"/>
      <c r="X592" s="415"/>
      <c r="Y592" s="416"/>
      <c r="Z592" s="417"/>
      <c r="AA592" s="304"/>
      <c r="AB592" s="304"/>
      <c r="AC592" s="304"/>
      <c r="AD592" s="304"/>
      <c r="AE592" s="304"/>
      <c r="AF592" s="304"/>
      <c r="AG592" s="304"/>
      <c r="AH592" s="304"/>
    </row>
    <row r="593">
      <c r="A593" s="292"/>
      <c r="B593" s="292"/>
      <c r="C593" s="292"/>
      <c r="D593" s="412"/>
      <c r="E593" s="412"/>
      <c r="F593" s="412"/>
      <c r="G593" s="412"/>
      <c r="H593" s="412"/>
      <c r="I593" s="412"/>
      <c r="J593" s="412"/>
      <c r="K593" s="413"/>
      <c r="L593" s="413"/>
      <c r="M593" s="413"/>
      <c r="N593" s="414"/>
      <c r="O593" s="412"/>
      <c r="P593" s="412"/>
      <c r="Q593" s="412"/>
      <c r="R593" s="412"/>
      <c r="S593" s="412"/>
      <c r="T593" s="412"/>
      <c r="U593" s="292"/>
      <c r="V593" s="292"/>
      <c r="W593" s="292"/>
      <c r="X593" s="415"/>
      <c r="Y593" s="416"/>
      <c r="Z593" s="417"/>
      <c r="AA593" s="304"/>
      <c r="AB593" s="304"/>
      <c r="AC593" s="304"/>
      <c r="AD593" s="304"/>
      <c r="AE593" s="304"/>
      <c r="AF593" s="304"/>
      <c r="AG593" s="304"/>
      <c r="AH593" s="304"/>
    </row>
    <row r="594">
      <c r="A594" s="292"/>
      <c r="B594" s="292"/>
      <c r="C594" s="292"/>
      <c r="D594" s="412"/>
      <c r="E594" s="412"/>
      <c r="F594" s="412"/>
      <c r="G594" s="412"/>
      <c r="H594" s="412"/>
      <c r="I594" s="412"/>
      <c r="J594" s="412"/>
      <c r="K594" s="413"/>
      <c r="L594" s="413"/>
      <c r="M594" s="413"/>
      <c r="N594" s="414"/>
      <c r="O594" s="412"/>
      <c r="P594" s="412"/>
      <c r="Q594" s="412"/>
      <c r="R594" s="412"/>
      <c r="S594" s="412"/>
      <c r="T594" s="412"/>
      <c r="U594" s="292"/>
      <c r="V594" s="292"/>
      <c r="W594" s="292"/>
      <c r="X594" s="415"/>
      <c r="Y594" s="416"/>
      <c r="Z594" s="417"/>
      <c r="AA594" s="304"/>
      <c r="AB594" s="304"/>
      <c r="AC594" s="304"/>
      <c r="AD594" s="304"/>
      <c r="AE594" s="304"/>
      <c r="AF594" s="304"/>
      <c r="AG594" s="304"/>
      <c r="AH594" s="304"/>
    </row>
    <row r="595">
      <c r="A595" s="292"/>
      <c r="B595" s="292"/>
      <c r="C595" s="292"/>
      <c r="D595" s="412"/>
      <c r="E595" s="412"/>
      <c r="F595" s="412"/>
      <c r="G595" s="412"/>
      <c r="H595" s="412"/>
      <c r="I595" s="412"/>
      <c r="J595" s="412"/>
      <c r="K595" s="413"/>
      <c r="L595" s="413"/>
      <c r="M595" s="413"/>
      <c r="N595" s="414"/>
      <c r="O595" s="412"/>
      <c r="P595" s="412"/>
      <c r="Q595" s="412"/>
      <c r="R595" s="412"/>
      <c r="S595" s="412"/>
      <c r="T595" s="412"/>
      <c r="U595" s="292"/>
      <c r="V595" s="292"/>
      <c r="W595" s="292"/>
      <c r="X595" s="415"/>
      <c r="Y595" s="416"/>
      <c r="Z595" s="417"/>
      <c r="AA595" s="304"/>
      <c r="AB595" s="304"/>
      <c r="AC595" s="304"/>
      <c r="AD595" s="304"/>
      <c r="AE595" s="304"/>
      <c r="AF595" s="304"/>
      <c r="AG595" s="304"/>
      <c r="AH595" s="304"/>
    </row>
    <row r="596">
      <c r="A596" s="292"/>
      <c r="B596" s="292"/>
      <c r="C596" s="292"/>
      <c r="D596" s="412"/>
      <c r="E596" s="412"/>
      <c r="F596" s="412"/>
      <c r="G596" s="412"/>
      <c r="H596" s="412"/>
      <c r="I596" s="412"/>
      <c r="J596" s="412"/>
      <c r="K596" s="413"/>
      <c r="L596" s="413"/>
      <c r="M596" s="413"/>
      <c r="N596" s="414"/>
      <c r="O596" s="412"/>
      <c r="P596" s="412"/>
      <c r="Q596" s="412"/>
      <c r="R596" s="412"/>
      <c r="S596" s="412"/>
      <c r="T596" s="412"/>
      <c r="U596" s="292"/>
      <c r="V596" s="292"/>
      <c r="W596" s="292"/>
      <c r="X596" s="415"/>
      <c r="Y596" s="416"/>
      <c r="Z596" s="417"/>
      <c r="AA596" s="304"/>
      <c r="AB596" s="304"/>
      <c r="AC596" s="304"/>
      <c r="AD596" s="304"/>
      <c r="AE596" s="304"/>
      <c r="AF596" s="304"/>
      <c r="AG596" s="304"/>
      <c r="AH596" s="304"/>
    </row>
    <row r="597">
      <c r="A597" s="292"/>
      <c r="B597" s="292"/>
      <c r="C597" s="292"/>
      <c r="D597" s="412"/>
      <c r="E597" s="412"/>
      <c r="F597" s="412"/>
      <c r="G597" s="412"/>
      <c r="H597" s="412"/>
      <c r="I597" s="412"/>
      <c r="J597" s="412"/>
      <c r="K597" s="413"/>
      <c r="L597" s="413"/>
      <c r="M597" s="413"/>
      <c r="N597" s="414"/>
      <c r="O597" s="412"/>
      <c r="P597" s="412"/>
      <c r="Q597" s="412"/>
      <c r="R597" s="412"/>
      <c r="S597" s="412"/>
      <c r="T597" s="412"/>
      <c r="U597" s="292"/>
      <c r="V597" s="292"/>
      <c r="W597" s="292"/>
      <c r="X597" s="415"/>
      <c r="Y597" s="416"/>
      <c r="Z597" s="417"/>
      <c r="AA597" s="304"/>
      <c r="AB597" s="304"/>
      <c r="AC597" s="304"/>
      <c r="AD597" s="304"/>
      <c r="AE597" s="304"/>
      <c r="AF597" s="304"/>
      <c r="AG597" s="304"/>
      <c r="AH597" s="304"/>
    </row>
    <row r="598">
      <c r="A598" s="292"/>
      <c r="B598" s="292"/>
      <c r="C598" s="292"/>
      <c r="D598" s="412"/>
      <c r="E598" s="412"/>
      <c r="F598" s="412"/>
      <c r="G598" s="412"/>
      <c r="H598" s="412"/>
      <c r="I598" s="412"/>
      <c r="J598" s="412"/>
      <c r="K598" s="413"/>
      <c r="L598" s="413"/>
      <c r="M598" s="413"/>
      <c r="N598" s="414"/>
      <c r="O598" s="412"/>
      <c r="P598" s="412"/>
      <c r="Q598" s="412"/>
      <c r="R598" s="412"/>
      <c r="S598" s="412"/>
      <c r="T598" s="412"/>
      <c r="U598" s="292"/>
      <c r="V598" s="292"/>
      <c r="W598" s="292"/>
      <c r="X598" s="415"/>
      <c r="Y598" s="416"/>
      <c r="Z598" s="417"/>
      <c r="AA598" s="304"/>
      <c r="AB598" s="304"/>
      <c r="AC598" s="304"/>
      <c r="AD598" s="304"/>
      <c r="AE598" s="304"/>
      <c r="AF598" s="304"/>
      <c r="AG598" s="304"/>
      <c r="AH598" s="304"/>
    </row>
    <row r="599">
      <c r="A599" s="292"/>
      <c r="B599" s="292"/>
      <c r="C599" s="292"/>
      <c r="D599" s="412"/>
      <c r="E599" s="412"/>
      <c r="F599" s="412"/>
      <c r="G599" s="412"/>
      <c r="H599" s="412"/>
      <c r="I599" s="412"/>
      <c r="J599" s="412"/>
      <c r="K599" s="413"/>
      <c r="L599" s="413"/>
      <c r="M599" s="413"/>
      <c r="N599" s="414"/>
      <c r="O599" s="412"/>
      <c r="P599" s="412"/>
      <c r="Q599" s="412"/>
      <c r="R599" s="412"/>
      <c r="S599" s="412"/>
      <c r="T599" s="412"/>
      <c r="U599" s="292"/>
      <c r="V599" s="292"/>
      <c r="W599" s="292"/>
      <c r="X599" s="415"/>
      <c r="Y599" s="416"/>
      <c r="Z599" s="417"/>
      <c r="AA599" s="304"/>
      <c r="AB599" s="304"/>
      <c r="AC599" s="304"/>
      <c r="AD599" s="304"/>
      <c r="AE599" s="304"/>
      <c r="AF599" s="304"/>
      <c r="AG599" s="304"/>
      <c r="AH599" s="304"/>
    </row>
    <row r="600">
      <c r="A600" s="292"/>
      <c r="B600" s="292"/>
      <c r="C600" s="292"/>
      <c r="D600" s="412"/>
      <c r="E600" s="412"/>
      <c r="F600" s="412"/>
      <c r="G600" s="412"/>
      <c r="H600" s="412"/>
      <c r="I600" s="412"/>
      <c r="J600" s="412"/>
      <c r="K600" s="413"/>
      <c r="L600" s="413"/>
      <c r="M600" s="413"/>
      <c r="N600" s="414"/>
      <c r="O600" s="412"/>
      <c r="P600" s="412"/>
      <c r="Q600" s="412"/>
      <c r="R600" s="412"/>
      <c r="S600" s="412"/>
      <c r="T600" s="412"/>
      <c r="U600" s="292"/>
      <c r="V600" s="292"/>
      <c r="W600" s="292"/>
      <c r="X600" s="415"/>
      <c r="Y600" s="416"/>
      <c r="Z600" s="417"/>
      <c r="AA600" s="304"/>
      <c r="AB600" s="304"/>
      <c r="AC600" s="304"/>
      <c r="AD600" s="304"/>
      <c r="AE600" s="304"/>
      <c r="AF600" s="304"/>
      <c r="AG600" s="304"/>
      <c r="AH600" s="304"/>
    </row>
    <row r="601">
      <c r="A601" s="292"/>
      <c r="B601" s="292"/>
      <c r="C601" s="292"/>
      <c r="D601" s="412"/>
      <c r="E601" s="412"/>
      <c r="F601" s="412"/>
      <c r="G601" s="412"/>
      <c r="H601" s="412"/>
      <c r="I601" s="412"/>
      <c r="J601" s="412"/>
      <c r="K601" s="413"/>
      <c r="L601" s="413"/>
      <c r="M601" s="413"/>
      <c r="N601" s="414"/>
      <c r="O601" s="412"/>
      <c r="P601" s="412"/>
      <c r="Q601" s="412"/>
      <c r="R601" s="412"/>
      <c r="S601" s="412"/>
      <c r="T601" s="412"/>
      <c r="U601" s="292"/>
      <c r="V601" s="292"/>
      <c r="W601" s="292"/>
      <c r="X601" s="415"/>
      <c r="Y601" s="416"/>
      <c r="Z601" s="417"/>
      <c r="AA601" s="304"/>
      <c r="AB601" s="304"/>
      <c r="AC601" s="304"/>
      <c r="AD601" s="304"/>
      <c r="AE601" s="304"/>
      <c r="AF601" s="304"/>
      <c r="AG601" s="304"/>
      <c r="AH601" s="304"/>
    </row>
    <row r="602">
      <c r="A602" s="292"/>
      <c r="B602" s="292"/>
      <c r="C602" s="292"/>
      <c r="D602" s="412"/>
      <c r="E602" s="412"/>
      <c r="F602" s="412"/>
      <c r="G602" s="412"/>
      <c r="H602" s="412"/>
      <c r="I602" s="412"/>
      <c r="J602" s="412"/>
      <c r="K602" s="413"/>
      <c r="L602" s="413"/>
      <c r="M602" s="413"/>
      <c r="N602" s="414"/>
      <c r="O602" s="412"/>
      <c r="P602" s="412"/>
      <c r="Q602" s="412"/>
      <c r="R602" s="412"/>
      <c r="S602" s="412"/>
      <c r="T602" s="412"/>
      <c r="U602" s="292"/>
      <c r="V602" s="292"/>
      <c r="W602" s="292"/>
      <c r="X602" s="415"/>
      <c r="Y602" s="416"/>
      <c r="Z602" s="417"/>
      <c r="AA602" s="304"/>
      <c r="AB602" s="304"/>
      <c r="AC602" s="304"/>
      <c r="AD602" s="304"/>
      <c r="AE602" s="304"/>
      <c r="AF602" s="304"/>
      <c r="AG602" s="304"/>
      <c r="AH602" s="304"/>
    </row>
    <row r="603">
      <c r="A603" s="292"/>
      <c r="B603" s="292"/>
      <c r="C603" s="292"/>
      <c r="D603" s="412"/>
      <c r="E603" s="412"/>
      <c r="F603" s="412"/>
      <c r="G603" s="412"/>
      <c r="H603" s="412"/>
      <c r="I603" s="412"/>
      <c r="J603" s="412"/>
      <c r="K603" s="413"/>
      <c r="L603" s="413"/>
      <c r="M603" s="413"/>
      <c r="N603" s="414"/>
      <c r="O603" s="412"/>
      <c r="P603" s="412"/>
      <c r="Q603" s="412"/>
      <c r="R603" s="412"/>
      <c r="S603" s="412"/>
      <c r="T603" s="412"/>
      <c r="U603" s="292"/>
      <c r="V603" s="292"/>
      <c r="W603" s="292"/>
      <c r="X603" s="415"/>
      <c r="Y603" s="416"/>
      <c r="Z603" s="417"/>
      <c r="AA603" s="304"/>
      <c r="AB603" s="304"/>
      <c r="AC603" s="304"/>
      <c r="AD603" s="304"/>
      <c r="AE603" s="304"/>
      <c r="AF603" s="304"/>
      <c r="AG603" s="304"/>
      <c r="AH603" s="304"/>
    </row>
    <row r="604">
      <c r="A604" s="292"/>
      <c r="B604" s="292"/>
      <c r="C604" s="292"/>
      <c r="D604" s="412"/>
      <c r="E604" s="412"/>
      <c r="F604" s="412"/>
      <c r="G604" s="412"/>
      <c r="H604" s="412"/>
      <c r="I604" s="412"/>
      <c r="J604" s="412"/>
      <c r="K604" s="413"/>
      <c r="L604" s="413"/>
      <c r="M604" s="413"/>
      <c r="N604" s="414"/>
      <c r="O604" s="412"/>
      <c r="P604" s="412"/>
      <c r="Q604" s="412"/>
      <c r="R604" s="412"/>
      <c r="S604" s="412"/>
      <c r="T604" s="412"/>
      <c r="U604" s="292"/>
      <c r="V604" s="292"/>
      <c r="W604" s="292"/>
      <c r="X604" s="415"/>
      <c r="Y604" s="416"/>
      <c r="Z604" s="417"/>
      <c r="AA604" s="304"/>
      <c r="AB604" s="304"/>
      <c r="AC604" s="304"/>
      <c r="AD604" s="304"/>
      <c r="AE604" s="304"/>
      <c r="AF604" s="304"/>
      <c r="AG604" s="304"/>
      <c r="AH604" s="304"/>
    </row>
    <row r="605">
      <c r="A605" s="292"/>
      <c r="B605" s="292"/>
      <c r="C605" s="292"/>
      <c r="D605" s="412"/>
      <c r="E605" s="412"/>
      <c r="F605" s="412"/>
      <c r="G605" s="412"/>
      <c r="H605" s="412"/>
      <c r="I605" s="412"/>
      <c r="J605" s="412"/>
      <c r="K605" s="413"/>
      <c r="L605" s="413"/>
      <c r="M605" s="413"/>
      <c r="N605" s="414"/>
      <c r="O605" s="412"/>
      <c r="P605" s="412"/>
      <c r="Q605" s="412"/>
      <c r="R605" s="412"/>
      <c r="S605" s="412"/>
      <c r="T605" s="412"/>
      <c r="U605" s="292"/>
      <c r="V605" s="292"/>
      <c r="W605" s="292"/>
      <c r="X605" s="415"/>
      <c r="Y605" s="416"/>
      <c r="Z605" s="417"/>
      <c r="AA605" s="304"/>
      <c r="AB605" s="304"/>
      <c r="AC605" s="304"/>
      <c r="AD605" s="304"/>
      <c r="AE605" s="304"/>
      <c r="AF605" s="304"/>
      <c r="AG605" s="304"/>
      <c r="AH605" s="304"/>
    </row>
    <row r="606">
      <c r="A606" s="292"/>
      <c r="B606" s="292"/>
      <c r="C606" s="292"/>
      <c r="D606" s="412"/>
      <c r="E606" s="412"/>
      <c r="F606" s="412"/>
      <c r="G606" s="412"/>
      <c r="H606" s="412"/>
      <c r="I606" s="412"/>
      <c r="J606" s="412"/>
      <c r="K606" s="413"/>
      <c r="L606" s="413"/>
      <c r="M606" s="413"/>
      <c r="N606" s="414"/>
      <c r="O606" s="412"/>
      <c r="P606" s="412"/>
      <c r="Q606" s="412"/>
      <c r="R606" s="412"/>
      <c r="S606" s="412"/>
      <c r="T606" s="412"/>
      <c r="U606" s="292"/>
      <c r="V606" s="292"/>
      <c r="W606" s="292"/>
      <c r="X606" s="415"/>
      <c r="Y606" s="416"/>
      <c r="Z606" s="417"/>
      <c r="AA606" s="304"/>
      <c r="AB606" s="304"/>
      <c r="AC606" s="304"/>
      <c r="AD606" s="304"/>
      <c r="AE606" s="304"/>
      <c r="AF606" s="304"/>
      <c r="AG606" s="304"/>
      <c r="AH606" s="304"/>
    </row>
    <row r="607">
      <c r="A607" s="292"/>
      <c r="B607" s="292"/>
      <c r="C607" s="292"/>
      <c r="D607" s="412"/>
      <c r="E607" s="412"/>
      <c r="F607" s="412"/>
      <c r="G607" s="412"/>
      <c r="H607" s="412"/>
      <c r="I607" s="412"/>
      <c r="J607" s="412"/>
      <c r="K607" s="413"/>
      <c r="L607" s="413"/>
      <c r="M607" s="413"/>
      <c r="N607" s="414"/>
      <c r="O607" s="412"/>
      <c r="P607" s="412"/>
      <c r="Q607" s="412"/>
      <c r="R607" s="412"/>
      <c r="S607" s="412"/>
      <c r="T607" s="412"/>
      <c r="U607" s="292"/>
      <c r="V607" s="292"/>
      <c r="W607" s="292"/>
      <c r="X607" s="415"/>
      <c r="Y607" s="416"/>
      <c r="Z607" s="417"/>
      <c r="AA607" s="304"/>
      <c r="AB607" s="304"/>
      <c r="AC607" s="304"/>
      <c r="AD607" s="304"/>
      <c r="AE607" s="304"/>
      <c r="AF607" s="304"/>
      <c r="AG607" s="304"/>
      <c r="AH607" s="304"/>
    </row>
    <row r="608">
      <c r="A608" s="292"/>
      <c r="B608" s="292"/>
      <c r="C608" s="292"/>
      <c r="D608" s="412"/>
      <c r="E608" s="412"/>
      <c r="F608" s="412"/>
      <c r="G608" s="412"/>
      <c r="H608" s="412"/>
      <c r="I608" s="412"/>
      <c r="J608" s="412"/>
      <c r="K608" s="413"/>
      <c r="L608" s="413"/>
      <c r="M608" s="413"/>
      <c r="N608" s="414"/>
      <c r="O608" s="412"/>
      <c r="P608" s="412"/>
      <c r="Q608" s="412"/>
      <c r="R608" s="412"/>
      <c r="S608" s="412"/>
      <c r="T608" s="412"/>
      <c r="U608" s="292"/>
      <c r="V608" s="292"/>
      <c r="W608" s="292"/>
      <c r="X608" s="415"/>
      <c r="Y608" s="416"/>
      <c r="Z608" s="417"/>
      <c r="AA608" s="304"/>
      <c r="AB608" s="304"/>
      <c r="AC608" s="304"/>
      <c r="AD608" s="304"/>
      <c r="AE608" s="304"/>
      <c r="AF608" s="304"/>
      <c r="AG608" s="304"/>
      <c r="AH608" s="304"/>
    </row>
    <row r="609">
      <c r="A609" s="292"/>
      <c r="B609" s="292"/>
      <c r="C609" s="292"/>
      <c r="D609" s="412"/>
      <c r="E609" s="412"/>
      <c r="F609" s="412"/>
      <c r="G609" s="412"/>
      <c r="H609" s="412"/>
      <c r="I609" s="412"/>
      <c r="J609" s="412"/>
      <c r="K609" s="413"/>
      <c r="L609" s="413"/>
      <c r="M609" s="413"/>
      <c r="N609" s="414"/>
      <c r="O609" s="412"/>
      <c r="P609" s="412"/>
      <c r="Q609" s="412"/>
      <c r="R609" s="412"/>
      <c r="S609" s="412"/>
      <c r="T609" s="412"/>
      <c r="U609" s="292"/>
      <c r="V609" s="292"/>
      <c r="W609" s="292"/>
      <c r="X609" s="415"/>
      <c r="Y609" s="416"/>
      <c r="Z609" s="417"/>
      <c r="AA609" s="304"/>
      <c r="AB609" s="304"/>
      <c r="AC609" s="304"/>
      <c r="AD609" s="304"/>
      <c r="AE609" s="304"/>
      <c r="AF609" s="304"/>
      <c r="AG609" s="304"/>
      <c r="AH609" s="304"/>
    </row>
    <row r="610">
      <c r="A610" s="292"/>
      <c r="B610" s="292"/>
      <c r="C610" s="292"/>
      <c r="D610" s="412"/>
      <c r="E610" s="412"/>
      <c r="F610" s="412"/>
      <c r="G610" s="412"/>
      <c r="H610" s="412"/>
      <c r="I610" s="412"/>
      <c r="J610" s="412"/>
      <c r="K610" s="413"/>
      <c r="L610" s="413"/>
      <c r="M610" s="413"/>
      <c r="N610" s="414"/>
      <c r="O610" s="412"/>
      <c r="P610" s="412"/>
      <c r="Q610" s="412"/>
      <c r="R610" s="412"/>
      <c r="S610" s="412"/>
      <c r="T610" s="412"/>
      <c r="U610" s="292"/>
      <c r="V610" s="292"/>
      <c r="W610" s="292"/>
      <c r="X610" s="415"/>
      <c r="Y610" s="416"/>
      <c r="Z610" s="417"/>
      <c r="AA610" s="304"/>
      <c r="AB610" s="304"/>
      <c r="AC610" s="304"/>
      <c r="AD610" s="304"/>
      <c r="AE610" s="304"/>
      <c r="AF610" s="304"/>
      <c r="AG610" s="304"/>
      <c r="AH610" s="304"/>
    </row>
    <row r="611">
      <c r="A611" s="292"/>
      <c r="B611" s="292"/>
      <c r="C611" s="292"/>
      <c r="D611" s="412"/>
      <c r="E611" s="412"/>
      <c r="F611" s="412"/>
      <c r="G611" s="412"/>
      <c r="H611" s="412"/>
      <c r="I611" s="412"/>
      <c r="J611" s="412"/>
      <c r="K611" s="413"/>
      <c r="L611" s="413"/>
      <c r="M611" s="413"/>
      <c r="N611" s="414"/>
      <c r="O611" s="412"/>
      <c r="P611" s="412"/>
      <c r="Q611" s="412"/>
      <c r="R611" s="412"/>
      <c r="S611" s="412"/>
      <c r="T611" s="412"/>
      <c r="U611" s="292"/>
      <c r="V611" s="292"/>
      <c r="W611" s="292"/>
      <c r="X611" s="415"/>
      <c r="Y611" s="416"/>
      <c r="Z611" s="417"/>
      <c r="AA611" s="304"/>
      <c r="AB611" s="304"/>
      <c r="AC611" s="304"/>
      <c r="AD611" s="304"/>
      <c r="AE611" s="304"/>
      <c r="AF611" s="304"/>
      <c r="AG611" s="304"/>
      <c r="AH611" s="304"/>
    </row>
    <row r="612">
      <c r="A612" s="292"/>
      <c r="B612" s="292"/>
      <c r="C612" s="292"/>
      <c r="D612" s="412"/>
      <c r="E612" s="412"/>
      <c r="F612" s="412"/>
      <c r="G612" s="412"/>
      <c r="H612" s="412"/>
      <c r="I612" s="412"/>
      <c r="J612" s="412"/>
      <c r="K612" s="413"/>
      <c r="L612" s="413"/>
      <c r="M612" s="413"/>
      <c r="N612" s="414"/>
      <c r="O612" s="412"/>
      <c r="P612" s="412"/>
      <c r="Q612" s="412"/>
      <c r="R612" s="412"/>
      <c r="S612" s="412"/>
      <c r="T612" s="412"/>
      <c r="U612" s="292"/>
      <c r="V612" s="292"/>
      <c r="W612" s="292"/>
      <c r="X612" s="415"/>
      <c r="Y612" s="416"/>
      <c r="Z612" s="417"/>
      <c r="AA612" s="304"/>
      <c r="AB612" s="304"/>
      <c r="AC612" s="304"/>
      <c r="AD612" s="304"/>
      <c r="AE612" s="304"/>
      <c r="AF612" s="304"/>
      <c r="AG612" s="304"/>
      <c r="AH612" s="304"/>
    </row>
    <row r="613">
      <c r="A613" s="292"/>
      <c r="B613" s="292"/>
      <c r="C613" s="292"/>
      <c r="D613" s="412"/>
      <c r="E613" s="412"/>
      <c r="F613" s="412"/>
      <c r="G613" s="412"/>
      <c r="H613" s="412"/>
      <c r="I613" s="412"/>
      <c r="J613" s="412"/>
      <c r="K613" s="413"/>
      <c r="L613" s="413"/>
      <c r="M613" s="413"/>
      <c r="N613" s="414"/>
      <c r="O613" s="412"/>
      <c r="P613" s="412"/>
      <c r="Q613" s="412"/>
      <c r="R613" s="412"/>
      <c r="S613" s="412"/>
      <c r="T613" s="412"/>
      <c r="U613" s="292"/>
      <c r="V613" s="292"/>
      <c r="W613" s="292"/>
      <c r="X613" s="415"/>
      <c r="Y613" s="416"/>
      <c r="Z613" s="417"/>
      <c r="AA613" s="304"/>
      <c r="AB613" s="304"/>
      <c r="AC613" s="304"/>
      <c r="AD613" s="304"/>
      <c r="AE613" s="304"/>
      <c r="AF613" s="304"/>
      <c r="AG613" s="304"/>
      <c r="AH613" s="304"/>
    </row>
    <row r="614">
      <c r="A614" s="292"/>
      <c r="B614" s="292"/>
      <c r="C614" s="292"/>
      <c r="D614" s="412"/>
      <c r="E614" s="412"/>
      <c r="F614" s="412"/>
      <c r="G614" s="412"/>
      <c r="H614" s="412"/>
      <c r="I614" s="412"/>
      <c r="J614" s="412"/>
      <c r="K614" s="413"/>
      <c r="L614" s="413"/>
      <c r="M614" s="413"/>
      <c r="N614" s="414"/>
      <c r="O614" s="412"/>
      <c r="P614" s="412"/>
      <c r="Q614" s="412"/>
      <c r="R614" s="412"/>
      <c r="S614" s="412"/>
      <c r="T614" s="412"/>
      <c r="U614" s="292"/>
      <c r="V614" s="292"/>
      <c r="W614" s="292"/>
      <c r="X614" s="415"/>
      <c r="Y614" s="416"/>
      <c r="Z614" s="417"/>
      <c r="AA614" s="304"/>
      <c r="AB614" s="304"/>
      <c r="AC614" s="304"/>
      <c r="AD614" s="304"/>
      <c r="AE614" s="304"/>
      <c r="AF614" s="304"/>
      <c r="AG614" s="304"/>
      <c r="AH614" s="304"/>
    </row>
    <row r="615">
      <c r="A615" s="292"/>
      <c r="B615" s="292"/>
      <c r="C615" s="292"/>
      <c r="D615" s="412"/>
      <c r="E615" s="412"/>
      <c r="F615" s="412"/>
      <c r="G615" s="412"/>
      <c r="H615" s="412"/>
      <c r="I615" s="412"/>
      <c r="J615" s="412"/>
      <c r="K615" s="413"/>
      <c r="L615" s="413"/>
      <c r="M615" s="413"/>
      <c r="N615" s="414"/>
      <c r="O615" s="412"/>
      <c r="P615" s="412"/>
      <c r="Q615" s="412"/>
      <c r="R615" s="412"/>
      <c r="S615" s="412"/>
      <c r="T615" s="412"/>
      <c r="U615" s="292"/>
      <c r="V615" s="292"/>
      <c r="W615" s="292"/>
      <c r="X615" s="415"/>
      <c r="Y615" s="416"/>
      <c r="Z615" s="417"/>
      <c r="AA615" s="304"/>
      <c r="AB615" s="304"/>
      <c r="AC615" s="304"/>
      <c r="AD615" s="304"/>
      <c r="AE615" s="304"/>
      <c r="AF615" s="304"/>
      <c r="AG615" s="304"/>
      <c r="AH615" s="304"/>
    </row>
    <row r="616">
      <c r="A616" s="292"/>
      <c r="B616" s="292"/>
      <c r="C616" s="292"/>
      <c r="D616" s="412"/>
      <c r="E616" s="412"/>
      <c r="F616" s="412"/>
      <c r="G616" s="412"/>
      <c r="H616" s="412"/>
      <c r="I616" s="412"/>
      <c r="J616" s="412"/>
      <c r="K616" s="413"/>
      <c r="L616" s="413"/>
      <c r="M616" s="413"/>
      <c r="N616" s="414"/>
      <c r="O616" s="412"/>
      <c r="P616" s="412"/>
      <c r="Q616" s="412"/>
      <c r="R616" s="412"/>
      <c r="S616" s="412"/>
      <c r="T616" s="412"/>
      <c r="U616" s="292"/>
      <c r="V616" s="292"/>
      <c r="W616" s="292"/>
      <c r="X616" s="415"/>
      <c r="Y616" s="416"/>
      <c r="Z616" s="417"/>
      <c r="AA616" s="304"/>
      <c r="AB616" s="304"/>
      <c r="AC616" s="304"/>
      <c r="AD616" s="304"/>
      <c r="AE616" s="304"/>
      <c r="AF616" s="304"/>
      <c r="AG616" s="304"/>
      <c r="AH616" s="304"/>
    </row>
    <row r="617">
      <c r="A617" s="292"/>
      <c r="B617" s="292"/>
      <c r="C617" s="292"/>
      <c r="D617" s="412"/>
      <c r="E617" s="412"/>
      <c r="F617" s="412"/>
      <c r="G617" s="412"/>
      <c r="H617" s="412"/>
      <c r="I617" s="412"/>
      <c r="J617" s="412"/>
      <c r="K617" s="413"/>
      <c r="L617" s="413"/>
      <c r="M617" s="413"/>
      <c r="N617" s="414"/>
      <c r="O617" s="412"/>
      <c r="P617" s="412"/>
      <c r="Q617" s="412"/>
      <c r="R617" s="412"/>
      <c r="S617" s="412"/>
      <c r="T617" s="412"/>
      <c r="U617" s="292"/>
      <c r="V617" s="292"/>
      <c r="W617" s="292"/>
      <c r="X617" s="415"/>
      <c r="Y617" s="416"/>
      <c r="Z617" s="417"/>
      <c r="AA617" s="304"/>
      <c r="AB617" s="304"/>
      <c r="AC617" s="304"/>
      <c r="AD617" s="304"/>
      <c r="AE617" s="304"/>
      <c r="AF617" s="304"/>
      <c r="AG617" s="304"/>
      <c r="AH617" s="304"/>
    </row>
    <row r="618">
      <c r="A618" s="292"/>
      <c r="B618" s="292"/>
      <c r="C618" s="292"/>
      <c r="D618" s="412"/>
      <c r="E618" s="412"/>
      <c r="F618" s="412"/>
      <c r="G618" s="412"/>
      <c r="H618" s="412"/>
      <c r="I618" s="412"/>
      <c r="J618" s="412"/>
      <c r="K618" s="413"/>
      <c r="L618" s="413"/>
      <c r="M618" s="413"/>
      <c r="N618" s="414"/>
      <c r="O618" s="412"/>
      <c r="P618" s="412"/>
      <c r="Q618" s="412"/>
      <c r="R618" s="412"/>
      <c r="S618" s="412"/>
      <c r="T618" s="412"/>
      <c r="U618" s="292"/>
      <c r="V618" s="292"/>
      <c r="W618" s="292"/>
      <c r="X618" s="415"/>
      <c r="Y618" s="416"/>
      <c r="Z618" s="417"/>
      <c r="AA618" s="304"/>
      <c r="AB618" s="304"/>
      <c r="AC618" s="304"/>
      <c r="AD618" s="304"/>
      <c r="AE618" s="304"/>
      <c r="AF618" s="304"/>
      <c r="AG618" s="304"/>
      <c r="AH618" s="304"/>
    </row>
    <row r="619">
      <c r="A619" s="292"/>
      <c r="B619" s="292"/>
      <c r="C619" s="292"/>
      <c r="D619" s="412"/>
      <c r="E619" s="412"/>
      <c r="F619" s="412"/>
      <c r="G619" s="412"/>
      <c r="H619" s="412"/>
      <c r="I619" s="412"/>
      <c r="J619" s="412"/>
      <c r="K619" s="413"/>
      <c r="L619" s="413"/>
      <c r="M619" s="413"/>
      <c r="N619" s="414"/>
      <c r="O619" s="412"/>
      <c r="P619" s="412"/>
      <c r="Q619" s="412"/>
      <c r="R619" s="412"/>
      <c r="S619" s="412"/>
      <c r="T619" s="412"/>
      <c r="U619" s="292"/>
      <c r="V619" s="292"/>
      <c r="W619" s="292"/>
      <c r="X619" s="415"/>
      <c r="Y619" s="416"/>
      <c r="Z619" s="417"/>
      <c r="AA619" s="304"/>
      <c r="AB619" s="304"/>
      <c r="AC619" s="304"/>
      <c r="AD619" s="304"/>
      <c r="AE619" s="304"/>
      <c r="AF619" s="304"/>
      <c r="AG619" s="304"/>
      <c r="AH619" s="304"/>
    </row>
    <row r="620">
      <c r="A620" s="292"/>
      <c r="B620" s="292"/>
      <c r="C620" s="292"/>
      <c r="D620" s="412"/>
      <c r="E620" s="412"/>
      <c r="F620" s="412"/>
      <c r="G620" s="412"/>
      <c r="H620" s="412"/>
      <c r="I620" s="412"/>
      <c r="J620" s="412"/>
      <c r="K620" s="413"/>
      <c r="L620" s="413"/>
      <c r="M620" s="413"/>
      <c r="N620" s="414"/>
      <c r="O620" s="412"/>
      <c r="P620" s="412"/>
      <c r="Q620" s="412"/>
      <c r="R620" s="412"/>
      <c r="S620" s="412"/>
      <c r="T620" s="412"/>
      <c r="U620" s="292"/>
      <c r="V620" s="292"/>
      <c r="W620" s="292"/>
      <c r="X620" s="415"/>
      <c r="Y620" s="416"/>
      <c r="Z620" s="417"/>
      <c r="AA620" s="304"/>
      <c r="AB620" s="304"/>
      <c r="AC620" s="304"/>
      <c r="AD620" s="304"/>
      <c r="AE620" s="304"/>
      <c r="AF620" s="304"/>
      <c r="AG620" s="304"/>
      <c r="AH620" s="304"/>
    </row>
    <row r="621">
      <c r="A621" s="292"/>
      <c r="B621" s="292"/>
      <c r="C621" s="292"/>
      <c r="D621" s="412"/>
      <c r="E621" s="412"/>
      <c r="F621" s="412"/>
      <c r="G621" s="412"/>
      <c r="H621" s="412"/>
      <c r="I621" s="412"/>
      <c r="J621" s="412"/>
      <c r="K621" s="413"/>
      <c r="L621" s="413"/>
      <c r="M621" s="413"/>
      <c r="N621" s="414"/>
      <c r="O621" s="412"/>
      <c r="P621" s="412"/>
      <c r="Q621" s="412"/>
      <c r="R621" s="412"/>
      <c r="S621" s="412"/>
      <c r="T621" s="412"/>
      <c r="U621" s="292"/>
      <c r="V621" s="292"/>
      <c r="W621" s="292"/>
      <c r="X621" s="415"/>
      <c r="Y621" s="416"/>
      <c r="Z621" s="417"/>
      <c r="AA621" s="304"/>
      <c r="AB621" s="304"/>
      <c r="AC621" s="304"/>
      <c r="AD621" s="304"/>
      <c r="AE621" s="304"/>
      <c r="AF621" s="304"/>
      <c r="AG621" s="304"/>
      <c r="AH621" s="304"/>
    </row>
    <row r="622">
      <c r="A622" s="292"/>
      <c r="B622" s="292"/>
      <c r="C622" s="292"/>
      <c r="D622" s="412"/>
      <c r="E622" s="412"/>
      <c r="F622" s="412"/>
      <c r="G622" s="412"/>
      <c r="H622" s="412"/>
      <c r="I622" s="412"/>
      <c r="J622" s="412"/>
      <c r="K622" s="413"/>
      <c r="L622" s="413"/>
      <c r="M622" s="413"/>
      <c r="N622" s="414"/>
      <c r="O622" s="412"/>
      <c r="P622" s="412"/>
      <c r="Q622" s="412"/>
      <c r="R622" s="412"/>
      <c r="S622" s="412"/>
      <c r="T622" s="412"/>
      <c r="U622" s="292"/>
      <c r="V622" s="292"/>
      <c r="W622" s="292"/>
      <c r="X622" s="415"/>
      <c r="Y622" s="416"/>
      <c r="Z622" s="417"/>
      <c r="AA622" s="304"/>
      <c r="AB622" s="304"/>
      <c r="AC622" s="304"/>
      <c r="AD622" s="304"/>
      <c r="AE622" s="304"/>
      <c r="AF622" s="304"/>
      <c r="AG622" s="304"/>
      <c r="AH622" s="304"/>
    </row>
    <row r="623">
      <c r="A623" s="292"/>
      <c r="B623" s="292"/>
      <c r="C623" s="292"/>
      <c r="D623" s="412"/>
      <c r="E623" s="412"/>
      <c r="F623" s="412"/>
      <c r="G623" s="412"/>
      <c r="H623" s="412"/>
      <c r="I623" s="412"/>
      <c r="J623" s="412"/>
      <c r="K623" s="413"/>
      <c r="L623" s="413"/>
      <c r="M623" s="413"/>
      <c r="N623" s="414"/>
      <c r="O623" s="412"/>
      <c r="P623" s="412"/>
      <c r="Q623" s="412"/>
      <c r="R623" s="412"/>
      <c r="S623" s="412"/>
      <c r="T623" s="412"/>
      <c r="U623" s="292"/>
      <c r="V623" s="292"/>
      <c r="W623" s="292"/>
      <c r="X623" s="415"/>
      <c r="Y623" s="416"/>
      <c r="Z623" s="417"/>
      <c r="AA623" s="304"/>
      <c r="AB623" s="304"/>
      <c r="AC623" s="304"/>
      <c r="AD623" s="304"/>
      <c r="AE623" s="304"/>
      <c r="AF623" s="304"/>
      <c r="AG623" s="304"/>
      <c r="AH623" s="304"/>
    </row>
    <row r="624">
      <c r="A624" s="292"/>
      <c r="B624" s="292"/>
      <c r="C624" s="292"/>
      <c r="D624" s="412"/>
      <c r="E624" s="412"/>
      <c r="F624" s="412"/>
      <c r="G624" s="412"/>
      <c r="H624" s="412"/>
      <c r="I624" s="412"/>
      <c r="J624" s="412"/>
      <c r="K624" s="413"/>
      <c r="L624" s="413"/>
      <c r="M624" s="413"/>
      <c r="N624" s="414"/>
      <c r="O624" s="412"/>
      <c r="P624" s="412"/>
      <c r="Q624" s="412"/>
      <c r="R624" s="412"/>
      <c r="S624" s="412"/>
      <c r="T624" s="412"/>
      <c r="U624" s="292"/>
      <c r="V624" s="292"/>
      <c r="W624" s="292"/>
      <c r="X624" s="415"/>
      <c r="Y624" s="416"/>
      <c r="Z624" s="417"/>
      <c r="AA624" s="304"/>
      <c r="AB624" s="304"/>
      <c r="AC624" s="304"/>
      <c r="AD624" s="304"/>
      <c r="AE624" s="304"/>
      <c r="AF624" s="304"/>
      <c r="AG624" s="304"/>
      <c r="AH624" s="304"/>
    </row>
    <row r="625">
      <c r="A625" s="292"/>
      <c r="B625" s="292"/>
      <c r="C625" s="292"/>
      <c r="D625" s="412"/>
      <c r="E625" s="412"/>
      <c r="F625" s="412"/>
      <c r="G625" s="412"/>
      <c r="H625" s="412"/>
      <c r="I625" s="412"/>
      <c r="J625" s="412"/>
      <c r="K625" s="413"/>
      <c r="L625" s="413"/>
      <c r="M625" s="413"/>
      <c r="N625" s="414"/>
      <c r="O625" s="412"/>
      <c r="P625" s="412"/>
      <c r="Q625" s="412"/>
      <c r="R625" s="412"/>
      <c r="S625" s="412"/>
      <c r="T625" s="412"/>
      <c r="U625" s="292"/>
      <c r="V625" s="292"/>
      <c r="W625" s="292"/>
      <c r="X625" s="415"/>
      <c r="Y625" s="416"/>
      <c r="Z625" s="417"/>
      <c r="AA625" s="304"/>
      <c r="AB625" s="304"/>
      <c r="AC625" s="304"/>
      <c r="AD625" s="304"/>
      <c r="AE625" s="304"/>
      <c r="AF625" s="304"/>
      <c r="AG625" s="304"/>
      <c r="AH625" s="304"/>
    </row>
    <row r="626">
      <c r="A626" s="292"/>
      <c r="B626" s="292"/>
      <c r="C626" s="292"/>
      <c r="D626" s="412"/>
      <c r="E626" s="412"/>
      <c r="F626" s="412"/>
      <c r="G626" s="412"/>
      <c r="H626" s="412"/>
      <c r="I626" s="412"/>
      <c r="J626" s="412"/>
      <c r="K626" s="413"/>
      <c r="L626" s="413"/>
      <c r="M626" s="413"/>
      <c r="N626" s="414"/>
      <c r="O626" s="412"/>
      <c r="P626" s="412"/>
      <c r="Q626" s="412"/>
      <c r="R626" s="412"/>
      <c r="S626" s="412"/>
      <c r="T626" s="412"/>
      <c r="U626" s="292"/>
      <c r="V626" s="292"/>
      <c r="W626" s="292"/>
      <c r="X626" s="415"/>
      <c r="Y626" s="416"/>
      <c r="Z626" s="417"/>
      <c r="AA626" s="304"/>
      <c r="AB626" s="304"/>
      <c r="AC626" s="304"/>
      <c r="AD626" s="304"/>
      <c r="AE626" s="304"/>
      <c r="AF626" s="304"/>
      <c r="AG626" s="304"/>
      <c r="AH626" s="304"/>
    </row>
    <row r="627">
      <c r="A627" s="292"/>
      <c r="B627" s="292"/>
      <c r="C627" s="292"/>
      <c r="D627" s="412"/>
      <c r="E627" s="412"/>
      <c r="F627" s="412"/>
      <c r="G627" s="412"/>
      <c r="H627" s="412"/>
      <c r="I627" s="412"/>
      <c r="J627" s="412"/>
      <c r="K627" s="413"/>
      <c r="L627" s="413"/>
      <c r="M627" s="413"/>
      <c r="N627" s="414"/>
      <c r="O627" s="412"/>
      <c r="P627" s="412"/>
      <c r="Q627" s="412"/>
      <c r="R627" s="412"/>
      <c r="S627" s="412"/>
      <c r="T627" s="412"/>
      <c r="U627" s="292"/>
      <c r="V627" s="292"/>
      <c r="W627" s="292"/>
      <c r="X627" s="415"/>
      <c r="Y627" s="416"/>
      <c r="Z627" s="417"/>
      <c r="AA627" s="304"/>
      <c r="AB627" s="304"/>
      <c r="AC627" s="304"/>
      <c r="AD627" s="304"/>
      <c r="AE627" s="304"/>
      <c r="AF627" s="304"/>
      <c r="AG627" s="304"/>
      <c r="AH627" s="304"/>
    </row>
    <row r="628">
      <c r="A628" s="292"/>
      <c r="B628" s="292"/>
      <c r="C628" s="292"/>
      <c r="D628" s="412"/>
      <c r="E628" s="412"/>
      <c r="F628" s="412"/>
      <c r="G628" s="412"/>
      <c r="H628" s="412"/>
      <c r="I628" s="412"/>
      <c r="J628" s="412"/>
      <c r="K628" s="413"/>
      <c r="L628" s="413"/>
      <c r="M628" s="413"/>
      <c r="N628" s="414"/>
      <c r="O628" s="412"/>
      <c r="P628" s="412"/>
      <c r="Q628" s="412"/>
      <c r="R628" s="412"/>
      <c r="S628" s="412"/>
      <c r="T628" s="412"/>
      <c r="U628" s="292"/>
      <c r="V628" s="292"/>
      <c r="W628" s="292"/>
      <c r="X628" s="415"/>
      <c r="Y628" s="416"/>
      <c r="Z628" s="417"/>
      <c r="AA628" s="304"/>
      <c r="AB628" s="304"/>
      <c r="AC628" s="304"/>
      <c r="AD628" s="304"/>
      <c r="AE628" s="304"/>
      <c r="AF628" s="304"/>
      <c r="AG628" s="304"/>
      <c r="AH628" s="304"/>
    </row>
    <row r="629">
      <c r="A629" s="292"/>
      <c r="B629" s="292"/>
      <c r="C629" s="292"/>
      <c r="D629" s="412"/>
      <c r="E629" s="412"/>
      <c r="F629" s="412"/>
      <c r="G629" s="412"/>
      <c r="H629" s="412"/>
      <c r="I629" s="412"/>
      <c r="J629" s="412"/>
      <c r="K629" s="413"/>
      <c r="L629" s="413"/>
      <c r="M629" s="413"/>
      <c r="N629" s="414"/>
      <c r="O629" s="412"/>
      <c r="P629" s="412"/>
      <c r="Q629" s="412"/>
      <c r="R629" s="412"/>
      <c r="S629" s="412"/>
      <c r="T629" s="412"/>
      <c r="U629" s="292"/>
      <c r="V629" s="292"/>
      <c r="W629" s="292"/>
      <c r="X629" s="415"/>
      <c r="Y629" s="416"/>
      <c r="Z629" s="417"/>
      <c r="AA629" s="304"/>
      <c r="AB629" s="304"/>
      <c r="AC629" s="304"/>
      <c r="AD629" s="304"/>
      <c r="AE629" s="304"/>
      <c r="AF629" s="304"/>
      <c r="AG629" s="304"/>
      <c r="AH629" s="304"/>
    </row>
    <row r="630">
      <c r="A630" s="292"/>
      <c r="B630" s="292"/>
      <c r="C630" s="292"/>
      <c r="D630" s="412"/>
      <c r="E630" s="412"/>
      <c r="F630" s="412"/>
      <c r="G630" s="412"/>
      <c r="H630" s="412"/>
      <c r="I630" s="412"/>
      <c r="J630" s="412"/>
      <c r="K630" s="413"/>
      <c r="L630" s="413"/>
      <c r="M630" s="413"/>
      <c r="N630" s="414"/>
      <c r="O630" s="412"/>
      <c r="P630" s="412"/>
      <c r="Q630" s="412"/>
      <c r="R630" s="412"/>
      <c r="S630" s="412"/>
      <c r="T630" s="412"/>
      <c r="U630" s="292"/>
      <c r="V630" s="292"/>
      <c r="W630" s="292"/>
      <c r="X630" s="415"/>
      <c r="Y630" s="416"/>
      <c r="Z630" s="417"/>
      <c r="AA630" s="304"/>
      <c r="AB630" s="304"/>
      <c r="AC630" s="304"/>
      <c r="AD630" s="304"/>
      <c r="AE630" s="304"/>
      <c r="AF630" s="304"/>
      <c r="AG630" s="304"/>
      <c r="AH630" s="304"/>
    </row>
    <row r="631">
      <c r="A631" s="292"/>
      <c r="B631" s="292"/>
      <c r="C631" s="292"/>
      <c r="D631" s="412"/>
      <c r="E631" s="412"/>
      <c r="F631" s="412"/>
      <c r="G631" s="412"/>
      <c r="H631" s="412"/>
      <c r="I631" s="412"/>
      <c r="J631" s="412"/>
      <c r="K631" s="413"/>
      <c r="L631" s="413"/>
      <c r="M631" s="413"/>
      <c r="N631" s="414"/>
      <c r="O631" s="412"/>
      <c r="P631" s="412"/>
      <c r="Q631" s="412"/>
      <c r="R631" s="412"/>
      <c r="S631" s="412"/>
      <c r="T631" s="412"/>
      <c r="U631" s="292"/>
      <c r="V631" s="292"/>
      <c r="W631" s="292"/>
      <c r="X631" s="415"/>
      <c r="Y631" s="416"/>
      <c r="Z631" s="417"/>
      <c r="AA631" s="304"/>
      <c r="AB631" s="304"/>
      <c r="AC631" s="304"/>
      <c r="AD631" s="304"/>
      <c r="AE631" s="304"/>
      <c r="AF631" s="304"/>
      <c r="AG631" s="304"/>
      <c r="AH631" s="304"/>
    </row>
    <row r="632">
      <c r="A632" s="292"/>
      <c r="B632" s="292"/>
      <c r="C632" s="292"/>
      <c r="D632" s="412"/>
      <c r="E632" s="412"/>
      <c r="F632" s="412"/>
      <c r="G632" s="412"/>
      <c r="H632" s="412"/>
      <c r="I632" s="412"/>
      <c r="J632" s="412"/>
      <c r="K632" s="413"/>
      <c r="L632" s="413"/>
      <c r="M632" s="413"/>
      <c r="N632" s="414"/>
      <c r="O632" s="412"/>
      <c r="P632" s="412"/>
      <c r="Q632" s="412"/>
      <c r="R632" s="412"/>
      <c r="S632" s="412"/>
      <c r="T632" s="412"/>
      <c r="U632" s="292"/>
      <c r="V632" s="292"/>
      <c r="W632" s="292"/>
      <c r="X632" s="415"/>
      <c r="Y632" s="416"/>
      <c r="Z632" s="417"/>
      <c r="AA632" s="304"/>
      <c r="AB632" s="304"/>
      <c r="AC632" s="304"/>
      <c r="AD632" s="304"/>
      <c r="AE632" s="304"/>
      <c r="AF632" s="304"/>
      <c r="AG632" s="304"/>
      <c r="AH632" s="304"/>
    </row>
    <row r="633">
      <c r="A633" s="292"/>
      <c r="B633" s="292"/>
      <c r="C633" s="292"/>
      <c r="D633" s="412"/>
      <c r="E633" s="412"/>
      <c r="F633" s="412"/>
      <c r="G633" s="412"/>
      <c r="H633" s="412"/>
      <c r="I633" s="412"/>
      <c r="J633" s="412"/>
      <c r="K633" s="413"/>
      <c r="L633" s="413"/>
      <c r="M633" s="413"/>
      <c r="N633" s="414"/>
      <c r="O633" s="412"/>
      <c r="P633" s="412"/>
      <c r="Q633" s="412"/>
      <c r="R633" s="412"/>
      <c r="S633" s="412"/>
      <c r="T633" s="412"/>
      <c r="U633" s="292"/>
      <c r="V633" s="292"/>
      <c r="W633" s="292"/>
      <c r="X633" s="415"/>
      <c r="Y633" s="416"/>
      <c r="Z633" s="417"/>
      <c r="AA633" s="304"/>
      <c r="AB633" s="304"/>
      <c r="AC633" s="304"/>
      <c r="AD633" s="304"/>
      <c r="AE633" s="304"/>
      <c r="AF633" s="304"/>
      <c r="AG633" s="304"/>
      <c r="AH633" s="304"/>
    </row>
    <row r="634">
      <c r="A634" s="292"/>
      <c r="B634" s="292"/>
      <c r="C634" s="292"/>
      <c r="D634" s="412"/>
      <c r="E634" s="412"/>
      <c r="F634" s="412"/>
      <c r="G634" s="412"/>
      <c r="H634" s="412"/>
      <c r="I634" s="412"/>
      <c r="J634" s="412"/>
      <c r="K634" s="413"/>
      <c r="L634" s="413"/>
      <c r="M634" s="413"/>
      <c r="N634" s="414"/>
      <c r="O634" s="412"/>
      <c r="P634" s="412"/>
      <c r="Q634" s="412"/>
      <c r="R634" s="412"/>
      <c r="S634" s="412"/>
      <c r="T634" s="412"/>
      <c r="U634" s="292"/>
      <c r="V634" s="292"/>
      <c r="W634" s="292"/>
      <c r="X634" s="415"/>
      <c r="Y634" s="416"/>
      <c r="Z634" s="417"/>
      <c r="AA634" s="304"/>
      <c r="AB634" s="304"/>
      <c r="AC634" s="304"/>
      <c r="AD634" s="304"/>
      <c r="AE634" s="304"/>
      <c r="AF634" s="304"/>
      <c r="AG634" s="304"/>
      <c r="AH634" s="304"/>
    </row>
    <row r="635">
      <c r="A635" s="292"/>
      <c r="B635" s="292"/>
      <c r="C635" s="292"/>
      <c r="D635" s="412"/>
      <c r="E635" s="412"/>
      <c r="F635" s="412"/>
      <c r="G635" s="412"/>
      <c r="H635" s="412"/>
      <c r="I635" s="412"/>
      <c r="J635" s="412"/>
      <c r="K635" s="413"/>
      <c r="L635" s="413"/>
      <c r="M635" s="413"/>
      <c r="N635" s="414"/>
      <c r="O635" s="412"/>
      <c r="P635" s="412"/>
      <c r="Q635" s="412"/>
      <c r="R635" s="412"/>
      <c r="S635" s="412"/>
      <c r="T635" s="412"/>
      <c r="U635" s="292"/>
      <c r="V635" s="292"/>
      <c r="W635" s="292"/>
      <c r="X635" s="415"/>
      <c r="Y635" s="416"/>
      <c r="Z635" s="417"/>
      <c r="AA635" s="304"/>
      <c r="AB635" s="304"/>
      <c r="AC635" s="304"/>
      <c r="AD635" s="304"/>
      <c r="AE635" s="304"/>
      <c r="AF635" s="304"/>
      <c r="AG635" s="304"/>
      <c r="AH635" s="304"/>
    </row>
    <row r="636">
      <c r="A636" s="292"/>
      <c r="B636" s="292"/>
      <c r="C636" s="292"/>
      <c r="D636" s="412"/>
      <c r="E636" s="412"/>
      <c r="F636" s="412"/>
      <c r="G636" s="412"/>
      <c r="H636" s="412"/>
      <c r="I636" s="412"/>
      <c r="J636" s="412"/>
      <c r="K636" s="413"/>
      <c r="L636" s="413"/>
      <c r="M636" s="413"/>
      <c r="N636" s="414"/>
      <c r="O636" s="412"/>
      <c r="P636" s="412"/>
      <c r="Q636" s="412"/>
      <c r="R636" s="412"/>
      <c r="S636" s="412"/>
      <c r="T636" s="412"/>
      <c r="U636" s="292"/>
      <c r="V636" s="292"/>
      <c r="W636" s="292"/>
      <c r="X636" s="415"/>
      <c r="Y636" s="416"/>
      <c r="Z636" s="417"/>
      <c r="AA636" s="304"/>
      <c r="AB636" s="304"/>
      <c r="AC636" s="304"/>
      <c r="AD636" s="304"/>
      <c r="AE636" s="304"/>
      <c r="AF636" s="304"/>
      <c r="AG636" s="304"/>
      <c r="AH636" s="304"/>
    </row>
    <row r="637">
      <c r="A637" s="292"/>
      <c r="B637" s="292"/>
      <c r="C637" s="292"/>
      <c r="D637" s="412"/>
      <c r="E637" s="412"/>
      <c r="F637" s="412"/>
      <c r="G637" s="412"/>
      <c r="H637" s="412"/>
      <c r="I637" s="412"/>
      <c r="J637" s="412"/>
      <c r="K637" s="413"/>
      <c r="L637" s="413"/>
      <c r="M637" s="413"/>
      <c r="N637" s="414"/>
      <c r="O637" s="412"/>
      <c r="P637" s="412"/>
      <c r="Q637" s="412"/>
      <c r="R637" s="412"/>
      <c r="S637" s="412"/>
      <c r="T637" s="412"/>
      <c r="U637" s="292"/>
      <c r="V637" s="292"/>
      <c r="W637" s="292"/>
      <c r="X637" s="415"/>
      <c r="Y637" s="416"/>
      <c r="Z637" s="417"/>
      <c r="AA637" s="304"/>
      <c r="AB637" s="304"/>
      <c r="AC637" s="304"/>
      <c r="AD637" s="304"/>
      <c r="AE637" s="304"/>
      <c r="AF637" s="304"/>
      <c r="AG637" s="304"/>
      <c r="AH637" s="304"/>
    </row>
    <row r="638">
      <c r="A638" s="292"/>
      <c r="B638" s="292"/>
      <c r="C638" s="292"/>
      <c r="D638" s="412"/>
      <c r="E638" s="412"/>
      <c r="F638" s="412"/>
      <c r="G638" s="412"/>
      <c r="H638" s="412"/>
      <c r="I638" s="412"/>
      <c r="J638" s="412"/>
      <c r="K638" s="413"/>
      <c r="L638" s="413"/>
      <c r="M638" s="413"/>
      <c r="N638" s="414"/>
      <c r="O638" s="412"/>
      <c r="P638" s="412"/>
      <c r="Q638" s="412"/>
      <c r="R638" s="412"/>
      <c r="S638" s="412"/>
      <c r="T638" s="412"/>
      <c r="U638" s="292"/>
      <c r="V638" s="292"/>
      <c r="W638" s="292"/>
      <c r="X638" s="415"/>
      <c r="Y638" s="416"/>
      <c r="Z638" s="417"/>
      <c r="AA638" s="304"/>
      <c r="AB638" s="304"/>
      <c r="AC638" s="304"/>
      <c r="AD638" s="304"/>
      <c r="AE638" s="304"/>
      <c r="AF638" s="304"/>
      <c r="AG638" s="304"/>
      <c r="AH638" s="304"/>
    </row>
    <row r="639">
      <c r="A639" s="292"/>
      <c r="B639" s="292"/>
      <c r="C639" s="292"/>
      <c r="D639" s="412"/>
      <c r="E639" s="412"/>
      <c r="F639" s="412"/>
      <c r="G639" s="412"/>
      <c r="H639" s="412"/>
      <c r="I639" s="412"/>
      <c r="J639" s="412"/>
      <c r="K639" s="413"/>
      <c r="L639" s="413"/>
      <c r="M639" s="413"/>
      <c r="N639" s="414"/>
      <c r="O639" s="412"/>
      <c r="P639" s="412"/>
      <c r="Q639" s="412"/>
      <c r="R639" s="412"/>
      <c r="S639" s="412"/>
      <c r="T639" s="412"/>
      <c r="U639" s="292"/>
      <c r="V639" s="292"/>
      <c r="W639" s="292"/>
      <c r="X639" s="415"/>
      <c r="Y639" s="416"/>
      <c r="Z639" s="417"/>
      <c r="AA639" s="304"/>
      <c r="AB639" s="304"/>
      <c r="AC639" s="304"/>
      <c r="AD639" s="304"/>
      <c r="AE639" s="304"/>
      <c r="AF639" s="304"/>
      <c r="AG639" s="304"/>
      <c r="AH639" s="304"/>
    </row>
    <row r="640">
      <c r="A640" s="292"/>
      <c r="B640" s="292"/>
      <c r="C640" s="292"/>
      <c r="D640" s="412"/>
      <c r="E640" s="412"/>
      <c r="F640" s="412"/>
      <c r="G640" s="412"/>
      <c r="H640" s="412"/>
      <c r="I640" s="412"/>
      <c r="J640" s="412"/>
      <c r="K640" s="413"/>
      <c r="L640" s="413"/>
      <c r="M640" s="413"/>
      <c r="N640" s="414"/>
      <c r="O640" s="412"/>
      <c r="P640" s="412"/>
      <c r="Q640" s="412"/>
      <c r="R640" s="412"/>
      <c r="S640" s="412"/>
      <c r="T640" s="412"/>
      <c r="U640" s="292"/>
      <c r="V640" s="292"/>
      <c r="W640" s="292"/>
      <c r="X640" s="415"/>
      <c r="Y640" s="416"/>
      <c r="Z640" s="417"/>
      <c r="AA640" s="304"/>
      <c r="AB640" s="304"/>
      <c r="AC640" s="304"/>
      <c r="AD640" s="304"/>
      <c r="AE640" s="304"/>
      <c r="AF640" s="304"/>
      <c r="AG640" s="304"/>
      <c r="AH640" s="304"/>
    </row>
    <row r="641">
      <c r="A641" s="292"/>
      <c r="B641" s="292"/>
      <c r="C641" s="292"/>
      <c r="D641" s="412"/>
      <c r="E641" s="412"/>
      <c r="F641" s="412"/>
      <c r="G641" s="412"/>
      <c r="H641" s="412"/>
      <c r="I641" s="412"/>
      <c r="J641" s="412"/>
      <c r="K641" s="413"/>
      <c r="L641" s="413"/>
      <c r="M641" s="413"/>
      <c r="N641" s="414"/>
      <c r="O641" s="412"/>
      <c r="P641" s="412"/>
      <c r="Q641" s="412"/>
      <c r="R641" s="412"/>
      <c r="S641" s="412"/>
      <c r="T641" s="412"/>
      <c r="U641" s="292"/>
      <c r="V641" s="292"/>
      <c r="W641" s="292"/>
      <c r="X641" s="415"/>
      <c r="Y641" s="416"/>
      <c r="Z641" s="417"/>
      <c r="AA641" s="304"/>
      <c r="AB641" s="304"/>
      <c r="AC641" s="304"/>
      <c r="AD641" s="304"/>
      <c r="AE641" s="304"/>
      <c r="AF641" s="304"/>
      <c r="AG641" s="304"/>
      <c r="AH641" s="304"/>
    </row>
    <row r="642">
      <c r="A642" s="292"/>
      <c r="B642" s="292"/>
      <c r="C642" s="292"/>
      <c r="D642" s="412"/>
      <c r="E642" s="412"/>
      <c r="F642" s="412"/>
      <c r="G642" s="412"/>
      <c r="H642" s="412"/>
      <c r="I642" s="412"/>
      <c r="J642" s="412"/>
      <c r="K642" s="413"/>
      <c r="L642" s="413"/>
      <c r="M642" s="413"/>
      <c r="N642" s="414"/>
      <c r="O642" s="412"/>
      <c r="P642" s="412"/>
      <c r="Q642" s="412"/>
      <c r="R642" s="412"/>
      <c r="S642" s="412"/>
      <c r="T642" s="412"/>
      <c r="U642" s="292"/>
      <c r="V642" s="292"/>
      <c r="W642" s="292"/>
      <c r="X642" s="415"/>
      <c r="Y642" s="416"/>
      <c r="Z642" s="417"/>
      <c r="AA642" s="304"/>
      <c r="AB642" s="304"/>
      <c r="AC642" s="304"/>
      <c r="AD642" s="304"/>
      <c r="AE642" s="304"/>
      <c r="AF642" s="304"/>
      <c r="AG642" s="304"/>
      <c r="AH642" s="304"/>
    </row>
    <row r="643">
      <c r="A643" s="292"/>
      <c r="B643" s="292"/>
      <c r="C643" s="292"/>
      <c r="D643" s="412"/>
      <c r="E643" s="412"/>
      <c r="F643" s="412"/>
      <c r="G643" s="412"/>
      <c r="H643" s="412"/>
      <c r="I643" s="412"/>
      <c r="J643" s="412"/>
      <c r="K643" s="413"/>
      <c r="L643" s="413"/>
      <c r="M643" s="413"/>
      <c r="N643" s="414"/>
      <c r="O643" s="412"/>
      <c r="P643" s="412"/>
      <c r="Q643" s="412"/>
      <c r="R643" s="412"/>
      <c r="S643" s="412"/>
      <c r="T643" s="412"/>
      <c r="U643" s="292"/>
      <c r="V643" s="292"/>
      <c r="W643" s="292"/>
      <c r="X643" s="415"/>
      <c r="Y643" s="416"/>
      <c r="Z643" s="417"/>
      <c r="AA643" s="304"/>
      <c r="AB643" s="304"/>
      <c r="AC643" s="304"/>
      <c r="AD643" s="304"/>
      <c r="AE643" s="304"/>
      <c r="AF643" s="304"/>
      <c r="AG643" s="304"/>
      <c r="AH643" s="304"/>
    </row>
    <row r="644">
      <c r="A644" s="292"/>
      <c r="B644" s="292"/>
      <c r="C644" s="292"/>
      <c r="D644" s="412"/>
      <c r="E644" s="412"/>
      <c r="F644" s="412"/>
      <c r="G644" s="412"/>
      <c r="H644" s="412"/>
      <c r="I644" s="412"/>
      <c r="J644" s="412"/>
      <c r="K644" s="413"/>
      <c r="L644" s="413"/>
      <c r="M644" s="413"/>
      <c r="N644" s="414"/>
      <c r="O644" s="412"/>
      <c r="P644" s="412"/>
      <c r="Q644" s="412"/>
      <c r="R644" s="412"/>
      <c r="S644" s="412"/>
      <c r="T644" s="412"/>
      <c r="U644" s="292"/>
      <c r="V644" s="292"/>
      <c r="W644" s="292"/>
      <c r="X644" s="415"/>
      <c r="Y644" s="416"/>
      <c r="Z644" s="417"/>
      <c r="AA644" s="304"/>
      <c r="AB644" s="304"/>
      <c r="AC644" s="304"/>
      <c r="AD644" s="304"/>
      <c r="AE644" s="304"/>
      <c r="AF644" s="304"/>
      <c r="AG644" s="304"/>
      <c r="AH644" s="304"/>
    </row>
    <row r="645">
      <c r="A645" s="292"/>
      <c r="B645" s="292"/>
      <c r="C645" s="292"/>
      <c r="D645" s="412"/>
      <c r="E645" s="412"/>
      <c r="F645" s="412"/>
      <c r="G645" s="412"/>
      <c r="H645" s="412"/>
      <c r="I645" s="412"/>
      <c r="J645" s="412"/>
      <c r="K645" s="413"/>
      <c r="L645" s="413"/>
      <c r="M645" s="413"/>
      <c r="N645" s="414"/>
      <c r="O645" s="412"/>
      <c r="P645" s="412"/>
      <c r="Q645" s="412"/>
      <c r="R645" s="412"/>
      <c r="S645" s="412"/>
      <c r="T645" s="412"/>
      <c r="U645" s="292"/>
      <c r="V645" s="292"/>
      <c r="W645" s="292"/>
      <c r="X645" s="415"/>
      <c r="Y645" s="416"/>
      <c r="Z645" s="417"/>
      <c r="AA645" s="304"/>
      <c r="AB645" s="304"/>
      <c r="AC645" s="304"/>
      <c r="AD645" s="304"/>
      <c r="AE645" s="304"/>
      <c r="AF645" s="304"/>
      <c r="AG645" s="304"/>
      <c r="AH645" s="304"/>
    </row>
    <row r="646">
      <c r="A646" s="292"/>
      <c r="B646" s="292"/>
      <c r="C646" s="292"/>
      <c r="D646" s="412"/>
      <c r="E646" s="412"/>
      <c r="F646" s="412"/>
      <c r="G646" s="412"/>
      <c r="H646" s="412"/>
      <c r="I646" s="412"/>
      <c r="J646" s="412"/>
      <c r="K646" s="413"/>
      <c r="L646" s="413"/>
      <c r="M646" s="413"/>
      <c r="N646" s="414"/>
      <c r="O646" s="412"/>
      <c r="P646" s="412"/>
      <c r="Q646" s="412"/>
      <c r="R646" s="412"/>
      <c r="S646" s="412"/>
      <c r="T646" s="412"/>
      <c r="U646" s="292"/>
      <c r="V646" s="292"/>
      <c r="W646" s="292"/>
      <c r="X646" s="415"/>
      <c r="Y646" s="416"/>
      <c r="Z646" s="417"/>
      <c r="AA646" s="304"/>
      <c r="AB646" s="304"/>
      <c r="AC646" s="304"/>
      <c r="AD646" s="304"/>
      <c r="AE646" s="304"/>
      <c r="AF646" s="304"/>
      <c r="AG646" s="304"/>
      <c r="AH646" s="304"/>
    </row>
    <row r="647">
      <c r="A647" s="292"/>
      <c r="B647" s="292"/>
      <c r="C647" s="292"/>
      <c r="D647" s="412"/>
      <c r="E647" s="412"/>
      <c r="F647" s="412"/>
      <c r="G647" s="412"/>
      <c r="H647" s="412"/>
      <c r="I647" s="412"/>
      <c r="J647" s="412"/>
      <c r="K647" s="413"/>
      <c r="L647" s="413"/>
      <c r="M647" s="413"/>
      <c r="N647" s="414"/>
      <c r="O647" s="412"/>
      <c r="P647" s="412"/>
      <c r="Q647" s="412"/>
      <c r="R647" s="412"/>
      <c r="S647" s="412"/>
      <c r="T647" s="412"/>
      <c r="U647" s="292"/>
      <c r="V647" s="292"/>
      <c r="W647" s="292"/>
      <c r="X647" s="415"/>
      <c r="Y647" s="416"/>
      <c r="Z647" s="417"/>
      <c r="AA647" s="304"/>
      <c r="AB647" s="304"/>
      <c r="AC647" s="304"/>
      <c r="AD647" s="304"/>
      <c r="AE647" s="304"/>
      <c r="AF647" s="304"/>
      <c r="AG647" s="304"/>
      <c r="AH647" s="304"/>
    </row>
    <row r="648">
      <c r="A648" s="292"/>
      <c r="B648" s="292"/>
      <c r="C648" s="292"/>
      <c r="D648" s="412"/>
      <c r="E648" s="412"/>
      <c r="F648" s="412"/>
      <c r="G648" s="412"/>
      <c r="H648" s="412"/>
      <c r="I648" s="412"/>
      <c r="J648" s="412"/>
      <c r="K648" s="413"/>
      <c r="L648" s="413"/>
      <c r="M648" s="413"/>
      <c r="N648" s="414"/>
      <c r="O648" s="412"/>
      <c r="P648" s="412"/>
      <c r="Q648" s="412"/>
      <c r="R648" s="412"/>
      <c r="S648" s="412"/>
      <c r="T648" s="412"/>
      <c r="U648" s="292"/>
      <c r="V648" s="292"/>
      <c r="W648" s="292"/>
      <c r="X648" s="415"/>
      <c r="Y648" s="416"/>
      <c r="Z648" s="417"/>
      <c r="AA648" s="304"/>
      <c r="AB648" s="304"/>
      <c r="AC648" s="304"/>
      <c r="AD648" s="304"/>
      <c r="AE648" s="304"/>
      <c r="AF648" s="304"/>
      <c r="AG648" s="304"/>
      <c r="AH648" s="304"/>
    </row>
    <row r="649">
      <c r="A649" s="292"/>
      <c r="B649" s="292"/>
      <c r="C649" s="292"/>
      <c r="D649" s="412"/>
      <c r="E649" s="412"/>
      <c r="F649" s="412"/>
      <c r="G649" s="412"/>
      <c r="H649" s="412"/>
      <c r="I649" s="412"/>
      <c r="J649" s="412"/>
      <c r="K649" s="413"/>
      <c r="L649" s="413"/>
      <c r="M649" s="413"/>
      <c r="N649" s="414"/>
      <c r="O649" s="412"/>
      <c r="P649" s="412"/>
      <c r="Q649" s="412"/>
      <c r="R649" s="412"/>
      <c r="S649" s="412"/>
      <c r="T649" s="412"/>
      <c r="U649" s="292"/>
      <c r="V649" s="292"/>
      <c r="W649" s="292"/>
      <c r="X649" s="415"/>
      <c r="Y649" s="416"/>
      <c r="Z649" s="417"/>
      <c r="AA649" s="304"/>
      <c r="AB649" s="304"/>
      <c r="AC649" s="304"/>
      <c r="AD649" s="304"/>
      <c r="AE649" s="304"/>
      <c r="AF649" s="304"/>
      <c r="AG649" s="304"/>
      <c r="AH649" s="304"/>
    </row>
    <row r="650">
      <c r="A650" s="292"/>
      <c r="B650" s="292"/>
      <c r="C650" s="292"/>
      <c r="D650" s="412"/>
      <c r="E650" s="412"/>
      <c r="F650" s="412"/>
      <c r="G650" s="412"/>
      <c r="H650" s="412"/>
      <c r="I650" s="412"/>
      <c r="J650" s="412"/>
      <c r="K650" s="413"/>
      <c r="L650" s="413"/>
      <c r="M650" s="413"/>
      <c r="N650" s="414"/>
      <c r="O650" s="412"/>
      <c r="P650" s="412"/>
      <c r="Q650" s="412"/>
      <c r="R650" s="412"/>
      <c r="S650" s="412"/>
      <c r="T650" s="412"/>
      <c r="U650" s="292"/>
      <c r="V650" s="292"/>
      <c r="W650" s="292"/>
      <c r="X650" s="415"/>
      <c r="Y650" s="416"/>
      <c r="Z650" s="417"/>
      <c r="AA650" s="304"/>
      <c r="AB650" s="304"/>
      <c r="AC650" s="304"/>
      <c r="AD650" s="304"/>
      <c r="AE650" s="304"/>
      <c r="AF650" s="304"/>
      <c r="AG650" s="304"/>
      <c r="AH650" s="304"/>
    </row>
    <row r="651">
      <c r="A651" s="292"/>
      <c r="B651" s="292"/>
      <c r="C651" s="292"/>
      <c r="D651" s="412"/>
      <c r="E651" s="412"/>
      <c r="F651" s="412"/>
      <c r="G651" s="412"/>
      <c r="H651" s="412"/>
      <c r="I651" s="412"/>
      <c r="J651" s="412"/>
      <c r="K651" s="413"/>
      <c r="L651" s="413"/>
      <c r="M651" s="413"/>
      <c r="N651" s="414"/>
      <c r="O651" s="412"/>
      <c r="P651" s="412"/>
      <c r="Q651" s="412"/>
      <c r="R651" s="412"/>
      <c r="S651" s="412"/>
      <c r="T651" s="412"/>
      <c r="U651" s="292"/>
      <c r="V651" s="292"/>
      <c r="W651" s="292"/>
      <c r="X651" s="415"/>
      <c r="Y651" s="416"/>
      <c r="Z651" s="417"/>
      <c r="AA651" s="304"/>
      <c r="AB651" s="304"/>
      <c r="AC651" s="304"/>
      <c r="AD651" s="304"/>
      <c r="AE651" s="304"/>
      <c r="AF651" s="304"/>
      <c r="AG651" s="304"/>
      <c r="AH651" s="304"/>
    </row>
    <row r="652">
      <c r="A652" s="292"/>
      <c r="B652" s="292"/>
      <c r="C652" s="292"/>
      <c r="D652" s="412"/>
      <c r="E652" s="412"/>
      <c r="F652" s="412"/>
      <c r="G652" s="412"/>
      <c r="H652" s="412"/>
      <c r="I652" s="412"/>
      <c r="J652" s="412"/>
      <c r="K652" s="413"/>
      <c r="L652" s="413"/>
      <c r="M652" s="413"/>
      <c r="N652" s="414"/>
      <c r="O652" s="412"/>
      <c r="P652" s="412"/>
      <c r="Q652" s="412"/>
      <c r="R652" s="412"/>
      <c r="S652" s="412"/>
      <c r="T652" s="412"/>
      <c r="U652" s="292"/>
      <c r="V652" s="292"/>
      <c r="W652" s="292"/>
      <c r="X652" s="415"/>
      <c r="Y652" s="416"/>
      <c r="Z652" s="417"/>
      <c r="AA652" s="304"/>
      <c r="AB652" s="304"/>
      <c r="AC652" s="304"/>
      <c r="AD652" s="304"/>
      <c r="AE652" s="304"/>
      <c r="AF652" s="304"/>
      <c r="AG652" s="304"/>
      <c r="AH652" s="304"/>
    </row>
    <row r="653">
      <c r="A653" s="292"/>
      <c r="B653" s="292"/>
      <c r="C653" s="292"/>
      <c r="D653" s="412"/>
      <c r="E653" s="412"/>
      <c r="F653" s="412"/>
      <c r="G653" s="412"/>
      <c r="H653" s="412"/>
      <c r="I653" s="412"/>
      <c r="J653" s="412"/>
      <c r="K653" s="413"/>
      <c r="L653" s="413"/>
      <c r="M653" s="413"/>
      <c r="N653" s="414"/>
      <c r="O653" s="412"/>
      <c r="P653" s="412"/>
      <c r="Q653" s="412"/>
      <c r="R653" s="412"/>
      <c r="S653" s="412"/>
      <c r="T653" s="412"/>
      <c r="U653" s="292"/>
      <c r="V653" s="292"/>
      <c r="W653" s="292"/>
      <c r="X653" s="415"/>
      <c r="Y653" s="416"/>
      <c r="Z653" s="417"/>
      <c r="AA653" s="304"/>
      <c r="AB653" s="304"/>
      <c r="AC653" s="304"/>
      <c r="AD653" s="304"/>
      <c r="AE653" s="304"/>
      <c r="AF653" s="304"/>
      <c r="AG653" s="304"/>
      <c r="AH653" s="304"/>
    </row>
    <row r="654">
      <c r="A654" s="292"/>
      <c r="B654" s="292"/>
      <c r="C654" s="292"/>
      <c r="D654" s="412"/>
      <c r="E654" s="412"/>
      <c r="F654" s="412"/>
      <c r="G654" s="412"/>
      <c r="H654" s="412"/>
      <c r="I654" s="412"/>
      <c r="J654" s="412"/>
      <c r="K654" s="413"/>
      <c r="L654" s="413"/>
      <c r="M654" s="413"/>
      <c r="N654" s="414"/>
      <c r="O654" s="412"/>
      <c r="P654" s="412"/>
      <c r="Q654" s="412"/>
      <c r="R654" s="412"/>
      <c r="S654" s="412"/>
      <c r="T654" s="412"/>
      <c r="U654" s="292"/>
      <c r="V654" s="292"/>
      <c r="W654" s="292"/>
      <c r="X654" s="415"/>
      <c r="Y654" s="416"/>
      <c r="Z654" s="417"/>
      <c r="AA654" s="304"/>
      <c r="AB654" s="304"/>
      <c r="AC654" s="304"/>
      <c r="AD654" s="304"/>
      <c r="AE654" s="304"/>
      <c r="AF654" s="304"/>
      <c r="AG654" s="304"/>
      <c r="AH654" s="304"/>
    </row>
    <row r="655">
      <c r="A655" s="292"/>
      <c r="B655" s="292"/>
      <c r="C655" s="292"/>
      <c r="D655" s="412"/>
      <c r="E655" s="412"/>
      <c r="F655" s="412"/>
      <c r="G655" s="412"/>
      <c r="H655" s="412"/>
      <c r="I655" s="412"/>
      <c r="J655" s="412"/>
      <c r="K655" s="413"/>
      <c r="L655" s="413"/>
      <c r="M655" s="413"/>
      <c r="N655" s="414"/>
      <c r="O655" s="412"/>
      <c r="P655" s="412"/>
      <c r="Q655" s="412"/>
      <c r="R655" s="412"/>
      <c r="S655" s="412"/>
      <c r="T655" s="412"/>
      <c r="U655" s="292"/>
      <c r="V655" s="292"/>
      <c r="W655" s="292"/>
      <c r="X655" s="415"/>
      <c r="Y655" s="416"/>
      <c r="Z655" s="417"/>
      <c r="AA655" s="304"/>
      <c r="AB655" s="304"/>
      <c r="AC655" s="304"/>
      <c r="AD655" s="304"/>
      <c r="AE655" s="304"/>
      <c r="AF655" s="304"/>
      <c r="AG655" s="304"/>
      <c r="AH655" s="304"/>
    </row>
    <row r="656">
      <c r="A656" s="292"/>
      <c r="B656" s="292"/>
      <c r="C656" s="292"/>
      <c r="D656" s="412"/>
      <c r="E656" s="412"/>
      <c r="F656" s="412"/>
      <c r="G656" s="412"/>
      <c r="H656" s="412"/>
      <c r="I656" s="412"/>
      <c r="J656" s="412"/>
      <c r="K656" s="413"/>
      <c r="L656" s="413"/>
      <c r="M656" s="413"/>
      <c r="N656" s="414"/>
      <c r="O656" s="412"/>
      <c r="P656" s="412"/>
      <c r="Q656" s="412"/>
      <c r="R656" s="412"/>
      <c r="S656" s="412"/>
      <c r="T656" s="412"/>
      <c r="U656" s="292"/>
      <c r="V656" s="292"/>
      <c r="W656" s="292"/>
      <c r="X656" s="415"/>
      <c r="Y656" s="416"/>
      <c r="Z656" s="417"/>
      <c r="AA656" s="304"/>
      <c r="AB656" s="304"/>
      <c r="AC656" s="304"/>
      <c r="AD656" s="304"/>
      <c r="AE656" s="304"/>
      <c r="AF656" s="304"/>
      <c r="AG656" s="304"/>
      <c r="AH656" s="304"/>
    </row>
    <row r="657">
      <c r="A657" s="292"/>
      <c r="B657" s="292"/>
      <c r="C657" s="292"/>
      <c r="D657" s="412"/>
      <c r="E657" s="412"/>
      <c r="F657" s="412"/>
      <c r="G657" s="412"/>
      <c r="H657" s="412"/>
      <c r="I657" s="412"/>
      <c r="J657" s="412"/>
      <c r="K657" s="413"/>
      <c r="L657" s="413"/>
      <c r="M657" s="413"/>
      <c r="N657" s="414"/>
      <c r="O657" s="412"/>
      <c r="P657" s="412"/>
      <c r="Q657" s="412"/>
      <c r="R657" s="412"/>
      <c r="S657" s="412"/>
      <c r="T657" s="412"/>
      <c r="U657" s="292"/>
      <c r="V657" s="292"/>
      <c r="W657" s="292"/>
      <c r="X657" s="415"/>
      <c r="Y657" s="416"/>
      <c r="Z657" s="417"/>
      <c r="AA657" s="304"/>
      <c r="AB657" s="304"/>
      <c r="AC657" s="304"/>
      <c r="AD657" s="304"/>
      <c r="AE657" s="304"/>
      <c r="AF657" s="304"/>
      <c r="AG657" s="304"/>
      <c r="AH657" s="304"/>
    </row>
    <row r="658">
      <c r="A658" s="292"/>
      <c r="B658" s="292"/>
      <c r="C658" s="292"/>
      <c r="D658" s="412"/>
      <c r="E658" s="412"/>
      <c r="F658" s="412"/>
      <c r="G658" s="412"/>
      <c r="H658" s="412"/>
      <c r="I658" s="412"/>
      <c r="J658" s="412"/>
      <c r="K658" s="413"/>
      <c r="L658" s="413"/>
      <c r="M658" s="413"/>
      <c r="N658" s="414"/>
      <c r="O658" s="412"/>
      <c r="P658" s="412"/>
      <c r="Q658" s="412"/>
      <c r="R658" s="412"/>
      <c r="S658" s="412"/>
      <c r="T658" s="412"/>
      <c r="U658" s="292"/>
      <c r="V658" s="292"/>
      <c r="W658" s="292"/>
      <c r="X658" s="415"/>
      <c r="Y658" s="416"/>
      <c r="Z658" s="417"/>
      <c r="AA658" s="304"/>
      <c r="AB658" s="304"/>
      <c r="AC658" s="304"/>
      <c r="AD658" s="304"/>
      <c r="AE658" s="304"/>
      <c r="AF658" s="304"/>
      <c r="AG658" s="304"/>
      <c r="AH658" s="304"/>
    </row>
    <row r="659">
      <c r="A659" s="292"/>
      <c r="B659" s="292"/>
      <c r="C659" s="292"/>
      <c r="D659" s="412"/>
      <c r="E659" s="412"/>
      <c r="F659" s="412"/>
      <c r="G659" s="412"/>
      <c r="H659" s="412"/>
      <c r="I659" s="412"/>
      <c r="J659" s="412"/>
      <c r="K659" s="413"/>
      <c r="L659" s="413"/>
      <c r="M659" s="413"/>
      <c r="N659" s="414"/>
      <c r="O659" s="412"/>
      <c r="P659" s="412"/>
      <c r="Q659" s="412"/>
      <c r="R659" s="412"/>
      <c r="S659" s="412"/>
      <c r="T659" s="412"/>
      <c r="U659" s="292"/>
      <c r="V659" s="292"/>
      <c r="W659" s="292"/>
      <c r="X659" s="415"/>
      <c r="Y659" s="416"/>
      <c r="Z659" s="417"/>
      <c r="AA659" s="304"/>
      <c r="AB659" s="304"/>
      <c r="AC659" s="304"/>
      <c r="AD659" s="304"/>
      <c r="AE659" s="304"/>
      <c r="AF659" s="304"/>
      <c r="AG659" s="304"/>
      <c r="AH659" s="304"/>
    </row>
    <row r="660">
      <c r="A660" s="292"/>
      <c r="B660" s="292"/>
      <c r="C660" s="292"/>
      <c r="D660" s="412"/>
      <c r="E660" s="412"/>
      <c r="F660" s="412"/>
      <c r="G660" s="412"/>
      <c r="H660" s="412"/>
      <c r="I660" s="412"/>
      <c r="J660" s="412"/>
      <c r="K660" s="413"/>
      <c r="L660" s="413"/>
      <c r="M660" s="413"/>
      <c r="N660" s="414"/>
      <c r="O660" s="412"/>
      <c r="P660" s="412"/>
      <c r="Q660" s="412"/>
      <c r="R660" s="412"/>
      <c r="S660" s="412"/>
      <c r="T660" s="412"/>
      <c r="U660" s="292"/>
      <c r="V660" s="292"/>
      <c r="W660" s="292"/>
      <c r="X660" s="415"/>
      <c r="Y660" s="416"/>
      <c r="Z660" s="417"/>
      <c r="AA660" s="304"/>
      <c r="AB660" s="304"/>
      <c r="AC660" s="304"/>
      <c r="AD660" s="304"/>
      <c r="AE660" s="304"/>
      <c r="AF660" s="304"/>
      <c r="AG660" s="304"/>
      <c r="AH660" s="304"/>
    </row>
    <row r="661">
      <c r="A661" s="292"/>
      <c r="B661" s="292"/>
      <c r="C661" s="292"/>
      <c r="D661" s="412"/>
      <c r="E661" s="412"/>
      <c r="F661" s="412"/>
      <c r="G661" s="412"/>
      <c r="H661" s="412"/>
      <c r="I661" s="412"/>
      <c r="J661" s="412"/>
      <c r="K661" s="413"/>
      <c r="L661" s="413"/>
      <c r="M661" s="413"/>
      <c r="N661" s="414"/>
      <c r="O661" s="412"/>
      <c r="P661" s="412"/>
      <c r="Q661" s="412"/>
      <c r="R661" s="412"/>
      <c r="S661" s="412"/>
      <c r="T661" s="412"/>
      <c r="U661" s="292"/>
      <c r="V661" s="292"/>
      <c r="W661" s="292"/>
      <c r="X661" s="415"/>
      <c r="Y661" s="416"/>
      <c r="Z661" s="417"/>
      <c r="AA661" s="304"/>
      <c r="AB661" s="304"/>
      <c r="AC661" s="304"/>
      <c r="AD661" s="304"/>
      <c r="AE661" s="304"/>
      <c r="AF661" s="304"/>
      <c r="AG661" s="304"/>
      <c r="AH661" s="304"/>
    </row>
    <row r="662">
      <c r="A662" s="292"/>
      <c r="B662" s="292"/>
      <c r="C662" s="292"/>
      <c r="D662" s="412"/>
      <c r="E662" s="412"/>
      <c r="F662" s="412"/>
      <c r="G662" s="412"/>
      <c r="H662" s="412"/>
      <c r="I662" s="412"/>
      <c r="J662" s="412"/>
      <c r="K662" s="413"/>
      <c r="L662" s="413"/>
      <c r="M662" s="413"/>
      <c r="N662" s="414"/>
      <c r="O662" s="412"/>
      <c r="P662" s="412"/>
      <c r="Q662" s="412"/>
      <c r="R662" s="412"/>
      <c r="S662" s="412"/>
      <c r="T662" s="412"/>
      <c r="U662" s="292"/>
      <c r="V662" s="292"/>
      <c r="W662" s="292"/>
      <c r="X662" s="415"/>
      <c r="Y662" s="416"/>
      <c r="Z662" s="417"/>
      <c r="AA662" s="304"/>
      <c r="AB662" s="304"/>
      <c r="AC662" s="304"/>
      <c r="AD662" s="304"/>
      <c r="AE662" s="304"/>
      <c r="AF662" s="304"/>
      <c r="AG662" s="304"/>
      <c r="AH662" s="304"/>
    </row>
    <row r="663">
      <c r="A663" s="292"/>
      <c r="B663" s="292"/>
      <c r="C663" s="292"/>
      <c r="D663" s="412"/>
      <c r="E663" s="412"/>
      <c r="F663" s="412"/>
      <c r="G663" s="412"/>
      <c r="H663" s="412"/>
      <c r="I663" s="412"/>
      <c r="J663" s="412"/>
      <c r="K663" s="413"/>
      <c r="L663" s="413"/>
      <c r="M663" s="413"/>
      <c r="N663" s="414"/>
      <c r="O663" s="412"/>
      <c r="P663" s="412"/>
      <c r="Q663" s="412"/>
      <c r="R663" s="412"/>
      <c r="S663" s="412"/>
      <c r="T663" s="412"/>
      <c r="U663" s="292"/>
      <c r="V663" s="292"/>
      <c r="W663" s="292"/>
      <c r="X663" s="415"/>
      <c r="Y663" s="416"/>
      <c r="Z663" s="417"/>
      <c r="AA663" s="304"/>
      <c r="AB663" s="304"/>
      <c r="AC663" s="304"/>
      <c r="AD663" s="304"/>
      <c r="AE663" s="304"/>
      <c r="AF663" s="304"/>
      <c r="AG663" s="304"/>
      <c r="AH663" s="304"/>
    </row>
    <row r="664">
      <c r="A664" s="292"/>
      <c r="B664" s="292"/>
      <c r="C664" s="292"/>
      <c r="D664" s="412"/>
      <c r="E664" s="412"/>
      <c r="F664" s="412"/>
      <c r="G664" s="412"/>
      <c r="H664" s="412"/>
      <c r="I664" s="412"/>
      <c r="J664" s="412"/>
      <c r="K664" s="413"/>
      <c r="L664" s="413"/>
      <c r="M664" s="413"/>
      <c r="N664" s="414"/>
      <c r="O664" s="412"/>
      <c r="P664" s="412"/>
      <c r="Q664" s="412"/>
      <c r="R664" s="412"/>
      <c r="S664" s="412"/>
      <c r="T664" s="412"/>
      <c r="U664" s="292"/>
      <c r="V664" s="292"/>
      <c r="W664" s="292"/>
      <c r="X664" s="415"/>
      <c r="Y664" s="416"/>
      <c r="Z664" s="417"/>
      <c r="AA664" s="304"/>
      <c r="AB664" s="304"/>
      <c r="AC664" s="304"/>
      <c r="AD664" s="304"/>
      <c r="AE664" s="304"/>
      <c r="AF664" s="304"/>
      <c r="AG664" s="304"/>
      <c r="AH664" s="304"/>
    </row>
    <row r="665">
      <c r="A665" s="292"/>
      <c r="B665" s="292"/>
      <c r="C665" s="292"/>
      <c r="D665" s="412"/>
      <c r="E665" s="412"/>
      <c r="F665" s="412"/>
      <c r="G665" s="412"/>
      <c r="H665" s="412"/>
      <c r="I665" s="412"/>
      <c r="J665" s="412"/>
      <c r="K665" s="413"/>
      <c r="L665" s="413"/>
      <c r="M665" s="413"/>
      <c r="N665" s="414"/>
      <c r="O665" s="412"/>
      <c r="P665" s="412"/>
      <c r="Q665" s="412"/>
      <c r="R665" s="412"/>
      <c r="S665" s="412"/>
      <c r="T665" s="412"/>
      <c r="U665" s="292"/>
      <c r="V665" s="292"/>
      <c r="W665" s="292"/>
      <c r="X665" s="415"/>
      <c r="Y665" s="416"/>
      <c r="Z665" s="417"/>
      <c r="AA665" s="304"/>
      <c r="AB665" s="304"/>
      <c r="AC665" s="304"/>
      <c r="AD665" s="304"/>
      <c r="AE665" s="304"/>
      <c r="AF665" s="304"/>
      <c r="AG665" s="304"/>
      <c r="AH665" s="304"/>
    </row>
    <row r="666">
      <c r="A666" s="292"/>
      <c r="B666" s="292"/>
      <c r="C666" s="292"/>
      <c r="D666" s="412"/>
      <c r="E666" s="412"/>
      <c r="F666" s="412"/>
      <c r="G666" s="412"/>
      <c r="H666" s="412"/>
      <c r="I666" s="412"/>
      <c r="J666" s="412"/>
      <c r="K666" s="413"/>
      <c r="L666" s="413"/>
      <c r="M666" s="413"/>
      <c r="N666" s="414"/>
      <c r="O666" s="412"/>
      <c r="P666" s="412"/>
      <c r="Q666" s="412"/>
      <c r="R666" s="412"/>
      <c r="S666" s="412"/>
      <c r="T666" s="412"/>
      <c r="U666" s="292"/>
      <c r="V666" s="292"/>
      <c r="W666" s="292"/>
      <c r="X666" s="415"/>
      <c r="Y666" s="416"/>
      <c r="Z666" s="417"/>
      <c r="AA666" s="304"/>
      <c r="AB666" s="304"/>
      <c r="AC666" s="304"/>
      <c r="AD666" s="304"/>
      <c r="AE666" s="304"/>
      <c r="AF666" s="304"/>
      <c r="AG666" s="304"/>
      <c r="AH666" s="304"/>
    </row>
    <row r="667">
      <c r="A667" s="292"/>
      <c r="B667" s="292"/>
      <c r="C667" s="292"/>
      <c r="D667" s="412"/>
      <c r="E667" s="412"/>
      <c r="F667" s="412"/>
      <c r="G667" s="412"/>
      <c r="H667" s="412"/>
      <c r="I667" s="412"/>
      <c r="J667" s="412"/>
      <c r="K667" s="413"/>
      <c r="L667" s="413"/>
      <c r="M667" s="413"/>
      <c r="N667" s="414"/>
      <c r="O667" s="412"/>
      <c r="P667" s="412"/>
      <c r="Q667" s="412"/>
      <c r="R667" s="412"/>
      <c r="S667" s="412"/>
      <c r="T667" s="412"/>
      <c r="U667" s="292"/>
      <c r="V667" s="292"/>
      <c r="W667" s="292"/>
      <c r="X667" s="415"/>
      <c r="Y667" s="416"/>
      <c r="Z667" s="417"/>
      <c r="AA667" s="304"/>
      <c r="AB667" s="304"/>
      <c r="AC667" s="304"/>
      <c r="AD667" s="304"/>
      <c r="AE667" s="304"/>
      <c r="AF667" s="304"/>
      <c r="AG667" s="304"/>
      <c r="AH667" s="304"/>
    </row>
    <row r="668">
      <c r="A668" s="292"/>
      <c r="B668" s="292"/>
      <c r="C668" s="292"/>
      <c r="D668" s="412"/>
      <c r="E668" s="412"/>
      <c r="F668" s="412"/>
      <c r="G668" s="412"/>
      <c r="H668" s="412"/>
      <c r="I668" s="412"/>
      <c r="J668" s="412"/>
      <c r="K668" s="413"/>
      <c r="L668" s="413"/>
      <c r="M668" s="413"/>
      <c r="N668" s="414"/>
      <c r="O668" s="412"/>
      <c r="P668" s="412"/>
      <c r="Q668" s="412"/>
      <c r="R668" s="412"/>
      <c r="S668" s="412"/>
      <c r="T668" s="412"/>
      <c r="U668" s="292"/>
      <c r="V668" s="292"/>
      <c r="W668" s="292"/>
      <c r="X668" s="415"/>
      <c r="Y668" s="416"/>
      <c r="Z668" s="417"/>
      <c r="AA668" s="304"/>
      <c r="AB668" s="304"/>
      <c r="AC668" s="304"/>
      <c r="AD668" s="304"/>
      <c r="AE668" s="304"/>
      <c r="AF668" s="304"/>
      <c r="AG668" s="304"/>
      <c r="AH668" s="304"/>
    </row>
    <row r="669">
      <c r="A669" s="292"/>
      <c r="B669" s="292"/>
      <c r="C669" s="292"/>
      <c r="D669" s="412"/>
      <c r="E669" s="412"/>
      <c r="F669" s="412"/>
      <c r="G669" s="412"/>
      <c r="H669" s="412"/>
      <c r="I669" s="412"/>
      <c r="J669" s="412"/>
      <c r="K669" s="413"/>
      <c r="L669" s="413"/>
      <c r="M669" s="413"/>
      <c r="N669" s="414"/>
      <c r="O669" s="412"/>
      <c r="P669" s="412"/>
      <c r="Q669" s="412"/>
      <c r="R669" s="412"/>
      <c r="S669" s="412"/>
      <c r="T669" s="412"/>
      <c r="U669" s="292"/>
      <c r="V669" s="292"/>
      <c r="W669" s="292"/>
      <c r="X669" s="415"/>
      <c r="Y669" s="416"/>
      <c r="Z669" s="417"/>
      <c r="AA669" s="304"/>
      <c r="AB669" s="304"/>
      <c r="AC669" s="304"/>
      <c r="AD669" s="304"/>
      <c r="AE669" s="304"/>
      <c r="AF669" s="304"/>
      <c r="AG669" s="304"/>
      <c r="AH669" s="304"/>
    </row>
    <row r="670">
      <c r="A670" s="292"/>
      <c r="B670" s="292"/>
      <c r="C670" s="292"/>
      <c r="D670" s="412"/>
      <c r="E670" s="412"/>
      <c r="F670" s="412"/>
      <c r="G670" s="412"/>
      <c r="H670" s="412"/>
      <c r="I670" s="412"/>
      <c r="J670" s="412"/>
      <c r="K670" s="413"/>
      <c r="L670" s="413"/>
      <c r="M670" s="413"/>
      <c r="N670" s="414"/>
      <c r="O670" s="412"/>
      <c r="P670" s="412"/>
      <c r="Q670" s="412"/>
      <c r="R670" s="412"/>
      <c r="S670" s="412"/>
      <c r="T670" s="412"/>
      <c r="U670" s="292"/>
      <c r="V670" s="292"/>
      <c r="W670" s="292"/>
      <c r="X670" s="415"/>
      <c r="Y670" s="416"/>
      <c r="Z670" s="417"/>
      <c r="AA670" s="304"/>
      <c r="AB670" s="304"/>
      <c r="AC670" s="304"/>
      <c r="AD670" s="304"/>
      <c r="AE670" s="304"/>
      <c r="AF670" s="304"/>
      <c r="AG670" s="304"/>
      <c r="AH670" s="304"/>
    </row>
    <row r="671">
      <c r="A671" s="292"/>
      <c r="B671" s="292"/>
      <c r="C671" s="292"/>
      <c r="D671" s="412"/>
      <c r="E671" s="412"/>
      <c r="F671" s="412"/>
      <c r="G671" s="412"/>
      <c r="H671" s="412"/>
      <c r="I671" s="412"/>
      <c r="J671" s="412"/>
      <c r="K671" s="413"/>
      <c r="L671" s="413"/>
      <c r="M671" s="413"/>
      <c r="N671" s="414"/>
      <c r="O671" s="412"/>
      <c r="P671" s="412"/>
      <c r="Q671" s="412"/>
      <c r="R671" s="412"/>
      <c r="S671" s="412"/>
      <c r="T671" s="412"/>
      <c r="U671" s="292"/>
      <c r="V671" s="292"/>
      <c r="W671" s="292"/>
      <c r="X671" s="415"/>
      <c r="Y671" s="416"/>
      <c r="Z671" s="417"/>
      <c r="AA671" s="304"/>
      <c r="AB671" s="304"/>
      <c r="AC671" s="304"/>
      <c r="AD671" s="304"/>
      <c r="AE671" s="304"/>
      <c r="AF671" s="304"/>
      <c r="AG671" s="304"/>
      <c r="AH671" s="304"/>
    </row>
    <row r="672">
      <c r="A672" s="292"/>
      <c r="B672" s="292"/>
      <c r="C672" s="292"/>
      <c r="D672" s="412"/>
      <c r="E672" s="412"/>
      <c r="F672" s="412"/>
      <c r="G672" s="412"/>
      <c r="H672" s="412"/>
      <c r="I672" s="412"/>
      <c r="J672" s="412"/>
      <c r="K672" s="413"/>
      <c r="L672" s="413"/>
      <c r="M672" s="413"/>
      <c r="N672" s="414"/>
      <c r="O672" s="412"/>
      <c r="P672" s="412"/>
      <c r="Q672" s="412"/>
      <c r="R672" s="412"/>
      <c r="S672" s="412"/>
      <c r="T672" s="412"/>
      <c r="U672" s="292"/>
      <c r="V672" s="292"/>
      <c r="W672" s="292"/>
      <c r="X672" s="415"/>
      <c r="Y672" s="416"/>
      <c r="Z672" s="417"/>
      <c r="AA672" s="304"/>
      <c r="AB672" s="304"/>
      <c r="AC672" s="304"/>
      <c r="AD672" s="304"/>
      <c r="AE672" s="304"/>
      <c r="AF672" s="304"/>
      <c r="AG672" s="304"/>
      <c r="AH672" s="304"/>
    </row>
    <row r="673">
      <c r="A673" s="292"/>
      <c r="B673" s="292"/>
      <c r="C673" s="292"/>
      <c r="D673" s="412"/>
      <c r="E673" s="412"/>
      <c r="F673" s="412"/>
      <c r="G673" s="412"/>
      <c r="H673" s="412"/>
      <c r="I673" s="412"/>
      <c r="J673" s="412"/>
      <c r="K673" s="413"/>
      <c r="L673" s="413"/>
      <c r="M673" s="413"/>
      <c r="N673" s="414"/>
      <c r="O673" s="412"/>
      <c r="P673" s="412"/>
      <c r="Q673" s="412"/>
      <c r="R673" s="412"/>
      <c r="S673" s="412"/>
      <c r="T673" s="412"/>
      <c r="U673" s="292"/>
      <c r="V673" s="292"/>
      <c r="W673" s="292"/>
      <c r="X673" s="415"/>
      <c r="Y673" s="416"/>
      <c r="Z673" s="417"/>
      <c r="AA673" s="304"/>
      <c r="AB673" s="304"/>
      <c r="AC673" s="304"/>
      <c r="AD673" s="304"/>
      <c r="AE673" s="304"/>
      <c r="AF673" s="304"/>
      <c r="AG673" s="304"/>
      <c r="AH673" s="304"/>
    </row>
    <row r="674">
      <c r="A674" s="292"/>
      <c r="B674" s="292"/>
      <c r="C674" s="292"/>
      <c r="D674" s="412"/>
      <c r="E674" s="412"/>
      <c r="F674" s="412"/>
      <c r="G674" s="412"/>
      <c r="H674" s="412"/>
      <c r="I674" s="412"/>
      <c r="J674" s="412"/>
      <c r="K674" s="413"/>
      <c r="L674" s="413"/>
      <c r="M674" s="413"/>
      <c r="N674" s="414"/>
      <c r="O674" s="412"/>
      <c r="P674" s="412"/>
      <c r="Q674" s="412"/>
      <c r="R674" s="412"/>
      <c r="S674" s="412"/>
      <c r="T674" s="412"/>
      <c r="U674" s="292"/>
      <c r="V674" s="292"/>
      <c r="W674" s="292"/>
      <c r="X674" s="415"/>
      <c r="Y674" s="416"/>
      <c r="Z674" s="417"/>
      <c r="AA674" s="304"/>
      <c r="AB674" s="304"/>
      <c r="AC674" s="304"/>
      <c r="AD674" s="304"/>
      <c r="AE674" s="304"/>
      <c r="AF674" s="304"/>
      <c r="AG674" s="304"/>
      <c r="AH674" s="304"/>
    </row>
    <row r="675">
      <c r="A675" s="292"/>
      <c r="B675" s="292"/>
      <c r="C675" s="292"/>
      <c r="D675" s="412"/>
      <c r="E675" s="412"/>
      <c r="F675" s="412"/>
      <c r="G675" s="412"/>
      <c r="H675" s="412"/>
      <c r="I675" s="412"/>
      <c r="J675" s="412"/>
      <c r="K675" s="413"/>
      <c r="L675" s="413"/>
      <c r="M675" s="413"/>
      <c r="N675" s="414"/>
      <c r="O675" s="412"/>
      <c r="P675" s="412"/>
      <c r="Q675" s="412"/>
      <c r="R675" s="412"/>
      <c r="S675" s="412"/>
      <c r="T675" s="412"/>
      <c r="U675" s="292"/>
      <c r="V675" s="292"/>
      <c r="W675" s="292"/>
      <c r="X675" s="415"/>
      <c r="Y675" s="416"/>
      <c r="Z675" s="417"/>
      <c r="AA675" s="304"/>
      <c r="AB675" s="304"/>
      <c r="AC675" s="304"/>
      <c r="AD675" s="304"/>
      <c r="AE675" s="304"/>
      <c r="AF675" s="304"/>
      <c r="AG675" s="304"/>
      <c r="AH675" s="304"/>
    </row>
    <row r="676">
      <c r="A676" s="292"/>
      <c r="B676" s="292"/>
      <c r="C676" s="292"/>
      <c r="D676" s="412"/>
      <c r="E676" s="412"/>
      <c r="F676" s="412"/>
      <c r="G676" s="412"/>
      <c r="H676" s="412"/>
      <c r="I676" s="412"/>
      <c r="J676" s="412"/>
      <c r="K676" s="413"/>
      <c r="L676" s="413"/>
      <c r="M676" s="413"/>
      <c r="N676" s="414"/>
      <c r="O676" s="412"/>
      <c r="P676" s="412"/>
      <c r="Q676" s="412"/>
      <c r="R676" s="412"/>
      <c r="S676" s="412"/>
      <c r="T676" s="412"/>
      <c r="U676" s="292"/>
      <c r="V676" s="292"/>
      <c r="W676" s="292"/>
      <c r="X676" s="415"/>
      <c r="Y676" s="416"/>
      <c r="Z676" s="417"/>
      <c r="AA676" s="304"/>
      <c r="AB676" s="304"/>
      <c r="AC676" s="304"/>
      <c r="AD676" s="304"/>
      <c r="AE676" s="304"/>
      <c r="AF676" s="304"/>
      <c r="AG676" s="304"/>
      <c r="AH676" s="304"/>
    </row>
    <row r="677">
      <c r="A677" s="292"/>
      <c r="B677" s="292"/>
      <c r="C677" s="292"/>
      <c r="D677" s="412"/>
      <c r="E677" s="412"/>
      <c r="F677" s="412"/>
      <c r="G677" s="412"/>
      <c r="H677" s="412"/>
      <c r="I677" s="412"/>
      <c r="J677" s="412"/>
      <c r="K677" s="413"/>
      <c r="L677" s="413"/>
      <c r="M677" s="413"/>
      <c r="N677" s="414"/>
      <c r="O677" s="412"/>
      <c r="P677" s="412"/>
      <c r="Q677" s="412"/>
      <c r="R677" s="412"/>
      <c r="S677" s="412"/>
      <c r="T677" s="412"/>
      <c r="U677" s="292"/>
      <c r="V677" s="292"/>
      <c r="W677" s="292"/>
      <c r="X677" s="415"/>
      <c r="Y677" s="416"/>
      <c r="Z677" s="417"/>
      <c r="AA677" s="304"/>
      <c r="AB677" s="304"/>
      <c r="AC677" s="304"/>
      <c r="AD677" s="304"/>
      <c r="AE677" s="304"/>
      <c r="AF677" s="304"/>
      <c r="AG677" s="304"/>
      <c r="AH677" s="304"/>
    </row>
    <row r="678">
      <c r="A678" s="292"/>
      <c r="B678" s="292"/>
      <c r="C678" s="292"/>
      <c r="D678" s="412"/>
      <c r="E678" s="412"/>
      <c r="F678" s="412"/>
      <c r="G678" s="412"/>
      <c r="H678" s="412"/>
      <c r="I678" s="412"/>
      <c r="J678" s="412"/>
      <c r="K678" s="413"/>
      <c r="L678" s="413"/>
      <c r="M678" s="413"/>
      <c r="N678" s="414"/>
      <c r="O678" s="412"/>
      <c r="P678" s="412"/>
      <c r="Q678" s="412"/>
      <c r="R678" s="412"/>
      <c r="S678" s="412"/>
      <c r="T678" s="412"/>
      <c r="U678" s="292"/>
      <c r="V678" s="292"/>
      <c r="W678" s="292"/>
      <c r="X678" s="415"/>
      <c r="Y678" s="416"/>
      <c r="Z678" s="417"/>
      <c r="AA678" s="304"/>
      <c r="AB678" s="304"/>
      <c r="AC678" s="304"/>
      <c r="AD678" s="304"/>
      <c r="AE678" s="304"/>
      <c r="AF678" s="304"/>
      <c r="AG678" s="304"/>
      <c r="AH678" s="304"/>
    </row>
    <row r="679">
      <c r="A679" s="292"/>
      <c r="B679" s="292"/>
      <c r="C679" s="292"/>
      <c r="D679" s="412"/>
      <c r="E679" s="412"/>
      <c r="F679" s="412"/>
      <c r="G679" s="412"/>
      <c r="H679" s="412"/>
      <c r="I679" s="412"/>
      <c r="J679" s="412"/>
      <c r="K679" s="413"/>
      <c r="L679" s="413"/>
      <c r="M679" s="413"/>
      <c r="N679" s="414"/>
      <c r="O679" s="412"/>
      <c r="P679" s="412"/>
      <c r="Q679" s="412"/>
      <c r="R679" s="412"/>
      <c r="S679" s="412"/>
      <c r="T679" s="412"/>
      <c r="U679" s="292"/>
      <c r="V679" s="292"/>
      <c r="W679" s="292"/>
      <c r="X679" s="415"/>
      <c r="Y679" s="416"/>
      <c r="Z679" s="417"/>
      <c r="AA679" s="304"/>
      <c r="AB679" s="304"/>
      <c r="AC679" s="304"/>
      <c r="AD679" s="304"/>
      <c r="AE679" s="304"/>
      <c r="AF679" s="304"/>
      <c r="AG679" s="304"/>
      <c r="AH679" s="304"/>
    </row>
    <row r="680">
      <c r="A680" s="292"/>
      <c r="B680" s="292"/>
      <c r="C680" s="292"/>
      <c r="D680" s="412"/>
      <c r="E680" s="412"/>
      <c r="F680" s="412"/>
      <c r="G680" s="412"/>
      <c r="H680" s="412"/>
      <c r="I680" s="412"/>
      <c r="J680" s="412"/>
      <c r="K680" s="413"/>
      <c r="L680" s="413"/>
      <c r="M680" s="413"/>
      <c r="N680" s="414"/>
      <c r="O680" s="412"/>
      <c r="P680" s="412"/>
      <c r="Q680" s="412"/>
      <c r="R680" s="412"/>
      <c r="S680" s="412"/>
      <c r="T680" s="412"/>
      <c r="U680" s="292"/>
      <c r="V680" s="292"/>
      <c r="W680" s="292"/>
      <c r="X680" s="415"/>
      <c r="Y680" s="416"/>
      <c r="Z680" s="417"/>
      <c r="AA680" s="304"/>
      <c r="AB680" s="304"/>
      <c r="AC680" s="304"/>
      <c r="AD680" s="304"/>
      <c r="AE680" s="304"/>
      <c r="AF680" s="304"/>
      <c r="AG680" s="304"/>
      <c r="AH680" s="304"/>
    </row>
    <row r="681">
      <c r="A681" s="292"/>
      <c r="B681" s="292"/>
      <c r="C681" s="292"/>
      <c r="D681" s="412"/>
      <c r="E681" s="412"/>
      <c r="F681" s="412"/>
      <c r="G681" s="412"/>
      <c r="H681" s="412"/>
      <c r="I681" s="412"/>
      <c r="J681" s="412"/>
      <c r="K681" s="413"/>
      <c r="L681" s="413"/>
      <c r="M681" s="413"/>
      <c r="N681" s="414"/>
      <c r="O681" s="412"/>
      <c r="P681" s="412"/>
      <c r="Q681" s="412"/>
      <c r="R681" s="412"/>
      <c r="S681" s="412"/>
      <c r="T681" s="412"/>
      <c r="U681" s="292"/>
      <c r="V681" s="292"/>
      <c r="W681" s="292"/>
      <c r="X681" s="415"/>
      <c r="Y681" s="416"/>
      <c r="Z681" s="417"/>
      <c r="AA681" s="304"/>
      <c r="AB681" s="304"/>
      <c r="AC681" s="304"/>
      <c r="AD681" s="304"/>
      <c r="AE681" s="304"/>
      <c r="AF681" s="304"/>
      <c r="AG681" s="304"/>
      <c r="AH681" s="304"/>
    </row>
    <row r="682">
      <c r="A682" s="292"/>
      <c r="B682" s="292"/>
      <c r="C682" s="292"/>
      <c r="D682" s="412"/>
      <c r="E682" s="412"/>
      <c r="F682" s="412"/>
      <c r="G682" s="412"/>
      <c r="H682" s="412"/>
      <c r="I682" s="412"/>
      <c r="J682" s="412"/>
      <c r="K682" s="413"/>
      <c r="L682" s="413"/>
      <c r="M682" s="413"/>
      <c r="N682" s="414"/>
      <c r="O682" s="412"/>
      <c r="P682" s="412"/>
      <c r="Q682" s="412"/>
      <c r="R682" s="412"/>
      <c r="S682" s="412"/>
      <c r="T682" s="412"/>
      <c r="U682" s="292"/>
      <c r="V682" s="292"/>
      <c r="W682" s="292"/>
      <c r="X682" s="415"/>
      <c r="Y682" s="416"/>
      <c r="Z682" s="417"/>
      <c r="AA682" s="304"/>
      <c r="AB682" s="304"/>
      <c r="AC682" s="304"/>
      <c r="AD682" s="304"/>
      <c r="AE682" s="304"/>
      <c r="AF682" s="304"/>
      <c r="AG682" s="304"/>
      <c r="AH682" s="304"/>
    </row>
    <row r="683">
      <c r="A683" s="292"/>
      <c r="B683" s="292"/>
      <c r="C683" s="292"/>
      <c r="D683" s="412"/>
      <c r="E683" s="412"/>
      <c r="F683" s="412"/>
      <c r="G683" s="412"/>
      <c r="H683" s="412"/>
      <c r="I683" s="412"/>
      <c r="J683" s="412"/>
      <c r="K683" s="413"/>
      <c r="L683" s="413"/>
      <c r="M683" s="413"/>
      <c r="N683" s="414"/>
      <c r="O683" s="412"/>
      <c r="P683" s="412"/>
      <c r="Q683" s="412"/>
      <c r="R683" s="412"/>
      <c r="S683" s="412"/>
      <c r="T683" s="412"/>
      <c r="U683" s="292"/>
      <c r="V683" s="292"/>
      <c r="W683" s="292"/>
      <c r="X683" s="415"/>
      <c r="Y683" s="416"/>
      <c r="Z683" s="417"/>
      <c r="AA683" s="304"/>
      <c r="AB683" s="304"/>
      <c r="AC683" s="304"/>
      <c r="AD683" s="304"/>
      <c r="AE683" s="304"/>
      <c r="AF683" s="304"/>
      <c r="AG683" s="304"/>
      <c r="AH683" s="304"/>
    </row>
    <row r="684">
      <c r="A684" s="292"/>
      <c r="B684" s="292"/>
      <c r="C684" s="292"/>
      <c r="D684" s="412"/>
      <c r="E684" s="412"/>
      <c r="F684" s="412"/>
      <c r="G684" s="412"/>
      <c r="H684" s="412"/>
      <c r="I684" s="412"/>
      <c r="J684" s="412"/>
      <c r="K684" s="413"/>
      <c r="L684" s="413"/>
      <c r="M684" s="413"/>
      <c r="N684" s="414"/>
      <c r="O684" s="412"/>
      <c r="P684" s="412"/>
      <c r="Q684" s="412"/>
      <c r="R684" s="412"/>
      <c r="S684" s="412"/>
      <c r="T684" s="412"/>
      <c r="U684" s="292"/>
      <c r="V684" s="292"/>
      <c r="W684" s="292"/>
      <c r="X684" s="415"/>
      <c r="Y684" s="416"/>
      <c r="Z684" s="417"/>
      <c r="AA684" s="304"/>
      <c r="AB684" s="304"/>
      <c r="AC684" s="304"/>
      <c r="AD684" s="304"/>
      <c r="AE684" s="304"/>
      <c r="AF684" s="304"/>
      <c r="AG684" s="304"/>
      <c r="AH684" s="304"/>
    </row>
    <row r="685">
      <c r="A685" s="292"/>
      <c r="B685" s="292"/>
      <c r="C685" s="292"/>
      <c r="D685" s="412"/>
      <c r="E685" s="412"/>
      <c r="F685" s="412"/>
      <c r="G685" s="412"/>
      <c r="H685" s="412"/>
      <c r="I685" s="412"/>
      <c r="J685" s="412"/>
      <c r="K685" s="413"/>
      <c r="L685" s="413"/>
      <c r="M685" s="413"/>
      <c r="N685" s="414"/>
      <c r="O685" s="412"/>
      <c r="P685" s="412"/>
      <c r="Q685" s="412"/>
      <c r="R685" s="412"/>
      <c r="S685" s="412"/>
      <c r="T685" s="412"/>
      <c r="U685" s="292"/>
      <c r="V685" s="292"/>
      <c r="W685" s="292"/>
      <c r="X685" s="415"/>
      <c r="Y685" s="416"/>
      <c r="Z685" s="417"/>
      <c r="AA685" s="304"/>
      <c r="AB685" s="304"/>
      <c r="AC685" s="304"/>
      <c r="AD685" s="304"/>
      <c r="AE685" s="304"/>
      <c r="AF685" s="304"/>
      <c r="AG685" s="304"/>
      <c r="AH685" s="304"/>
    </row>
    <row r="686">
      <c r="A686" s="292"/>
      <c r="B686" s="292"/>
      <c r="C686" s="292"/>
      <c r="D686" s="412"/>
      <c r="E686" s="412"/>
      <c r="F686" s="412"/>
      <c r="G686" s="412"/>
      <c r="H686" s="412"/>
      <c r="I686" s="412"/>
      <c r="J686" s="412"/>
      <c r="K686" s="413"/>
      <c r="L686" s="413"/>
      <c r="M686" s="413"/>
      <c r="N686" s="414"/>
      <c r="O686" s="412"/>
      <c r="P686" s="412"/>
      <c r="Q686" s="412"/>
      <c r="R686" s="412"/>
      <c r="S686" s="412"/>
      <c r="T686" s="412"/>
      <c r="U686" s="292"/>
      <c r="V686" s="292"/>
      <c r="W686" s="292"/>
      <c r="X686" s="415"/>
      <c r="Y686" s="416"/>
      <c r="Z686" s="417"/>
      <c r="AA686" s="304"/>
      <c r="AB686" s="304"/>
      <c r="AC686" s="304"/>
      <c r="AD686" s="304"/>
      <c r="AE686" s="304"/>
      <c r="AF686" s="304"/>
      <c r="AG686" s="304"/>
      <c r="AH686" s="304"/>
    </row>
    <row r="687">
      <c r="A687" s="292"/>
      <c r="B687" s="292"/>
      <c r="C687" s="292"/>
      <c r="D687" s="412"/>
      <c r="E687" s="412"/>
      <c r="F687" s="412"/>
      <c r="G687" s="412"/>
      <c r="H687" s="412"/>
      <c r="I687" s="412"/>
      <c r="J687" s="412"/>
      <c r="K687" s="413"/>
      <c r="L687" s="413"/>
      <c r="M687" s="413"/>
      <c r="N687" s="414"/>
      <c r="O687" s="412"/>
      <c r="P687" s="412"/>
      <c r="Q687" s="412"/>
      <c r="R687" s="412"/>
      <c r="S687" s="412"/>
      <c r="T687" s="412"/>
      <c r="U687" s="292"/>
      <c r="V687" s="292"/>
      <c r="W687" s="292"/>
      <c r="X687" s="415"/>
      <c r="Y687" s="416"/>
      <c r="Z687" s="417"/>
      <c r="AA687" s="304"/>
      <c r="AB687" s="304"/>
      <c r="AC687" s="304"/>
      <c r="AD687" s="304"/>
      <c r="AE687" s="304"/>
      <c r="AF687" s="304"/>
      <c r="AG687" s="304"/>
      <c r="AH687" s="304"/>
    </row>
    <row r="688">
      <c r="A688" s="292"/>
      <c r="B688" s="292"/>
      <c r="C688" s="292"/>
      <c r="D688" s="412"/>
      <c r="E688" s="412"/>
      <c r="F688" s="412"/>
      <c r="G688" s="412"/>
      <c r="H688" s="412"/>
      <c r="I688" s="412"/>
      <c r="J688" s="412"/>
      <c r="K688" s="413"/>
      <c r="L688" s="413"/>
      <c r="M688" s="413"/>
      <c r="N688" s="414"/>
      <c r="O688" s="412"/>
      <c r="P688" s="412"/>
      <c r="Q688" s="412"/>
      <c r="R688" s="412"/>
      <c r="S688" s="412"/>
      <c r="T688" s="412"/>
      <c r="U688" s="292"/>
      <c r="V688" s="292"/>
      <c r="W688" s="292"/>
      <c r="X688" s="415"/>
      <c r="Y688" s="416"/>
      <c r="Z688" s="417"/>
      <c r="AA688" s="304"/>
      <c r="AB688" s="304"/>
      <c r="AC688" s="304"/>
      <c r="AD688" s="304"/>
      <c r="AE688" s="304"/>
      <c r="AF688" s="304"/>
      <c r="AG688" s="304"/>
      <c r="AH688" s="304"/>
    </row>
    <row r="689">
      <c r="A689" s="292"/>
      <c r="B689" s="292"/>
      <c r="C689" s="292"/>
      <c r="D689" s="412"/>
      <c r="E689" s="412"/>
      <c r="F689" s="412"/>
      <c r="G689" s="412"/>
      <c r="H689" s="412"/>
      <c r="I689" s="412"/>
      <c r="J689" s="412"/>
      <c r="K689" s="413"/>
      <c r="L689" s="413"/>
      <c r="M689" s="413"/>
      <c r="N689" s="414"/>
      <c r="O689" s="412"/>
      <c r="P689" s="412"/>
      <c r="Q689" s="412"/>
      <c r="R689" s="412"/>
      <c r="S689" s="412"/>
      <c r="T689" s="412"/>
      <c r="U689" s="292"/>
      <c r="V689" s="292"/>
      <c r="W689" s="292"/>
      <c r="X689" s="415"/>
      <c r="Y689" s="416"/>
      <c r="Z689" s="417"/>
      <c r="AA689" s="304"/>
      <c r="AB689" s="304"/>
      <c r="AC689" s="304"/>
      <c r="AD689" s="304"/>
      <c r="AE689" s="304"/>
      <c r="AF689" s="304"/>
      <c r="AG689" s="304"/>
      <c r="AH689" s="304"/>
    </row>
    <row r="690">
      <c r="A690" s="292"/>
      <c r="B690" s="292"/>
      <c r="C690" s="292"/>
      <c r="D690" s="412"/>
      <c r="E690" s="412"/>
      <c r="F690" s="412"/>
      <c r="G690" s="412"/>
      <c r="H690" s="412"/>
      <c r="I690" s="412"/>
      <c r="J690" s="412"/>
      <c r="K690" s="413"/>
      <c r="L690" s="413"/>
      <c r="M690" s="413"/>
      <c r="N690" s="414"/>
      <c r="O690" s="412"/>
      <c r="P690" s="412"/>
      <c r="Q690" s="412"/>
      <c r="R690" s="412"/>
      <c r="S690" s="412"/>
      <c r="T690" s="412"/>
      <c r="U690" s="292"/>
      <c r="V690" s="292"/>
      <c r="W690" s="292"/>
      <c r="X690" s="415"/>
      <c r="Y690" s="416"/>
      <c r="Z690" s="417"/>
      <c r="AA690" s="304"/>
      <c r="AB690" s="304"/>
      <c r="AC690" s="304"/>
      <c r="AD690" s="304"/>
      <c r="AE690" s="304"/>
      <c r="AF690" s="304"/>
      <c r="AG690" s="304"/>
      <c r="AH690" s="304"/>
    </row>
    <row r="691">
      <c r="A691" s="292"/>
      <c r="B691" s="292"/>
      <c r="C691" s="292"/>
      <c r="D691" s="412"/>
      <c r="E691" s="412"/>
      <c r="F691" s="412"/>
      <c r="G691" s="412"/>
      <c r="H691" s="412"/>
      <c r="I691" s="412"/>
      <c r="J691" s="412"/>
      <c r="K691" s="413"/>
      <c r="L691" s="413"/>
      <c r="M691" s="413"/>
      <c r="N691" s="414"/>
      <c r="O691" s="412"/>
      <c r="P691" s="412"/>
      <c r="Q691" s="412"/>
      <c r="R691" s="412"/>
      <c r="S691" s="412"/>
      <c r="T691" s="412"/>
      <c r="U691" s="292"/>
      <c r="V691" s="292"/>
      <c r="W691" s="292"/>
      <c r="X691" s="415"/>
      <c r="Y691" s="416"/>
      <c r="Z691" s="417"/>
      <c r="AA691" s="304"/>
      <c r="AB691" s="304"/>
      <c r="AC691" s="304"/>
      <c r="AD691" s="304"/>
      <c r="AE691" s="304"/>
      <c r="AF691" s="304"/>
      <c r="AG691" s="304"/>
      <c r="AH691" s="304"/>
    </row>
    <row r="692">
      <c r="A692" s="292"/>
      <c r="B692" s="292"/>
      <c r="C692" s="292"/>
      <c r="D692" s="412"/>
      <c r="E692" s="412"/>
      <c r="F692" s="412"/>
      <c r="G692" s="412"/>
      <c r="H692" s="412"/>
      <c r="I692" s="412"/>
      <c r="J692" s="412"/>
      <c r="K692" s="413"/>
      <c r="L692" s="413"/>
      <c r="M692" s="413"/>
      <c r="N692" s="414"/>
      <c r="O692" s="412"/>
      <c r="P692" s="412"/>
      <c r="Q692" s="412"/>
      <c r="R692" s="412"/>
      <c r="S692" s="412"/>
      <c r="T692" s="412"/>
      <c r="U692" s="292"/>
      <c r="V692" s="292"/>
      <c r="W692" s="292"/>
      <c r="X692" s="415"/>
      <c r="Y692" s="416"/>
      <c r="Z692" s="417"/>
      <c r="AA692" s="304"/>
      <c r="AB692" s="304"/>
      <c r="AC692" s="304"/>
      <c r="AD692" s="304"/>
      <c r="AE692" s="304"/>
      <c r="AF692" s="304"/>
      <c r="AG692" s="304"/>
      <c r="AH692" s="304"/>
    </row>
    <row r="693">
      <c r="A693" s="292"/>
      <c r="B693" s="292"/>
      <c r="C693" s="292"/>
      <c r="D693" s="412"/>
      <c r="E693" s="412"/>
      <c r="F693" s="412"/>
      <c r="G693" s="412"/>
      <c r="H693" s="412"/>
      <c r="I693" s="412"/>
      <c r="J693" s="412"/>
      <c r="K693" s="413"/>
      <c r="L693" s="413"/>
      <c r="M693" s="413"/>
      <c r="N693" s="414"/>
      <c r="O693" s="412"/>
      <c r="P693" s="412"/>
      <c r="Q693" s="412"/>
      <c r="R693" s="412"/>
      <c r="S693" s="412"/>
      <c r="T693" s="412"/>
      <c r="U693" s="292"/>
      <c r="V693" s="292"/>
      <c r="W693" s="292"/>
      <c r="X693" s="415"/>
      <c r="Y693" s="416"/>
      <c r="Z693" s="417"/>
      <c r="AA693" s="304"/>
      <c r="AB693" s="304"/>
      <c r="AC693" s="304"/>
      <c r="AD693" s="304"/>
      <c r="AE693" s="304"/>
      <c r="AF693" s="304"/>
      <c r="AG693" s="304"/>
      <c r="AH693" s="304"/>
    </row>
    <row r="694">
      <c r="A694" s="292"/>
      <c r="B694" s="292"/>
      <c r="C694" s="292"/>
      <c r="D694" s="412"/>
      <c r="E694" s="412"/>
      <c r="F694" s="412"/>
      <c r="G694" s="412"/>
      <c r="H694" s="412"/>
      <c r="I694" s="412"/>
      <c r="J694" s="412"/>
      <c r="K694" s="413"/>
      <c r="L694" s="413"/>
      <c r="M694" s="413"/>
      <c r="N694" s="414"/>
      <c r="O694" s="412"/>
      <c r="P694" s="412"/>
      <c r="Q694" s="412"/>
      <c r="R694" s="412"/>
      <c r="S694" s="412"/>
      <c r="T694" s="412"/>
      <c r="U694" s="292"/>
      <c r="V694" s="292"/>
      <c r="W694" s="292"/>
      <c r="X694" s="415"/>
      <c r="Y694" s="416"/>
      <c r="Z694" s="417"/>
      <c r="AA694" s="304"/>
      <c r="AB694" s="304"/>
      <c r="AC694" s="304"/>
      <c r="AD694" s="304"/>
      <c r="AE694" s="304"/>
      <c r="AF694" s="304"/>
      <c r="AG694" s="304"/>
      <c r="AH694" s="304"/>
    </row>
    <row r="695">
      <c r="A695" s="292"/>
      <c r="B695" s="292"/>
      <c r="C695" s="292"/>
      <c r="D695" s="412"/>
      <c r="E695" s="412"/>
      <c r="F695" s="412"/>
      <c r="G695" s="412"/>
      <c r="H695" s="412"/>
      <c r="I695" s="412"/>
      <c r="J695" s="412"/>
      <c r="K695" s="413"/>
      <c r="L695" s="413"/>
      <c r="M695" s="413"/>
      <c r="N695" s="414"/>
      <c r="O695" s="412"/>
      <c r="P695" s="412"/>
      <c r="Q695" s="412"/>
      <c r="R695" s="412"/>
      <c r="S695" s="412"/>
      <c r="T695" s="412"/>
      <c r="U695" s="292"/>
      <c r="V695" s="292"/>
      <c r="W695" s="292"/>
      <c r="X695" s="415"/>
      <c r="Y695" s="416"/>
      <c r="Z695" s="417"/>
      <c r="AA695" s="304"/>
      <c r="AB695" s="304"/>
      <c r="AC695" s="304"/>
      <c r="AD695" s="304"/>
      <c r="AE695" s="304"/>
      <c r="AF695" s="304"/>
      <c r="AG695" s="304"/>
      <c r="AH695" s="304"/>
    </row>
    <row r="696">
      <c r="A696" s="292"/>
      <c r="B696" s="292"/>
      <c r="C696" s="292"/>
      <c r="D696" s="412"/>
      <c r="E696" s="412"/>
      <c r="F696" s="412"/>
      <c r="G696" s="412"/>
      <c r="H696" s="412"/>
      <c r="I696" s="412"/>
      <c r="J696" s="412"/>
      <c r="K696" s="413"/>
      <c r="L696" s="413"/>
      <c r="M696" s="413"/>
      <c r="N696" s="414"/>
      <c r="O696" s="412"/>
      <c r="P696" s="412"/>
      <c r="Q696" s="412"/>
      <c r="R696" s="412"/>
      <c r="S696" s="412"/>
      <c r="T696" s="412"/>
      <c r="U696" s="292"/>
      <c r="V696" s="292"/>
      <c r="W696" s="292"/>
      <c r="X696" s="415"/>
      <c r="Y696" s="416"/>
      <c r="Z696" s="417"/>
      <c r="AA696" s="304"/>
      <c r="AB696" s="304"/>
      <c r="AC696" s="304"/>
      <c r="AD696" s="304"/>
      <c r="AE696" s="304"/>
      <c r="AF696" s="304"/>
      <c r="AG696" s="304"/>
      <c r="AH696" s="304"/>
    </row>
    <row r="697">
      <c r="A697" s="292"/>
      <c r="B697" s="292"/>
      <c r="C697" s="292"/>
      <c r="D697" s="412"/>
      <c r="E697" s="412"/>
      <c r="F697" s="412"/>
      <c r="G697" s="412"/>
      <c r="H697" s="412"/>
      <c r="I697" s="412"/>
      <c r="J697" s="412"/>
      <c r="K697" s="413"/>
      <c r="L697" s="413"/>
      <c r="M697" s="413"/>
      <c r="N697" s="414"/>
      <c r="O697" s="412"/>
      <c r="P697" s="412"/>
      <c r="Q697" s="412"/>
      <c r="R697" s="412"/>
      <c r="S697" s="412"/>
      <c r="T697" s="412"/>
      <c r="U697" s="292"/>
      <c r="V697" s="292"/>
      <c r="W697" s="292"/>
      <c r="X697" s="415"/>
      <c r="Y697" s="416"/>
      <c r="Z697" s="417"/>
      <c r="AA697" s="304"/>
      <c r="AB697" s="304"/>
      <c r="AC697" s="304"/>
      <c r="AD697" s="304"/>
      <c r="AE697" s="304"/>
      <c r="AF697" s="304"/>
      <c r="AG697" s="304"/>
      <c r="AH697" s="304"/>
    </row>
    <row r="698">
      <c r="A698" s="292"/>
      <c r="B698" s="292"/>
      <c r="C698" s="292"/>
      <c r="D698" s="412"/>
      <c r="E698" s="412"/>
      <c r="F698" s="412"/>
      <c r="G698" s="412"/>
      <c r="H698" s="412"/>
      <c r="I698" s="412"/>
      <c r="J698" s="412"/>
      <c r="K698" s="413"/>
      <c r="L698" s="413"/>
      <c r="M698" s="413"/>
      <c r="N698" s="414"/>
      <c r="O698" s="412"/>
      <c r="P698" s="412"/>
      <c r="Q698" s="412"/>
      <c r="R698" s="412"/>
      <c r="S698" s="412"/>
      <c r="T698" s="412"/>
      <c r="U698" s="292"/>
      <c r="V698" s="292"/>
      <c r="W698" s="292"/>
      <c r="X698" s="415"/>
      <c r="Y698" s="416"/>
      <c r="Z698" s="417"/>
      <c r="AA698" s="304"/>
      <c r="AB698" s="304"/>
      <c r="AC698" s="304"/>
      <c r="AD698" s="304"/>
      <c r="AE698" s="304"/>
      <c r="AF698" s="304"/>
      <c r="AG698" s="304"/>
      <c r="AH698" s="304"/>
    </row>
    <row r="699">
      <c r="A699" s="292"/>
      <c r="B699" s="292"/>
      <c r="C699" s="292"/>
      <c r="D699" s="412"/>
      <c r="E699" s="412"/>
      <c r="F699" s="412"/>
      <c r="G699" s="412"/>
      <c r="H699" s="412"/>
      <c r="I699" s="412"/>
      <c r="J699" s="412"/>
      <c r="K699" s="413"/>
      <c r="L699" s="413"/>
      <c r="M699" s="413"/>
      <c r="N699" s="414"/>
      <c r="O699" s="412"/>
      <c r="P699" s="412"/>
      <c r="Q699" s="412"/>
      <c r="R699" s="412"/>
      <c r="S699" s="412"/>
      <c r="T699" s="412"/>
      <c r="U699" s="292"/>
      <c r="V699" s="292"/>
      <c r="W699" s="292"/>
      <c r="X699" s="415"/>
      <c r="Y699" s="416"/>
      <c r="Z699" s="417"/>
      <c r="AA699" s="304"/>
      <c r="AB699" s="304"/>
      <c r="AC699" s="304"/>
      <c r="AD699" s="304"/>
      <c r="AE699" s="304"/>
      <c r="AF699" s="304"/>
      <c r="AG699" s="304"/>
      <c r="AH699" s="304"/>
    </row>
    <row r="700">
      <c r="A700" s="292"/>
      <c r="B700" s="292"/>
      <c r="C700" s="292"/>
      <c r="D700" s="412"/>
      <c r="E700" s="412"/>
      <c r="F700" s="412"/>
      <c r="G700" s="412"/>
      <c r="H700" s="412"/>
      <c r="I700" s="412"/>
      <c r="J700" s="412"/>
      <c r="K700" s="413"/>
      <c r="L700" s="413"/>
      <c r="M700" s="413"/>
      <c r="N700" s="414"/>
      <c r="O700" s="412"/>
      <c r="P700" s="412"/>
      <c r="Q700" s="412"/>
      <c r="R700" s="412"/>
      <c r="S700" s="412"/>
      <c r="T700" s="412"/>
      <c r="U700" s="292"/>
      <c r="V700" s="292"/>
      <c r="W700" s="292"/>
      <c r="X700" s="415"/>
      <c r="Y700" s="416"/>
      <c r="Z700" s="417"/>
      <c r="AA700" s="304"/>
      <c r="AB700" s="304"/>
      <c r="AC700" s="304"/>
      <c r="AD700" s="304"/>
      <c r="AE700" s="304"/>
      <c r="AF700" s="304"/>
      <c r="AG700" s="304"/>
      <c r="AH700" s="304"/>
    </row>
    <row r="701">
      <c r="A701" s="292"/>
      <c r="B701" s="292"/>
      <c r="C701" s="292"/>
      <c r="D701" s="412"/>
      <c r="E701" s="412"/>
      <c r="F701" s="412"/>
      <c r="G701" s="412"/>
      <c r="H701" s="412"/>
      <c r="I701" s="412"/>
      <c r="J701" s="412"/>
      <c r="K701" s="413"/>
      <c r="L701" s="413"/>
      <c r="M701" s="413"/>
      <c r="N701" s="414"/>
      <c r="O701" s="412"/>
      <c r="P701" s="412"/>
      <c r="Q701" s="412"/>
      <c r="R701" s="412"/>
      <c r="S701" s="412"/>
      <c r="T701" s="412"/>
      <c r="U701" s="292"/>
      <c r="V701" s="292"/>
      <c r="W701" s="292"/>
      <c r="X701" s="415"/>
      <c r="Y701" s="416"/>
      <c r="Z701" s="417"/>
      <c r="AA701" s="304"/>
      <c r="AB701" s="304"/>
      <c r="AC701" s="304"/>
      <c r="AD701" s="304"/>
      <c r="AE701" s="304"/>
      <c r="AF701" s="304"/>
      <c r="AG701" s="304"/>
      <c r="AH701" s="304"/>
    </row>
    <row r="702">
      <c r="A702" s="292"/>
      <c r="B702" s="292"/>
      <c r="C702" s="292"/>
      <c r="D702" s="412"/>
      <c r="E702" s="412"/>
      <c r="F702" s="412"/>
      <c r="G702" s="412"/>
      <c r="H702" s="412"/>
      <c r="I702" s="412"/>
      <c r="J702" s="412"/>
      <c r="K702" s="413"/>
      <c r="L702" s="413"/>
      <c r="M702" s="413"/>
      <c r="N702" s="414"/>
      <c r="O702" s="412"/>
      <c r="P702" s="412"/>
      <c r="Q702" s="412"/>
      <c r="R702" s="412"/>
      <c r="S702" s="412"/>
      <c r="T702" s="412"/>
      <c r="U702" s="292"/>
      <c r="V702" s="292"/>
      <c r="W702" s="292"/>
      <c r="X702" s="415"/>
      <c r="Y702" s="416"/>
      <c r="Z702" s="417"/>
      <c r="AA702" s="304"/>
      <c r="AB702" s="304"/>
      <c r="AC702" s="304"/>
      <c r="AD702" s="304"/>
      <c r="AE702" s="304"/>
      <c r="AF702" s="304"/>
      <c r="AG702" s="304"/>
      <c r="AH702" s="304"/>
    </row>
    <row r="703">
      <c r="A703" s="292"/>
      <c r="B703" s="292"/>
      <c r="C703" s="292"/>
      <c r="D703" s="412"/>
      <c r="E703" s="412"/>
      <c r="F703" s="412"/>
      <c r="G703" s="412"/>
      <c r="H703" s="412"/>
      <c r="I703" s="412"/>
      <c r="J703" s="412"/>
      <c r="K703" s="413"/>
      <c r="L703" s="413"/>
      <c r="M703" s="413"/>
      <c r="N703" s="414"/>
      <c r="O703" s="412"/>
      <c r="P703" s="412"/>
      <c r="Q703" s="412"/>
      <c r="R703" s="412"/>
      <c r="S703" s="412"/>
      <c r="T703" s="412"/>
      <c r="U703" s="292"/>
      <c r="V703" s="292"/>
      <c r="W703" s="292"/>
      <c r="X703" s="415"/>
      <c r="Y703" s="416"/>
      <c r="Z703" s="417"/>
      <c r="AA703" s="304"/>
      <c r="AB703" s="304"/>
      <c r="AC703" s="304"/>
      <c r="AD703" s="304"/>
      <c r="AE703" s="304"/>
      <c r="AF703" s="304"/>
      <c r="AG703" s="304"/>
      <c r="AH703" s="304"/>
    </row>
    <row r="704">
      <c r="A704" s="292"/>
      <c r="B704" s="292"/>
      <c r="C704" s="292"/>
      <c r="D704" s="412"/>
      <c r="E704" s="412"/>
      <c r="F704" s="412"/>
      <c r="G704" s="412"/>
      <c r="H704" s="412"/>
      <c r="I704" s="412"/>
      <c r="J704" s="412"/>
      <c r="K704" s="413"/>
      <c r="L704" s="413"/>
      <c r="M704" s="413"/>
      <c r="N704" s="414"/>
      <c r="O704" s="412"/>
      <c r="P704" s="412"/>
      <c r="Q704" s="412"/>
      <c r="R704" s="412"/>
      <c r="S704" s="412"/>
      <c r="T704" s="412"/>
      <c r="U704" s="292"/>
      <c r="V704" s="292"/>
      <c r="W704" s="292"/>
      <c r="X704" s="415"/>
      <c r="Y704" s="416"/>
      <c r="Z704" s="417"/>
      <c r="AA704" s="304"/>
      <c r="AB704" s="304"/>
      <c r="AC704" s="304"/>
      <c r="AD704" s="304"/>
      <c r="AE704" s="304"/>
      <c r="AF704" s="304"/>
      <c r="AG704" s="304"/>
      <c r="AH704" s="304"/>
    </row>
    <row r="705">
      <c r="A705" s="292"/>
      <c r="B705" s="292"/>
      <c r="C705" s="292"/>
      <c r="D705" s="412"/>
      <c r="E705" s="412"/>
      <c r="F705" s="412"/>
      <c r="G705" s="412"/>
      <c r="H705" s="412"/>
      <c r="I705" s="412"/>
      <c r="J705" s="412"/>
      <c r="K705" s="413"/>
      <c r="L705" s="413"/>
      <c r="M705" s="413"/>
      <c r="N705" s="414"/>
      <c r="O705" s="412"/>
      <c r="P705" s="412"/>
      <c r="Q705" s="412"/>
      <c r="R705" s="412"/>
      <c r="S705" s="412"/>
      <c r="T705" s="412"/>
      <c r="U705" s="292"/>
      <c r="V705" s="292"/>
      <c r="W705" s="292"/>
      <c r="X705" s="415"/>
      <c r="Y705" s="416"/>
      <c r="Z705" s="417"/>
      <c r="AA705" s="304"/>
      <c r="AB705" s="304"/>
      <c r="AC705" s="304"/>
      <c r="AD705" s="304"/>
      <c r="AE705" s="304"/>
      <c r="AF705" s="304"/>
      <c r="AG705" s="304"/>
      <c r="AH705" s="304"/>
    </row>
    <row r="706">
      <c r="A706" s="292"/>
      <c r="B706" s="292"/>
      <c r="C706" s="292"/>
      <c r="D706" s="412"/>
      <c r="E706" s="412"/>
      <c r="F706" s="412"/>
      <c r="G706" s="412"/>
      <c r="H706" s="412"/>
      <c r="I706" s="412"/>
      <c r="J706" s="412"/>
      <c r="K706" s="413"/>
      <c r="L706" s="413"/>
      <c r="M706" s="413"/>
      <c r="N706" s="414"/>
      <c r="O706" s="412"/>
      <c r="P706" s="412"/>
      <c r="Q706" s="412"/>
      <c r="R706" s="412"/>
      <c r="S706" s="412"/>
      <c r="T706" s="412"/>
      <c r="U706" s="292"/>
      <c r="V706" s="292"/>
      <c r="W706" s="292"/>
      <c r="X706" s="415"/>
      <c r="Y706" s="416"/>
      <c r="Z706" s="417"/>
      <c r="AA706" s="304"/>
      <c r="AB706" s="304"/>
      <c r="AC706" s="304"/>
      <c r="AD706" s="304"/>
      <c r="AE706" s="304"/>
      <c r="AF706" s="304"/>
      <c r="AG706" s="304"/>
      <c r="AH706" s="304"/>
    </row>
    <row r="707">
      <c r="A707" s="292"/>
      <c r="B707" s="292"/>
      <c r="C707" s="292"/>
      <c r="D707" s="412"/>
      <c r="E707" s="412"/>
      <c r="F707" s="412"/>
      <c r="G707" s="412"/>
      <c r="H707" s="412"/>
      <c r="I707" s="412"/>
      <c r="J707" s="412"/>
      <c r="K707" s="413"/>
      <c r="L707" s="413"/>
      <c r="M707" s="413"/>
      <c r="N707" s="414"/>
      <c r="O707" s="412"/>
      <c r="P707" s="412"/>
      <c r="Q707" s="412"/>
      <c r="R707" s="412"/>
      <c r="S707" s="412"/>
      <c r="T707" s="412"/>
      <c r="U707" s="292"/>
      <c r="V707" s="292"/>
      <c r="W707" s="292"/>
      <c r="X707" s="415"/>
      <c r="Y707" s="416"/>
      <c r="Z707" s="417"/>
      <c r="AA707" s="304"/>
      <c r="AB707" s="304"/>
      <c r="AC707" s="304"/>
      <c r="AD707" s="304"/>
      <c r="AE707" s="304"/>
      <c r="AF707" s="304"/>
      <c r="AG707" s="304"/>
      <c r="AH707" s="304"/>
    </row>
    <row r="708">
      <c r="A708" s="292"/>
      <c r="B708" s="292"/>
      <c r="C708" s="292"/>
      <c r="D708" s="412"/>
      <c r="E708" s="412"/>
      <c r="F708" s="412"/>
      <c r="G708" s="412"/>
      <c r="H708" s="412"/>
      <c r="I708" s="412"/>
      <c r="J708" s="412"/>
      <c r="K708" s="413"/>
      <c r="L708" s="413"/>
      <c r="M708" s="413"/>
      <c r="N708" s="414"/>
      <c r="O708" s="412"/>
      <c r="P708" s="412"/>
      <c r="Q708" s="412"/>
      <c r="R708" s="412"/>
      <c r="S708" s="412"/>
      <c r="T708" s="412"/>
      <c r="U708" s="292"/>
      <c r="V708" s="292"/>
      <c r="W708" s="292"/>
      <c r="X708" s="415"/>
      <c r="Y708" s="416"/>
      <c r="Z708" s="417"/>
      <c r="AA708" s="304"/>
      <c r="AB708" s="304"/>
      <c r="AC708" s="304"/>
      <c r="AD708" s="304"/>
      <c r="AE708" s="304"/>
      <c r="AF708" s="304"/>
      <c r="AG708" s="304"/>
      <c r="AH708" s="304"/>
    </row>
    <row r="709">
      <c r="A709" s="292"/>
      <c r="B709" s="292"/>
      <c r="C709" s="292"/>
      <c r="D709" s="412"/>
      <c r="E709" s="412"/>
      <c r="F709" s="412"/>
      <c r="G709" s="412"/>
      <c r="H709" s="412"/>
      <c r="I709" s="412"/>
      <c r="J709" s="412"/>
      <c r="K709" s="413"/>
      <c r="L709" s="413"/>
      <c r="M709" s="413"/>
      <c r="N709" s="414"/>
      <c r="O709" s="412"/>
      <c r="P709" s="412"/>
      <c r="Q709" s="412"/>
      <c r="R709" s="412"/>
      <c r="S709" s="412"/>
      <c r="T709" s="412"/>
      <c r="U709" s="292"/>
      <c r="V709" s="292"/>
      <c r="W709" s="292"/>
      <c r="X709" s="415"/>
      <c r="Y709" s="416"/>
      <c r="Z709" s="417"/>
      <c r="AA709" s="304"/>
      <c r="AB709" s="304"/>
      <c r="AC709" s="304"/>
      <c r="AD709" s="304"/>
      <c r="AE709" s="304"/>
      <c r="AF709" s="304"/>
      <c r="AG709" s="304"/>
      <c r="AH709" s="304"/>
    </row>
    <row r="710">
      <c r="A710" s="292"/>
      <c r="B710" s="292"/>
      <c r="C710" s="292"/>
      <c r="D710" s="412"/>
      <c r="E710" s="412"/>
      <c r="F710" s="412"/>
      <c r="G710" s="412"/>
      <c r="H710" s="412"/>
      <c r="I710" s="412"/>
      <c r="J710" s="412"/>
      <c r="K710" s="413"/>
      <c r="L710" s="413"/>
      <c r="M710" s="413"/>
      <c r="N710" s="414"/>
      <c r="O710" s="412"/>
      <c r="P710" s="412"/>
      <c r="Q710" s="412"/>
      <c r="R710" s="412"/>
      <c r="S710" s="412"/>
      <c r="T710" s="412"/>
      <c r="U710" s="292"/>
      <c r="V710" s="292"/>
      <c r="W710" s="292"/>
      <c r="X710" s="415"/>
      <c r="Y710" s="416"/>
      <c r="Z710" s="417"/>
      <c r="AA710" s="304"/>
      <c r="AB710" s="304"/>
      <c r="AC710" s="304"/>
      <c r="AD710" s="304"/>
      <c r="AE710" s="304"/>
      <c r="AF710" s="304"/>
      <c r="AG710" s="304"/>
      <c r="AH710" s="304"/>
    </row>
    <row r="711">
      <c r="A711" s="292"/>
      <c r="B711" s="292"/>
      <c r="C711" s="292"/>
      <c r="D711" s="412"/>
      <c r="E711" s="412"/>
      <c r="F711" s="412"/>
      <c r="G711" s="412"/>
      <c r="H711" s="412"/>
      <c r="I711" s="412"/>
      <c r="J711" s="412"/>
      <c r="K711" s="413"/>
      <c r="L711" s="413"/>
      <c r="M711" s="413"/>
      <c r="N711" s="414"/>
      <c r="O711" s="412"/>
      <c r="P711" s="412"/>
      <c r="Q711" s="412"/>
      <c r="R711" s="412"/>
      <c r="S711" s="412"/>
      <c r="T711" s="412"/>
      <c r="U711" s="292"/>
      <c r="V711" s="292"/>
      <c r="W711" s="292"/>
      <c r="X711" s="415"/>
      <c r="Y711" s="416"/>
      <c r="Z711" s="417"/>
      <c r="AA711" s="304"/>
      <c r="AB711" s="304"/>
      <c r="AC711" s="304"/>
      <c r="AD711" s="304"/>
      <c r="AE711" s="304"/>
      <c r="AF711" s="304"/>
      <c r="AG711" s="304"/>
      <c r="AH711" s="304"/>
    </row>
    <row r="712">
      <c r="A712" s="292"/>
      <c r="B712" s="292"/>
      <c r="C712" s="292"/>
      <c r="D712" s="412"/>
      <c r="E712" s="412"/>
      <c r="F712" s="412"/>
      <c r="G712" s="412"/>
      <c r="H712" s="412"/>
      <c r="I712" s="412"/>
      <c r="J712" s="412"/>
      <c r="K712" s="413"/>
      <c r="L712" s="413"/>
      <c r="M712" s="413"/>
      <c r="N712" s="414"/>
      <c r="O712" s="412"/>
      <c r="P712" s="412"/>
      <c r="Q712" s="412"/>
      <c r="R712" s="412"/>
      <c r="S712" s="412"/>
      <c r="T712" s="412"/>
      <c r="U712" s="292"/>
      <c r="V712" s="292"/>
      <c r="W712" s="292"/>
      <c r="X712" s="415"/>
      <c r="Y712" s="416"/>
      <c r="Z712" s="417"/>
      <c r="AA712" s="304"/>
      <c r="AB712" s="304"/>
      <c r="AC712" s="304"/>
      <c r="AD712" s="304"/>
      <c r="AE712" s="304"/>
      <c r="AF712" s="304"/>
      <c r="AG712" s="304"/>
      <c r="AH712" s="304"/>
    </row>
    <row r="713">
      <c r="A713" s="292"/>
      <c r="B713" s="292"/>
      <c r="C713" s="292"/>
      <c r="D713" s="412"/>
      <c r="E713" s="412"/>
      <c r="F713" s="412"/>
      <c r="G713" s="412"/>
      <c r="H713" s="412"/>
      <c r="I713" s="412"/>
      <c r="J713" s="412"/>
      <c r="K713" s="413"/>
      <c r="L713" s="413"/>
      <c r="M713" s="413"/>
      <c r="N713" s="414"/>
      <c r="O713" s="412"/>
      <c r="P713" s="412"/>
      <c r="Q713" s="412"/>
      <c r="R713" s="412"/>
      <c r="S713" s="412"/>
      <c r="T713" s="412"/>
      <c r="U713" s="292"/>
      <c r="V713" s="292"/>
      <c r="W713" s="292"/>
      <c r="X713" s="415"/>
      <c r="Y713" s="416"/>
      <c r="Z713" s="417"/>
      <c r="AA713" s="304"/>
      <c r="AB713" s="304"/>
      <c r="AC713" s="304"/>
      <c r="AD713" s="304"/>
      <c r="AE713" s="304"/>
      <c r="AF713" s="304"/>
      <c r="AG713" s="304"/>
      <c r="AH713" s="304"/>
    </row>
    <row r="714">
      <c r="A714" s="292"/>
      <c r="B714" s="292"/>
      <c r="C714" s="292"/>
      <c r="D714" s="412"/>
      <c r="E714" s="412"/>
      <c r="F714" s="412"/>
      <c r="G714" s="412"/>
      <c r="H714" s="412"/>
      <c r="I714" s="412"/>
      <c r="J714" s="412"/>
      <c r="K714" s="413"/>
      <c r="L714" s="413"/>
      <c r="M714" s="413"/>
      <c r="N714" s="414"/>
      <c r="O714" s="412"/>
      <c r="P714" s="412"/>
      <c r="Q714" s="412"/>
      <c r="R714" s="412"/>
      <c r="S714" s="412"/>
      <c r="T714" s="412"/>
      <c r="U714" s="292"/>
      <c r="V714" s="292"/>
      <c r="W714" s="292"/>
      <c r="X714" s="415"/>
      <c r="Y714" s="416"/>
      <c r="Z714" s="417"/>
      <c r="AA714" s="304"/>
      <c r="AB714" s="304"/>
      <c r="AC714" s="304"/>
      <c r="AD714" s="304"/>
      <c r="AE714" s="304"/>
      <c r="AF714" s="304"/>
      <c r="AG714" s="304"/>
      <c r="AH714" s="304"/>
    </row>
    <row r="715">
      <c r="A715" s="292"/>
      <c r="B715" s="292"/>
      <c r="C715" s="292"/>
      <c r="D715" s="412"/>
      <c r="E715" s="412"/>
      <c r="F715" s="412"/>
      <c r="G715" s="412"/>
      <c r="H715" s="412"/>
      <c r="I715" s="412"/>
      <c r="J715" s="412"/>
      <c r="K715" s="413"/>
      <c r="L715" s="413"/>
      <c r="M715" s="413"/>
      <c r="N715" s="414"/>
      <c r="O715" s="412"/>
      <c r="P715" s="412"/>
      <c r="Q715" s="412"/>
      <c r="R715" s="412"/>
      <c r="S715" s="412"/>
      <c r="T715" s="412"/>
      <c r="U715" s="292"/>
      <c r="V715" s="292"/>
      <c r="W715" s="292"/>
      <c r="X715" s="415"/>
      <c r="Y715" s="416"/>
      <c r="Z715" s="417"/>
      <c r="AA715" s="304"/>
      <c r="AB715" s="304"/>
      <c r="AC715" s="304"/>
      <c r="AD715" s="304"/>
      <c r="AE715" s="304"/>
      <c r="AF715" s="304"/>
      <c r="AG715" s="304"/>
      <c r="AH715" s="304"/>
    </row>
    <row r="716">
      <c r="A716" s="292"/>
      <c r="B716" s="292"/>
      <c r="C716" s="292"/>
      <c r="D716" s="412"/>
      <c r="E716" s="412"/>
      <c r="F716" s="412"/>
      <c r="G716" s="412"/>
      <c r="H716" s="412"/>
      <c r="I716" s="412"/>
      <c r="J716" s="412"/>
      <c r="K716" s="413"/>
      <c r="L716" s="413"/>
      <c r="M716" s="413"/>
      <c r="N716" s="414"/>
      <c r="O716" s="412"/>
      <c r="P716" s="412"/>
      <c r="Q716" s="412"/>
      <c r="R716" s="412"/>
      <c r="S716" s="412"/>
      <c r="T716" s="412"/>
      <c r="U716" s="292"/>
      <c r="V716" s="292"/>
      <c r="W716" s="292"/>
      <c r="X716" s="415"/>
      <c r="Y716" s="416"/>
      <c r="Z716" s="417"/>
      <c r="AA716" s="304"/>
      <c r="AB716" s="304"/>
      <c r="AC716" s="304"/>
      <c r="AD716" s="304"/>
      <c r="AE716" s="304"/>
      <c r="AF716" s="304"/>
      <c r="AG716" s="304"/>
      <c r="AH716" s="304"/>
    </row>
    <row r="717">
      <c r="A717" s="292"/>
      <c r="B717" s="292"/>
      <c r="C717" s="292"/>
      <c r="D717" s="412"/>
      <c r="E717" s="412"/>
      <c r="F717" s="412"/>
      <c r="G717" s="412"/>
      <c r="H717" s="412"/>
      <c r="I717" s="412"/>
      <c r="J717" s="412"/>
      <c r="K717" s="413"/>
      <c r="L717" s="413"/>
      <c r="M717" s="413"/>
      <c r="N717" s="414"/>
      <c r="O717" s="412"/>
      <c r="P717" s="412"/>
      <c r="Q717" s="412"/>
      <c r="R717" s="412"/>
      <c r="S717" s="412"/>
      <c r="T717" s="412"/>
      <c r="U717" s="292"/>
      <c r="V717" s="292"/>
      <c r="W717" s="292"/>
      <c r="X717" s="415"/>
      <c r="Y717" s="416"/>
      <c r="Z717" s="417"/>
      <c r="AA717" s="304"/>
      <c r="AB717" s="304"/>
      <c r="AC717" s="304"/>
      <c r="AD717" s="304"/>
      <c r="AE717" s="304"/>
      <c r="AF717" s="304"/>
      <c r="AG717" s="304"/>
      <c r="AH717" s="304"/>
    </row>
    <row r="718">
      <c r="A718" s="292"/>
      <c r="B718" s="292"/>
      <c r="C718" s="292"/>
      <c r="D718" s="412"/>
      <c r="E718" s="412"/>
      <c r="F718" s="412"/>
      <c r="G718" s="412"/>
      <c r="H718" s="412"/>
      <c r="I718" s="412"/>
      <c r="J718" s="412"/>
      <c r="K718" s="413"/>
      <c r="L718" s="413"/>
      <c r="M718" s="413"/>
      <c r="N718" s="414"/>
      <c r="O718" s="412"/>
      <c r="P718" s="412"/>
      <c r="Q718" s="412"/>
      <c r="R718" s="412"/>
      <c r="S718" s="412"/>
      <c r="T718" s="412"/>
      <c r="U718" s="292"/>
      <c r="V718" s="292"/>
      <c r="W718" s="292"/>
      <c r="X718" s="415"/>
      <c r="Y718" s="416"/>
      <c r="Z718" s="417"/>
      <c r="AA718" s="304"/>
      <c r="AB718" s="304"/>
      <c r="AC718" s="304"/>
      <c r="AD718" s="304"/>
      <c r="AE718" s="304"/>
      <c r="AF718" s="304"/>
      <c r="AG718" s="304"/>
      <c r="AH718" s="304"/>
    </row>
    <row r="719">
      <c r="A719" s="292"/>
      <c r="B719" s="292"/>
      <c r="C719" s="292"/>
      <c r="D719" s="412"/>
      <c r="E719" s="412"/>
      <c r="F719" s="412"/>
      <c r="G719" s="412"/>
      <c r="H719" s="412"/>
      <c r="I719" s="412"/>
      <c r="J719" s="412"/>
      <c r="K719" s="413"/>
      <c r="L719" s="413"/>
      <c r="M719" s="413"/>
      <c r="N719" s="414"/>
      <c r="O719" s="412"/>
      <c r="P719" s="412"/>
      <c r="Q719" s="412"/>
      <c r="R719" s="412"/>
      <c r="S719" s="412"/>
      <c r="T719" s="412"/>
      <c r="U719" s="292"/>
      <c r="V719" s="292"/>
      <c r="W719" s="292"/>
      <c r="X719" s="415"/>
      <c r="Y719" s="416"/>
      <c r="Z719" s="417"/>
      <c r="AA719" s="304"/>
      <c r="AB719" s="304"/>
      <c r="AC719" s="304"/>
      <c r="AD719" s="304"/>
      <c r="AE719" s="304"/>
      <c r="AF719" s="304"/>
      <c r="AG719" s="304"/>
      <c r="AH719" s="304"/>
    </row>
    <row r="720">
      <c r="A720" s="292"/>
      <c r="B720" s="292"/>
      <c r="C720" s="292"/>
      <c r="D720" s="412"/>
      <c r="E720" s="412"/>
      <c r="F720" s="412"/>
      <c r="G720" s="412"/>
      <c r="H720" s="412"/>
      <c r="I720" s="412"/>
      <c r="J720" s="412"/>
      <c r="K720" s="413"/>
      <c r="L720" s="413"/>
      <c r="M720" s="413"/>
      <c r="N720" s="414"/>
      <c r="O720" s="412"/>
      <c r="P720" s="412"/>
      <c r="Q720" s="412"/>
      <c r="R720" s="412"/>
      <c r="S720" s="412"/>
      <c r="T720" s="412"/>
      <c r="U720" s="292"/>
      <c r="V720" s="292"/>
      <c r="W720" s="292"/>
      <c r="X720" s="415"/>
      <c r="Y720" s="416"/>
      <c r="Z720" s="417"/>
      <c r="AA720" s="304"/>
      <c r="AB720" s="304"/>
      <c r="AC720" s="304"/>
      <c r="AD720" s="304"/>
      <c r="AE720" s="304"/>
      <c r="AF720" s="304"/>
      <c r="AG720" s="304"/>
      <c r="AH720" s="304"/>
    </row>
    <row r="721">
      <c r="A721" s="292"/>
      <c r="B721" s="292"/>
      <c r="C721" s="292"/>
      <c r="D721" s="412"/>
      <c r="E721" s="412"/>
      <c r="F721" s="412"/>
      <c r="G721" s="412"/>
      <c r="H721" s="412"/>
      <c r="I721" s="412"/>
      <c r="J721" s="412"/>
      <c r="K721" s="413"/>
      <c r="L721" s="413"/>
      <c r="M721" s="413"/>
      <c r="N721" s="414"/>
      <c r="O721" s="412"/>
      <c r="P721" s="412"/>
      <c r="Q721" s="412"/>
      <c r="R721" s="412"/>
      <c r="S721" s="412"/>
      <c r="T721" s="412"/>
      <c r="U721" s="292"/>
      <c r="V721" s="292"/>
      <c r="W721" s="292"/>
      <c r="X721" s="415"/>
      <c r="Y721" s="416"/>
      <c r="Z721" s="417"/>
      <c r="AA721" s="304"/>
      <c r="AB721" s="304"/>
      <c r="AC721" s="304"/>
      <c r="AD721" s="304"/>
      <c r="AE721" s="304"/>
      <c r="AF721" s="304"/>
      <c r="AG721" s="304"/>
      <c r="AH721" s="304"/>
    </row>
    <row r="722">
      <c r="A722" s="292"/>
      <c r="B722" s="292"/>
      <c r="C722" s="292"/>
      <c r="D722" s="412"/>
      <c r="E722" s="412"/>
      <c r="F722" s="412"/>
      <c r="G722" s="412"/>
      <c r="H722" s="412"/>
      <c r="I722" s="412"/>
      <c r="J722" s="412"/>
      <c r="K722" s="413"/>
      <c r="L722" s="413"/>
      <c r="M722" s="413"/>
      <c r="N722" s="414"/>
      <c r="O722" s="412"/>
      <c r="P722" s="412"/>
      <c r="Q722" s="412"/>
      <c r="R722" s="412"/>
      <c r="S722" s="412"/>
      <c r="T722" s="412"/>
      <c r="U722" s="292"/>
      <c r="V722" s="292"/>
      <c r="W722" s="292"/>
      <c r="X722" s="415"/>
      <c r="Y722" s="416"/>
      <c r="Z722" s="417"/>
      <c r="AA722" s="304"/>
      <c r="AB722" s="304"/>
      <c r="AC722" s="304"/>
      <c r="AD722" s="304"/>
      <c r="AE722" s="304"/>
      <c r="AF722" s="304"/>
      <c r="AG722" s="304"/>
      <c r="AH722" s="304"/>
    </row>
    <row r="723">
      <c r="A723" s="292"/>
      <c r="B723" s="292"/>
      <c r="C723" s="292"/>
      <c r="D723" s="412"/>
      <c r="E723" s="412"/>
      <c r="F723" s="412"/>
      <c r="G723" s="412"/>
      <c r="H723" s="412"/>
      <c r="I723" s="412"/>
      <c r="J723" s="412"/>
      <c r="K723" s="413"/>
      <c r="L723" s="413"/>
      <c r="M723" s="413"/>
      <c r="N723" s="414"/>
      <c r="O723" s="412"/>
      <c r="P723" s="412"/>
      <c r="Q723" s="412"/>
      <c r="R723" s="412"/>
      <c r="S723" s="412"/>
      <c r="T723" s="412"/>
      <c r="U723" s="292"/>
      <c r="V723" s="292"/>
      <c r="W723" s="292"/>
      <c r="X723" s="415"/>
      <c r="Y723" s="416"/>
      <c r="Z723" s="417"/>
      <c r="AA723" s="304"/>
      <c r="AB723" s="304"/>
      <c r="AC723" s="304"/>
      <c r="AD723" s="304"/>
      <c r="AE723" s="304"/>
      <c r="AF723" s="304"/>
      <c r="AG723" s="304"/>
      <c r="AH723" s="304"/>
    </row>
    <row r="724">
      <c r="A724" s="292"/>
      <c r="B724" s="292"/>
      <c r="C724" s="292"/>
      <c r="D724" s="412"/>
      <c r="E724" s="412"/>
      <c r="F724" s="412"/>
      <c r="G724" s="412"/>
      <c r="H724" s="412"/>
      <c r="I724" s="412"/>
      <c r="J724" s="412"/>
      <c r="K724" s="413"/>
      <c r="L724" s="413"/>
      <c r="M724" s="413"/>
      <c r="N724" s="414"/>
      <c r="O724" s="412"/>
      <c r="P724" s="412"/>
      <c r="Q724" s="412"/>
      <c r="R724" s="412"/>
      <c r="S724" s="412"/>
      <c r="T724" s="412"/>
      <c r="U724" s="292"/>
      <c r="V724" s="292"/>
      <c r="W724" s="292"/>
      <c r="X724" s="415"/>
      <c r="Y724" s="416"/>
      <c r="Z724" s="417"/>
      <c r="AA724" s="304"/>
      <c r="AB724" s="304"/>
      <c r="AC724" s="304"/>
      <c r="AD724" s="304"/>
      <c r="AE724" s="304"/>
      <c r="AF724" s="304"/>
      <c r="AG724" s="304"/>
      <c r="AH724" s="304"/>
    </row>
    <row r="725">
      <c r="A725" s="292"/>
      <c r="B725" s="292"/>
      <c r="C725" s="292"/>
      <c r="D725" s="412"/>
      <c r="E725" s="412"/>
      <c r="F725" s="412"/>
      <c r="G725" s="412"/>
      <c r="H725" s="412"/>
      <c r="I725" s="412"/>
      <c r="J725" s="412"/>
      <c r="K725" s="413"/>
      <c r="L725" s="413"/>
      <c r="M725" s="413"/>
      <c r="N725" s="414"/>
      <c r="O725" s="412"/>
      <c r="P725" s="412"/>
      <c r="Q725" s="412"/>
      <c r="R725" s="412"/>
      <c r="S725" s="412"/>
      <c r="T725" s="412"/>
      <c r="U725" s="292"/>
      <c r="V725" s="292"/>
      <c r="W725" s="292"/>
      <c r="X725" s="415"/>
      <c r="Y725" s="416"/>
      <c r="Z725" s="417"/>
      <c r="AA725" s="304"/>
      <c r="AB725" s="304"/>
      <c r="AC725" s="304"/>
      <c r="AD725" s="304"/>
      <c r="AE725" s="304"/>
      <c r="AF725" s="304"/>
      <c r="AG725" s="304"/>
      <c r="AH725" s="304"/>
    </row>
    <row r="726">
      <c r="A726" s="292"/>
      <c r="B726" s="292"/>
      <c r="C726" s="292"/>
      <c r="D726" s="412"/>
      <c r="E726" s="412"/>
      <c r="F726" s="412"/>
      <c r="G726" s="412"/>
      <c r="H726" s="412"/>
      <c r="I726" s="412"/>
      <c r="J726" s="412"/>
      <c r="K726" s="413"/>
      <c r="L726" s="413"/>
      <c r="M726" s="413"/>
      <c r="N726" s="414"/>
      <c r="O726" s="412"/>
      <c r="P726" s="412"/>
      <c r="Q726" s="412"/>
      <c r="R726" s="412"/>
      <c r="S726" s="412"/>
      <c r="T726" s="412"/>
      <c r="U726" s="292"/>
      <c r="V726" s="292"/>
      <c r="W726" s="292"/>
      <c r="X726" s="415"/>
      <c r="Y726" s="416"/>
      <c r="Z726" s="417"/>
      <c r="AA726" s="304"/>
      <c r="AB726" s="304"/>
      <c r="AC726" s="304"/>
      <c r="AD726" s="304"/>
      <c r="AE726" s="304"/>
      <c r="AF726" s="304"/>
      <c r="AG726" s="304"/>
      <c r="AH726" s="304"/>
    </row>
    <row r="727">
      <c r="A727" s="292"/>
      <c r="B727" s="292"/>
      <c r="C727" s="292"/>
      <c r="D727" s="412"/>
      <c r="E727" s="412"/>
      <c r="F727" s="412"/>
      <c r="G727" s="412"/>
      <c r="H727" s="412"/>
      <c r="I727" s="412"/>
      <c r="J727" s="412"/>
      <c r="K727" s="413"/>
      <c r="L727" s="413"/>
      <c r="M727" s="413"/>
      <c r="N727" s="414"/>
      <c r="O727" s="412"/>
      <c r="P727" s="412"/>
      <c r="Q727" s="412"/>
      <c r="R727" s="412"/>
      <c r="S727" s="412"/>
      <c r="T727" s="412"/>
      <c r="U727" s="292"/>
      <c r="V727" s="292"/>
      <c r="W727" s="292"/>
      <c r="X727" s="415"/>
      <c r="Y727" s="416"/>
      <c r="Z727" s="417"/>
      <c r="AA727" s="304"/>
      <c r="AB727" s="304"/>
      <c r="AC727" s="304"/>
      <c r="AD727" s="304"/>
      <c r="AE727" s="304"/>
      <c r="AF727" s="304"/>
      <c r="AG727" s="304"/>
      <c r="AH727" s="304"/>
    </row>
    <row r="728">
      <c r="A728" s="292"/>
      <c r="B728" s="292"/>
      <c r="C728" s="292"/>
      <c r="D728" s="412"/>
      <c r="E728" s="412"/>
      <c r="F728" s="412"/>
      <c r="G728" s="412"/>
      <c r="H728" s="412"/>
      <c r="I728" s="412"/>
      <c r="J728" s="412"/>
      <c r="K728" s="413"/>
      <c r="L728" s="413"/>
      <c r="M728" s="413"/>
      <c r="N728" s="414"/>
      <c r="O728" s="412"/>
      <c r="P728" s="412"/>
      <c r="Q728" s="412"/>
      <c r="R728" s="412"/>
      <c r="S728" s="412"/>
      <c r="T728" s="412"/>
      <c r="U728" s="292"/>
      <c r="V728" s="292"/>
      <c r="W728" s="292"/>
      <c r="X728" s="415"/>
      <c r="Y728" s="416"/>
      <c r="Z728" s="417"/>
      <c r="AA728" s="304"/>
      <c r="AB728" s="304"/>
      <c r="AC728" s="304"/>
      <c r="AD728" s="304"/>
      <c r="AE728" s="304"/>
      <c r="AF728" s="304"/>
      <c r="AG728" s="304"/>
      <c r="AH728" s="304"/>
    </row>
    <row r="729">
      <c r="A729" s="292"/>
      <c r="B729" s="292"/>
      <c r="C729" s="292"/>
      <c r="D729" s="412"/>
      <c r="E729" s="412"/>
      <c r="F729" s="412"/>
      <c r="G729" s="412"/>
      <c r="H729" s="412"/>
      <c r="I729" s="412"/>
      <c r="J729" s="412"/>
      <c r="K729" s="413"/>
      <c r="L729" s="413"/>
      <c r="M729" s="413"/>
      <c r="N729" s="414"/>
      <c r="O729" s="412"/>
      <c r="P729" s="412"/>
      <c r="Q729" s="412"/>
      <c r="R729" s="412"/>
      <c r="S729" s="412"/>
      <c r="T729" s="412"/>
      <c r="U729" s="292"/>
      <c r="V729" s="292"/>
      <c r="W729" s="292"/>
      <c r="X729" s="415"/>
      <c r="Y729" s="416"/>
      <c r="Z729" s="417"/>
      <c r="AA729" s="304"/>
      <c r="AB729" s="304"/>
      <c r="AC729" s="304"/>
      <c r="AD729" s="304"/>
      <c r="AE729" s="304"/>
      <c r="AF729" s="304"/>
      <c r="AG729" s="304"/>
      <c r="AH729" s="304"/>
    </row>
    <row r="730">
      <c r="A730" s="292"/>
      <c r="B730" s="292"/>
      <c r="C730" s="292"/>
      <c r="D730" s="412"/>
      <c r="E730" s="412"/>
      <c r="F730" s="412"/>
      <c r="G730" s="412"/>
      <c r="H730" s="412"/>
      <c r="I730" s="412"/>
      <c r="J730" s="412"/>
      <c r="K730" s="413"/>
      <c r="L730" s="413"/>
      <c r="M730" s="413"/>
      <c r="N730" s="414"/>
      <c r="O730" s="412"/>
      <c r="P730" s="412"/>
      <c r="Q730" s="412"/>
      <c r="R730" s="412"/>
      <c r="S730" s="412"/>
      <c r="T730" s="412"/>
      <c r="U730" s="292"/>
      <c r="V730" s="292"/>
      <c r="W730" s="292"/>
      <c r="X730" s="415"/>
      <c r="Y730" s="416"/>
      <c r="Z730" s="417"/>
      <c r="AA730" s="304"/>
      <c r="AB730" s="304"/>
      <c r="AC730" s="304"/>
      <c r="AD730" s="304"/>
      <c r="AE730" s="304"/>
      <c r="AF730" s="304"/>
      <c r="AG730" s="304"/>
      <c r="AH730" s="304"/>
    </row>
    <row r="731">
      <c r="A731" s="292"/>
      <c r="B731" s="292"/>
      <c r="C731" s="292"/>
      <c r="D731" s="412"/>
      <c r="E731" s="412"/>
      <c r="F731" s="412"/>
      <c r="G731" s="412"/>
      <c r="H731" s="412"/>
      <c r="I731" s="412"/>
      <c r="J731" s="412"/>
      <c r="K731" s="413"/>
      <c r="L731" s="413"/>
      <c r="M731" s="413"/>
      <c r="N731" s="414"/>
      <c r="O731" s="412"/>
      <c r="P731" s="412"/>
      <c r="Q731" s="412"/>
      <c r="R731" s="412"/>
      <c r="S731" s="412"/>
      <c r="T731" s="412"/>
      <c r="U731" s="292"/>
      <c r="V731" s="292"/>
      <c r="W731" s="292"/>
      <c r="X731" s="415"/>
      <c r="Y731" s="416"/>
      <c r="Z731" s="417"/>
      <c r="AA731" s="304"/>
      <c r="AB731" s="304"/>
      <c r="AC731" s="304"/>
      <c r="AD731" s="304"/>
      <c r="AE731" s="304"/>
      <c r="AF731" s="304"/>
      <c r="AG731" s="304"/>
      <c r="AH731" s="304"/>
    </row>
    <row r="732">
      <c r="A732" s="292"/>
      <c r="B732" s="292"/>
      <c r="C732" s="292"/>
      <c r="D732" s="412"/>
      <c r="E732" s="412"/>
      <c r="F732" s="412"/>
      <c r="G732" s="412"/>
      <c r="H732" s="412"/>
      <c r="I732" s="412"/>
      <c r="J732" s="412"/>
      <c r="K732" s="413"/>
      <c r="L732" s="413"/>
      <c r="M732" s="413"/>
      <c r="N732" s="414"/>
      <c r="O732" s="412"/>
      <c r="P732" s="412"/>
      <c r="Q732" s="412"/>
      <c r="R732" s="412"/>
      <c r="S732" s="412"/>
      <c r="T732" s="412"/>
      <c r="U732" s="292"/>
      <c r="V732" s="292"/>
      <c r="W732" s="292"/>
      <c r="X732" s="415"/>
      <c r="Y732" s="416"/>
      <c r="Z732" s="417"/>
      <c r="AA732" s="304"/>
      <c r="AB732" s="304"/>
      <c r="AC732" s="304"/>
      <c r="AD732" s="304"/>
      <c r="AE732" s="304"/>
      <c r="AF732" s="304"/>
      <c r="AG732" s="304"/>
      <c r="AH732" s="304"/>
    </row>
    <row r="733">
      <c r="A733" s="292"/>
      <c r="B733" s="292"/>
      <c r="C733" s="292"/>
      <c r="D733" s="412"/>
      <c r="E733" s="412"/>
      <c r="F733" s="412"/>
      <c r="G733" s="412"/>
      <c r="H733" s="412"/>
      <c r="I733" s="412"/>
      <c r="J733" s="412"/>
      <c r="K733" s="413"/>
      <c r="L733" s="413"/>
      <c r="M733" s="413"/>
      <c r="N733" s="414"/>
      <c r="O733" s="412"/>
      <c r="P733" s="412"/>
      <c r="Q733" s="412"/>
      <c r="R733" s="412"/>
      <c r="S733" s="412"/>
      <c r="T733" s="412"/>
      <c r="U733" s="292"/>
      <c r="V733" s="292"/>
      <c r="W733" s="292"/>
      <c r="X733" s="415"/>
      <c r="Y733" s="416"/>
      <c r="Z733" s="417"/>
      <c r="AA733" s="304"/>
      <c r="AB733" s="304"/>
      <c r="AC733" s="304"/>
      <c r="AD733" s="304"/>
      <c r="AE733" s="304"/>
      <c r="AF733" s="304"/>
      <c r="AG733" s="304"/>
      <c r="AH733" s="304"/>
    </row>
    <row r="734">
      <c r="A734" s="292"/>
      <c r="B734" s="292"/>
      <c r="C734" s="292"/>
      <c r="D734" s="412"/>
      <c r="E734" s="412"/>
      <c r="F734" s="412"/>
      <c r="G734" s="412"/>
      <c r="H734" s="412"/>
      <c r="I734" s="412"/>
      <c r="J734" s="412"/>
      <c r="K734" s="413"/>
      <c r="L734" s="413"/>
      <c r="M734" s="413"/>
      <c r="N734" s="414"/>
      <c r="O734" s="412"/>
      <c r="P734" s="412"/>
      <c r="Q734" s="412"/>
      <c r="R734" s="412"/>
      <c r="S734" s="412"/>
      <c r="T734" s="412"/>
      <c r="U734" s="292"/>
      <c r="V734" s="292"/>
      <c r="W734" s="292"/>
      <c r="X734" s="415"/>
      <c r="Y734" s="416"/>
      <c r="Z734" s="417"/>
      <c r="AA734" s="304"/>
      <c r="AB734" s="304"/>
      <c r="AC734" s="304"/>
      <c r="AD734" s="304"/>
      <c r="AE734" s="304"/>
      <c r="AF734" s="304"/>
      <c r="AG734" s="304"/>
      <c r="AH734" s="304"/>
    </row>
    <row r="735">
      <c r="A735" s="292"/>
      <c r="B735" s="292"/>
      <c r="C735" s="292"/>
      <c r="D735" s="412"/>
      <c r="E735" s="412"/>
      <c r="F735" s="412"/>
      <c r="G735" s="412"/>
      <c r="H735" s="412"/>
      <c r="I735" s="412"/>
      <c r="J735" s="412"/>
      <c r="K735" s="413"/>
      <c r="L735" s="413"/>
      <c r="M735" s="413"/>
      <c r="N735" s="414"/>
      <c r="O735" s="412"/>
      <c r="P735" s="412"/>
      <c r="Q735" s="412"/>
      <c r="R735" s="412"/>
      <c r="S735" s="412"/>
      <c r="T735" s="412"/>
      <c r="U735" s="292"/>
      <c r="V735" s="292"/>
      <c r="W735" s="292"/>
      <c r="X735" s="415"/>
      <c r="Y735" s="416"/>
      <c r="Z735" s="417"/>
      <c r="AA735" s="304"/>
      <c r="AB735" s="304"/>
      <c r="AC735" s="304"/>
      <c r="AD735" s="304"/>
      <c r="AE735" s="304"/>
      <c r="AF735" s="304"/>
      <c r="AG735" s="304"/>
      <c r="AH735" s="304"/>
    </row>
    <row r="736">
      <c r="A736" s="292"/>
      <c r="B736" s="292"/>
      <c r="C736" s="292"/>
      <c r="D736" s="412"/>
      <c r="E736" s="412"/>
      <c r="F736" s="412"/>
      <c r="G736" s="412"/>
      <c r="H736" s="412"/>
      <c r="I736" s="412"/>
      <c r="J736" s="412"/>
      <c r="K736" s="413"/>
      <c r="L736" s="413"/>
      <c r="M736" s="413"/>
      <c r="N736" s="414"/>
      <c r="O736" s="412"/>
      <c r="P736" s="412"/>
      <c r="Q736" s="412"/>
      <c r="R736" s="412"/>
      <c r="S736" s="412"/>
      <c r="T736" s="412"/>
      <c r="U736" s="292"/>
      <c r="V736" s="292"/>
      <c r="W736" s="292"/>
      <c r="X736" s="415"/>
      <c r="Y736" s="416"/>
      <c r="Z736" s="417"/>
      <c r="AA736" s="304"/>
      <c r="AB736" s="304"/>
      <c r="AC736" s="304"/>
      <c r="AD736" s="304"/>
      <c r="AE736" s="304"/>
      <c r="AF736" s="304"/>
      <c r="AG736" s="304"/>
      <c r="AH736" s="304"/>
    </row>
    <row r="737">
      <c r="A737" s="292"/>
      <c r="B737" s="292"/>
      <c r="C737" s="292"/>
      <c r="D737" s="412"/>
      <c r="E737" s="412"/>
      <c r="F737" s="412"/>
      <c r="G737" s="412"/>
      <c r="H737" s="412"/>
      <c r="I737" s="412"/>
      <c r="J737" s="412"/>
      <c r="K737" s="413"/>
      <c r="L737" s="413"/>
      <c r="M737" s="413"/>
      <c r="N737" s="414"/>
      <c r="O737" s="412"/>
      <c r="P737" s="412"/>
      <c r="Q737" s="412"/>
      <c r="R737" s="412"/>
      <c r="S737" s="412"/>
      <c r="T737" s="412"/>
      <c r="U737" s="292"/>
      <c r="V737" s="292"/>
      <c r="W737" s="292"/>
      <c r="X737" s="415"/>
      <c r="Y737" s="416"/>
      <c r="Z737" s="417"/>
      <c r="AA737" s="304"/>
      <c r="AB737" s="304"/>
      <c r="AC737" s="304"/>
      <c r="AD737" s="304"/>
      <c r="AE737" s="304"/>
      <c r="AF737" s="304"/>
      <c r="AG737" s="304"/>
      <c r="AH737" s="304"/>
    </row>
    <row r="738">
      <c r="A738" s="292"/>
      <c r="B738" s="292"/>
      <c r="C738" s="292"/>
      <c r="D738" s="412"/>
      <c r="E738" s="412"/>
      <c r="F738" s="412"/>
      <c r="G738" s="412"/>
      <c r="H738" s="412"/>
      <c r="I738" s="412"/>
      <c r="J738" s="412"/>
      <c r="K738" s="413"/>
      <c r="L738" s="413"/>
      <c r="M738" s="413"/>
      <c r="N738" s="414"/>
      <c r="O738" s="412"/>
      <c r="P738" s="412"/>
      <c r="Q738" s="412"/>
      <c r="R738" s="412"/>
      <c r="S738" s="412"/>
      <c r="T738" s="412"/>
      <c r="U738" s="292"/>
      <c r="V738" s="292"/>
      <c r="W738" s="292"/>
      <c r="X738" s="415"/>
      <c r="Y738" s="416"/>
      <c r="Z738" s="417"/>
      <c r="AA738" s="304"/>
      <c r="AB738" s="304"/>
      <c r="AC738" s="304"/>
      <c r="AD738" s="304"/>
      <c r="AE738" s="304"/>
      <c r="AF738" s="304"/>
      <c r="AG738" s="304"/>
      <c r="AH738" s="304"/>
    </row>
    <row r="739">
      <c r="A739" s="292"/>
      <c r="B739" s="292"/>
      <c r="C739" s="292"/>
      <c r="D739" s="412"/>
      <c r="E739" s="412"/>
      <c r="F739" s="412"/>
      <c r="G739" s="412"/>
      <c r="H739" s="412"/>
      <c r="I739" s="412"/>
      <c r="J739" s="412"/>
      <c r="K739" s="413"/>
      <c r="L739" s="413"/>
      <c r="M739" s="413"/>
      <c r="N739" s="414"/>
      <c r="O739" s="412"/>
      <c r="P739" s="412"/>
      <c r="Q739" s="412"/>
      <c r="R739" s="412"/>
      <c r="S739" s="412"/>
      <c r="T739" s="412"/>
      <c r="U739" s="292"/>
      <c r="V739" s="292"/>
      <c r="W739" s="292"/>
      <c r="X739" s="415"/>
      <c r="Y739" s="416"/>
      <c r="Z739" s="417"/>
      <c r="AA739" s="304"/>
      <c r="AB739" s="304"/>
      <c r="AC739" s="304"/>
      <c r="AD739" s="304"/>
      <c r="AE739" s="304"/>
      <c r="AF739" s="304"/>
      <c r="AG739" s="304"/>
      <c r="AH739" s="304"/>
    </row>
    <row r="740">
      <c r="A740" s="292"/>
      <c r="B740" s="292"/>
      <c r="C740" s="292"/>
      <c r="D740" s="412"/>
      <c r="E740" s="412"/>
      <c r="F740" s="412"/>
      <c r="G740" s="412"/>
      <c r="H740" s="412"/>
      <c r="I740" s="412"/>
      <c r="J740" s="412"/>
      <c r="K740" s="413"/>
      <c r="L740" s="413"/>
      <c r="M740" s="413"/>
      <c r="N740" s="414"/>
      <c r="O740" s="412"/>
      <c r="P740" s="412"/>
      <c r="Q740" s="412"/>
      <c r="R740" s="412"/>
      <c r="S740" s="412"/>
      <c r="T740" s="412"/>
      <c r="U740" s="292"/>
      <c r="V740" s="292"/>
      <c r="W740" s="292"/>
      <c r="X740" s="415"/>
      <c r="Y740" s="416"/>
      <c r="Z740" s="417"/>
      <c r="AA740" s="304"/>
      <c r="AB740" s="304"/>
      <c r="AC740" s="304"/>
      <c r="AD740" s="304"/>
      <c r="AE740" s="304"/>
      <c r="AF740" s="304"/>
      <c r="AG740" s="304"/>
      <c r="AH740" s="304"/>
    </row>
    <row r="741">
      <c r="A741" s="292"/>
      <c r="B741" s="292"/>
      <c r="C741" s="292"/>
      <c r="D741" s="412"/>
      <c r="E741" s="412"/>
      <c r="F741" s="412"/>
      <c r="G741" s="412"/>
      <c r="H741" s="412"/>
      <c r="I741" s="412"/>
      <c r="J741" s="412"/>
      <c r="K741" s="413"/>
      <c r="L741" s="413"/>
      <c r="M741" s="413"/>
      <c r="N741" s="414"/>
      <c r="O741" s="412"/>
      <c r="P741" s="412"/>
      <c r="Q741" s="412"/>
      <c r="R741" s="412"/>
      <c r="S741" s="412"/>
      <c r="T741" s="412"/>
      <c r="U741" s="292"/>
      <c r="V741" s="292"/>
      <c r="W741" s="292"/>
      <c r="X741" s="415"/>
      <c r="Y741" s="416"/>
      <c r="Z741" s="417"/>
      <c r="AA741" s="304"/>
      <c r="AB741" s="304"/>
      <c r="AC741" s="304"/>
      <c r="AD741" s="304"/>
      <c r="AE741" s="304"/>
      <c r="AF741" s="304"/>
      <c r="AG741" s="304"/>
      <c r="AH741" s="304"/>
    </row>
    <row r="742">
      <c r="A742" s="292"/>
      <c r="B742" s="292"/>
      <c r="C742" s="292"/>
      <c r="D742" s="412"/>
      <c r="E742" s="412"/>
      <c r="F742" s="412"/>
      <c r="G742" s="412"/>
      <c r="H742" s="412"/>
      <c r="I742" s="412"/>
      <c r="J742" s="412"/>
      <c r="K742" s="413"/>
      <c r="L742" s="413"/>
      <c r="M742" s="413"/>
      <c r="N742" s="414"/>
      <c r="O742" s="412"/>
      <c r="P742" s="412"/>
      <c r="Q742" s="412"/>
      <c r="R742" s="412"/>
      <c r="S742" s="412"/>
      <c r="T742" s="412"/>
      <c r="U742" s="292"/>
      <c r="V742" s="292"/>
      <c r="W742" s="292"/>
      <c r="X742" s="415"/>
      <c r="Y742" s="416"/>
      <c r="Z742" s="417"/>
      <c r="AA742" s="304"/>
      <c r="AB742" s="304"/>
      <c r="AC742" s="304"/>
      <c r="AD742" s="304"/>
      <c r="AE742" s="304"/>
      <c r="AF742" s="304"/>
      <c r="AG742" s="304"/>
      <c r="AH742" s="304"/>
    </row>
    <row r="743">
      <c r="A743" s="292"/>
      <c r="B743" s="292"/>
      <c r="C743" s="292"/>
      <c r="D743" s="412"/>
      <c r="E743" s="412"/>
      <c r="F743" s="412"/>
      <c r="G743" s="412"/>
      <c r="H743" s="412"/>
      <c r="I743" s="412"/>
      <c r="J743" s="412"/>
      <c r="K743" s="413"/>
      <c r="L743" s="413"/>
      <c r="M743" s="413"/>
      <c r="N743" s="414"/>
      <c r="O743" s="412"/>
      <c r="P743" s="412"/>
      <c r="Q743" s="412"/>
      <c r="R743" s="412"/>
      <c r="S743" s="412"/>
      <c r="T743" s="412"/>
      <c r="U743" s="292"/>
      <c r="V743" s="292"/>
      <c r="W743" s="292"/>
      <c r="X743" s="415"/>
      <c r="Y743" s="416"/>
      <c r="Z743" s="417"/>
      <c r="AA743" s="304"/>
      <c r="AB743" s="304"/>
      <c r="AC743" s="304"/>
      <c r="AD743" s="304"/>
      <c r="AE743" s="304"/>
      <c r="AF743" s="304"/>
      <c r="AG743" s="304"/>
      <c r="AH743" s="304"/>
    </row>
    <row r="744">
      <c r="A744" s="292"/>
      <c r="B744" s="292"/>
      <c r="C744" s="292"/>
      <c r="D744" s="412"/>
      <c r="E744" s="412"/>
      <c r="F744" s="412"/>
      <c r="G744" s="412"/>
      <c r="H744" s="412"/>
      <c r="I744" s="412"/>
      <c r="J744" s="412"/>
      <c r="K744" s="413"/>
      <c r="L744" s="413"/>
      <c r="M744" s="413"/>
      <c r="N744" s="414"/>
      <c r="O744" s="412"/>
      <c r="P744" s="412"/>
      <c r="Q744" s="412"/>
      <c r="R744" s="412"/>
      <c r="S744" s="412"/>
      <c r="T744" s="412"/>
      <c r="U744" s="292"/>
      <c r="V744" s="292"/>
      <c r="W744" s="292"/>
      <c r="X744" s="415"/>
      <c r="Y744" s="416"/>
      <c r="Z744" s="417"/>
      <c r="AA744" s="304"/>
      <c r="AB744" s="304"/>
      <c r="AC744" s="304"/>
      <c r="AD744" s="304"/>
      <c r="AE744" s="304"/>
      <c r="AF744" s="304"/>
      <c r="AG744" s="304"/>
      <c r="AH744" s="304"/>
    </row>
    <row r="745">
      <c r="A745" s="292"/>
      <c r="B745" s="292"/>
      <c r="C745" s="292"/>
      <c r="D745" s="412"/>
      <c r="E745" s="412"/>
      <c r="F745" s="412"/>
      <c r="G745" s="412"/>
      <c r="H745" s="412"/>
      <c r="I745" s="412"/>
      <c r="J745" s="412"/>
      <c r="K745" s="413"/>
      <c r="L745" s="413"/>
      <c r="M745" s="413"/>
      <c r="N745" s="414"/>
      <c r="O745" s="412"/>
      <c r="P745" s="412"/>
      <c r="Q745" s="412"/>
      <c r="R745" s="412"/>
      <c r="S745" s="412"/>
      <c r="T745" s="412"/>
      <c r="U745" s="292"/>
      <c r="V745" s="292"/>
      <c r="W745" s="292"/>
      <c r="X745" s="415"/>
      <c r="Y745" s="416"/>
      <c r="Z745" s="417"/>
      <c r="AA745" s="304"/>
      <c r="AB745" s="304"/>
      <c r="AC745" s="304"/>
      <c r="AD745" s="304"/>
      <c r="AE745" s="304"/>
      <c r="AF745" s="304"/>
      <c r="AG745" s="304"/>
      <c r="AH745" s="304"/>
    </row>
    <row r="746">
      <c r="A746" s="292"/>
      <c r="B746" s="292"/>
      <c r="C746" s="292"/>
      <c r="D746" s="412"/>
      <c r="E746" s="412"/>
      <c r="F746" s="412"/>
      <c r="G746" s="412"/>
      <c r="H746" s="412"/>
      <c r="I746" s="412"/>
      <c r="J746" s="412"/>
      <c r="K746" s="413"/>
      <c r="L746" s="413"/>
      <c r="M746" s="413"/>
      <c r="N746" s="414"/>
      <c r="O746" s="412"/>
      <c r="P746" s="412"/>
      <c r="Q746" s="412"/>
      <c r="R746" s="412"/>
      <c r="S746" s="412"/>
      <c r="T746" s="412"/>
      <c r="U746" s="292"/>
      <c r="V746" s="292"/>
      <c r="W746" s="292"/>
      <c r="X746" s="415"/>
      <c r="Y746" s="416"/>
      <c r="Z746" s="417"/>
      <c r="AA746" s="304"/>
      <c r="AB746" s="304"/>
      <c r="AC746" s="304"/>
      <c r="AD746" s="304"/>
      <c r="AE746" s="304"/>
      <c r="AF746" s="304"/>
      <c r="AG746" s="304"/>
      <c r="AH746" s="304"/>
    </row>
    <row r="747">
      <c r="A747" s="292"/>
      <c r="B747" s="292"/>
      <c r="C747" s="292"/>
      <c r="D747" s="412"/>
      <c r="E747" s="412"/>
      <c r="F747" s="412"/>
      <c r="G747" s="412"/>
      <c r="H747" s="412"/>
      <c r="I747" s="412"/>
      <c r="J747" s="412"/>
      <c r="K747" s="413"/>
      <c r="L747" s="413"/>
      <c r="M747" s="413"/>
      <c r="N747" s="414"/>
      <c r="O747" s="412"/>
      <c r="P747" s="412"/>
      <c r="Q747" s="412"/>
      <c r="R747" s="412"/>
      <c r="S747" s="412"/>
      <c r="T747" s="412"/>
      <c r="U747" s="292"/>
      <c r="V747" s="292"/>
      <c r="W747" s="292"/>
      <c r="X747" s="415"/>
      <c r="Y747" s="416"/>
      <c r="Z747" s="417"/>
      <c r="AA747" s="304"/>
      <c r="AB747" s="304"/>
      <c r="AC747" s="304"/>
      <c r="AD747" s="304"/>
      <c r="AE747" s="304"/>
      <c r="AF747" s="304"/>
      <c r="AG747" s="304"/>
      <c r="AH747" s="304"/>
    </row>
    <row r="748">
      <c r="A748" s="292"/>
      <c r="B748" s="292"/>
      <c r="C748" s="292"/>
      <c r="D748" s="412"/>
      <c r="E748" s="412"/>
      <c r="F748" s="412"/>
      <c r="G748" s="412"/>
      <c r="H748" s="412"/>
      <c r="I748" s="412"/>
      <c r="J748" s="412"/>
      <c r="K748" s="413"/>
      <c r="L748" s="413"/>
      <c r="M748" s="413"/>
      <c r="N748" s="414"/>
      <c r="O748" s="412"/>
      <c r="P748" s="412"/>
      <c r="Q748" s="412"/>
      <c r="R748" s="412"/>
      <c r="S748" s="412"/>
      <c r="T748" s="412"/>
      <c r="U748" s="292"/>
      <c r="V748" s="292"/>
      <c r="W748" s="292"/>
      <c r="X748" s="415"/>
      <c r="Y748" s="416"/>
      <c r="Z748" s="417"/>
      <c r="AA748" s="304"/>
      <c r="AB748" s="304"/>
      <c r="AC748" s="304"/>
      <c r="AD748" s="304"/>
      <c r="AE748" s="304"/>
      <c r="AF748" s="304"/>
      <c r="AG748" s="304"/>
      <c r="AH748" s="304"/>
    </row>
    <row r="749">
      <c r="A749" s="292"/>
      <c r="B749" s="292"/>
      <c r="C749" s="292"/>
      <c r="D749" s="412"/>
      <c r="E749" s="412"/>
      <c r="F749" s="412"/>
      <c r="G749" s="412"/>
      <c r="H749" s="412"/>
      <c r="I749" s="412"/>
      <c r="J749" s="412"/>
      <c r="K749" s="413"/>
      <c r="L749" s="413"/>
      <c r="M749" s="413"/>
      <c r="N749" s="414"/>
      <c r="O749" s="412"/>
      <c r="P749" s="412"/>
      <c r="Q749" s="412"/>
      <c r="R749" s="412"/>
      <c r="S749" s="412"/>
      <c r="T749" s="412"/>
      <c r="U749" s="292"/>
      <c r="V749" s="292"/>
      <c r="W749" s="292"/>
      <c r="X749" s="415"/>
      <c r="Y749" s="416"/>
      <c r="Z749" s="417"/>
      <c r="AA749" s="304"/>
      <c r="AB749" s="304"/>
      <c r="AC749" s="304"/>
      <c r="AD749" s="304"/>
      <c r="AE749" s="304"/>
      <c r="AF749" s="304"/>
      <c r="AG749" s="304"/>
      <c r="AH749" s="304"/>
    </row>
    <row r="750">
      <c r="A750" s="292"/>
      <c r="B750" s="292"/>
      <c r="C750" s="292"/>
      <c r="D750" s="412"/>
      <c r="E750" s="412"/>
      <c r="F750" s="412"/>
      <c r="G750" s="412"/>
      <c r="H750" s="412"/>
      <c r="I750" s="412"/>
      <c r="J750" s="412"/>
      <c r="K750" s="413"/>
      <c r="L750" s="413"/>
      <c r="M750" s="413"/>
      <c r="N750" s="414"/>
      <c r="O750" s="412"/>
      <c r="P750" s="412"/>
      <c r="Q750" s="412"/>
      <c r="R750" s="412"/>
      <c r="S750" s="412"/>
      <c r="T750" s="412"/>
      <c r="U750" s="292"/>
      <c r="V750" s="292"/>
      <c r="W750" s="292"/>
      <c r="X750" s="415"/>
      <c r="Y750" s="416"/>
      <c r="Z750" s="417"/>
      <c r="AA750" s="304"/>
      <c r="AB750" s="304"/>
      <c r="AC750" s="304"/>
      <c r="AD750" s="304"/>
      <c r="AE750" s="304"/>
      <c r="AF750" s="304"/>
      <c r="AG750" s="304"/>
      <c r="AH750" s="304"/>
    </row>
    <row r="751">
      <c r="A751" s="292"/>
      <c r="B751" s="292"/>
      <c r="C751" s="292"/>
      <c r="D751" s="412"/>
      <c r="E751" s="412"/>
      <c r="F751" s="412"/>
      <c r="G751" s="412"/>
      <c r="H751" s="412"/>
      <c r="I751" s="412"/>
      <c r="J751" s="412"/>
      <c r="K751" s="413"/>
      <c r="L751" s="413"/>
      <c r="M751" s="413"/>
      <c r="N751" s="414"/>
      <c r="O751" s="412"/>
      <c r="P751" s="412"/>
      <c r="Q751" s="412"/>
      <c r="R751" s="412"/>
      <c r="S751" s="412"/>
      <c r="T751" s="412"/>
      <c r="U751" s="292"/>
      <c r="V751" s="292"/>
      <c r="W751" s="292"/>
      <c r="X751" s="415"/>
      <c r="Y751" s="416"/>
      <c r="Z751" s="417"/>
      <c r="AA751" s="304"/>
      <c r="AB751" s="304"/>
      <c r="AC751" s="304"/>
      <c r="AD751" s="304"/>
      <c r="AE751" s="304"/>
      <c r="AF751" s="304"/>
      <c r="AG751" s="304"/>
      <c r="AH751" s="304"/>
    </row>
    <row r="752">
      <c r="A752" s="292"/>
      <c r="B752" s="292"/>
      <c r="C752" s="292"/>
      <c r="D752" s="412"/>
      <c r="E752" s="412"/>
      <c r="F752" s="412"/>
      <c r="G752" s="412"/>
      <c r="H752" s="412"/>
      <c r="I752" s="412"/>
      <c r="J752" s="412"/>
      <c r="K752" s="413"/>
      <c r="L752" s="413"/>
      <c r="M752" s="413"/>
      <c r="N752" s="414"/>
      <c r="O752" s="412"/>
      <c r="P752" s="412"/>
      <c r="Q752" s="412"/>
      <c r="R752" s="412"/>
      <c r="S752" s="412"/>
      <c r="T752" s="412"/>
      <c r="U752" s="292"/>
      <c r="V752" s="292"/>
      <c r="W752" s="292"/>
      <c r="X752" s="415"/>
      <c r="Y752" s="416"/>
      <c r="Z752" s="417"/>
      <c r="AA752" s="304"/>
      <c r="AB752" s="304"/>
      <c r="AC752" s="304"/>
      <c r="AD752" s="304"/>
      <c r="AE752" s="304"/>
      <c r="AF752" s="304"/>
      <c r="AG752" s="304"/>
      <c r="AH752" s="304"/>
    </row>
    <row r="753">
      <c r="A753" s="292"/>
      <c r="B753" s="292"/>
      <c r="C753" s="292"/>
      <c r="D753" s="412"/>
      <c r="E753" s="412"/>
      <c r="F753" s="412"/>
      <c r="G753" s="412"/>
      <c r="H753" s="412"/>
      <c r="I753" s="412"/>
      <c r="J753" s="412"/>
      <c r="K753" s="413"/>
      <c r="L753" s="413"/>
      <c r="M753" s="413"/>
      <c r="N753" s="414"/>
      <c r="O753" s="412"/>
      <c r="P753" s="412"/>
      <c r="Q753" s="412"/>
      <c r="R753" s="412"/>
      <c r="S753" s="412"/>
      <c r="T753" s="412"/>
      <c r="U753" s="292"/>
      <c r="V753" s="292"/>
      <c r="W753" s="292"/>
      <c r="X753" s="415"/>
      <c r="Y753" s="416"/>
      <c r="Z753" s="417"/>
      <c r="AA753" s="304"/>
      <c r="AB753" s="304"/>
      <c r="AC753" s="304"/>
      <c r="AD753" s="304"/>
      <c r="AE753" s="304"/>
      <c r="AF753" s="304"/>
      <c r="AG753" s="304"/>
      <c r="AH753" s="304"/>
    </row>
    <row r="754">
      <c r="A754" s="292"/>
      <c r="B754" s="292"/>
      <c r="C754" s="292"/>
      <c r="D754" s="412"/>
      <c r="E754" s="412"/>
      <c r="F754" s="412"/>
      <c r="G754" s="412"/>
      <c r="H754" s="412"/>
      <c r="I754" s="412"/>
      <c r="J754" s="412"/>
      <c r="K754" s="413"/>
      <c r="L754" s="413"/>
      <c r="M754" s="413"/>
      <c r="N754" s="414"/>
      <c r="O754" s="412"/>
      <c r="P754" s="412"/>
      <c r="Q754" s="412"/>
      <c r="R754" s="412"/>
      <c r="S754" s="412"/>
      <c r="T754" s="412"/>
      <c r="U754" s="292"/>
      <c r="V754" s="292"/>
      <c r="W754" s="292"/>
      <c r="X754" s="415"/>
      <c r="Y754" s="416"/>
      <c r="Z754" s="417"/>
      <c r="AA754" s="304"/>
      <c r="AB754" s="304"/>
      <c r="AC754" s="304"/>
      <c r="AD754" s="304"/>
      <c r="AE754" s="304"/>
      <c r="AF754" s="304"/>
      <c r="AG754" s="304"/>
      <c r="AH754" s="304"/>
    </row>
    <row r="755">
      <c r="A755" s="292"/>
      <c r="B755" s="292"/>
      <c r="C755" s="292"/>
      <c r="D755" s="412"/>
      <c r="E755" s="412"/>
      <c r="F755" s="412"/>
      <c r="G755" s="412"/>
      <c r="H755" s="412"/>
      <c r="I755" s="412"/>
      <c r="J755" s="412"/>
      <c r="K755" s="413"/>
      <c r="L755" s="413"/>
      <c r="M755" s="413"/>
      <c r="N755" s="414"/>
      <c r="O755" s="412"/>
      <c r="P755" s="412"/>
      <c r="Q755" s="412"/>
      <c r="R755" s="412"/>
      <c r="S755" s="412"/>
      <c r="T755" s="412"/>
      <c r="U755" s="292"/>
      <c r="V755" s="292"/>
      <c r="W755" s="292"/>
      <c r="X755" s="415"/>
      <c r="Y755" s="416"/>
      <c r="Z755" s="417"/>
      <c r="AA755" s="304"/>
      <c r="AB755" s="304"/>
      <c r="AC755" s="304"/>
      <c r="AD755" s="304"/>
      <c r="AE755" s="304"/>
      <c r="AF755" s="304"/>
      <c r="AG755" s="304"/>
      <c r="AH755" s="304"/>
    </row>
    <row r="756">
      <c r="A756" s="292"/>
      <c r="B756" s="292"/>
      <c r="C756" s="292"/>
      <c r="D756" s="412"/>
      <c r="E756" s="412"/>
      <c r="F756" s="412"/>
      <c r="G756" s="412"/>
      <c r="H756" s="412"/>
      <c r="I756" s="412"/>
      <c r="J756" s="412"/>
      <c r="K756" s="413"/>
      <c r="L756" s="413"/>
      <c r="M756" s="413"/>
      <c r="N756" s="414"/>
      <c r="O756" s="412"/>
      <c r="P756" s="412"/>
      <c r="Q756" s="412"/>
      <c r="R756" s="412"/>
      <c r="S756" s="412"/>
      <c r="T756" s="412"/>
      <c r="U756" s="292"/>
      <c r="V756" s="292"/>
      <c r="W756" s="292"/>
      <c r="X756" s="415"/>
      <c r="Y756" s="416"/>
      <c r="Z756" s="417"/>
      <c r="AA756" s="304"/>
      <c r="AB756" s="304"/>
      <c r="AC756" s="304"/>
      <c r="AD756" s="304"/>
      <c r="AE756" s="304"/>
      <c r="AF756" s="304"/>
      <c r="AG756" s="304"/>
      <c r="AH756" s="304"/>
    </row>
    <row r="757">
      <c r="A757" s="292"/>
      <c r="B757" s="292"/>
      <c r="C757" s="292"/>
      <c r="D757" s="412"/>
      <c r="E757" s="412"/>
      <c r="F757" s="412"/>
      <c r="G757" s="412"/>
      <c r="H757" s="412"/>
      <c r="I757" s="412"/>
      <c r="J757" s="412"/>
      <c r="K757" s="413"/>
      <c r="L757" s="413"/>
      <c r="M757" s="413"/>
      <c r="N757" s="414"/>
      <c r="O757" s="412"/>
      <c r="P757" s="412"/>
      <c r="Q757" s="412"/>
      <c r="R757" s="412"/>
      <c r="S757" s="412"/>
      <c r="T757" s="412"/>
      <c r="U757" s="292"/>
      <c r="V757" s="292"/>
      <c r="W757" s="292"/>
      <c r="X757" s="415"/>
      <c r="Y757" s="416"/>
      <c r="Z757" s="417"/>
      <c r="AA757" s="304"/>
      <c r="AB757" s="304"/>
      <c r="AC757" s="304"/>
      <c r="AD757" s="304"/>
      <c r="AE757" s="304"/>
      <c r="AF757" s="304"/>
      <c r="AG757" s="304"/>
      <c r="AH757" s="304"/>
    </row>
    <row r="758">
      <c r="A758" s="292"/>
      <c r="B758" s="292"/>
      <c r="C758" s="292"/>
      <c r="D758" s="412"/>
      <c r="E758" s="412"/>
      <c r="F758" s="412"/>
      <c r="G758" s="412"/>
      <c r="H758" s="412"/>
      <c r="I758" s="412"/>
      <c r="J758" s="412"/>
      <c r="K758" s="413"/>
      <c r="L758" s="413"/>
      <c r="M758" s="413"/>
      <c r="N758" s="414"/>
      <c r="O758" s="412"/>
      <c r="P758" s="412"/>
      <c r="Q758" s="412"/>
      <c r="R758" s="412"/>
      <c r="S758" s="412"/>
      <c r="T758" s="412"/>
      <c r="U758" s="292"/>
      <c r="V758" s="292"/>
      <c r="W758" s="292"/>
      <c r="X758" s="415"/>
      <c r="Y758" s="416"/>
      <c r="Z758" s="417"/>
      <c r="AA758" s="304"/>
      <c r="AB758" s="304"/>
      <c r="AC758" s="304"/>
      <c r="AD758" s="304"/>
      <c r="AE758" s="304"/>
      <c r="AF758" s="304"/>
      <c r="AG758" s="304"/>
      <c r="AH758" s="304"/>
    </row>
    <row r="759">
      <c r="A759" s="292"/>
      <c r="B759" s="292"/>
      <c r="C759" s="292"/>
      <c r="D759" s="412"/>
      <c r="E759" s="412"/>
      <c r="F759" s="412"/>
      <c r="G759" s="412"/>
      <c r="H759" s="412"/>
      <c r="I759" s="412"/>
      <c r="J759" s="412"/>
      <c r="K759" s="413"/>
      <c r="L759" s="413"/>
      <c r="M759" s="413"/>
      <c r="N759" s="414"/>
      <c r="O759" s="412"/>
      <c r="P759" s="412"/>
      <c r="Q759" s="412"/>
      <c r="R759" s="412"/>
      <c r="S759" s="412"/>
      <c r="T759" s="412"/>
      <c r="U759" s="292"/>
      <c r="V759" s="292"/>
      <c r="W759" s="292"/>
      <c r="X759" s="415"/>
      <c r="Y759" s="416"/>
      <c r="Z759" s="417"/>
      <c r="AA759" s="304"/>
      <c r="AB759" s="304"/>
      <c r="AC759" s="304"/>
      <c r="AD759" s="304"/>
      <c r="AE759" s="304"/>
      <c r="AF759" s="304"/>
      <c r="AG759" s="304"/>
      <c r="AH759" s="304"/>
    </row>
    <row r="760">
      <c r="A760" s="292"/>
      <c r="B760" s="292"/>
      <c r="C760" s="292"/>
      <c r="D760" s="412"/>
      <c r="E760" s="412"/>
      <c r="F760" s="412"/>
      <c r="G760" s="412"/>
      <c r="H760" s="412"/>
      <c r="I760" s="412"/>
      <c r="J760" s="412"/>
      <c r="K760" s="413"/>
      <c r="L760" s="413"/>
      <c r="M760" s="413"/>
      <c r="N760" s="414"/>
      <c r="O760" s="412"/>
      <c r="P760" s="412"/>
      <c r="Q760" s="412"/>
      <c r="R760" s="412"/>
      <c r="S760" s="412"/>
      <c r="T760" s="412"/>
      <c r="U760" s="292"/>
      <c r="V760" s="292"/>
      <c r="W760" s="292"/>
      <c r="X760" s="415"/>
      <c r="Y760" s="416"/>
      <c r="Z760" s="417"/>
      <c r="AA760" s="304"/>
      <c r="AB760" s="304"/>
      <c r="AC760" s="304"/>
      <c r="AD760" s="304"/>
      <c r="AE760" s="304"/>
      <c r="AF760" s="304"/>
      <c r="AG760" s="304"/>
      <c r="AH760" s="304"/>
    </row>
    <row r="761">
      <c r="A761" s="292"/>
      <c r="B761" s="292"/>
      <c r="C761" s="292"/>
      <c r="D761" s="412"/>
      <c r="E761" s="412"/>
      <c r="F761" s="412"/>
      <c r="G761" s="412"/>
      <c r="H761" s="412"/>
      <c r="I761" s="412"/>
      <c r="J761" s="412"/>
      <c r="K761" s="413"/>
      <c r="L761" s="413"/>
      <c r="M761" s="413"/>
      <c r="N761" s="414"/>
      <c r="O761" s="412"/>
      <c r="P761" s="412"/>
      <c r="Q761" s="412"/>
      <c r="R761" s="412"/>
      <c r="S761" s="412"/>
      <c r="T761" s="412"/>
      <c r="U761" s="292"/>
      <c r="V761" s="292"/>
      <c r="W761" s="292"/>
      <c r="X761" s="415"/>
      <c r="Y761" s="416"/>
      <c r="Z761" s="417"/>
      <c r="AA761" s="304"/>
      <c r="AB761" s="304"/>
      <c r="AC761" s="304"/>
      <c r="AD761" s="304"/>
      <c r="AE761" s="304"/>
      <c r="AF761" s="304"/>
      <c r="AG761" s="304"/>
      <c r="AH761" s="304"/>
    </row>
    <row r="762">
      <c r="A762" s="292"/>
      <c r="B762" s="292"/>
      <c r="C762" s="292"/>
      <c r="D762" s="412"/>
      <c r="E762" s="412"/>
      <c r="F762" s="412"/>
      <c r="G762" s="412"/>
      <c r="H762" s="412"/>
      <c r="I762" s="412"/>
      <c r="J762" s="412"/>
      <c r="K762" s="413"/>
      <c r="L762" s="413"/>
      <c r="M762" s="413"/>
      <c r="N762" s="414"/>
      <c r="O762" s="412"/>
      <c r="P762" s="412"/>
      <c r="Q762" s="412"/>
      <c r="R762" s="412"/>
      <c r="S762" s="412"/>
      <c r="T762" s="412"/>
      <c r="U762" s="292"/>
      <c r="V762" s="292"/>
      <c r="W762" s="292"/>
      <c r="X762" s="415"/>
      <c r="Y762" s="416"/>
      <c r="Z762" s="417"/>
      <c r="AA762" s="304"/>
      <c r="AB762" s="304"/>
      <c r="AC762" s="304"/>
      <c r="AD762" s="304"/>
      <c r="AE762" s="304"/>
      <c r="AF762" s="304"/>
      <c r="AG762" s="304"/>
      <c r="AH762" s="304"/>
    </row>
    <row r="763">
      <c r="A763" s="292"/>
      <c r="B763" s="292"/>
      <c r="C763" s="292"/>
      <c r="D763" s="412"/>
      <c r="E763" s="412"/>
      <c r="F763" s="412"/>
      <c r="G763" s="412"/>
      <c r="H763" s="412"/>
      <c r="I763" s="412"/>
      <c r="J763" s="412"/>
      <c r="K763" s="413"/>
      <c r="L763" s="413"/>
      <c r="M763" s="413"/>
      <c r="N763" s="414"/>
      <c r="O763" s="412"/>
      <c r="P763" s="412"/>
      <c r="Q763" s="412"/>
      <c r="R763" s="412"/>
      <c r="S763" s="412"/>
      <c r="T763" s="412"/>
      <c r="U763" s="292"/>
      <c r="V763" s="292"/>
      <c r="W763" s="292"/>
      <c r="X763" s="415"/>
      <c r="Y763" s="416"/>
      <c r="Z763" s="417"/>
      <c r="AA763" s="304"/>
      <c r="AB763" s="304"/>
      <c r="AC763" s="304"/>
      <c r="AD763" s="304"/>
      <c r="AE763" s="304"/>
      <c r="AF763" s="304"/>
      <c r="AG763" s="304"/>
      <c r="AH763" s="304"/>
    </row>
    <row r="764">
      <c r="A764" s="292"/>
      <c r="B764" s="292"/>
      <c r="C764" s="292"/>
      <c r="D764" s="412"/>
      <c r="E764" s="412"/>
      <c r="F764" s="412"/>
      <c r="G764" s="412"/>
      <c r="H764" s="412"/>
      <c r="I764" s="412"/>
      <c r="J764" s="412"/>
      <c r="K764" s="413"/>
      <c r="L764" s="413"/>
      <c r="M764" s="413"/>
      <c r="N764" s="414"/>
      <c r="O764" s="412"/>
      <c r="P764" s="412"/>
      <c r="Q764" s="412"/>
      <c r="R764" s="412"/>
      <c r="S764" s="412"/>
      <c r="T764" s="412"/>
      <c r="U764" s="292"/>
      <c r="V764" s="292"/>
      <c r="W764" s="292"/>
      <c r="X764" s="415"/>
      <c r="Y764" s="416"/>
      <c r="Z764" s="417"/>
      <c r="AA764" s="304"/>
      <c r="AB764" s="304"/>
      <c r="AC764" s="304"/>
      <c r="AD764" s="304"/>
      <c r="AE764" s="304"/>
      <c r="AF764" s="304"/>
      <c r="AG764" s="304"/>
      <c r="AH764" s="304"/>
    </row>
    <row r="765">
      <c r="A765" s="292"/>
      <c r="B765" s="292"/>
      <c r="C765" s="292"/>
      <c r="D765" s="412"/>
      <c r="E765" s="412"/>
      <c r="F765" s="412"/>
      <c r="G765" s="412"/>
      <c r="H765" s="412"/>
      <c r="I765" s="412"/>
      <c r="J765" s="412"/>
      <c r="K765" s="413"/>
      <c r="L765" s="413"/>
      <c r="M765" s="413"/>
      <c r="N765" s="414"/>
      <c r="O765" s="412"/>
      <c r="P765" s="412"/>
      <c r="Q765" s="412"/>
      <c r="R765" s="412"/>
      <c r="S765" s="412"/>
      <c r="T765" s="412"/>
      <c r="U765" s="292"/>
      <c r="V765" s="292"/>
      <c r="W765" s="292"/>
      <c r="X765" s="415"/>
      <c r="Y765" s="416"/>
      <c r="Z765" s="417"/>
      <c r="AA765" s="304"/>
      <c r="AB765" s="304"/>
      <c r="AC765" s="304"/>
      <c r="AD765" s="304"/>
      <c r="AE765" s="304"/>
      <c r="AF765" s="304"/>
      <c r="AG765" s="304"/>
      <c r="AH765" s="304"/>
    </row>
    <row r="766">
      <c r="A766" s="292"/>
      <c r="B766" s="292"/>
      <c r="C766" s="292"/>
      <c r="D766" s="412"/>
      <c r="E766" s="412"/>
      <c r="F766" s="412"/>
      <c r="G766" s="412"/>
      <c r="H766" s="412"/>
      <c r="I766" s="412"/>
      <c r="J766" s="412"/>
      <c r="K766" s="413"/>
      <c r="L766" s="413"/>
      <c r="M766" s="413"/>
      <c r="N766" s="414"/>
      <c r="O766" s="412"/>
      <c r="P766" s="412"/>
      <c r="Q766" s="412"/>
      <c r="R766" s="412"/>
      <c r="S766" s="412"/>
      <c r="T766" s="412"/>
      <c r="U766" s="292"/>
      <c r="V766" s="292"/>
      <c r="W766" s="292"/>
      <c r="X766" s="415"/>
      <c r="Y766" s="416"/>
      <c r="Z766" s="417"/>
      <c r="AA766" s="304"/>
      <c r="AB766" s="304"/>
      <c r="AC766" s="304"/>
      <c r="AD766" s="304"/>
      <c r="AE766" s="304"/>
      <c r="AF766" s="304"/>
      <c r="AG766" s="304"/>
      <c r="AH766" s="304"/>
    </row>
    <row r="767">
      <c r="A767" s="292"/>
      <c r="B767" s="292"/>
      <c r="C767" s="292"/>
      <c r="D767" s="412"/>
      <c r="E767" s="412"/>
      <c r="F767" s="412"/>
      <c r="G767" s="412"/>
      <c r="H767" s="412"/>
      <c r="I767" s="412"/>
      <c r="J767" s="412"/>
      <c r="K767" s="413"/>
      <c r="L767" s="413"/>
      <c r="M767" s="413"/>
      <c r="N767" s="414"/>
      <c r="O767" s="412"/>
      <c r="P767" s="412"/>
      <c r="Q767" s="412"/>
      <c r="R767" s="412"/>
      <c r="S767" s="412"/>
      <c r="T767" s="412"/>
      <c r="U767" s="292"/>
      <c r="V767" s="292"/>
      <c r="W767" s="292"/>
      <c r="X767" s="415"/>
      <c r="Y767" s="416"/>
      <c r="Z767" s="417"/>
      <c r="AA767" s="304"/>
      <c r="AB767" s="304"/>
      <c r="AC767" s="304"/>
      <c r="AD767" s="304"/>
      <c r="AE767" s="304"/>
      <c r="AF767" s="304"/>
      <c r="AG767" s="304"/>
      <c r="AH767" s="304"/>
    </row>
    <row r="768">
      <c r="A768" s="292"/>
      <c r="B768" s="292"/>
      <c r="C768" s="292"/>
      <c r="D768" s="412"/>
      <c r="E768" s="412"/>
      <c r="F768" s="412"/>
      <c r="G768" s="412"/>
      <c r="H768" s="412"/>
      <c r="I768" s="412"/>
      <c r="J768" s="412"/>
      <c r="K768" s="413"/>
      <c r="L768" s="413"/>
      <c r="M768" s="413"/>
      <c r="N768" s="414"/>
      <c r="O768" s="412"/>
      <c r="P768" s="412"/>
      <c r="Q768" s="412"/>
      <c r="R768" s="412"/>
      <c r="S768" s="412"/>
      <c r="T768" s="412"/>
      <c r="U768" s="292"/>
      <c r="V768" s="292"/>
      <c r="W768" s="292"/>
      <c r="X768" s="415"/>
      <c r="Y768" s="416"/>
      <c r="Z768" s="417"/>
      <c r="AA768" s="304"/>
      <c r="AB768" s="304"/>
      <c r="AC768" s="304"/>
      <c r="AD768" s="304"/>
      <c r="AE768" s="304"/>
      <c r="AF768" s="304"/>
      <c r="AG768" s="304"/>
      <c r="AH768" s="304"/>
    </row>
    <row r="769">
      <c r="A769" s="292"/>
      <c r="B769" s="292"/>
      <c r="C769" s="292"/>
      <c r="D769" s="412"/>
      <c r="E769" s="412"/>
      <c r="F769" s="412"/>
      <c r="G769" s="412"/>
      <c r="H769" s="412"/>
      <c r="I769" s="412"/>
      <c r="J769" s="412"/>
      <c r="K769" s="413"/>
      <c r="L769" s="413"/>
      <c r="M769" s="413"/>
      <c r="N769" s="414"/>
      <c r="O769" s="412"/>
      <c r="P769" s="412"/>
      <c r="Q769" s="412"/>
      <c r="R769" s="412"/>
      <c r="S769" s="412"/>
      <c r="T769" s="412"/>
      <c r="U769" s="292"/>
      <c r="V769" s="292"/>
      <c r="W769" s="292"/>
      <c r="X769" s="415"/>
      <c r="Y769" s="416"/>
      <c r="Z769" s="417"/>
      <c r="AA769" s="304"/>
      <c r="AB769" s="304"/>
      <c r="AC769" s="304"/>
      <c r="AD769" s="304"/>
      <c r="AE769" s="304"/>
      <c r="AF769" s="304"/>
      <c r="AG769" s="304"/>
      <c r="AH769" s="304"/>
    </row>
    <row r="770">
      <c r="A770" s="292"/>
      <c r="B770" s="292"/>
      <c r="C770" s="292"/>
      <c r="D770" s="412"/>
      <c r="E770" s="412"/>
      <c r="F770" s="412"/>
      <c r="G770" s="412"/>
      <c r="H770" s="412"/>
      <c r="I770" s="412"/>
      <c r="J770" s="412"/>
      <c r="K770" s="413"/>
      <c r="L770" s="413"/>
      <c r="M770" s="413"/>
      <c r="N770" s="414"/>
      <c r="O770" s="412"/>
      <c r="P770" s="412"/>
      <c r="Q770" s="412"/>
      <c r="R770" s="412"/>
      <c r="S770" s="412"/>
      <c r="T770" s="412"/>
      <c r="U770" s="292"/>
      <c r="V770" s="292"/>
      <c r="W770" s="292"/>
      <c r="X770" s="415"/>
      <c r="Y770" s="416"/>
      <c r="Z770" s="417"/>
      <c r="AA770" s="304"/>
      <c r="AB770" s="304"/>
      <c r="AC770" s="304"/>
      <c r="AD770" s="304"/>
      <c r="AE770" s="304"/>
      <c r="AF770" s="304"/>
      <c r="AG770" s="304"/>
      <c r="AH770" s="304"/>
    </row>
    <row r="771">
      <c r="A771" s="292"/>
      <c r="B771" s="292"/>
      <c r="C771" s="292"/>
      <c r="D771" s="412"/>
      <c r="E771" s="412"/>
      <c r="F771" s="412"/>
      <c r="G771" s="412"/>
      <c r="H771" s="412"/>
      <c r="I771" s="412"/>
      <c r="J771" s="412"/>
      <c r="K771" s="413"/>
      <c r="L771" s="413"/>
      <c r="M771" s="413"/>
      <c r="N771" s="414"/>
      <c r="O771" s="412"/>
      <c r="P771" s="412"/>
      <c r="Q771" s="412"/>
      <c r="R771" s="412"/>
      <c r="S771" s="412"/>
      <c r="T771" s="412"/>
      <c r="U771" s="292"/>
      <c r="V771" s="292"/>
      <c r="W771" s="292"/>
      <c r="X771" s="415"/>
      <c r="Y771" s="416"/>
      <c r="Z771" s="417"/>
      <c r="AA771" s="304"/>
      <c r="AB771" s="304"/>
      <c r="AC771" s="304"/>
      <c r="AD771" s="304"/>
      <c r="AE771" s="304"/>
      <c r="AF771" s="304"/>
      <c r="AG771" s="304"/>
      <c r="AH771" s="304"/>
    </row>
    <row r="772">
      <c r="A772" s="292"/>
      <c r="B772" s="292"/>
      <c r="C772" s="292"/>
      <c r="D772" s="412"/>
      <c r="E772" s="412"/>
      <c r="F772" s="412"/>
      <c r="G772" s="412"/>
      <c r="H772" s="412"/>
      <c r="I772" s="412"/>
      <c r="J772" s="412"/>
      <c r="K772" s="413"/>
      <c r="L772" s="413"/>
      <c r="M772" s="413"/>
      <c r="N772" s="414"/>
      <c r="O772" s="412"/>
      <c r="P772" s="412"/>
      <c r="Q772" s="412"/>
      <c r="R772" s="412"/>
      <c r="S772" s="412"/>
      <c r="T772" s="412"/>
      <c r="U772" s="292"/>
      <c r="V772" s="292"/>
      <c r="W772" s="292"/>
      <c r="X772" s="415"/>
      <c r="Y772" s="416"/>
      <c r="Z772" s="417"/>
      <c r="AA772" s="304"/>
      <c r="AB772" s="304"/>
      <c r="AC772" s="304"/>
      <c r="AD772" s="304"/>
      <c r="AE772" s="304"/>
      <c r="AF772" s="304"/>
      <c r="AG772" s="304"/>
      <c r="AH772" s="304"/>
    </row>
    <row r="773">
      <c r="A773" s="292"/>
      <c r="B773" s="292"/>
      <c r="C773" s="292"/>
      <c r="D773" s="412"/>
      <c r="E773" s="412"/>
      <c r="F773" s="412"/>
      <c r="G773" s="412"/>
      <c r="H773" s="412"/>
      <c r="I773" s="412"/>
      <c r="J773" s="412"/>
      <c r="K773" s="413"/>
      <c r="L773" s="413"/>
      <c r="M773" s="413"/>
      <c r="N773" s="414"/>
      <c r="O773" s="412"/>
      <c r="P773" s="412"/>
      <c r="Q773" s="412"/>
      <c r="R773" s="412"/>
      <c r="S773" s="412"/>
      <c r="T773" s="412"/>
      <c r="U773" s="292"/>
      <c r="V773" s="292"/>
      <c r="W773" s="292"/>
      <c r="X773" s="415"/>
      <c r="Y773" s="416"/>
      <c r="Z773" s="417"/>
      <c r="AA773" s="304"/>
      <c r="AB773" s="304"/>
      <c r="AC773" s="304"/>
      <c r="AD773" s="304"/>
      <c r="AE773" s="304"/>
      <c r="AF773" s="304"/>
      <c r="AG773" s="304"/>
      <c r="AH773" s="304"/>
    </row>
    <row r="774">
      <c r="A774" s="292"/>
      <c r="B774" s="292"/>
      <c r="C774" s="292"/>
      <c r="D774" s="412"/>
      <c r="E774" s="412"/>
      <c r="F774" s="412"/>
      <c r="G774" s="412"/>
      <c r="H774" s="412"/>
      <c r="I774" s="412"/>
      <c r="J774" s="412"/>
      <c r="K774" s="413"/>
      <c r="L774" s="413"/>
      <c r="M774" s="413"/>
      <c r="N774" s="414"/>
      <c r="O774" s="412"/>
      <c r="P774" s="412"/>
      <c r="Q774" s="412"/>
      <c r="R774" s="412"/>
      <c r="S774" s="412"/>
      <c r="T774" s="412"/>
      <c r="U774" s="292"/>
      <c r="V774" s="292"/>
      <c r="W774" s="292"/>
      <c r="X774" s="415"/>
      <c r="Y774" s="416"/>
      <c r="Z774" s="417"/>
      <c r="AA774" s="304"/>
      <c r="AB774" s="304"/>
      <c r="AC774" s="304"/>
      <c r="AD774" s="304"/>
      <c r="AE774" s="304"/>
      <c r="AF774" s="304"/>
      <c r="AG774" s="304"/>
      <c r="AH774" s="304"/>
    </row>
    <row r="775">
      <c r="A775" s="292"/>
      <c r="B775" s="292"/>
      <c r="C775" s="292"/>
      <c r="D775" s="412"/>
      <c r="E775" s="412"/>
      <c r="F775" s="412"/>
      <c r="G775" s="412"/>
      <c r="H775" s="412"/>
      <c r="I775" s="412"/>
      <c r="J775" s="412"/>
      <c r="K775" s="413"/>
      <c r="L775" s="413"/>
      <c r="M775" s="413"/>
      <c r="N775" s="414"/>
      <c r="O775" s="412"/>
      <c r="P775" s="412"/>
      <c r="Q775" s="412"/>
      <c r="R775" s="412"/>
      <c r="S775" s="412"/>
      <c r="T775" s="412"/>
      <c r="U775" s="292"/>
      <c r="V775" s="292"/>
      <c r="W775" s="292"/>
      <c r="X775" s="415"/>
      <c r="Y775" s="416"/>
      <c r="Z775" s="417"/>
      <c r="AA775" s="304"/>
      <c r="AB775" s="304"/>
      <c r="AC775" s="304"/>
      <c r="AD775" s="304"/>
      <c r="AE775" s="304"/>
      <c r="AF775" s="304"/>
      <c r="AG775" s="304"/>
      <c r="AH775" s="304"/>
    </row>
    <row r="776">
      <c r="A776" s="292"/>
      <c r="B776" s="292"/>
      <c r="C776" s="292"/>
      <c r="D776" s="412"/>
      <c r="E776" s="412"/>
      <c r="F776" s="412"/>
      <c r="G776" s="412"/>
      <c r="H776" s="412"/>
      <c r="I776" s="412"/>
      <c r="J776" s="412"/>
      <c r="K776" s="413"/>
      <c r="L776" s="413"/>
      <c r="M776" s="413"/>
      <c r="N776" s="414"/>
      <c r="O776" s="412"/>
      <c r="P776" s="412"/>
      <c r="Q776" s="412"/>
      <c r="R776" s="412"/>
      <c r="S776" s="412"/>
      <c r="T776" s="412"/>
      <c r="U776" s="292"/>
      <c r="V776" s="292"/>
      <c r="W776" s="292"/>
      <c r="X776" s="415"/>
      <c r="Y776" s="416"/>
      <c r="Z776" s="417"/>
      <c r="AA776" s="304"/>
      <c r="AB776" s="304"/>
      <c r="AC776" s="304"/>
      <c r="AD776" s="304"/>
      <c r="AE776" s="304"/>
      <c r="AF776" s="304"/>
      <c r="AG776" s="304"/>
      <c r="AH776" s="304"/>
    </row>
    <row r="777">
      <c r="A777" s="292"/>
      <c r="B777" s="292"/>
      <c r="C777" s="292"/>
      <c r="D777" s="412"/>
      <c r="E777" s="412"/>
      <c r="F777" s="412"/>
      <c r="G777" s="412"/>
      <c r="H777" s="412"/>
      <c r="I777" s="412"/>
      <c r="J777" s="412"/>
      <c r="K777" s="413"/>
      <c r="L777" s="413"/>
      <c r="M777" s="413"/>
      <c r="N777" s="414"/>
      <c r="O777" s="412"/>
      <c r="P777" s="412"/>
      <c r="Q777" s="412"/>
      <c r="R777" s="412"/>
      <c r="S777" s="412"/>
      <c r="T777" s="412"/>
      <c r="U777" s="292"/>
      <c r="V777" s="292"/>
      <c r="W777" s="292"/>
      <c r="X777" s="415"/>
      <c r="Y777" s="416"/>
      <c r="Z777" s="417"/>
      <c r="AA777" s="304"/>
      <c r="AB777" s="304"/>
      <c r="AC777" s="304"/>
      <c r="AD777" s="304"/>
      <c r="AE777" s="304"/>
      <c r="AF777" s="304"/>
      <c r="AG777" s="304"/>
      <c r="AH777" s="304"/>
    </row>
    <row r="778">
      <c r="A778" s="292"/>
      <c r="B778" s="292"/>
      <c r="C778" s="292"/>
      <c r="D778" s="412"/>
      <c r="E778" s="412"/>
      <c r="F778" s="412"/>
      <c r="G778" s="412"/>
      <c r="H778" s="412"/>
      <c r="I778" s="412"/>
      <c r="J778" s="412"/>
      <c r="K778" s="413"/>
      <c r="L778" s="413"/>
      <c r="M778" s="413"/>
      <c r="N778" s="414"/>
      <c r="O778" s="412"/>
      <c r="P778" s="412"/>
      <c r="Q778" s="412"/>
      <c r="R778" s="412"/>
      <c r="S778" s="412"/>
      <c r="T778" s="412"/>
      <c r="U778" s="292"/>
      <c r="V778" s="292"/>
      <c r="W778" s="292"/>
      <c r="X778" s="415"/>
      <c r="Y778" s="416"/>
      <c r="Z778" s="417"/>
      <c r="AA778" s="304"/>
      <c r="AB778" s="304"/>
      <c r="AC778" s="304"/>
      <c r="AD778" s="304"/>
      <c r="AE778" s="304"/>
      <c r="AF778" s="304"/>
      <c r="AG778" s="304"/>
      <c r="AH778" s="304"/>
    </row>
    <row r="779">
      <c r="A779" s="292"/>
      <c r="B779" s="292"/>
      <c r="C779" s="292"/>
      <c r="D779" s="412"/>
      <c r="E779" s="412"/>
      <c r="F779" s="412"/>
      <c r="G779" s="412"/>
      <c r="H779" s="412"/>
      <c r="I779" s="412"/>
      <c r="J779" s="412"/>
      <c r="K779" s="413"/>
      <c r="L779" s="413"/>
      <c r="M779" s="413"/>
      <c r="N779" s="414"/>
      <c r="O779" s="412"/>
      <c r="P779" s="412"/>
      <c r="Q779" s="412"/>
      <c r="R779" s="412"/>
      <c r="S779" s="412"/>
      <c r="T779" s="412"/>
      <c r="U779" s="292"/>
      <c r="V779" s="292"/>
      <c r="W779" s="292"/>
      <c r="X779" s="415"/>
      <c r="Y779" s="416"/>
      <c r="Z779" s="417"/>
      <c r="AA779" s="304"/>
      <c r="AB779" s="304"/>
      <c r="AC779" s="304"/>
      <c r="AD779" s="304"/>
      <c r="AE779" s="304"/>
      <c r="AF779" s="304"/>
      <c r="AG779" s="304"/>
      <c r="AH779" s="304"/>
    </row>
    <row r="780">
      <c r="A780" s="292"/>
      <c r="B780" s="292"/>
      <c r="C780" s="292"/>
      <c r="D780" s="412"/>
      <c r="E780" s="412"/>
      <c r="F780" s="412"/>
      <c r="G780" s="412"/>
      <c r="H780" s="412"/>
      <c r="I780" s="412"/>
      <c r="J780" s="412"/>
      <c r="K780" s="413"/>
      <c r="L780" s="413"/>
      <c r="M780" s="413"/>
      <c r="N780" s="414"/>
      <c r="O780" s="412"/>
      <c r="P780" s="412"/>
      <c r="Q780" s="412"/>
      <c r="R780" s="412"/>
      <c r="S780" s="412"/>
      <c r="T780" s="412"/>
      <c r="U780" s="292"/>
      <c r="V780" s="292"/>
      <c r="W780" s="292"/>
      <c r="X780" s="415"/>
      <c r="Y780" s="416"/>
      <c r="Z780" s="417"/>
      <c r="AA780" s="304"/>
      <c r="AB780" s="304"/>
      <c r="AC780" s="304"/>
      <c r="AD780" s="304"/>
      <c r="AE780" s="304"/>
      <c r="AF780" s="304"/>
      <c r="AG780" s="304"/>
      <c r="AH780" s="304"/>
    </row>
    <row r="781">
      <c r="A781" s="292"/>
      <c r="B781" s="292"/>
      <c r="C781" s="292"/>
      <c r="D781" s="412"/>
      <c r="E781" s="412"/>
      <c r="F781" s="412"/>
      <c r="G781" s="412"/>
      <c r="H781" s="412"/>
      <c r="I781" s="412"/>
      <c r="J781" s="412"/>
      <c r="K781" s="413"/>
      <c r="L781" s="413"/>
      <c r="M781" s="413"/>
      <c r="N781" s="414"/>
      <c r="O781" s="412"/>
      <c r="P781" s="412"/>
      <c r="Q781" s="412"/>
      <c r="R781" s="412"/>
      <c r="S781" s="412"/>
      <c r="T781" s="412"/>
      <c r="U781" s="292"/>
      <c r="V781" s="292"/>
      <c r="W781" s="292"/>
      <c r="X781" s="415"/>
      <c r="Y781" s="416"/>
      <c r="Z781" s="417"/>
      <c r="AA781" s="304"/>
      <c r="AB781" s="304"/>
      <c r="AC781" s="304"/>
      <c r="AD781" s="304"/>
      <c r="AE781" s="304"/>
      <c r="AF781" s="304"/>
      <c r="AG781" s="304"/>
      <c r="AH781" s="304"/>
    </row>
    <row r="782">
      <c r="A782" s="292"/>
      <c r="B782" s="292"/>
      <c r="C782" s="292"/>
      <c r="D782" s="412"/>
      <c r="E782" s="412"/>
      <c r="F782" s="412"/>
      <c r="G782" s="412"/>
      <c r="H782" s="412"/>
      <c r="I782" s="412"/>
      <c r="J782" s="412"/>
      <c r="K782" s="413"/>
      <c r="L782" s="413"/>
      <c r="M782" s="413"/>
      <c r="N782" s="414"/>
      <c r="O782" s="412"/>
      <c r="P782" s="412"/>
      <c r="Q782" s="412"/>
      <c r="R782" s="412"/>
      <c r="S782" s="412"/>
      <c r="T782" s="412"/>
      <c r="U782" s="292"/>
      <c r="V782" s="292"/>
      <c r="W782" s="292"/>
      <c r="X782" s="415"/>
      <c r="Y782" s="416"/>
      <c r="Z782" s="417"/>
      <c r="AA782" s="304"/>
      <c r="AB782" s="304"/>
      <c r="AC782" s="304"/>
      <c r="AD782" s="304"/>
      <c r="AE782" s="304"/>
      <c r="AF782" s="304"/>
      <c r="AG782" s="304"/>
      <c r="AH782" s="304"/>
    </row>
    <row r="783">
      <c r="A783" s="292"/>
      <c r="B783" s="292"/>
      <c r="C783" s="292"/>
      <c r="D783" s="412"/>
      <c r="E783" s="412"/>
      <c r="F783" s="412"/>
      <c r="G783" s="412"/>
      <c r="H783" s="412"/>
      <c r="I783" s="412"/>
      <c r="J783" s="412"/>
      <c r="K783" s="413"/>
      <c r="L783" s="413"/>
      <c r="M783" s="413"/>
      <c r="N783" s="414"/>
      <c r="O783" s="412"/>
      <c r="P783" s="412"/>
      <c r="Q783" s="412"/>
      <c r="R783" s="412"/>
      <c r="S783" s="412"/>
      <c r="T783" s="412"/>
      <c r="U783" s="292"/>
      <c r="V783" s="292"/>
      <c r="W783" s="292"/>
      <c r="X783" s="415"/>
      <c r="Y783" s="416"/>
      <c r="Z783" s="417"/>
      <c r="AA783" s="304"/>
      <c r="AB783" s="304"/>
      <c r="AC783" s="304"/>
      <c r="AD783" s="304"/>
      <c r="AE783" s="304"/>
      <c r="AF783" s="304"/>
      <c r="AG783" s="304"/>
      <c r="AH783" s="304"/>
    </row>
    <row r="784">
      <c r="A784" s="292"/>
      <c r="B784" s="292"/>
      <c r="C784" s="292"/>
      <c r="D784" s="412"/>
      <c r="E784" s="412"/>
      <c r="F784" s="412"/>
      <c r="G784" s="412"/>
      <c r="H784" s="412"/>
      <c r="I784" s="412"/>
      <c r="J784" s="412"/>
      <c r="K784" s="413"/>
      <c r="L784" s="413"/>
      <c r="M784" s="413"/>
      <c r="N784" s="414"/>
      <c r="O784" s="412"/>
      <c r="P784" s="412"/>
      <c r="Q784" s="412"/>
      <c r="R784" s="412"/>
      <c r="S784" s="412"/>
      <c r="T784" s="412"/>
      <c r="U784" s="292"/>
      <c r="V784" s="292"/>
      <c r="W784" s="292"/>
      <c r="X784" s="415"/>
      <c r="Y784" s="416"/>
      <c r="Z784" s="417"/>
      <c r="AA784" s="304"/>
      <c r="AB784" s="304"/>
      <c r="AC784" s="304"/>
      <c r="AD784" s="304"/>
      <c r="AE784" s="304"/>
      <c r="AF784" s="304"/>
      <c r="AG784" s="304"/>
      <c r="AH784" s="304"/>
    </row>
    <row r="785">
      <c r="A785" s="292"/>
      <c r="B785" s="292"/>
      <c r="C785" s="292"/>
      <c r="D785" s="412"/>
      <c r="E785" s="412"/>
      <c r="F785" s="412"/>
      <c r="G785" s="412"/>
      <c r="H785" s="412"/>
      <c r="I785" s="412"/>
      <c r="J785" s="412"/>
      <c r="K785" s="413"/>
      <c r="L785" s="413"/>
      <c r="M785" s="413"/>
      <c r="N785" s="414"/>
      <c r="O785" s="412"/>
      <c r="P785" s="412"/>
      <c r="Q785" s="412"/>
      <c r="R785" s="412"/>
      <c r="S785" s="412"/>
      <c r="T785" s="412"/>
      <c r="U785" s="292"/>
      <c r="V785" s="292"/>
      <c r="W785" s="292"/>
      <c r="X785" s="415"/>
      <c r="Y785" s="416"/>
      <c r="Z785" s="417"/>
      <c r="AA785" s="304"/>
      <c r="AB785" s="304"/>
      <c r="AC785" s="304"/>
      <c r="AD785" s="304"/>
      <c r="AE785" s="304"/>
      <c r="AF785" s="304"/>
      <c r="AG785" s="304"/>
      <c r="AH785" s="304"/>
    </row>
    <row r="786">
      <c r="A786" s="292"/>
      <c r="B786" s="292"/>
      <c r="C786" s="292"/>
      <c r="D786" s="412"/>
      <c r="E786" s="412"/>
      <c r="F786" s="412"/>
      <c r="G786" s="412"/>
      <c r="H786" s="412"/>
      <c r="I786" s="412"/>
      <c r="J786" s="412"/>
      <c r="K786" s="413"/>
      <c r="L786" s="413"/>
      <c r="M786" s="413"/>
      <c r="N786" s="414"/>
      <c r="O786" s="412"/>
      <c r="P786" s="412"/>
      <c r="Q786" s="412"/>
      <c r="R786" s="412"/>
      <c r="S786" s="412"/>
      <c r="T786" s="412"/>
      <c r="U786" s="292"/>
      <c r="V786" s="292"/>
      <c r="W786" s="292"/>
      <c r="X786" s="415"/>
      <c r="Y786" s="416"/>
      <c r="Z786" s="417"/>
      <c r="AA786" s="304"/>
      <c r="AB786" s="304"/>
      <c r="AC786" s="304"/>
      <c r="AD786" s="304"/>
      <c r="AE786" s="304"/>
      <c r="AF786" s="304"/>
      <c r="AG786" s="304"/>
      <c r="AH786" s="304"/>
    </row>
    <row r="787">
      <c r="A787" s="292"/>
      <c r="B787" s="292"/>
      <c r="C787" s="292"/>
      <c r="D787" s="412"/>
      <c r="E787" s="412"/>
      <c r="F787" s="412"/>
      <c r="G787" s="412"/>
      <c r="H787" s="412"/>
      <c r="I787" s="412"/>
      <c r="J787" s="412"/>
      <c r="K787" s="413"/>
      <c r="L787" s="413"/>
      <c r="M787" s="413"/>
      <c r="N787" s="414"/>
      <c r="O787" s="412"/>
      <c r="P787" s="412"/>
      <c r="Q787" s="412"/>
      <c r="R787" s="412"/>
      <c r="S787" s="412"/>
      <c r="T787" s="412"/>
      <c r="U787" s="292"/>
      <c r="V787" s="292"/>
      <c r="W787" s="292"/>
      <c r="X787" s="415"/>
      <c r="Y787" s="416"/>
      <c r="Z787" s="417"/>
      <c r="AA787" s="304"/>
      <c r="AB787" s="304"/>
      <c r="AC787" s="304"/>
      <c r="AD787" s="304"/>
      <c r="AE787" s="304"/>
      <c r="AF787" s="304"/>
      <c r="AG787" s="304"/>
      <c r="AH787" s="304"/>
    </row>
    <row r="788">
      <c r="A788" s="292"/>
      <c r="B788" s="292"/>
      <c r="C788" s="292"/>
      <c r="D788" s="412"/>
      <c r="E788" s="412"/>
      <c r="F788" s="412"/>
      <c r="G788" s="412"/>
      <c r="H788" s="412"/>
      <c r="I788" s="412"/>
      <c r="J788" s="412"/>
      <c r="K788" s="413"/>
      <c r="L788" s="413"/>
      <c r="M788" s="413"/>
      <c r="N788" s="414"/>
      <c r="O788" s="412"/>
      <c r="P788" s="412"/>
      <c r="Q788" s="412"/>
      <c r="R788" s="412"/>
      <c r="S788" s="412"/>
      <c r="T788" s="412"/>
      <c r="U788" s="292"/>
      <c r="V788" s="292"/>
      <c r="W788" s="292"/>
      <c r="X788" s="415"/>
      <c r="Y788" s="416"/>
      <c r="Z788" s="417"/>
      <c r="AA788" s="304"/>
      <c r="AB788" s="304"/>
      <c r="AC788" s="304"/>
      <c r="AD788" s="304"/>
      <c r="AE788" s="304"/>
      <c r="AF788" s="304"/>
      <c r="AG788" s="304"/>
      <c r="AH788" s="304"/>
    </row>
    <row r="789">
      <c r="A789" s="292"/>
      <c r="B789" s="292"/>
      <c r="C789" s="292"/>
      <c r="D789" s="412"/>
      <c r="E789" s="412"/>
      <c r="F789" s="412"/>
      <c r="G789" s="412"/>
      <c r="H789" s="412"/>
      <c r="I789" s="412"/>
      <c r="J789" s="412"/>
      <c r="K789" s="413"/>
      <c r="L789" s="413"/>
      <c r="M789" s="413"/>
      <c r="N789" s="414"/>
      <c r="O789" s="412"/>
      <c r="P789" s="412"/>
      <c r="Q789" s="412"/>
      <c r="R789" s="412"/>
      <c r="S789" s="412"/>
      <c r="T789" s="412"/>
      <c r="U789" s="292"/>
      <c r="V789" s="292"/>
      <c r="W789" s="292"/>
      <c r="X789" s="415"/>
      <c r="Y789" s="416"/>
      <c r="Z789" s="417"/>
      <c r="AA789" s="304"/>
      <c r="AB789" s="304"/>
      <c r="AC789" s="304"/>
      <c r="AD789" s="304"/>
      <c r="AE789" s="304"/>
      <c r="AF789" s="304"/>
      <c r="AG789" s="304"/>
      <c r="AH789" s="304"/>
    </row>
    <row r="790">
      <c r="A790" s="292"/>
      <c r="B790" s="292"/>
      <c r="C790" s="292"/>
      <c r="D790" s="412"/>
      <c r="E790" s="412"/>
      <c r="F790" s="412"/>
      <c r="G790" s="412"/>
      <c r="H790" s="412"/>
      <c r="I790" s="412"/>
      <c r="J790" s="412"/>
      <c r="K790" s="413"/>
      <c r="L790" s="413"/>
      <c r="M790" s="413"/>
      <c r="N790" s="414"/>
      <c r="O790" s="412"/>
      <c r="P790" s="412"/>
      <c r="Q790" s="412"/>
      <c r="R790" s="412"/>
      <c r="S790" s="412"/>
      <c r="T790" s="412"/>
      <c r="U790" s="292"/>
      <c r="V790" s="292"/>
      <c r="W790" s="292"/>
      <c r="X790" s="415"/>
      <c r="Y790" s="416"/>
      <c r="Z790" s="417"/>
      <c r="AA790" s="304"/>
      <c r="AB790" s="304"/>
      <c r="AC790" s="304"/>
      <c r="AD790" s="304"/>
      <c r="AE790" s="304"/>
      <c r="AF790" s="304"/>
      <c r="AG790" s="304"/>
      <c r="AH790" s="304"/>
    </row>
    <row r="791">
      <c r="A791" s="292"/>
      <c r="B791" s="292"/>
      <c r="C791" s="292"/>
      <c r="D791" s="412"/>
      <c r="E791" s="412"/>
      <c r="F791" s="412"/>
      <c r="G791" s="412"/>
      <c r="H791" s="412"/>
      <c r="I791" s="412"/>
      <c r="J791" s="412"/>
      <c r="K791" s="413"/>
      <c r="L791" s="413"/>
      <c r="M791" s="413"/>
      <c r="N791" s="414"/>
      <c r="O791" s="412"/>
      <c r="P791" s="412"/>
      <c r="Q791" s="412"/>
      <c r="R791" s="412"/>
      <c r="S791" s="412"/>
      <c r="T791" s="412"/>
      <c r="U791" s="292"/>
      <c r="V791" s="292"/>
      <c r="W791" s="292"/>
      <c r="X791" s="415"/>
      <c r="Y791" s="416"/>
      <c r="Z791" s="417"/>
      <c r="AA791" s="304"/>
      <c r="AB791" s="304"/>
      <c r="AC791" s="304"/>
      <c r="AD791" s="304"/>
      <c r="AE791" s="304"/>
      <c r="AF791" s="304"/>
      <c r="AG791" s="304"/>
      <c r="AH791" s="304"/>
    </row>
    <row r="792">
      <c r="A792" s="292"/>
      <c r="B792" s="292"/>
      <c r="C792" s="292"/>
      <c r="D792" s="412"/>
      <c r="E792" s="412"/>
      <c r="F792" s="412"/>
      <c r="G792" s="412"/>
      <c r="H792" s="412"/>
      <c r="I792" s="412"/>
      <c r="J792" s="412"/>
      <c r="K792" s="413"/>
      <c r="L792" s="413"/>
      <c r="M792" s="413"/>
      <c r="N792" s="414"/>
      <c r="O792" s="412"/>
      <c r="P792" s="412"/>
      <c r="Q792" s="412"/>
      <c r="R792" s="412"/>
      <c r="S792" s="412"/>
      <c r="T792" s="412"/>
      <c r="U792" s="292"/>
      <c r="V792" s="292"/>
      <c r="W792" s="292"/>
      <c r="X792" s="415"/>
      <c r="Y792" s="416"/>
      <c r="Z792" s="417"/>
      <c r="AA792" s="304"/>
      <c r="AB792" s="304"/>
      <c r="AC792" s="304"/>
      <c r="AD792" s="304"/>
      <c r="AE792" s="304"/>
      <c r="AF792" s="304"/>
      <c r="AG792" s="304"/>
      <c r="AH792" s="304"/>
    </row>
    <row r="793">
      <c r="A793" s="292"/>
      <c r="B793" s="292"/>
      <c r="C793" s="292"/>
      <c r="D793" s="412"/>
      <c r="E793" s="412"/>
      <c r="F793" s="412"/>
      <c r="G793" s="412"/>
      <c r="H793" s="412"/>
      <c r="I793" s="412"/>
      <c r="J793" s="412"/>
      <c r="K793" s="413"/>
      <c r="L793" s="413"/>
      <c r="M793" s="413"/>
      <c r="N793" s="414"/>
      <c r="O793" s="412"/>
      <c r="P793" s="412"/>
      <c r="Q793" s="412"/>
      <c r="R793" s="412"/>
      <c r="S793" s="412"/>
      <c r="T793" s="412"/>
      <c r="U793" s="292"/>
      <c r="V793" s="292"/>
      <c r="W793" s="292"/>
      <c r="X793" s="415"/>
      <c r="Y793" s="416"/>
      <c r="Z793" s="417"/>
      <c r="AA793" s="304"/>
      <c r="AB793" s="304"/>
      <c r="AC793" s="304"/>
      <c r="AD793" s="304"/>
      <c r="AE793" s="304"/>
      <c r="AF793" s="304"/>
      <c r="AG793" s="304"/>
      <c r="AH793" s="304"/>
    </row>
    <row r="794">
      <c r="A794" s="292"/>
      <c r="B794" s="292"/>
      <c r="C794" s="292"/>
      <c r="D794" s="412"/>
      <c r="E794" s="412"/>
      <c r="F794" s="412"/>
      <c r="G794" s="412"/>
      <c r="H794" s="412"/>
      <c r="I794" s="412"/>
      <c r="J794" s="412"/>
      <c r="K794" s="413"/>
      <c r="L794" s="413"/>
      <c r="M794" s="413"/>
      <c r="N794" s="414"/>
      <c r="O794" s="412"/>
      <c r="P794" s="412"/>
      <c r="Q794" s="412"/>
      <c r="R794" s="412"/>
      <c r="S794" s="412"/>
      <c r="T794" s="412"/>
      <c r="U794" s="292"/>
      <c r="V794" s="292"/>
      <c r="W794" s="292"/>
      <c r="X794" s="415"/>
      <c r="Y794" s="416"/>
      <c r="Z794" s="417"/>
      <c r="AA794" s="304"/>
      <c r="AB794" s="304"/>
      <c r="AC794" s="304"/>
      <c r="AD794" s="304"/>
      <c r="AE794" s="304"/>
      <c r="AF794" s="304"/>
      <c r="AG794" s="304"/>
      <c r="AH794" s="304"/>
    </row>
    <row r="795">
      <c r="A795" s="292"/>
      <c r="B795" s="292"/>
      <c r="C795" s="292"/>
      <c r="D795" s="412"/>
      <c r="E795" s="412"/>
      <c r="F795" s="412"/>
      <c r="G795" s="412"/>
      <c r="H795" s="412"/>
      <c r="I795" s="412"/>
      <c r="J795" s="412"/>
      <c r="K795" s="413"/>
      <c r="L795" s="413"/>
      <c r="M795" s="413"/>
      <c r="N795" s="414"/>
      <c r="O795" s="412"/>
      <c r="P795" s="412"/>
      <c r="Q795" s="412"/>
      <c r="R795" s="412"/>
      <c r="S795" s="412"/>
      <c r="T795" s="412"/>
      <c r="U795" s="292"/>
      <c r="V795" s="292"/>
      <c r="W795" s="292"/>
      <c r="X795" s="415"/>
      <c r="Y795" s="416"/>
      <c r="Z795" s="417"/>
      <c r="AA795" s="304"/>
      <c r="AB795" s="304"/>
      <c r="AC795" s="304"/>
      <c r="AD795" s="304"/>
      <c r="AE795" s="304"/>
      <c r="AF795" s="304"/>
      <c r="AG795" s="304"/>
      <c r="AH795" s="304"/>
    </row>
    <row r="796">
      <c r="A796" s="292"/>
      <c r="B796" s="292"/>
      <c r="C796" s="292"/>
      <c r="D796" s="412"/>
      <c r="E796" s="412"/>
      <c r="F796" s="412"/>
      <c r="G796" s="412"/>
      <c r="H796" s="412"/>
      <c r="I796" s="412"/>
      <c r="J796" s="412"/>
      <c r="K796" s="413"/>
      <c r="L796" s="413"/>
      <c r="M796" s="413"/>
      <c r="N796" s="414"/>
      <c r="O796" s="412"/>
      <c r="P796" s="412"/>
      <c r="Q796" s="412"/>
      <c r="R796" s="412"/>
      <c r="S796" s="412"/>
      <c r="T796" s="412"/>
      <c r="U796" s="292"/>
      <c r="V796" s="292"/>
      <c r="W796" s="292"/>
      <c r="X796" s="415"/>
      <c r="Y796" s="416"/>
      <c r="Z796" s="417"/>
      <c r="AA796" s="304"/>
      <c r="AB796" s="304"/>
      <c r="AC796" s="304"/>
      <c r="AD796" s="304"/>
      <c r="AE796" s="304"/>
      <c r="AF796" s="304"/>
      <c r="AG796" s="304"/>
      <c r="AH796" s="304"/>
    </row>
    <row r="797">
      <c r="A797" s="292"/>
      <c r="B797" s="292"/>
      <c r="C797" s="292"/>
      <c r="D797" s="412"/>
      <c r="E797" s="412"/>
      <c r="F797" s="412"/>
      <c r="G797" s="412"/>
      <c r="H797" s="412"/>
      <c r="I797" s="412"/>
      <c r="J797" s="412"/>
      <c r="K797" s="413"/>
      <c r="L797" s="413"/>
      <c r="M797" s="413"/>
      <c r="N797" s="414"/>
      <c r="O797" s="412"/>
      <c r="P797" s="412"/>
      <c r="Q797" s="412"/>
      <c r="R797" s="412"/>
      <c r="S797" s="412"/>
      <c r="T797" s="412"/>
      <c r="U797" s="292"/>
      <c r="V797" s="292"/>
      <c r="W797" s="292"/>
      <c r="X797" s="415"/>
      <c r="Y797" s="416"/>
      <c r="Z797" s="417"/>
      <c r="AA797" s="304"/>
      <c r="AB797" s="304"/>
      <c r="AC797" s="304"/>
      <c r="AD797" s="304"/>
      <c r="AE797" s="304"/>
      <c r="AF797" s="304"/>
      <c r="AG797" s="304"/>
      <c r="AH797" s="304"/>
    </row>
    <row r="798">
      <c r="A798" s="292"/>
      <c r="B798" s="292"/>
      <c r="C798" s="292"/>
      <c r="D798" s="412"/>
      <c r="E798" s="412"/>
      <c r="F798" s="412"/>
      <c r="G798" s="412"/>
      <c r="H798" s="412"/>
      <c r="I798" s="412"/>
      <c r="J798" s="412"/>
      <c r="K798" s="413"/>
      <c r="L798" s="413"/>
      <c r="M798" s="413"/>
      <c r="N798" s="414"/>
      <c r="O798" s="412"/>
      <c r="P798" s="412"/>
      <c r="Q798" s="412"/>
      <c r="R798" s="412"/>
      <c r="S798" s="412"/>
      <c r="T798" s="412"/>
      <c r="U798" s="292"/>
      <c r="V798" s="292"/>
      <c r="W798" s="292"/>
      <c r="X798" s="415"/>
      <c r="Y798" s="416"/>
      <c r="Z798" s="417"/>
      <c r="AA798" s="304"/>
      <c r="AB798" s="304"/>
      <c r="AC798" s="304"/>
      <c r="AD798" s="304"/>
      <c r="AE798" s="304"/>
      <c r="AF798" s="304"/>
      <c r="AG798" s="304"/>
      <c r="AH798" s="304"/>
    </row>
    <row r="799">
      <c r="A799" s="292"/>
      <c r="B799" s="292"/>
      <c r="C799" s="292"/>
      <c r="D799" s="412"/>
      <c r="E799" s="412"/>
      <c r="F799" s="412"/>
      <c r="G799" s="412"/>
      <c r="H799" s="412"/>
      <c r="I799" s="412"/>
      <c r="J799" s="412"/>
      <c r="K799" s="413"/>
      <c r="L799" s="413"/>
      <c r="M799" s="413"/>
      <c r="N799" s="414"/>
      <c r="O799" s="412"/>
      <c r="P799" s="412"/>
      <c r="Q799" s="412"/>
      <c r="R799" s="412"/>
      <c r="S799" s="412"/>
      <c r="T799" s="412"/>
      <c r="U799" s="292"/>
      <c r="V799" s="292"/>
      <c r="W799" s="292"/>
      <c r="X799" s="415"/>
      <c r="Y799" s="416"/>
      <c r="Z799" s="417"/>
      <c r="AA799" s="304"/>
      <c r="AB799" s="304"/>
      <c r="AC799" s="304"/>
      <c r="AD799" s="304"/>
      <c r="AE799" s="304"/>
      <c r="AF799" s="304"/>
      <c r="AG799" s="304"/>
      <c r="AH799" s="304"/>
    </row>
    <row r="800">
      <c r="A800" s="292"/>
      <c r="B800" s="292"/>
      <c r="C800" s="292"/>
      <c r="D800" s="412"/>
      <c r="E800" s="412"/>
      <c r="F800" s="412"/>
      <c r="G800" s="412"/>
      <c r="H800" s="412"/>
      <c r="I800" s="412"/>
      <c r="J800" s="412"/>
      <c r="K800" s="413"/>
      <c r="L800" s="413"/>
      <c r="M800" s="413"/>
      <c r="N800" s="414"/>
      <c r="O800" s="412"/>
      <c r="P800" s="412"/>
      <c r="Q800" s="412"/>
      <c r="R800" s="412"/>
      <c r="S800" s="412"/>
      <c r="T800" s="412"/>
      <c r="U800" s="292"/>
      <c r="V800" s="292"/>
      <c r="W800" s="292"/>
      <c r="X800" s="415"/>
      <c r="Y800" s="416"/>
      <c r="Z800" s="417"/>
      <c r="AA800" s="304"/>
      <c r="AB800" s="304"/>
      <c r="AC800" s="304"/>
      <c r="AD800" s="304"/>
      <c r="AE800" s="304"/>
      <c r="AF800" s="304"/>
      <c r="AG800" s="304"/>
      <c r="AH800" s="304"/>
    </row>
    <row r="801">
      <c r="A801" s="292"/>
      <c r="B801" s="292"/>
      <c r="C801" s="292"/>
      <c r="D801" s="412"/>
      <c r="E801" s="412"/>
      <c r="F801" s="412"/>
      <c r="G801" s="412"/>
      <c r="H801" s="412"/>
      <c r="I801" s="412"/>
      <c r="J801" s="412"/>
      <c r="K801" s="413"/>
      <c r="L801" s="413"/>
      <c r="M801" s="413"/>
      <c r="N801" s="414"/>
      <c r="O801" s="412"/>
      <c r="P801" s="412"/>
      <c r="Q801" s="412"/>
      <c r="R801" s="412"/>
      <c r="S801" s="412"/>
      <c r="T801" s="412"/>
      <c r="U801" s="292"/>
      <c r="V801" s="292"/>
      <c r="W801" s="292"/>
      <c r="X801" s="415"/>
      <c r="Y801" s="416"/>
      <c r="Z801" s="417"/>
      <c r="AA801" s="304"/>
      <c r="AB801" s="304"/>
      <c r="AC801" s="304"/>
      <c r="AD801" s="304"/>
      <c r="AE801" s="304"/>
      <c r="AF801" s="304"/>
      <c r="AG801" s="304"/>
      <c r="AH801" s="304"/>
    </row>
    <row r="802">
      <c r="A802" s="292"/>
      <c r="B802" s="292"/>
      <c r="C802" s="292"/>
      <c r="D802" s="412"/>
      <c r="E802" s="412"/>
      <c r="F802" s="412"/>
      <c r="G802" s="412"/>
      <c r="H802" s="412"/>
      <c r="I802" s="412"/>
      <c r="J802" s="412"/>
      <c r="K802" s="413"/>
      <c r="L802" s="413"/>
      <c r="M802" s="413"/>
      <c r="N802" s="414"/>
      <c r="O802" s="412"/>
      <c r="P802" s="412"/>
      <c r="Q802" s="412"/>
      <c r="R802" s="412"/>
      <c r="S802" s="412"/>
      <c r="T802" s="412"/>
      <c r="U802" s="292"/>
      <c r="V802" s="292"/>
      <c r="W802" s="292"/>
      <c r="X802" s="415"/>
      <c r="Y802" s="416"/>
      <c r="Z802" s="417"/>
      <c r="AA802" s="304"/>
      <c r="AB802" s="304"/>
      <c r="AC802" s="304"/>
      <c r="AD802" s="304"/>
      <c r="AE802" s="304"/>
      <c r="AF802" s="304"/>
      <c r="AG802" s="304"/>
      <c r="AH802" s="304"/>
    </row>
    <row r="803">
      <c r="A803" s="292"/>
      <c r="B803" s="292"/>
      <c r="C803" s="292"/>
      <c r="D803" s="412"/>
      <c r="E803" s="412"/>
      <c r="F803" s="412"/>
      <c r="G803" s="412"/>
      <c r="H803" s="412"/>
      <c r="I803" s="412"/>
      <c r="J803" s="412"/>
      <c r="K803" s="413"/>
      <c r="L803" s="413"/>
      <c r="M803" s="413"/>
      <c r="N803" s="414"/>
      <c r="O803" s="412"/>
      <c r="P803" s="412"/>
      <c r="Q803" s="412"/>
      <c r="R803" s="412"/>
      <c r="S803" s="412"/>
      <c r="T803" s="412"/>
      <c r="U803" s="292"/>
      <c r="V803" s="292"/>
      <c r="W803" s="292"/>
      <c r="X803" s="415"/>
      <c r="Y803" s="416"/>
      <c r="Z803" s="417"/>
      <c r="AA803" s="304"/>
      <c r="AB803" s="304"/>
      <c r="AC803" s="304"/>
      <c r="AD803" s="304"/>
      <c r="AE803" s="304"/>
      <c r="AF803" s="304"/>
      <c r="AG803" s="304"/>
      <c r="AH803" s="304"/>
    </row>
    <row r="804">
      <c r="A804" s="292"/>
      <c r="B804" s="292"/>
      <c r="C804" s="292"/>
      <c r="D804" s="412"/>
      <c r="E804" s="412"/>
      <c r="F804" s="412"/>
      <c r="G804" s="412"/>
      <c r="H804" s="412"/>
      <c r="I804" s="412"/>
      <c r="J804" s="412"/>
      <c r="K804" s="413"/>
      <c r="L804" s="413"/>
      <c r="M804" s="413"/>
      <c r="N804" s="414"/>
      <c r="O804" s="412"/>
      <c r="P804" s="412"/>
      <c r="Q804" s="412"/>
      <c r="R804" s="412"/>
      <c r="S804" s="412"/>
      <c r="T804" s="412"/>
      <c r="U804" s="292"/>
      <c r="V804" s="292"/>
      <c r="W804" s="292"/>
      <c r="X804" s="415"/>
      <c r="Y804" s="416"/>
      <c r="Z804" s="417"/>
      <c r="AA804" s="304"/>
      <c r="AB804" s="304"/>
      <c r="AC804" s="304"/>
      <c r="AD804" s="304"/>
      <c r="AE804" s="304"/>
      <c r="AF804" s="304"/>
      <c r="AG804" s="304"/>
      <c r="AH804" s="304"/>
    </row>
    <row r="805">
      <c r="A805" s="292"/>
      <c r="B805" s="292"/>
      <c r="C805" s="292"/>
      <c r="D805" s="412"/>
      <c r="E805" s="412"/>
      <c r="F805" s="412"/>
      <c r="G805" s="412"/>
      <c r="H805" s="412"/>
      <c r="I805" s="412"/>
      <c r="J805" s="412"/>
      <c r="K805" s="413"/>
      <c r="L805" s="413"/>
      <c r="M805" s="413"/>
      <c r="N805" s="414"/>
      <c r="O805" s="412"/>
      <c r="P805" s="412"/>
      <c r="Q805" s="412"/>
      <c r="R805" s="412"/>
      <c r="S805" s="412"/>
      <c r="T805" s="412"/>
      <c r="U805" s="292"/>
      <c r="V805" s="292"/>
      <c r="W805" s="292"/>
      <c r="X805" s="415"/>
      <c r="Y805" s="416"/>
      <c r="Z805" s="417"/>
      <c r="AA805" s="304"/>
      <c r="AB805" s="304"/>
      <c r="AC805" s="304"/>
      <c r="AD805" s="304"/>
      <c r="AE805" s="304"/>
      <c r="AF805" s="304"/>
      <c r="AG805" s="304"/>
      <c r="AH805" s="304"/>
    </row>
    <row r="806">
      <c r="A806" s="292"/>
      <c r="B806" s="292"/>
      <c r="C806" s="292"/>
      <c r="D806" s="412"/>
      <c r="E806" s="412"/>
      <c r="F806" s="412"/>
      <c r="G806" s="412"/>
      <c r="H806" s="412"/>
      <c r="I806" s="412"/>
      <c r="J806" s="412"/>
      <c r="K806" s="413"/>
      <c r="L806" s="413"/>
      <c r="M806" s="413"/>
      <c r="N806" s="414"/>
      <c r="O806" s="412"/>
      <c r="P806" s="412"/>
      <c r="Q806" s="412"/>
      <c r="R806" s="412"/>
      <c r="S806" s="412"/>
      <c r="T806" s="412"/>
      <c r="U806" s="292"/>
      <c r="V806" s="292"/>
      <c r="W806" s="292"/>
      <c r="X806" s="415"/>
      <c r="Y806" s="416"/>
      <c r="Z806" s="417"/>
      <c r="AA806" s="304"/>
      <c r="AB806" s="304"/>
      <c r="AC806" s="304"/>
      <c r="AD806" s="304"/>
      <c r="AE806" s="304"/>
      <c r="AF806" s="304"/>
      <c r="AG806" s="304"/>
      <c r="AH806" s="304"/>
    </row>
    <row r="807">
      <c r="A807" s="292"/>
      <c r="B807" s="292"/>
      <c r="C807" s="292"/>
      <c r="D807" s="412"/>
      <c r="E807" s="412"/>
      <c r="F807" s="412"/>
      <c r="G807" s="412"/>
      <c r="H807" s="412"/>
      <c r="I807" s="412"/>
      <c r="J807" s="412"/>
      <c r="K807" s="413"/>
      <c r="L807" s="413"/>
      <c r="M807" s="413"/>
      <c r="N807" s="414"/>
      <c r="O807" s="412"/>
      <c r="P807" s="412"/>
      <c r="Q807" s="412"/>
      <c r="R807" s="412"/>
      <c r="S807" s="412"/>
      <c r="T807" s="412"/>
      <c r="U807" s="292"/>
      <c r="V807" s="292"/>
      <c r="W807" s="292"/>
      <c r="X807" s="415"/>
      <c r="Y807" s="416"/>
      <c r="Z807" s="417"/>
      <c r="AA807" s="304"/>
      <c r="AB807" s="304"/>
      <c r="AC807" s="304"/>
      <c r="AD807" s="304"/>
      <c r="AE807" s="304"/>
      <c r="AF807" s="304"/>
      <c r="AG807" s="304"/>
      <c r="AH807" s="304"/>
    </row>
    <row r="808">
      <c r="A808" s="292"/>
      <c r="B808" s="292"/>
      <c r="C808" s="292"/>
      <c r="D808" s="412"/>
      <c r="E808" s="412"/>
      <c r="F808" s="412"/>
      <c r="G808" s="412"/>
      <c r="H808" s="412"/>
      <c r="I808" s="412"/>
      <c r="J808" s="412"/>
      <c r="K808" s="413"/>
      <c r="L808" s="413"/>
      <c r="M808" s="413"/>
      <c r="N808" s="414"/>
      <c r="O808" s="412"/>
      <c r="P808" s="412"/>
      <c r="Q808" s="412"/>
      <c r="R808" s="412"/>
      <c r="S808" s="412"/>
      <c r="T808" s="412"/>
      <c r="U808" s="292"/>
      <c r="V808" s="292"/>
      <c r="W808" s="292"/>
      <c r="X808" s="415"/>
      <c r="Y808" s="416"/>
      <c r="Z808" s="417"/>
      <c r="AA808" s="304"/>
      <c r="AB808" s="304"/>
      <c r="AC808" s="304"/>
      <c r="AD808" s="304"/>
      <c r="AE808" s="304"/>
      <c r="AF808" s="304"/>
      <c r="AG808" s="304"/>
      <c r="AH808" s="304"/>
    </row>
    <row r="809">
      <c r="A809" s="292"/>
      <c r="B809" s="292"/>
      <c r="C809" s="292"/>
      <c r="D809" s="412"/>
      <c r="E809" s="412"/>
      <c r="F809" s="412"/>
      <c r="G809" s="412"/>
      <c r="H809" s="412"/>
      <c r="I809" s="412"/>
      <c r="J809" s="412"/>
      <c r="K809" s="413"/>
      <c r="L809" s="413"/>
      <c r="M809" s="413"/>
      <c r="N809" s="414"/>
      <c r="O809" s="412"/>
      <c r="P809" s="412"/>
      <c r="Q809" s="412"/>
      <c r="R809" s="412"/>
      <c r="S809" s="412"/>
      <c r="T809" s="412"/>
      <c r="U809" s="292"/>
      <c r="V809" s="292"/>
      <c r="W809" s="292"/>
      <c r="X809" s="415"/>
      <c r="Y809" s="416"/>
      <c r="Z809" s="417"/>
      <c r="AA809" s="304"/>
      <c r="AB809" s="304"/>
      <c r="AC809" s="304"/>
      <c r="AD809" s="304"/>
      <c r="AE809" s="304"/>
      <c r="AF809" s="304"/>
      <c r="AG809" s="304"/>
      <c r="AH809" s="304"/>
    </row>
    <row r="810">
      <c r="A810" s="292"/>
      <c r="B810" s="292"/>
      <c r="C810" s="292"/>
      <c r="D810" s="412"/>
      <c r="E810" s="412"/>
      <c r="F810" s="412"/>
      <c r="G810" s="412"/>
      <c r="H810" s="412"/>
      <c r="I810" s="412"/>
      <c r="J810" s="412"/>
      <c r="K810" s="413"/>
      <c r="L810" s="413"/>
      <c r="M810" s="413"/>
      <c r="N810" s="414"/>
      <c r="O810" s="412"/>
      <c r="P810" s="412"/>
      <c r="Q810" s="412"/>
      <c r="R810" s="412"/>
      <c r="S810" s="412"/>
      <c r="T810" s="412"/>
      <c r="U810" s="292"/>
      <c r="V810" s="292"/>
      <c r="W810" s="292"/>
      <c r="X810" s="415"/>
      <c r="Y810" s="416"/>
      <c r="Z810" s="417"/>
      <c r="AA810" s="304"/>
      <c r="AB810" s="304"/>
      <c r="AC810" s="304"/>
      <c r="AD810" s="304"/>
      <c r="AE810" s="304"/>
      <c r="AF810" s="304"/>
      <c r="AG810" s="304"/>
      <c r="AH810" s="304"/>
    </row>
    <row r="811">
      <c r="A811" s="292"/>
      <c r="B811" s="292"/>
      <c r="C811" s="292"/>
      <c r="D811" s="412"/>
      <c r="E811" s="412"/>
      <c r="F811" s="412"/>
      <c r="G811" s="412"/>
      <c r="H811" s="412"/>
      <c r="I811" s="412"/>
      <c r="J811" s="412"/>
      <c r="K811" s="413"/>
      <c r="L811" s="413"/>
      <c r="M811" s="413"/>
      <c r="N811" s="414"/>
      <c r="O811" s="412"/>
      <c r="P811" s="412"/>
      <c r="Q811" s="412"/>
      <c r="R811" s="412"/>
      <c r="S811" s="412"/>
      <c r="T811" s="412"/>
      <c r="U811" s="292"/>
      <c r="V811" s="292"/>
      <c r="W811" s="292"/>
      <c r="X811" s="415"/>
      <c r="Y811" s="416"/>
      <c r="Z811" s="417"/>
      <c r="AA811" s="304"/>
      <c r="AB811" s="304"/>
      <c r="AC811" s="304"/>
      <c r="AD811" s="304"/>
      <c r="AE811" s="304"/>
      <c r="AF811" s="304"/>
      <c r="AG811" s="304"/>
      <c r="AH811" s="304"/>
    </row>
    <row r="812">
      <c r="A812" s="292"/>
      <c r="B812" s="292"/>
      <c r="C812" s="292"/>
      <c r="D812" s="412"/>
      <c r="E812" s="412"/>
      <c r="F812" s="412"/>
      <c r="G812" s="412"/>
      <c r="H812" s="412"/>
      <c r="I812" s="412"/>
      <c r="J812" s="412"/>
      <c r="K812" s="413"/>
      <c r="L812" s="413"/>
      <c r="M812" s="413"/>
      <c r="N812" s="414"/>
      <c r="O812" s="412"/>
      <c r="P812" s="412"/>
      <c r="Q812" s="412"/>
      <c r="R812" s="412"/>
      <c r="S812" s="412"/>
      <c r="T812" s="412"/>
      <c r="U812" s="292"/>
      <c r="V812" s="292"/>
      <c r="W812" s="292"/>
      <c r="X812" s="415"/>
      <c r="Y812" s="416"/>
      <c r="Z812" s="417"/>
      <c r="AA812" s="304"/>
      <c r="AB812" s="304"/>
      <c r="AC812" s="304"/>
      <c r="AD812" s="304"/>
      <c r="AE812" s="304"/>
      <c r="AF812" s="304"/>
      <c r="AG812" s="304"/>
      <c r="AH812" s="304"/>
    </row>
    <row r="813">
      <c r="A813" s="292"/>
      <c r="B813" s="292"/>
      <c r="C813" s="292"/>
      <c r="D813" s="412"/>
      <c r="E813" s="412"/>
      <c r="F813" s="412"/>
      <c r="G813" s="412"/>
      <c r="H813" s="412"/>
      <c r="I813" s="412"/>
      <c r="J813" s="412"/>
      <c r="K813" s="413"/>
      <c r="L813" s="413"/>
      <c r="M813" s="413"/>
      <c r="N813" s="414"/>
      <c r="O813" s="412"/>
      <c r="P813" s="412"/>
      <c r="Q813" s="412"/>
      <c r="R813" s="412"/>
      <c r="S813" s="412"/>
      <c r="T813" s="412"/>
      <c r="U813" s="292"/>
      <c r="V813" s="292"/>
      <c r="W813" s="292"/>
      <c r="X813" s="415"/>
      <c r="Y813" s="416"/>
      <c r="Z813" s="417"/>
      <c r="AA813" s="304"/>
      <c r="AB813" s="304"/>
      <c r="AC813" s="304"/>
      <c r="AD813" s="304"/>
      <c r="AE813" s="304"/>
      <c r="AF813" s="304"/>
      <c r="AG813" s="304"/>
      <c r="AH813" s="304"/>
    </row>
    <row r="814">
      <c r="A814" s="292"/>
      <c r="B814" s="292"/>
      <c r="C814" s="292"/>
      <c r="D814" s="412"/>
      <c r="E814" s="412"/>
      <c r="F814" s="412"/>
      <c r="G814" s="412"/>
      <c r="H814" s="412"/>
      <c r="I814" s="412"/>
      <c r="J814" s="412"/>
      <c r="K814" s="413"/>
      <c r="L814" s="413"/>
      <c r="M814" s="413"/>
      <c r="N814" s="414"/>
      <c r="O814" s="412"/>
      <c r="P814" s="412"/>
      <c r="Q814" s="412"/>
      <c r="R814" s="412"/>
      <c r="S814" s="412"/>
      <c r="T814" s="412"/>
      <c r="U814" s="292"/>
      <c r="V814" s="292"/>
      <c r="W814" s="292"/>
      <c r="X814" s="415"/>
      <c r="Y814" s="416"/>
      <c r="Z814" s="417"/>
      <c r="AA814" s="304"/>
      <c r="AB814" s="304"/>
      <c r="AC814" s="304"/>
      <c r="AD814" s="304"/>
      <c r="AE814" s="304"/>
      <c r="AF814" s="304"/>
      <c r="AG814" s="304"/>
      <c r="AH814" s="304"/>
    </row>
    <row r="815">
      <c r="A815" s="292"/>
      <c r="B815" s="292"/>
      <c r="C815" s="292"/>
      <c r="D815" s="412"/>
      <c r="E815" s="412"/>
      <c r="F815" s="412"/>
      <c r="G815" s="412"/>
      <c r="H815" s="412"/>
      <c r="I815" s="412"/>
      <c r="J815" s="412"/>
      <c r="K815" s="413"/>
      <c r="L815" s="413"/>
      <c r="M815" s="413"/>
      <c r="N815" s="414"/>
      <c r="O815" s="412"/>
      <c r="P815" s="412"/>
      <c r="Q815" s="412"/>
      <c r="R815" s="412"/>
      <c r="S815" s="412"/>
      <c r="T815" s="412"/>
      <c r="U815" s="292"/>
      <c r="V815" s="292"/>
      <c r="W815" s="292"/>
      <c r="X815" s="415"/>
      <c r="Y815" s="416"/>
      <c r="Z815" s="417"/>
      <c r="AA815" s="304"/>
      <c r="AB815" s="304"/>
      <c r="AC815" s="304"/>
      <c r="AD815" s="304"/>
      <c r="AE815" s="304"/>
      <c r="AF815" s="304"/>
      <c r="AG815" s="304"/>
      <c r="AH815" s="304"/>
    </row>
    <row r="816">
      <c r="A816" s="292"/>
      <c r="B816" s="292"/>
      <c r="C816" s="292"/>
      <c r="D816" s="412"/>
      <c r="E816" s="412"/>
      <c r="F816" s="412"/>
      <c r="G816" s="412"/>
      <c r="H816" s="412"/>
      <c r="I816" s="412"/>
      <c r="J816" s="412"/>
      <c r="K816" s="413"/>
      <c r="L816" s="413"/>
      <c r="M816" s="413"/>
      <c r="N816" s="414"/>
      <c r="O816" s="412"/>
      <c r="P816" s="412"/>
      <c r="Q816" s="412"/>
      <c r="R816" s="412"/>
      <c r="S816" s="412"/>
      <c r="T816" s="412"/>
      <c r="U816" s="292"/>
      <c r="V816" s="292"/>
      <c r="W816" s="292"/>
      <c r="X816" s="415"/>
      <c r="Y816" s="416"/>
      <c r="Z816" s="417"/>
      <c r="AA816" s="304"/>
      <c r="AB816" s="304"/>
      <c r="AC816" s="304"/>
      <c r="AD816" s="304"/>
      <c r="AE816" s="304"/>
      <c r="AF816" s="304"/>
      <c r="AG816" s="304"/>
      <c r="AH816" s="304"/>
    </row>
    <row r="817">
      <c r="A817" s="292"/>
      <c r="B817" s="292"/>
      <c r="C817" s="292"/>
      <c r="D817" s="412"/>
      <c r="E817" s="412"/>
      <c r="F817" s="412"/>
      <c r="G817" s="412"/>
      <c r="H817" s="412"/>
      <c r="I817" s="412"/>
      <c r="J817" s="412"/>
      <c r="K817" s="413"/>
      <c r="L817" s="413"/>
      <c r="M817" s="413"/>
      <c r="N817" s="414"/>
      <c r="O817" s="412"/>
      <c r="P817" s="412"/>
      <c r="Q817" s="412"/>
      <c r="R817" s="412"/>
      <c r="S817" s="412"/>
      <c r="T817" s="412"/>
      <c r="U817" s="292"/>
      <c r="V817" s="292"/>
      <c r="W817" s="292"/>
      <c r="X817" s="415"/>
      <c r="Y817" s="416"/>
      <c r="Z817" s="417"/>
      <c r="AA817" s="304"/>
      <c r="AB817" s="304"/>
      <c r="AC817" s="304"/>
      <c r="AD817" s="304"/>
      <c r="AE817" s="304"/>
      <c r="AF817" s="304"/>
      <c r="AG817" s="304"/>
      <c r="AH817" s="304"/>
    </row>
    <row r="818">
      <c r="A818" s="292"/>
      <c r="B818" s="292"/>
      <c r="C818" s="292"/>
      <c r="D818" s="412"/>
      <c r="E818" s="412"/>
      <c r="F818" s="412"/>
      <c r="G818" s="412"/>
      <c r="H818" s="412"/>
      <c r="I818" s="412"/>
      <c r="J818" s="412"/>
      <c r="K818" s="413"/>
      <c r="L818" s="413"/>
      <c r="M818" s="413"/>
      <c r="N818" s="414"/>
      <c r="O818" s="412"/>
      <c r="P818" s="412"/>
      <c r="Q818" s="412"/>
      <c r="R818" s="412"/>
      <c r="S818" s="412"/>
      <c r="T818" s="412"/>
      <c r="U818" s="292"/>
      <c r="V818" s="292"/>
      <c r="W818" s="292"/>
      <c r="X818" s="415"/>
      <c r="Y818" s="416"/>
      <c r="Z818" s="417"/>
      <c r="AA818" s="304"/>
      <c r="AB818" s="304"/>
      <c r="AC818" s="304"/>
      <c r="AD818" s="304"/>
      <c r="AE818" s="304"/>
      <c r="AF818" s="304"/>
      <c r="AG818" s="304"/>
      <c r="AH818" s="304"/>
    </row>
    <row r="819">
      <c r="A819" s="292"/>
      <c r="B819" s="292"/>
      <c r="C819" s="292"/>
      <c r="D819" s="412"/>
      <c r="E819" s="412"/>
      <c r="F819" s="412"/>
      <c r="G819" s="412"/>
      <c r="H819" s="412"/>
      <c r="I819" s="412"/>
      <c r="J819" s="412"/>
      <c r="K819" s="413"/>
      <c r="L819" s="413"/>
      <c r="M819" s="413"/>
      <c r="N819" s="414"/>
      <c r="O819" s="412"/>
      <c r="P819" s="412"/>
      <c r="Q819" s="412"/>
      <c r="R819" s="412"/>
      <c r="S819" s="412"/>
      <c r="T819" s="412"/>
      <c r="U819" s="292"/>
      <c r="V819" s="292"/>
      <c r="W819" s="292"/>
      <c r="X819" s="415"/>
      <c r="Y819" s="416"/>
      <c r="Z819" s="417"/>
      <c r="AA819" s="304"/>
      <c r="AB819" s="304"/>
      <c r="AC819" s="304"/>
      <c r="AD819" s="304"/>
      <c r="AE819" s="304"/>
      <c r="AF819" s="304"/>
      <c r="AG819" s="304"/>
      <c r="AH819" s="304"/>
    </row>
    <row r="820">
      <c r="A820" s="292"/>
      <c r="B820" s="292"/>
      <c r="C820" s="292"/>
      <c r="D820" s="412"/>
      <c r="E820" s="412"/>
      <c r="F820" s="412"/>
      <c r="G820" s="412"/>
      <c r="H820" s="412"/>
      <c r="I820" s="412"/>
      <c r="J820" s="412"/>
      <c r="K820" s="413"/>
      <c r="L820" s="413"/>
      <c r="M820" s="413"/>
      <c r="N820" s="414"/>
      <c r="O820" s="412"/>
      <c r="P820" s="412"/>
      <c r="Q820" s="412"/>
      <c r="R820" s="412"/>
      <c r="S820" s="412"/>
      <c r="T820" s="412"/>
      <c r="U820" s="292"/>
      <c r="V820" s="292"/>
      <c r="W820" s="292"/>
      <c r="X820" s="415"/>
      <c r="Y820" s="416"/>
      <c r="Z820" s="417"/>
      <c r="AA820" s="304"/>
      <c r="AB820" s="304"/>
      <c r="AC820" s="304"/>
      <c r="AD820" s="304"/>
      <c r="AE820" s="304"/>
      <c r="AF820" s="304"/>
      <c r="AG820" s="304"/>
      <c r="AH820" s="304"/>
    </row>
    <row r="821">
      <c r="A821" s="292"/>
      <c r="B821" s="292"/>
      <c r="C821" s="292"/>
      <c r="D821" s="412"/>
      <c r="E821" s="412"/>
      <c r="F821" s="412"/>
      <c r="G821" s="412"/>
      <c r="H821" s="412"/>
      <c r="I821" s="412"/>
      <c r="J821" s="412"/>
      <c r="K821" s="413"/>
      <c r="L821" s="413"/>
      <c r="M821" s="413"/>
      <c r="N821" s="414"/>
      <c r="O821" s="412"/>
      <c r="P821" s="412"/>
      <c r="Q821" s="412"/>
      <c r="R821" s="412"/>
      <c r="S821" s="412"/>
      <c r="T821" s="412"/>
      <c r="U821" s="292"/>
      <c r="V821" s="292"/>
      <c r="W821" s="292"/>
      <c r="X821" s="415"/>
      <c r="Y821" s="416"/>
      <c r="Z821" s="417"/>
      <c r="AA821" s="304"/>
      <c r="AB821" s="304"/>
      <c r="AC821" s="304"/>
      <c r="AD821" s="304"/>
      <c r="AE821" s="304"/>
      <c r="AF821" s="304"/>
      <c r="AG821" s="304"/>
      <c r="AH821" s="304"/>
    </row>
    <row r="822">
      <c r="A822" s="292"/>
      <c r="B822" s="292"/>
      <c r="C822" s="292"/>
      <c r="D822" s="412"/>
      <c r="E822" s="412"/>
      <c r="F822" s="412"/>
      <c r="G822" s="412"/>
      <c r="H822" s="412"/>
      <c r="I822" s="412"/>
      <c r="J822" s="412"/>
      <c r="K822" s="413"/>
      <c r="L822" s="413"/>
      <c r="M822" s="413"/>
      <c r="N822" s="414"/>
      <c r="O822" s="412"/>
      <c r="P822" s="412"/>
      <c r="Q822" s="412"/>
      <c r="R822" s="412"/>
      <c r="S822" s="412"/>
      <c r="T822" s="412"/>
      <c r="U822" s="292"/>
      <c r="V822" s="292"/>
      <c r="W822" s="292"/>
      <c r="X822" s="415"/>
      <c r="Y822" s="416"/>
      <c r="Z822" s="417"/>
      <c r="AA822" s="304"/>
      <c r="AB822" s="304"/>
      <c r="AC822" s="304"/>
      <c r="AD822" s="304"/>
      <c r="AE822" s="304"/>
      <c r="AF822" s="304"/>
      <c r="AG822" s="304"/>
      <c r="AH822" s="304"/>
    </row>
    <row r="823">
      <c r="A823" s="292"/>
      <c r="B823" s="292"/>
      <c r="C823" s="292"/>
      <c r="D823" s="412"/>
      <c r="E823" s="412"/>
      <c r="F823" s="412"/>
      <c r="G823" s="412"/>
      <c r="H823" s="412"/>
      <c r="I823" s="412"/>
      <c r="J823" s="412"/>
      <c r="K823" s="413"/>
      <c r="L823" s="413"/>
      <c r="M823" s="413"/>
      <c r="N823" s="414"/>
      <c r="O823" s="412"/>
      <c r="P823" s="412"/>
      <c r="Q823" s="412"/>
      <c r="R823" s="412"/>
      <c r="S823" s="412"/>
      <c r="T823" s="412"/>
      <c r="U823" s="292"/>
      <c r="V823" s="292"/>
      <c r="W823" s="292"/>
      <c r="X823" s="415"/>
      <c r="Y823" s="416"/>
      <c r="Z823" s="417"/>
      <c r="AA823" s="304"/>
      <c r="AB823" s="304"/>
      <c r="AC823" s="304"/>
      <c r="AD823" s="304"/>
      <c r="AE823" s="304"/>
      <c r="AF823" s="304"/>
      <c r="AG823" s="304"/>
      <c r="AH823" s="304"/>
    </row>
    <row r="824">
      <c r="A824" s="292"/>
      <c r="B824" s="292"/>
      <c r="C824" s="292"/>
      <c r="D824" s="412"/>
      <c r="E824" s="412"/>
      <c r="F824" s="412"/>
      <c r="G824" s="412"/>
      <c r="H824" s="412"/>
      <c r="I824" s="412"/>
      <c r="J824" s="412"/>
      <c r="K824" s="413"/>
      <c r="L824" s="413"/>
      <c r="M824" s="413"/>
      <c r="N824" s="414"/>
      <c r="O824" s="412"/>
      <c r="P824" s="412"/>
      <c r="Q824" s="412"/>
      <c r="R824" s="412"/>
      <c r="S824" s="412"/>
      <c r="T824" s="412"/>
      <c r="U824" s="292"/>
      <c r="V824" s="292"/>
      <c r="W824" s="292"/>
      <c r="X824" s="415"/>
      <c r="Y824" s="416"/>
      <c r="Z824" s="417"/>
      <c r="AA824" s="304"/>
      <c r="AB824" s="304"/>
      <c r="AC824" s="304"/>
      <c r="AD824" s="304"/>
      <c r="AE824" s="304"/>
      <c r="AF824" s="304"/>
      <c r="AG824" s="304"/>
      <c r="AH824" s="304"/>
    </row>
    <row r="825">
      <c r="A825" s="292"/>
      <c r="B825" s="292"/>
      <c r="C825" s="292"/>
      <c r="D825" s="412"/>
      <c r="E825" s="412"/>
      <c r="F825" s="412"/>
      <c r="G825" s="412"/>
      <c r="H825" s="412"/>
      <c r="I825" s="412"/>
      <c r="J825" s="412"/>
      <c r="K825" s="413"/>
      <c r="L825" s="413"/>
      <c r="M825" s="413"/>
      <c r="N825" s="414"/>
      <c r="O825" s="412"/>
      <c r="P825" s="412"/>
      <c r="Q825" s="412"/>
      <c r="R825" s="412"/>
      <c r="S825" s="412"/>
      <c r="T825" s="412"/>
      <c r="U825" s="292"/>
      <c r="V825" s="292"/>
      <c r="W825" s="292"/>
      <c r="X825" s="415"/>
      <c r="Y825" s="416"/>
      <c r="Z825" s="417"/>
      <c r="AA825" s="304"/>
      <c r="AB825" s="304"/>
      <c r="AC825" s="304"/>
      <c r="AD825" s="304"/>
      <c r="AE825" s="304"/>
      <c r="AF825" s="304"/>
      <c r="AG825" s="304"/>
      <c r="AH825" s="304"/>
    </row>
    <row r="826">
      <c r="A826" s="292"/>
      <c r="B826" s="292"/>
      <c r="C826" s="292"/>
      <c r="D826" s="412"/>
      <c r="E826" s="412"/>
      <c r="F826" s="412"/>
      <c r="G826" s="412"/>
      <c r="H826" s="412"/>
      <c r="I826" s="412"/>
      <c r="J826" s="412"/>
      <c r="K826" s="413"/>
      <c r="L826" s="413"/>
      <c r="M826" s="413"/>
      <c r="N826" s="414"/>
      <c r="O826" s="412"/>
      <c r="P826" s="412"/>
      <c r="Q826" s="412"/>
      <c r="R826" s="412"/>
      <c r="S826" s="412"/>
      <c r="T826" s="412"/>
      <c r="U826" s="292"/>
      <c r="V826" s="292"/>
      <c r="W826" s="292"/>
      <c r="X826" s="415"/>
      <c r="Y826" s="416"/>
      <c r="Z826" s="417"/>
      <c r="AA826" s="304"/>
      <c r="AB826" s="304"/>
      <c r="AC826" s="304"/>
      <c r="AD826" s="304"/>
      <c r="AE826" s="304"/>
      <c r="AF826" s="304"/>
      <c r="AG826" s="304"/>
      <c r="AH826" s="304"/>
    </row>
    <row r="827">
      <c r="A827" s="292"/>
      <c r="B827" s="292"/>
      <c r="C827" s="292"/>
      <c r="D827" s="412"/>
      <c r="E827" s="412"/>
      <c r="F827" s="412"/>
      <c r="G827" s="412"/>
      <c r="H827" s="412"/>
      <c r="I827" s="412"/>
      <c r="J827" s="412"/>
      <c r="K827" s="413"/>
      <c r="L827" s="413"/>
      <c r="M827" s="413"/>
      <c r="N827" s="414"/>
      <c r="O827" s="412"/>
      <c r="P827" s="412"/>
      <c r="Q827" s="412"/>
      <c r="R827" s="412"/>
      <c r="S827" s="412"/>
      <c r="T827" s="412"/>
      <c r="U827" s="292"/>
      <c r="V827" s="292"/>
      <c r="W827" s="292"/>
      <c r="X827" s="415"/>
      <c r="Y827" s="416"/>
      <c r="Z827" s="417"/>
      <c r="AA827" s="304"/>
      <c r="AB827" s="304"/>
      <c r="AC827" s="304"/>
      <c r="AD827" s="304"/>
      <c r="AE827" s="304"/>
      <c r="AF827" s="304"/>
      <c r="AG827" s="304"/>
      <c r="AH827" s="304"/>
    </row>
    <row r="828">
      <c r="A828" s="292"/>
      <c r="B828" s="292"/>
      <c r="C828" s="292"/>
      <c r="D828" s="412"/>
      <c r="E828" s="412"/>
      <c r="F828" s="412"/>
      <c r="G828" s="412"/>
      <c r="H828" s="412"/>
      <c r="I828" s="412"/>
      <c r="J828" s="412"/>
      <c r="K828" s="413"/>
      <c r="L828" s="413"/>
      <c r="M828" s="413"/>
      <c r="N828" s="414"/>
      <c r="O828" s="412"/>
      <c r="P828" s="412"/>
      <c r="Q828" s="412"/>
      <c r="R828" s="412"/>
      <c r="S828" s="412"/>
      <c r="T828" s="412"/>
      <c r="U828" s="292"/>
      <c r="V828" s="292"/>
      <c r="W828" s="292"/>
      <c r="X828" s="415"/>
      <c r="Y828" s="416"/>
      <c r="Z828" s="417"/>
      <c r="AA828" s="304"/>
      <c r="AB828" s="304"/>
      <c r="AC828" s="304"/>
      <c r="AD828" s="304"/>
      <c r="AE828" s="304"/>
      <c r="AF828" s="304"/>
      <c r="AG828" s="304"/>
      <c r="AH828" s="304"/>
    </row>
    <row r="829">
      <c r="A829" s="292"/>
      <c r="B829" s="292"/>
      <c r="C829" s="292"/>
      <c r="D829" s="412"/>
      <c r="E829" s="412"/>
      <c r="F829" s="412"/>
      <c r="G829" s="412"/>
      <c r="H829" s="412"/>
      <c r="I829" s="412"/>
      <c r="J829" s="412"/>
      <c r="K829" s="413"/>
      <c r="L829" s="413"/>
      <c r="M829" s="413"/>
      <c r="N829" s="414"/>
      <c r="O829" s="412"/>
      <c r="P829" s="412"/>
      <c r="Q829" s="412"/>
      <c r="R829" s="412"/>
      <c r="S829" s="412"/>
      <c r="T829" s="412"/>
      <c r="U829" s="292"/>
      <c r="V829" s="292"/>
      <c r="W829" s="292"/>
      <c r="X829" s="415"/>
      <c r="Y829" s="416"/>
      <c r="Z829" s="417"/>
      <c r="AA829" s="304"/>
      <c r="AB829" s="304"/>
      <c r="AC829" s="304"/>
      <c r="AD829" s="304"/>
      <c r="AE829" s="304"/>
      <c r="AF829" s="304"/>
      <c r="AG829" s="304"/>
      <c r="AH829" s="304"/>
    </row>
    <row r="830">
      <c r="A830" s="292"/>
      <c r="B830" s="292"/>
      <c r="C830" s="292"/>
      <c r="D830" s="412"/>
      <c r="E830" s="412"/>
      <c r="F830" s="412"/>
      <c r="G830" s="412"/>
      <c r="H830" s="412"/>
      <c r="I830" s="412"/>
      <c r="J830" s="412"/>
      <c r="K830" s="413"/>
      <c r="L830" s="413"/>
      <c r="M830" s="413"/>
      <c r="N830" s="414"/>
      <c r="O830" s="412"/>
      <c r="P830" s="412"/>
      <c r="Q830" s="412"/>
      <c r="R830" s="412"/>
      <c r="S830" s="412"/>
      <c r="T830" s="412"/>
      <c r="U830" s="292"/>
      <c r="V830" s="292"/>
      <c r="W830" s="292"/>
      <c r="X830" s="415"/>
      <c r="Y830" s="416"/>
      <c r="Z830" s="417"/>
      <c r="AA830" s="304"/>
      <c r="AB830" s="304"/>
      <c r="AC830" s="304"/>
      <c r="AD830" s="304"/>
      <c r="AE830" s="304"/>
      <c r="AF830" s="304"/>
      <c r="AG830" s="304"/>
      <c r="AH830" s="304"/>
    </row>
    <row r="831">
      <c r="A831" s="292"/>
      <c r="B831" s="292"/>
      <c r="C831" s="292"/>
      <c r="D831" s="412"/>
      <c r="E831" s="412"/>
      <c r="F831" s="412"/>
      <c r="G831" s="412"/>
      <c r="H831" s="412"/>
      <c r="I831" s="412"/>
      <c r="J831" s="412"/>
      <c r="K831" s="413"/>
      <c r="L831" s="413"/>
      <c r="M831" s="413"/>
      <c r="N831" s="414"/>
      <c r="O831" s="412"/>
      <c r="P831" s="412"/>
      <c r="Q831" s="412"/>
      <c r="R831" s="412"/>
      <c r="S831" s="412"/>
      <c r="T831" s="412"/>
      <c r="U831" s="292"/>
      <c r="V831" s="292"/>
      <c r="W831" s="292"/>
      <c r="X831" s="415"/>
      <c r="Y831" s="416"/>
      <c r="Z831" s="417"/>
      <c r="AA831" s="304"/>
      <c r="AB831" s="304"/>
      <c r="AC831" s="304"/>
      <c r="AD831" s="304"/>
      <c r="AE831" s="304"/>
      <c r="AF831" s="304"/>
      <c r="AG831" s="304"/>
      <c r="AH831" s="304"/>
    </row>
    <row r="832">
      <c r="A832" s="292"/>
      <c r="B832" s="292"/>
      <c r="C832" s="292"/>
      <c r="D832" s="412"/>
      <c r="E832" s="412"/>
      <c r="F832" s="412"/>
      <c r="G832" s="412"/>
      <c r="H832" s="412"/>
      <c r="I832" s="412"/>
      <c r="J832" s="412"/>
      <c r="K832" s="413"/>
      <c r="L832" s="413"/>
      <c r="M832" s="413"/>
      <c r="N832" s="414"/>
      <c r="O832" s="412"/>
      <c r="P832" s="412"/>
      <c r="Q832" s="412"/>
      <c r="R832" s="412"/>
      <c r="S832" s="412"/>
      <c r="T832" s="412"/>
      <c r="U832" s="292"/>
      <c r="V832" s="292"/>
      <c r="W832" s="292"/>
      <c r="X832" s="415"/>
      <c r="Y832" s="416"/>
      <c r="Z832" s="417"/>
      <c r="AA832" s="304"/>
      <c r="AB832" s="304"/>
      <c r="AC832" s="304"/>
      <c r="AD832" s="304"/>
      <c r="AE832" s="304"/>
      <c r="AF832" s="304"/>
      <c r="AG832" s="304"/>
      <c r="AH832" s="304"/>
    </row>
    <row r="833">
      <c r="A833" s="292"/>
      <c r="B833" s="292"/>
      <c r="C833" s="292"/>
      <c r="D833" s="412"/>
      <c r="E833" s="412"/>
      <c r="F833" s="412"/>
      <c r="G833" s="412"/>
      <c r="H833" s="412"/>
      <c r="I833" s="412"/>
      <c r="J833" s="412"/>
      <c r="K833" s="413"/>
      <c r="L833" s="413"/>
      <c r="M833" s="413"/>
      <c r="N833" s="414"/>
      <c r="O833" s="412"/>
      <c r="P833" s="412"/>
      <c r="Q833" s="412"/>
      <c r="R833" s="412"/>
      <c r="S833" s="412"/>
      <c r="T833" s="412"/>
      <c r="U833" s="292"/>
      <c r="V833" s="292"/>
      <c r="W833" s="292"/>
      <c r="X833" s="415"/>
      <c r="Y833" s="416"/>
      <c r="Z833" s="417"/>
      <c r="AA833" s="304"/>
      <c r="AB833" s="304"/>
      <c r="AC833" s="304"/>
      <c r="AD833" s="304"/>
      <c r="AE833" s="304"/>
      <c r="AF833" s="304"/>
      <c r="AG833" s="304"/>
      <c r="AH833" s="304"/>
    </row>
    <row r="834">
      <c r="A834" s="292"/>
      <c r="B834" s="292"/>
      <c r="C834" s="292"/>
      <c r="D834" s="412"/>
      <c r="E834" s="412"/>
      <c r="F834" s="412"/>
      <c r="G834" s="412"/>
      <c r="H834" s="412"/>
      <c r="I834" s="412"/>
      <c r="J834" s="412"/>
      <c r="K834" s="413"/>
      <c r="L834" s="413"/>
      <c r="M834" s="413"/>
      <c r="N834" s="414"/>
      <c r="O834" s="412"/>
      <c r="P834" s="412"/>
      <c r="Q834" s="412"/>
      <c r="R834" s="412"/>
      <c r="S834" s="412"/>
      <c r="T834" s="412"/>
      <c r="U834" s="292"/>
      <c r="V834" s="292"/>
      <c r="W834" s="292"/>
      <c r="X834" s="415"/>
      <c r="Y834" s="416"/>
      <c r="Z834" s="417"/>
      <c r="AA834" s="304"/>
      <c r="AB834" s="304"/>
      <c r="AC834" s="304"/>
      <c r="AD834" s="304"/>
      <c r="AE834" s="304"/>
      <c r="AF834" s="304"/>
      <c r="AG834" s="304"/>
      <c r="AH834" s="304"/>
    </row>
    <row r="835">
      <c r="A835" s="292"/>
      <c r="B835" s="292"/>
      <c r="C835" s="292"/>
      <c r="D835" s="412"/>
      <c r="E835" s="412"/>
      <c r="F835" s="412"/>
      <c r="G835" s="412"/>
      <c r="H835" s="412"/>
      <c r="I835" s="412"/>
      <c r="J835" s="412"/>
      <c r="K835" s="413"/>
      <c r="L835" s="413"/>
      <c r="M835" s="413"/>
      <c r="N835" s="414"/>
      <c r="O835" s="412"/>
      <c r="P835" s="412"/>
      <c r="Q835" s="412"/>
      <c r="R835" s="412"/>
      <c r="S835" s="412"/>
      <c r="T835" s="412"/>
      <c r="U835" s="292"/>
      <c r="V835" s="292"/>
      <c r="W835" s="292"/>
      <c r="X835" s="415"/>
      <c r="Y835" s="416"/>
      <c r="Z835" s="417"/>
      <c r="AA835" s="304"/>
      <c r="AB835" s="304"/>
      <c r="AC835" s="304"/>
      <c r="AD835" s="304"/>
      <c r="AE835" s="304"/>
      <c r="AF835" s="304"/>
      <c r="AG835" s="304"/>
      <c r="AH835" s="304"/>
    </row>
    <row r="836">
      <c r="A836" s="292"/>
      <c r="B836" s="292"/>
      <c r="C836" s="292"/>
      <c r="D836" s="412"/>
      <c r="E836" s="412"/>
      <c r="F836" s="412"/>
      <c r="G836" s="412"/>
      <c r="H836" s="412"/>
      <c r="I836" s="412"/>
      <c r="J836" s="412"/>
      <c r="K836" s="413"/>
      <c r="L836" s="413"/>
      <c r="M836" s="413"/>
      <c r="N836" s="414"/>
      <c r="O836" s="412"/>
      <c r="P836" s="412"/>
      <c r="Q836" s="412"/>
      <c r="R836" s="412"/>
      <c r="S836" s="412"/>
      <c r="T836" s="412"/>
      <c r="U836" s="292"/>
      <c r="V836" s="292"/>
      <c r="W836" s="292"/>
      <c r="X836" s="415"/>
      <c r="Y836" s="416"/>
      <c r="Z836" s="417"/>
      <c r="AA836" s="304"/>
      <c r="AB836" s="304"/>
      <c r="AC836" s="304"/>
      <c r="AD836" s="304"/>
      <c r="AE836" s="304"/>
      <c r="AF836" s="304"/>
      <c r="AG836" s="304"/>
      <c r="AH836" s="304"/>
    </row>
    <row r="837">
      <c r="A837" s="292"/>
      <c r="B837" s="292"/>
      <c r="C837" s="292"/>
      <c r="D837" s="412"/>
      <c r="E837" s="412"/>
      <c r="F837" s="412"/>
      <c r="G837" s="412"/>
      <c r="H837" s="412"/>
      <c r="I837" s="412"/>
      <c r="J837" s="412"/>
      <c r="K837" s="413"/>
      <c r="L837" s="413"/>
      <c r="M837" s="413"/>
      <c r="N837" s="414"/>
      <c r="O837" s="412"/>
      <c r="P837" s="412"/>
      <c r="Q837" s="412"/>
      <c r="R837" s="412"/>
      <c r="S837" s="412"/>
      <c r="T837" s="412"/>
      <c r="U837" s="292"/>
      <c r="V837" s="292"/>
      <c r="W837" s="292"/>
      <c r="X837" s="415"/>
      <c r="Y837" s="416"/>
      <c r="Z837" s="417"/>
      <c r="AA837" s="304"/>
      <c r="AB837" s="304"/>
      <c r="AC837" s="304"/>
      <c r="AD837" s="304"/>
      <c r="AE837" s="304"/>
      <c r="AF837" s="304"/>
      <c r="AG837" s="304"/>
      <c r="AH837" s="304"/>
    </row>
    <row r="838">
      <c r="A838" s="292"/>
      <c r="B838" s="292"/>
      <c r="C838" s="292"/>
      <c r="D838" s="412"/>
      <c r="E838" s="412"/>
      <c r="F838" s="412"/>
      <c r="G838" s="412"/>
      <c r="H838" s="412"/>
      <c r="I838" s="412"/>
      <c r="J838" s="412"/>
      <c r="K838" s="413"/>
      <c r="L838" s="413"/>
      <c r="M838" s="413"/>
      <c r="N838" s="414"/>
      <c r="O838" s="412"/>
      <c r="P838" s="412"/>
      <c r="Q838" s="412"/>
      <c r="R838" s="412"/>
      <c r="S838" s="412"/>
      <c r="T838" s="412"/>
      <c r="U838" s="292"/>
      <c r="V838" s="292"/>
      <c r="W838" s="292"/>
      <c r="X838" s="415"/>
      <c r="Y838" s="416"/>
      <c r="Z838" s="417"/>
      <c r="AA838" s="304"/>
      <c r="AB838" s="304"/>
      <c r="AC838" s="304"/>
      <c r="AD838" s="304"/>
      <c r="AE838" s="304"/>
      <c r="AF838" s="304"/>
      <c r="AG838" s="304"/>
      <c r="AH838" s="304"/>
    </row>
    <row r="839">
      <c r="A839" s="292"/>
      <c r="B839" s="292"/>
      <c r="C839" s="292"/>
      <c r="D839" s="412"/>
      <c r="E839" s="412"/>
      <c r="F839" s="412"/>
      <c r="G839" s="412"/>
      <c r="H839" s="412"/>
      <c r="I839" s="412"/>
      <c r="J839" s="412"/>
      <c r="K839" s="413"/>
      <c r="L839" s="413"/>
      <c r="M839" s="413"/>
      <c r="N839" s="414"/>
      <c r="O839" s="412"/>
      <c r="P839" s="412"/>
      <c r="Q839" s="412"/>
      <c r="R839" s="412"/>
      <c r="S839" s="412"/>
      <c r="T839" s="412"/>
      <c r="U839" s="292"/>
      <c r="V839" s="292"/>
      <c r="W839" s="292"/>
      <c r="X839" s="415"/>
      <c r="Y839" s="416"/>
      <c r="Z839" s="417"/>
      <c r="AA839" s="304"/>
      <c r="AB839" s="304"/>
      <c r="AC839" s="304"/>
      <c r="AD839" s="304"/>
      <c r="AE839" s="304"/>
      <c r="AF839" s="304"/>
      <c r="AG839" s="304"/>
      <c r="AH839" s="304"/>
    </row>
    <row r="840">
      <c r="A840" s="292"/>
      <c r="B840" s="292"/>
      <c r="C840" s="292"/>
      <c r="D840" s="412"/>
      <c r="E840" s="412"/>
      <c r="F840" s="412"/>
      <c r="G840" s="412"/>
      <c r="H840" s="412"/>
      <c r="I840" s="412"/>
      <c r="J840" s="412"/>
      <c r="K840" s="413"/>
      <c r="L840" s="413"/>
      <c r="M840" s="413"/>
      <c r="N840" s="414"/>
      <c r="O840" s="412"/>
      <c r="P840" s="412"/>
      <c r="Q840" s="412"/>
      <c r="R840" s="412"/>
      <c r="S840" s="412"/>
      <c r="T840" s="412"/>
      <c r="U840" s="292"/>
      <c r="V840" s="292"/>
      <c r="W840" s="292"/>
      <c r="X840" s="415"/>
      <c r="Y840" s="416"/>
      <c r="Z840" s="417"/>
      <c r="AA840" s="304"/>
      <c r="AB840" s="304"/>
      <c r="AC840" s="304"/>
      <c r="AD840" s="304"/>
      <c r="AE840" s="304"/>
      <c r="AF840" s="304"/>
      <c r="AG840" s="304"/>
      <c r="AH840" s="304"/>
    </row>
    <row r="841">
      <c r="A841" s="292"/>
      <c r="B841" s="292"/>
      <c r="C841" s="292"/>
      <c r="D841" s="412"/>
      <c r="E841" s="412"/>
      <c r="F841" s="412"/>
      <c r="G841" s="412"/>
      <c r="H841" s="412"/>
      <c r="I841" s="412"/>
      <c r="J841" s="412"/>
      <c r="K841" s="413"/>
      <c r="L841" s="413"/>
      <c r="M841" s="413"/>
      <c r="N841" s="414"/>
      <c r="O841" s="412"/>
      <c r="P841" s="412"/>
      <c r="Q841" s="412"/>
      <c r="R841" s="412"/>
      <c r="S841" s="412"/>
      <c r="T841" s="412"/>
      <c r="U841" s="292"/>
      <c r="V841" s="292"/>
      <c r="W841" s="292"/>
      <c r="X841" s="415"/>
      <c r="Y841" s="416"/>
      <c r="Z841" s="417"/>
      <c r="AA841" s="304"/>
      <c r="AB841" s="304"/>
      <c r="AC841" s="304"/>
      <c r="AD841" s="304"/>
      <c r="AE841" s="304"/>
      <c r="AF841" s="304"/>
      <c r="AG841" s="304"/>
      <c r="AH841" s="304"/>
    </row>
    <row r="842">
      <c r="A842" s="292"/>
      <c r="B842" s="292"/>
      <c r="C842" s="292"/>
      <c r="D842" s="412"/>
      <c r="E842" s="412"/>
      <c r="F842" s="412"/>
      <c r="G842" s="412"/>
      <c r="H842" s="412"/>
      <c r="I842" s="412"/>
      <c r="J842" s="412"/>
      <c r="K842" s="413"/>
      <c r="L842" s="413"/>
      <c r="M842" s="413"/>
      <c r="N842" s="414"/>
      <c r="O842" s="412"/>
      <c r="P842" s="412"/>
      <c r="Q842" s="412"/>
      <c r="R842" s="412"/>
      <c r="S842" s="412"/>
      <c r="T842" s="412"/>
      <c r="U842" s="292"/>
      <c r="V842" s="292"/>
      <c r="W842" s="292"/>
      <c r="X842" s="415"/>
      <c r="Y842" s="416"/>
      <c r="Z842" s="417"/>
      <c r="AA842" s="304"/>
      <c r="AB842" s="304"/>
      <c r="AC842" s="304"/>
      <c r="AD842" s="304"/>
      <c r="AE842" s="304"/>
      <c r="AF842" s="304"/>
      <c r="AG842" s="304"/>
      <c r="AH842" s="304"/>
    </row>
    <row r="843">
      <c r="A843" s="292"/>
      <c r="B843" s="292"/>
      <c r="C843" s="292"/>
      <c r="D843" s="412"/>
      <c r="E843" s="412"/>
      <c r="F843" s="412"/>
      <c r="G843" s="412"/>
      <c r="H843" s="412"/>
      <c r="I843" s="412"/>
      <c r="J843" s="412"/>
      <c r="K843" s="413"/>
      <c r="L843" s="413"/>
      <c r="M843" s="413"/>
      <c r="N843" s="414"/>
      <c r="O843" s="412"/>
      <c r="P843" s="412"/>
      <c r="Q843" s="412"/>
      <c r="R843" s="412"/>
      <c r="S843" s="412"/>
      <c r="T843" s="412"/>
      <c r="U843" s="292"/>
      <c r="V843" s="292"/>
      <c r="W843" s="292"/>
      <c r="X843" s="415"/>
      <c r="Y843" s="416"/>
      <c r="Z843" s="417"/>
      <c r="AA843" s="304"/>
      <c r="AB843" s="304"/>
      <c r="AC843" s="304"/>
      <c r="AD843" s="304"/>
      <c r="AE843" s="304"/>
      <c r="AF843" s="304"/>
      <c r="AG843" s="304"/>
      <c r="AH843" s="304"/>
    </row>
    <row r="844">
      <c r="A844" s="292"/>
      <c r="B844" s="292"/>
      <c r="C844" s="292"/>
      <c r="D844" s="412"/>
      <c r="E844" s="412"/>
      <c r="F844" s="412"/>
      <c r="G844" s="412"/>
      <c r="H844" s="412"/>
      <c r="I844" s="412"/>
      <c r="J844" s="412"/>
      <c r="K844" s="413"/>
      <c r="L844" s="413"/>
      <c r="M844" s="413"/>
      <c r="N844" s="414"/>
      <c r="O844" s="412"/>
      <c r="P844" s="412"/>
      <c r="Q844" s="412"/>
      <c r="R844" s="412"/>
      <c r="S844" s="412"/>
      <c r="T844" s="412"/>
      <c r="U844" s="292"/>
      <c r="V844" s="292"/>
      <c r="W844" s="292"/>
      <c r="X844" s="415"/>
      <c r="Y844" s="416"/>
      <c r="Z844" s="417"/>
      <c r="AA844" s="304"/>
      <c r="AB844" s="304"/>
      <c r="AC844" s="304"/>
      <c r="AD844" s="304"/>
      <c r="AE844" s="304"/>
      <c r="AF844" s="304"/>
      <c r="AG844" s="304"/>
      <c r="AH844" s="304"/>
    </row>
    <row r="845">
      <c r="A845" s="292"/>
      <c r="B845" s="292"/>
      <c r="C845" s="292"/>
      <c r="D845" s="412"/>
      <c r="E845" s="412"/>
      <c r="F845" s="412"/>
      <c r="G845" s="412"/>
      <c r="H845" s="412"/>
      <c r="I845" s="412"/>
      <c r="J845" s="412"/>
      <c r="K845" s="413"/>
      <c r="L845" s="413"/>
      <c r="M845" s="413"/>
      <c r="N845" s="414"/>
      <c r="O845" s="412"/>
      <c r="P845" s="412"/>
      <c r="Q845" s="412"/>
      <c r="R845" s="412"/>
      <c r="S845" s="412"/>
      <c r="T845" s="412"/>
      <c r="U845" s="292"/>
      <c r="V845" s="292"/>
      <c r="W845" s="292"/>
      <c r="X845" s="415"/>
      <c r="Y845" s="416"/>
      <c r="Z845" s="417"/>
      <c r="AA845" s="304"/>
      <c r="AB845" s="304"/>
      <c r="AC845" s="304"/>
      <c r="AD845" s="304"/>
      <c r="AE845" s="304"/>
      <c r="AF845" s="304"/>
      <c r="AG845" s="304"/>
      <c r="AH845" s="304"/>
    </row>
    <row r="846">
      <c r="A846" s="292"/>
      <c r="B846" s="292"/>
      <c r="C846" s="292"/>
      <c r="D846" s="412"/>
      <c r="E846" s="412"/>
      <c r="F846" s="412"/>
      <c r="G846" s="412"/>
      <c r="H846" s="412"/>
      <c r="I846" s="412"/>
      <c r="J846" s="412"/>
      <c r="K846" s="413"/>
      <c r="L846" s="413"/>
      <c r="M846" s="413"/>
      <c r="N846" s="414"/>
      <c r="O846" s="412"/>
      <c r="P846" s="412"/>
      <c r="Q846" s="412"/>
      <c r="R846" s="412"/>
      <c r="S846" s="412"/>
      <c r="T846" s="412"/>
      <c r="U846" s="292"/>
      <c r="V846" s="292"/>
      <c r="W846" s="292"/>
      <c r="X846" s="415"/>
      <c r="Y846" s="416"/>
      <c r="Z846" s="417"/>
      <c r="AA846" s="304"/>
      <c r="AB846" s="304"/>
      <c r="AC846" s="304"/>
      <c r="AD846" s="304"/>
      <c r="AE846" s="304"/>
      <c r="AF846" s="304"/>
      <c r="AG846" s="304"/>
      <c r="AH846" s="304"/>
    </row>
    <row r="847">
      <c r="A847" s="292"/>
      <c r="B847" s="292"/>
      <c r="C847" s="292"/>
      <c r="D847" s="412"/>
      <c r="E847" s="412"/>
      <c r="F847" s="412"/>
      <c r="G847" s="412"/>
      <c r="H847" s="412"/>
      <c r="I847" s="412"/>
      <c r="J847" s="412"/>
      <c r="K847" s="413"/>
      <c r="L847" s="413"/>
      <c r="M847" s="413"/>
      <c r="N847" s="414"/>
      <c r="O847" s="412"/>
      <c r="P847" s="412"/>
      <c r="Q847" s="412"/>
      <c r="R847" s="412"/>
      <c r="S847" s="412"/>
      <c r="T847" s="412"/>
      <c r="U847" s="292"/>
      <c r="V847" s="292"/>
      <c r="W847" s="292"/>
      <c r="X847" s="415"/>
      <c r="Y847" s="416"/>
      <c r="Z847" s="417"/>
      <c r="AA847" s="304"/>
      <c r="AB847" s="304"/>
      <c r="AC847" s="304"/>
      <c r="AD847" s="304"/>
      <c r="AE847" s="304"/>
      <c r="AF847" s="304"/>
      <c r="AG847" s="304"/>
      <c r="AH847" s="304"/>
    </row>
    <row r="848">
      <c r="A848" s="292"/>
      <c r="B848" s="292"/>
      <c r="C848" s="292"/>
      <c r="D848" s="412"/>
      <c r="E848" s="412"/>
      <c r="F848" s="412"/>
      <c r="G848" s="412"/>
      <c r="H848" s="412"/>
      <c r="I848" s="412"/>
      <c r="J848" s="412"/>
      <c r="K848" s="413"/>
      <c r="L848" s="413"/>
      <c r="M848" s="413"/>
      <c r="N848" s="414"/>
      <c r="O848" s="412"/>
      <c r="P848" s="412"/>
      <c r="Q848" s="412"/>
      <c r="R848" s="412"/>
      <c r="S848" s="412"/>
      <c r="T848" s="412"/>
      <c r="U848" s="292"/>
      <c r="V848" s="292"/>
      <c r="W848" s="292"/>
      <c r="X848" s="415"/>
      <c r="Y848" s="416"/>
      <c r="Z848" s="417"/>
      <c r="AA848" s="304"/>
      <c r="AB848" s="304"/>
      <c r="AC848" s="304"/>
      <c r="AD848" s="304"/>
      <c r="AE848" s="304"/>
      <c r="AF848" s="304"/>
      <c r="AG848" s="304"/>
      <c r="AH848" s="304"/>
    </row>
    <row r="849">
      <c r="A849" s="292"/>
      <c r="B849" s="292"/>
      <c r="C849" s="292"/>
      <c r="D849" s="412"/>
      <c r="E849" s="412"/>
      <c r="F849" s="412"/>
      <c r="G849" s="412"/>
      <c r="H849" s="412"/>
      <c r="I849" s="412"/>
      <c r="J849" s="412"/>
      <c r="K849" s="413"/>
      <c r="L849" s="413"/>
      <c r="M849" s="413"/>
      <c r="N849" s="414"/>
      <c r="O849" s="412"/>
      <c r="P849" s="412"/>
      <c r="Q849" s="412"/>
      <c r="R849" s="412"/>
      <c r="S849" s="412"/>
      <c r="T849" s="412"/>
      <c r="U849" s="292"/>
      <c r="V849" s="292"/>
      <c r="W849" s="292"/>
      <c r="X849" s="415"/>
      <c r="Y849" s="416"/>
      <c r="Z849" s="417"/>
      <c r="AA849" s="304"/>
      <c r="AB849" s="304"/>
      <c r="AC849" s="304"/>
      <c r="AD849" s="304"/>
      <c r="AE849" s="304"/>
      <c r="AF849" s="304"/>
      <c r="AG849" s="304"/>
      <c r="AH849" s="304"/>
    </row>
    <row r="850">
      <c r="A850" s="292"/>
      <c r="B850" s="292"/>
      <c r="C850" s="292"/>
      <c r="D850" s="412"/>
      <c r="E850" s="412"/>
      <c r="F850" s="412"/>
      <c r="G850" s="412"/>
      <c r="H850" s="412"/>
      <c r="I850" s="412"/>
      <c r="J850" s="412"/>
      <c r="K850" s="413"/>
      <c r="L850" s="413"/>
      <c r="M850" s="413"/>
      <c r="N850" s="414"/>
      <c r="O850" s="412"/>
      <c r="P850" s="412"/>
      <c r="Q850" s="412"/>
      <c r="R850" s="412"/>
      <c r="S850" s="412"/>
      <c r="T850" s="412"/>
      <c r="U850" s="292"/>
      <c r="V850" s="292"/>
      <c r="W850" s="292"/>
      <c r="X850" s="415"/>
      <c r="Y850" s="416"/>
      <c r="Z850" s="417"/>
      <c r="AA850" s="304"/>
      <c r="AB850" s="304"/>
      <c r="AC850" s="304"/>
      <c r="AD850" s="304"/>
      <c r="AE850" s="304"/>
      <c r="AF850" s="304"/>
      <c r="AG850" s="304"/>
      <c r="AH850" s="304"/>
    </row>
    <row r="851">
      <c r="A851" s="292"/>
      <c r="B851" s="292"/>
      <c r="C851" s="292"/>
      <c r="D851" s="412"/>
      <c r="E851" s="412"/>
      <c r="F851" s="412"/>
      <c r="G851" s="412"/>
      <c r="H851" s="412"/>
      <c r="I851" s="412"/>
      <c r="J851" s="412"/>
      <c r="K851" s="413"/>
      <c r="L851" s="413"/>
      <c r="M851" s="413"/>
      <c r="N851" s="414"/>
      <c r="O851" s="412"/>
      <c r="P851" s="412"/>
      <c r="Q851" s="412"/>
      <c r="R851" s="412"/>
      <c r="S851" s="412"/>
      <c r="T851" s="412"/>
      <c r="U851" s="292"/>
      <c r="V851" s="292"/>
      <c r="W851" s="292"/>
      <c r="X851" s="415"/>
      <c r="Y851" s="416"/>
      <c r="Z851" s="417"/>
      <c r="AA851" s="304"/>
      <c r="AB851" s="304"/>
      <c r="AC851" s="304"/>
      <c r="AD851" s="304"/>
      <c r="AE851" s="304"/>
      <c r="AF851" s="304"/>
      <c r="AG851" s="304"/>
      <c r="AH851" s="304"/>
    </row>
    <row r="852">
      <c r="A852" s="292"/>
      <c r="B852" s="292"/>
      <c r="C852" s="292"/>
      <c r="D852" s="412"/>
      <c r="E852" s="412"/>
      <c r="F852" s="412"/>
      <c r="G852" s="412"/>
      <c r="H852" s="412"/>
      <c r="I852" s="412"/>
      <c r="J852" s="412"/>
      <c r="K852" s="413"/>
      <c r="L852" s="413"/>
      <c r="M852" s="413"/>
      <c r="N852" s="414"/>
      <c r="O852" s="412"/>
      <c r="P852" s="412"/>
      <c r="Q852" s="412"/>
      <c r="R852" s="412"/>
      <c r="S852" s="412"/>
      <c r="T852" s="412"/>
      <c r="U852" s="292"/>
      <c r="V852" s="292"/>
      <c r="W852" s="292"/>
      <c r="X852" s="415"/>
      <c r="Y852" s="416"/>
      <c r="Z852" s="417"/>
      <c r="AA852" s="304"/>
      <c r="AB852" s="304"/>
      <c r="AC852" s="304"/>
      <c r="AD852" s="304"/>
      <c r="AE852" s="304"/>
      <c r="AF852" s="304"/>
      <c r="AG852" s="304"/>
      <c r="AH852" s="304"/>
    </row>
    <row r="853">
      <c r="A853" s="292"/>
      <c r="B853" s="292"/>
      <c r="C853" s="292"/>
      <c r="D853" s="412"/>
      <c r="E853" s="412"/>
      <c r="F853" s="412"/>
      <c r="G853" s="412"/>
      <c r="H853" s="412"/>
      <c r="I853" s="412"/>
      <c r="J853" s="412"/>
      <c r="K853" s="413"/>
      <c r="L853" s="413"/>
      <c r="M853" s="413"/>
      <c r="N853" s="414"/>
      <c r="O853" s="412"/>
      <c r="P853" s="412"/>
      <c r="Q853" s="412"/>
      <c r="R853" s="412"/>
      <c r="S853" s="412"/>
      <c r="T853" s="412"/>
      <c r="U853" s="292"/>
      <c r="V853" s="292"/>
      <c r="W853" s="292"/>
      <c r="X853" s="415"/>
      <c r="Y853" s="416"/>
      <c r="Z853" s="417"/>
      <c r="AA853" s="304"/>
      <c r="AB853" s="304"/>
      <c r="AC853" s="304"/>
      <c r="AD853" s="304"/>
      <c r="AE853" s="304"/>
      <c r="AF853" s="304"/>
      <c r="AG853" s="304"/>
      <c r="AH853" s="304"/>
    </row>
    <row r="854">
      <c r="A854" s="292"/>
      <c r="B854" s="292"/>
      <c r="C854" s="292"/>
      <c r="D854" s="412"/>
      <c r="E854" s="412"/>
      <c r="F854" s="412"/>
      <c r="G854" s="412"/>
      <c r="H854" s="412"/>
      <c r="I854" s="412"/>
      <c r="J854" s="412"/>
      <c r="K854" s="413"/>
      <c r="L854" s="413"/>
      <c r="M854" s="413"/>
      <c r="N854" s="414"/>
      <c r="O854" s="412"/>
      <c r="P854" s="412"/>
      <c r="Q854" s="412"/>
      <c r="R854" s="412"/>
      <c r="S854" s="412"/>
      <c r="T854" s="412"/>
      <c r="U854" s="292"/>
      <c r="V854" s="292"/>
      <c r="W854" s="292"/>
      <c r="X854" s="415"/>
      <c r="Y854" s="416"/>
      <c r="Z854" s="417"/>
      <c r="AA854" s="304"/>
      <c r="AB854" s="304"/>
      <c r="AC854" s="304"/>
      <c r="AD854" s="304"/>
      <c r="AE854" s="304"/>
      <c r="AF854" s="304"/>
      <c r="AG854" s="304"/>
      <c r="AH854" s="304"/>
    </row>
    <row r="855">
      <c r="A855" s="292"/>
      <c r="B855" s="292"/>
      <c r="C855" s="292"/>
      <c r="D855" s="412"/>
      <c r="E855" s="412"/>
      <c r="F855" s="412"/>
      <c r="G855" s="412"/>
      <c r="H855" s="412"/>
      <c r="I855" s="412"/>
      <c r="J855" s="412"/>
      <c r="K855" s="413"/>
      <c r="L855" s="413"/>
      <c r="M855" s="413"/>
      <c r="N855" s="414"/>
      <c r="O855" s="412"/>
      <c r="P855" s="412"/>
      <c r="Q855" s="412"/>
      <c r="R855" s="412"/>
      <c r="S855" s="412"/>
      <c r="T855" s="412"/>
      <c r="U855" s="292"/>
      <c r="V855" s="292"/>
      <c r="W855" s="292"/>
      <c r="X855" s="415"/>
      <c r="Y855" s="416"/>
      <c r="Z855" s="417"/>
      <c r="AA855" s="304"/>
      <c r="AB855" s="304"/>
      <c r="AC855" s="304"/>
      <c r="AD855" s="304"/>
      <c r="AE855" s="304"/>
      <c r="AF855" s="304"/>
      <c r="AG855" s="304"/>
      <c r="AH855" s="304"/>
    </row>
    <row r="856">
      <c r="A856" s="292"/>
      <c r="B856" s="292"/>
      <c r="C856" s="292"/>
      <c r="D856" s="412"/>
      <c r="E856" s="412"/>
      <c r="F856" s="412"/>
      <c r="G856" s="412"/>
      <c r="H856" s="412"/>
      <c r="I856" s="412"/>
      <c r="J856" s="412"/>
      <c r="K856" s="413"/>
      <c r="L856" s="413"/>
      <c r="M856" s="413"/>
      <c r="N856" s="414"/>
      <c r="O856" s="412"/>
      <c r="P856" s="412"/>
      <c r="Q856" s="412"/>
      <c r="R856" s="412"/>
      <c r="S856" s="412"/>
      <c r="T856" s="412"/>
      <c r="U856" s="292"/>
      <c r="V856" s="292"/>
      <c r="W856" s="292"/>
      <c r="X856" s="415"/>
      <c r="Y856" s="416"/>
      <c r="Z856" s="417"/>
      <c r="AA856" s="304"/>
      <c r="AB856" s="304"/>
      <c r="AC856" s="304"/>
      <c r="AD856" s="304"/>
      <c r="AE856" s="304"/>
      <c r="AF856" s="304"/>
      <c r="AG856" s="304"/>
      <c r="AH856" s="304"/>
    </row>
    <row r="857">
      <c r="A857" s="292"/>
      <c r="B857" s="292"/>
      <c r="C857" s="292"/>
      <c r="D857" s="412"/>
      <c r="E857" s="412"/>
      <c r="F857" s="412"/>
      <c r="G857" s="412"/>
      <c r="H857" s="412"/>
      <c r="I857" s="412"/>
      <c r="J857" s="412"/>
      <c r="K857" s="413"/>
      <c r="L857" s="413"/>
      <c r="M857" s="413"/>
      <c r="N857" s="414"/>
      <c r="O857" s="412"/>
      <c r="P857" s="412"/>
      <c r="Q857" s="412"/>
      <c r="R857" s="412"/>
      <c r="S857" s="412"/>
      <c r="T857" s="412"/>
      <c r="U857" s="292"/>
      <c r="V857" s="292"/>
      <c r="W857" s="292"/>
      <c r="X857" s="415"/>
      <c r="Y857" s="416"/>
      <c r="Z857" s="417"/>
      <c r="AA857" s="304"/>
      <c r="AB857" s="304"/>
      <c r="AC857" s="304"/>
      <c r="AD857" s="304"/>
      <c r="AE857" s="304"/>
      <c r="AF857" s="304"/>
      <c r="AG857" s="304"/>
      <c r="AH857" s="304"/>
    </row>
    <row r="858">
      <c r="A858" s="292"/>
      <c r="B858" s="292"/>
      <c r="C858" s="292"/>
      <c r="D858" s="412"/>
      <c r="E858" s="412"/>
      <c r="F858" s="412"/>
      <c r="G858" s="412"/>
      <c r="H858" s="412"/>
      <c r="I858" s="412"/>
      <c r="J858" s="412"/>
      <c r="K858" s="413"/>
      <c r="L858" s="413"/>
      <c r="M858" s="413"/>
      <c r="N858" s="414"/>
      <c r="O858" s="412"/>
      <c r="P858" s="412"/>
      <c r="Q858" s="412"/>
      <c r="R858" s="412"/>
      <c r="S858" s="412"/>
      <c r="T858" s="412"/>
      <c r="U858" s="292"/>
      <c r="V858" s="292"/>
      <c r="W858" s="292"/>
      <c r="X858" s="415"/>
      <c r="Y858" s="416"/>
      <c r="Z858" s="417"/>
      <c r="AA858" s="304"/>
      <c r="AB858" s="304"/>
      <c r="AC858" s="304"/>
      <c r="AD858" s="304"/>
      <c r="AE858" s="304"/>
      <c r="AF858" s="304"/>
      <c r="AG858" s="304"/>
      <c r="AH858" s="304"/>
    </row>
    <row r="859">
      <c r="A859" s="292"/>
      <c r="B859" s="292"/>
      <c r="C859" s="292"/>
      <c r="D859" s="412"/>
      <c r="E859" s="412"/>
      <c r="F859" s="412"/>
      <c r="G859" s="412"/>
      <c r="H859" s="412"/>
      <c r="I859" s="412"/>
      <c r="J859" s="412"/>
      <c r="K859" s="413"/>
      <c r="L859" s="413"/>
      <c r="M859" s="413"/>
      <c r="N859" s="414"/>
      <c r="O859" s="412"/>
      <c r="P859" s="412"/>
      <c r="Q859" s="412"/>
      <c r="R859" s="412"/>
      <c r="S859" s="412"/>
      <c r="T859" s="412"/>
      <c r="U859" s="292"/>
      <c r="V859" s="292"/>
      <c r="W859" s="292"/>
      <c r="X859" s="415"/>
      <c r="Y859" s="416"/>
      <c r="Z859" s="417"/>
      <c r="AA859" s="304"/>
      <c r="AB859" s="304"/>
      <c r="AC859" s="304"/>
      <c r="AD859" s="304"/>
      <c r="AE859" s="304"/>
      <c r="AF859" s="304"/>
      <c r="AG859" s="304"/>
      <c r="AH859" s="304"/>
    </row>
    <row r="860">
      <c r="A860" s="292"/>
      <c r="B860" s="292"/>
      <c r="C860" s="292"/>
      <c r="D860" s="412"/>
      <c r="E860" s="412"/>
      <c r="F860" s="412"/>
      <c r="G860" s="412"/>
      <c r="H860" s="412"/>
      <c r="I860" s="412"/>
      <c r="J860" s="412"/>
      <c r="K860" s="413"/>
      <c r="L860" s="413"/>
      <c r="M860" s="413"/>
      <c r="N860" s="414"/>
      <c r="O860" s="412"/>
      <c r="P860" s="412"/>
      <c r="Q860" s="412"/>
      <c r="R860" s="412"/>
      <c r="S860" s="412"/>
      <c r="T860" s="412"/>
      <c r="U860" s="292"/>
      <c r="V860" s="292"/>
      <c r="W860" s="292"/>
      <c r="X860" s="415"/>
      <c r="Y860" s="416"/>
      <c r="Z860" s="417"/>
      <c r="AA860" s="304"/>
      <c r="AB860" s="304"/>
      <c r="AC860" s="304"/>
      <c r="AD860" s="304"/>
      <c r="AE860" s="304"/>
      <c r="AF860" s="304"/>
      <c r="AG860" s="304"/>
      <c r="AH860" s="304"/>
    </row>
    <row r="861">
      <c r="A861" s="292"/>
      <c r="B861" s="292"/>
      <c r="C861" s="292"/>
      <c r="D861" s="412"/>
      <c r="E861" s="412"/>
      <c r="F861" s="412"/>
      <c r="G861" s="412"/>
      <c r="H861" s="412"/>
      <c r="I861" s="412"/>
      <c r="J861" s="412"/>
      <c r="K861" s="413"/>
      <c r="L861" s="413"/>
      <c r="M861" s="413"/>
      <c r="N861" s="414"/>
      <c r="O861" s="412"/>
      <c r="P861" s="412"/>
      <c r="Q861" s="412"/>
      <c r="R861" s="412"/>
      <c r="S861" s="412"/>
      <c r="T861" s="412"/>
      <c r="U861" s="292"/>
      <c r="V861" s="292"/>
      <c r="W861" s="292"/>
      <c r="X861" s="415"/>
      <c r="Y861" s="416"/>
      <c r="Z861" s="417"/>
      <c r="AA861" s="304"/>
      <c r="AB861" s="304"/>
      <c r="AC861" s="304"/>
      <c r="AD861" s="304"/>
      <c r="AE861" s="304"/>
      <c r="AF861" s="304"/>
      <c r="AG861" s="304"/>
      <c r="AH861" s="304"/>
    </row>
    <row r="862">
      <c r="A862" s="292"/>
      <c r="B862" s="292"/>
      <c r="C862" s="292"/>
      <c r="D862" s="412"/>
      <c r="E862" s="412"/>
      <c r="F862" s="412"/>
      <c r="G862" s="412"/>
      <c r="H862" s="412"/>
      <c r="I862" s="412"/>
      <c r="J862" s="412"/>
      <c r="K862" s="413"/>
      <c r="L862" s="413"/>
      <c r="M862" s="413"/>
      <c r="N862" s="414"/>
      <c r="O862" s="412"/>
      <c r="P862" s="412"/>
      <c r="Q862" s="412"/>
      <c r="R862" s="412"/>
      <c r="S862" s="412"/>
      <c r="T862" s="412"/>
      <c r="U862" s="292"/>
      <c r="V862" s="292"/>
      <c r="W862" s="292"/>
      <c r="X862" s="415"/>
      <c r="Y862" s="416"/>
      <c r="Z862" s="417"/>
      <c r="AA862" s="304"/>
      <c r="AB862" s="304"/>
      <c r="AC862" s="304"/>
      <c r="AD862" s="304"/>
      <c r="AE862" s="304"/>
      <c r="AF862" s="304"/>
      <c r="AG862" s="304"/>
      <c r="AH862" s="304"/>
    </row>
    <row r="863">
      <c r="A863" s="292"/>
      <c r="B863" s="292"/>
      <c r="C863" s="292"/>
      <c r="D863" s="412"/>
      <c r="E863" s="412"/>
      <c r="F863" s="412"/>
      <c r="G863" s="412"/>
      <c r="H863" s="412"/>
      <c r="I863" s="412"/>
      <c r="J863" s="412"/>
      <c r="K863" s="413"/>
      <c r="L863" s="413"/>
      <c r="M863" s="413"/>
      <c r="N863" s="414"/>
      <c r="O863" s="412"/>
      <c r="P863" s="412"/>
      <c r="Q863" s="412"/>
      <c r="R863" s="412"/>
      <c r="S863" s="412"/>
      <c r="T863" s="412"/>
      <c r="U863" s="292"/>
      <c r="V863" s="292"/>
      <c r="W863" s="292"/>
      <c r="X863" s="415"/>
      <c r="Y863" s="416"/>
      <c r="Z863" s="417"/>
      <c r="AA863" s="304"/>
      <c r="AB863" s="304"/>
      <c r="AC863" s="304"/>
      <c r="AD863" s="304"/>
      <c r="AE863" s="304"/>
      <c r="AF863" s="304"/>
      <c r="AG863" s="304"/>
      <c r="AH863" s="304"/>
    </row>
    <row r="864">
      <c r="A864" s="292"/>
      <c r="B864" s="292"/>
      <c r="C864" s="292"/>
      <c r="D864" s="412"/>
      <c r="E864" s="412"/>
      <c r="F864" s="412"/>
      <c r="G864" s="412"/>
      <c r="H864" s="412"/>
      <c r="I864" s="412"/>
      <c r="J864" s="412"/>
      <c r="K864" s="413"/>
      <c r="L864" s="413"/>
      <c r="M864" s="413"/>
      <c r="N864" s="414"/>
      <c r="O864" s="412"/>
      <c r="P864" s="412"/>
      <c r="Q864" s="412"/>
      <c r="R864" s="412"/>
      <c r="S864" s="412"/>
      <c r="T864" s="412"/>
      <c r="U864" s="292"/>
      <c r="V864" s="292"/>
      <c r="W864" s="292"/>
      <c r="X864" s="415"/>
      <c r="Y864" s="416"/>
      <c r="Z864" s="417"/>
      <c r="AA864" s="304"/>
      <c r="AB864" s="304"/>
      <c r="AC864" s="304"/>
      <c r="AD864" s="304"/>
      <c r="AE864" s="304"/>
      <c r="AF864" s="304"/>
      <c r="AG864" s="304"/>
      <c r="AH864" s="304"/>
    </row>
    <row r="865">
      <c r="A865" s="292"/>
      <c r="B865" s="292"/>
      <c r="C865" s="292"/>
      <c r="D865" s="412"/>
      <c r="E865" s="412"/>
      <c r="F865" s="412"/>
      <c r="G865" s="412"/>
      <c r="H865" s="412"/>
      <c r="I865" s="412"/>
      <c r="J865" s="412"/>
      <c r="K865" s="413"/>
      <c r="L865" s="413"/>
      <c r="M865" s="413"/>
      <c r="N865" s="414"/>
      <c r="O865" s="412"/>
      <c r="P865" s="412"/>
      <c r="Q865" s="412"/>
      <c r="R865" s="412"/>
      <c r="S865" s="412"/>
      <c r="T865" s="412"/>
      <c r="U865" s="292"/>
      <c r="V865" s="292"/>
      <c r="W865" s="292"/>
      <c r="X865" s="415"/>
      <c r="Y865" s="416"/>
      <c r="Z865" s="417"/>
      <c r="AA865" s="304"/>
      <c r="AB865" s="304"/>
      <c r="AC865" s="304"/>
      <c r="AD865" s="304"/>
      <c r="AE865" s="304"/>
      <c r="AF865" s="304"/>
      <c r="AG865" s="304"/>
      <c r="AH865" s="304"/>
    </row>
    <row r="866">
      <c r="A866" s="292"/>
      <c r="B866" s="292"/>
      <c r="C866" s="292"/>
      <c r="D866" s="412"/>
      <c r="E866" s="412"/>
      <c r="F866" s="412"/>
      <c r="G866" s="412"/>
      <c r="H866" s="412"/>
      <c r="I866" s="412"/>
      <c r="J866" s="412"/>
      <c r="K866" s="413"/>
      <c r="L866" s="413"/>
      <c r="M866" s="413"/>
      <c r="N866" s="414"/>
      <c r="O866" s="412"/>
      <c r="P866" s="412"/>
      <c r="Q866" s="412"/>
      <c r="R866" s="412"/>
      <c r="S866" s="412"/>
      <c r="T866" s="412"/>
      <c r="U866" s="292"/>
      <c r="V866" s="292"/>
      <c r="W866" s="292"/>
      <c r="X866" s="415"/>
      <c r="Y866" s="416"/>
      <c r="Z866" s="417"/>
      <c r="AA866" s="304"/>
      <c r="AB866" s="304"/>
      <c r="AC866" s="304"/>
      <c r="AD866" s="304"/>
      <c r="AE866" s="304"/>
      <c r="AF866" s="304"/>
      <c r="AG866" s="304"/>
      <c r="AH866" s="304"/>
    </row>
    <row r="867">
      <c r="A867" s="292"/>
      <c r="B867" s="292"/>
      <c r="C867" s="292"/>
      <c r="D867" s="412"/>
      <c r="E867" s="412"/>
      <c r="F867" s="412"/>
      <c r="G867" s="412"/>
      <c r="H867" s="412"/>
      <c r="I867" s="412"/>
      <c r="J867" s="412"/>
      <c r="K867" s="413"/>
      <c r="L867" s="413"/>
      <c r="M867" s="413"/>
      <c r="N867" s="414"/>
      <c r="O867" s="412"/>
      <c r="P867" s="412"/>
      <c r="Q867" s="412"/>
      <c r="R867" s="412"/>
      <c r="S867" s="412"/>
      <c r="T867" s="412"/>
      <c r="U867" s="292"/>
      <c r="V867" s="292"/>
      <c r="W867" s="292"/>
      <c r="X867" s="415"/>
      <c r="Y867" s="416"/>
      <c r="Z867" s="417"/>
      <c r="AA867" s="304"/>
      <c r="AB867" s="304"/>
      <c r="AC867" s="304"/>
      <c r="AD867" s="304"/>
      <c r="AE867" s="304"/>
      <c r="AF867" s="304"/>
      <c r="AG867" s="304"/>
      <c r="AH867" s="304"/>
    </row>
    <row r="868">
      <c r="A868" s="292"/>
      <c r="B868" s="292"/>
      <c r="C868" s="292"/>
      <c r="D868" s="412"/>
      <c r="E868" s="412"/>
      <c r="F868" s="412"/>
      <c r="G868" s="412"/>
      <c r="H868" s="412"/>
      <c r="I868" s="412"/>
      <c r="J868" s="412"/>
      <c r="K868" s="413"/>
      <c r="L868" s="413"/>
      <c r="M868" s="413"/>
      <c r="N868" s="414"/>
      <c r="O868" s="412"/>
      <c r="P868" s="412"/>
      <c r="Q868" s="412"/>
      <c r="R868" s="412"/>
      <c r="S868" s="412"/>
      <c r="T868" s="412"/>
      <c r="U868" s="292"/>
      <c r="V868" s="292"/>
      <c r="W868" s="292"/>
      <c r="X868" s="415"/>
      <c r="Y868" s="416"/>
      <c r="Z868" s="417"/>
      <c r="AA868" s="304"/>
      <c r="AB868" s="304"/>
      <c r="AC868" s="304"/>
      <c r="AD868" s="304"/>
      <c r="AE868" s="304"/>
      <c r="AF868" s="304"/>
      <c r="AG868" s="304"/>
      <c r="AH868" s="304"/>
    </row>
    <row r="869">
      <c r="A869" s="292"/>
      <c r="B869" s="292"/>
      <c r="C869" s="292"/>
      <c r="D869" s="412"/>
      <c r="E869" s="412"/>
      <c r="F869" s="412"/>
      <c r="G869" s="412"/>
      <c r="H869" s="412"/>
      <c r="I869" s="412"/>
      <c r="J869" s="412"/>
      <c r="K869" s="413"/>
      <c r="L869" s="413"/>
      <c r="M869" s="413"/>
      <c r="N869" s="414"/>
      <c r="O869" s="412"/>
      <c r="P869" s="412"/>
      <c r="Q869" s="412"/>
      <c r="R869" s="412"/>
      <c r="S869" s="412"/>
      <c r="T869" s="412"/>
      <c r="U869" s="292"/>
      <c r="V869" s="292"/>
      <c r="W869" s="292"/>
      <c r="X869" s="415"/>
      <c r="Y869" s="416"/>
      <c r="Z869" s="417"/>
      <c r="AA869" s="304"/>
      <c r="AB869" s="304"/>
      <c r="AC869" s="304"/>
      <c r="AD869" s="304"/>
      <c r="AE869" s="304"/>
      <c r="AF869" s="304"/>
      <c r="AG869" s="304"/>
      <c r="AH869" s="304"/>
    </row>
    <row r="870">
      <c r="A870" s="292"/>
      <c r="B870" s="292"/>
      <c r="C870" s="292"/>
      <c r="D870" s="412"/>
      <c r="E870" s="412"/>
      <c r="F870" s="412"/>
      <c r="G870" s="412"/>
      <c r="H870" s="412"/>
      <c r="I870" s="412"/>
      <c r="J870" s="412"/>
      <c r="K870" s="413"/>
      <c r="L870" s="413"/>
      <c r="M870" s="413"/>
      <c r="N870" s="414"/>
      <c r="O870" s="412"/>
      <c r="P870" s="412"/>
      <c r="Q870" s="412"/>
      <c r="R870" s="412"/>
      <c r="S870" s="412"/>
      <c r="T870" s="412"/>
      <c r="U870" s="292"/>
      <c r="V870" s="292"/>
      <c r="W870" s="292"/>
      <c r="X870" s="415"/>
      <c r="Y870" s="416"/>
      <c r="Z870" s="417"/>
      <c r="AA870" s="304"/>
      <c r="AB870" s="304"/>
      <c r="AC870" s="304"/>
      <c r="AD870" s="304"/>
      <c r="AE870" s="304"/>
      <c r="AF870" s="304"/>
      <c r="AG870" s="304"/>
      <c r="AH870" s="304"/>
    </row>
    <row r="871">
      <c r="A871" s="292"/>
      <c r="B871" s="292"/>
      <c r="C871" s="292"/>
      <c r="D871" s="412"/>
      <c r="E871" s="412"/>
      <c r="F871" s="412"/>
      <c r="G871" s="412"/>
      <c r="H871" s="412"/>
      <c r="I871" s="412"/>
      <c r="J871" s="412"/>
      <c r="K871" s="413"/>
      <c r="L871" s="413"/>
      <c r="M871" s="413"/>
      <c r="N871" s="414"/>
      <c r="O871" s="412"/>
      <c r="P871" s="412"/>
      <c r="Q871" s="412"/>
      <c r="R871" s="412"/>
      <c r="S871" s="412"/>
      <c r="T871" s="412"/>
      <c r="U871" s="292"/>
      <c r="V871" s="292"/>
      <c r="W871" s="292"/>
      <c r="X871" s="415"/>
      <c r="Y871" s="416"/>
      <c r="Z871" s="417"/>
      <c r="AA871" s="304"/>
      <c r="AB871" s="304"/>
      <c r="AC871" s="304"/>
      <c r="AD871" s="304"/>
      <c r="AE871" s="304"/>
      <c r="AF871" s="304"/>
      <c r="AG871" s="304"/>
      <c r="AH871" s="304"/>
    </row>
    <row r="872">
      <c r="A872" s="292"/>
      <c r="B872" s="292"/>
      <c r="C872" s="292"/>
      <c r="D872" s="412"/>
      <c r="E872" s="412"/>
      <c r="F872" s="412"/>
      <c r="G872" s="412"/>
      <c r="H872" s="412"/>
      <c r="I872" s="412"/>
      <c r="J872" s="412"/>
      <c r="K872" s="413"/>
      <c r="L872" s="413"/>
      <c r="M872" s="413"/>
      <c r="N872" s="414"/>
      <c r="O872" s="412"/>
      <c r="P872" s="412"/>
      <c r="Q872" s="412"/>
      <c r="R872" s="412"/>
      <c r="S872" s="412"/>
      <c r="T872" s="412"/>
      <c r="U872" s="292"/>
      <c r="V872" s="292"/>
      <c r="W872" s="292"/>
      <c r="X872" s="415"/>
      <c r="Y872" s="416"/>
      <c r="Z872" s="417"/>
      <c r="AA872" s="304"/>
      <c r="AB872" s="304"/>
      <c r="AC872" s="304"/>
      <c r="AD872" s="304"/>
      <c r="AE872" s="304"/>
      <c r="AF872" s="304"/>
      <c r="AG872" s="304"/>
      <c r="AH872" s="304"/>
    </row>
    <row r="873">
      <c r="A873" s="292"/>
      <c r="B873" s="292"/>
      <c r="C873" s="292"/>
      <c r="D873" s="412"/>
      <c r="E873" s="412"/>
      <c r="F873" s="412"/>
      <c r="G873" s="412"/>
      <c r="H873" s="412"/>
      <c r="I873" s="412"/>
      <c r="J873" s="412"/>
      <c r="K873" s="413"/>
      <c r="L873" s="413"/>
      <c r="M873" s="413"/>
      <c r="N873" s="414"/>
      <c r="O873" s="412"/>
      <c r="P873" s="412"/>
      <c r="Q873" s="412"/>
      <c r="R873" s="412"/>
      <c r="S873" s="412"/>
      <c r="T873" s="412"/>
      <c r="U873" s="292"/>
      <c r="V873" s="292"/>
      <c r="W873" s="292"/>
      <c r="X873" s="415"/>
      <c r="Y873" s="416"/>
      <c r="Z873" s="417"/>
      <c r="AA873" s="304"/>
      <c r="AB873" s="304"/>
      <c r="AC873" s="304"/>
      <c r="AD873" s="304"/>
      <c r="AE873" s="304"/>
      <c r="AF873" s="304"/>
      <c r="AG873" s="304"/>
      <c r="AH873" s="304"/>
    </row>
    <row r="874">
      <c r="A874" s="292"/>
      <c r="B874" s="292"/>
      <c r="C874" s="292"/>
      <c r="D874" s="412"/>
      <c r="E874" s="412"/>
      <c r="F874" s="412"/>
      <c r="G874" s="412"/>
      <c r="H874" s="412"/>
      <c r="I874" s="412"/>
      <c r="J874" s="412"/>
      <c r="K874" s="413"/>
      <c r="L874" s="413"/>
      <c r="M874" s="413"/>
      <c r="N874" s="414"/>
      <c r="O874" s="412"/>
      <c r="P874" s="412"/>
      <c r="Q874" s="412"/>
      <c r="R874" s="412"/>
      <c r="S874" s="412"/>
      <c r="T874" s="412"/>
      <c r="U874" s="292"/>
      <c r="V874" s="292"/>
      <c r="W874" s="292"/>
      <c r="X874" s="415"/>
      <c r="Y874" s="416"/>
      <c r="Z874" s="417"/>
      <c r="AA874" s="304"/>
      <c r="AB874" s="304"/>
      <c r="AC874" s="304"/>
      <c r="AD874" s="304"/>
      <c r="AE874" s="304"/>
      <c r="AF874" s="304"/>
      <c r="AG874" s="304"/>
      <c r="AH874" s="304"/>
    </row>
    <row r="875">
      <c r="A875" s="292"/>
      <c r="B875" s="292"/>
      <c r="C875" s="292"/>
      <c r="D875" s="412"/>
      <c r="E875" s="412"/>
      <c r="F875" s="412"/>
      <c r="G875" s="412"/>
      <c r="H875" s="412"/>
      <c r="I875" s="412"/>
      <c r="J875" s="412"/>
      <c r="K875" s="413"/>
      <c r="L875" s="413"/>
      <c r="M875" s="413"/>
      <c r="N875" s="414"/>
      <c r="O875" s="412"/>
      <c r="P875" s="412"/>
      <c r="Q875" s="412"/>
      <c r="R875" s="412"/>
      <c r="S875" s="412"/>
      <c r="T875" s="412"/>
      <c r="U875" s="292"/>
      <c r="V875" s="292"/>
      <c r="W875" s="292"/>
      <c r="X875" s="415"/>
      <c r="Y875" s="416"/>
      <c r="Z875" s="417"/>
      <c r="AA875" s="304"/>
      <c r="AB875" s="304"/>
      <c r="AC875" s="304"/>
      <c r="AD875" s="304"/>
      <c r="AE875" s="304"/>
      <c r="AF875" s="304"/>
      <c r="AG875" s="304"/>
      <c r="AH875" s="304"/>
    </row>
    <row r="876">
      <c r="A876" s="292"/>
      <c r="B876" s="292"/>
      <c r="C876" s="292"/>
      <c r="D876" s="412"/>
      <c r="E876" s="412"/>
      <c r="F876" s="412"/>
      <c r="G876" s="412"/>
      <c r="H876" s="412"/>
      <c r="I876" s="412"/>
      <c r="J876" s="412"/>
      <c r="K876" s="413"/>
      <c r="L876" s="413"/>
      <c r="M876" s="413"/>
      <c r="N876" s="414"/>
      <c r="O876" s="412"/>
      <c r="P876" s="412"/>
      <c r="Q876" s="412"/>
      <c r="R876" s="412"/>
      <c r="S876" s="412"/>
      <c r="T876" s="412"/>
      <c r="U876" s="292"/>
      <c r="V876" s="292"/>
      <c r="W876" s="292"/>
      <c r="X876" s="415"/>
      <c r="Y876" s="416"/>
      <c r="Z876" s="417"/>
      <c r="AA876" s="304"/>
      <c r="AB876" s="304"/>
      <c r="AC876" s="304"/>
      <c r="AD876" s="304"/>
      <c r="AE876" s="304"/>
      <c r="AF876" s="304"/>
      <c r="AG876" s="304"/>
      <c r="AH876" s="304"/>
    </row>
    <row r="877">
      <c r="A877" s="292"/>
      <c r="B877" s="292"/>
      <c r="C877" s="292"/>
      <c r="D877" s="412"/>
      <c r="E877" s="412"/>
      <c r="F877" s="412"/>
      <c r="G877" s="412"/>
      <c r="H877" s="412"/>
      <c r="I877" s="412"/>
      <c r="J877" s="412"/>
      <c r="K877" s="413"/>
      <c r="L877" s="413"/>
      <c r="M877" s="413"/>
      <c r="N877" s="414"/>
      <c r="O877" s="412"/>
      <c r="P877" s="412"/>
      <c r="Q877" s="412"/>
      <c r="R877" s="412"/>
      <c r="S877" s="412"/>
      <c r="T877" s="412"/>
      <c r="U877" s="292"/>
      <c r="V877" s="292"/>
      <c r="W877" s="292"/>
      <c r="X877" s="415"/>
      <c r="Y877" s="416"/>
      <c r="Z877" s="417"/>
      <c r="AA877" s="304"/>
      <c r="AB877" s="304"/>
      <c r="AC877" s="304"/>
      <c r="AD877" s="304"/>
      <c r="AE877" s="304"/>
      <c r="AF877" s="304"/>
      <c r="AG877" s="304"/>
      <c r="AH877" s="304"/>
    </row>
    <row r="878">
      <c r="A878" s="292"/>
      <c r="B878" s="292"/>
      <c r="C878" s="292"/>
      <c r="D878" s="412"/>
      <c r="E878" s="412"/>
      <c r="F878" s="412"/>
      <c r="G878" s="412"/>
      <c r="H878" s="412"/>
      <c r="I878" s="412"/>
      <c r="J878" s="412"/>
      <c r="K878" s="413"/>
      <c r="L878" s="413"/>
      <c r="M878" s="413"/>
      <c r="N878" s="414"/>
      <c r="O878" s="412"/>
      <c r="P878" s="412"/>
      <c r="Q878" s="412"/>
      <c r="R878" s="412"/>
      <c r="S878" s="412"/>
      <c r="T878" s="412"/>
      <c r="U878" s="292"/>
      <c r="V878" s="292"/>
      <c r="W878" s="292"/>
      <c r="X878" s="415"/>
      <c r="Y878" s="416"/>
      <c r="Z878" s="417"/>
      <c r="AA878" s="304"/>
      <c r="AB878" s="304"/>
      <c r="AC878" s="304"/>
      <c r="AD878" s="304"/>
      <c r="AE878" s="304"/>
      <c r="AF878" s="304"/>
      <c r="AG878" s="304"/>
      <c r="AH878" s="304"/>
    </row>
    <row r="879">
      <c r="A879" s="292"/>
      <c r="B879" s="292"/>
      <c r="C879" s="292"/>
      <c r="D879" s="412"/>
      <c r="E879" s="412"/>
      <c r="F879" s="412"/>
      <c r="G879" s="412"/>
      <c r="H879" s="412"/>
      <c r="I879" s="412"/>
      <c r="J879" s="412"/>
      <c r="K879" s="413"/>
      <c r="L879" s="413"/>
      <c r="M879" s="413"/>
      <c r="N879" s="414"/>
      <c r="O879" s="412"/>
      <c r="P879" s="412"/>
      <c r="Q879" s="412"/>
      <c r="R879" s="412"/>
      <c r="S879" s="412"/>
      <c r="T879" s="412"/>
      <c r="U879" s="292"/>
      <c r="V879" s="292"/>
      <c r="W879" s="292"/>
      <c r="X879" s="415"/>
      <c r="Y879" s="416"/>
      <c r="Z879" s="417"/>
      <c r="AA879" s="304"/>
      <c r="AB879" s="304"/>
      <c r="AC879" s="304"/>
      <c r="AD879" s="304"/>
      <c r="AE879" s="304"/>
      <c r="AF879" s="304"/>
      <c r="AG879" s="304"/>
      <c r="AH879" s="304"/>
    </row>
    <row r="880">
      <c r="A880" s="292"/>
      <c r="B880" s="292"/>
      <c r="C880" s="292"/>
      <c r="D880" s="412"/>
      <c r="E880" s="412"/>
      <c r="F880" s="412"/>
      <c r="G880" s="412"/>
      <c r="H880" s="412"/>
      <c r="I880" s="412"/>
      <c r="J880" s="412"/>
      <c r="K880" s="413"/>
      <c r="L880" s="413"/>
      <c r="M880" s="413"/>
      <c r="N880" s="414"/>
      <c r="O880" s="412"/>
      <c r="P880" s="412"/>
      <c r="Q880" s="412"/>
      <c r="R880" s="412"/>
      <c r="S880" s="412"/>
      <c r="T880" s="412"/>
      <c r="U880" s="292"/>
      <c r="V880" s="292"/>
      <c r="W880" s="292"/>
      <c r="X880" s="415"/>
      <c r="Y880" s="416"/>
      <c r="Z880" s="417"/>
      <c r="AA880" s="304"/>
      <c r="AB880" s="304"/>
      <c r="AC880" s="304"/>
      <c r="AD880" s="304"/>
      <c r="AE880" s="304"/>
      <c r="AF880" s="304"/>
      <c r="AG880" s="304"/>
      <c r="AH880" s="304"/>
    </row>
    <row r="881">
      <c r="A881" s="292"/>
      <c r="B881" s="292"/>
      <c r="C881" s="292"/>
      <c r="D881" s="412"/>
      <c r="E881" s="412"/>
      <c r="F881" s="412"/>
      <c r="G881" s="412"/>
      <c r="H881" s="412"/>
      <c r="I881" s="412"/>
      <c r="J881" s="412"/>
      <c r="K881" s="413"/>
      <c r="L881" s="413"/>
      <c r="M881" s="413"/>
      <c r="N881" s="414"/>
      <c r="O881" s="412"/>
      <c r="P881" s="412"/>
      <c r="Q881" s="412"/>
      <c r="R881" s="412"/>
      <c r="S881" s="412"/>
      <c r="T881" s="412"/>
      <c r="U881" s="292"/>
      <c r="V881" s="292"/>
      <c r="W881" s="292"/>
      <c r="X881" s="415"/>
      <c r="Y881" s="416"/>
      <c r="Z881" s="417"/>
      <c r="AA881" s="304"/>
      <c r="AB881" s="304"/>
      <c r="AC881" s="304"/>
      <c r="AD881" s="304"/>
      <c r="AE881" s="304"/>
      <c r="AF881" s="304"/>
      <c r="AG881" s="304"/>
      <c r="AH881" s="304"/>
    </row>
    <row r="882">
      <c r="A882" s="292"/>
      <c r="B882" s="292"/>
      <c r="C882" s="292"/>
      <c r="D882" s="412"/>
      <c r="E882" s="412"/>
      <c r="F882" s="412"/>
      <c r="G882" s="412"/>
      <c r="H882" s="412"/>
      <c r="I882" s="412"/>
      <c r="J882" s="412"/>
      <c r="K882" s="413"/>
      <c r="L882" s="413"/>
      <c r="M882" s="413"/>
      <c r="N882" s="414"/>
      <c r="O882" s="412"/>
      <c r="P882" s="412"/>
      <c r="Q882" s="412"/>
      <c r="R882" s="412"/>
      <c r="S882" s="412"/>
      <c r="T882" s="412"/>
      <c r="U882" s="292"/>
      <c r="V882" s="292"/>
      <c r="W882" s="292"/>
      <c r="X882" s="415"/>
      <c r="Y882" s="416"/>
      <c r="Z882" s="417"/>
      <c r="AA882" s="304"/>
      <c r="AB882" s="304"/>
      <c r="AC882" s="304"/>
      <c r="AD882" s="304"/>
      <c r="AE882" s="304"/>
      <c r="AF882" s="304"/>
      <c r="AG882" s="304"/>
      <c r="AH882" s="304"/>
    </row>
    <row r="883">
      <c r="A883" s="292"/>
      <c r="B883" s="292"/>
      <c r="C883" s="292"/>
      <c r="D883" s="412"/>
      <c r="E883" s="412"/>
      <c r="F883" s="412"/>
      <c r="G883" s="412"/>
      <c r="H883" s="412"/>
      <c r="I883" s="412"/>
      <c r="J883" s="412"/>
      <c r="K883" s="413"/>
      <c r="L883" s="413"/>
      <c r="M883" s="413"/>
      <c r="N883" s="414"/>
      <c r="O883" s="412"/>
      <c r="P883" s="412"/>
      <c r="Q883" s="412"/>
      <c r="R883" s="412"/>
      <c r="S883" s="412"/>
      <c r="T883" s="412"/>
      <c r="U883" s="292"/>
      <c r="V883" s="292"/>
      <c r="W883" s="292"/>
      <c r="X883" s="415"/>
      <c r="Y883" s="416"/>
      <c r="Z883" s="417"/>
      <c r="AA883" s="304"/>
      <c r="AB883" s="304"/>
      <c r="AC883" s="304"/>
      <c r="AD883" s="304"/>
      <c r="AE883" s="304"/>
      <c r="AF883" s="304"/>
      <c r="AG883" s="304"/>
      <c r="AH883" s="304"/>
    </row>
    <row r="884">
      <c r="A884" s="292"/>
      <c r="B884" s="292"/>
      <c r="C884" s="292"/>
      <c r="D884" s="412"/>
      <c r="E884" s="412"/>
      <c r="F884" s="412"/>
      <c r="G884" s="412"/>
      <c r="H884" s="412"/>
      <c r="I884" s="412"/>
      <c r="J884" s="412"/>
      <c r="K884" s="413"/>
      <c r="L884" s="413"/>
      <c r="M884" s="413"/>
      <c r="N884" s="414"/>
      <c r="O884" s="412"/>
      <c r="P884" s="412"/>
      <c r="Q884" s="412"/>
      <c r="R884" s="412"/>
      <c r="S884" s="412"/>
      <c r="T884" s="412"/>
      <c r="U884" s="292"/>
      <c r="V884" s="292"/>
      <c r="W884" s="292"/>
      <c r="X884" s="415"/>
      <c r="Y884" s="416"/>
      <c r="Z884" s="417"/>
      <c r="AA884" s="304"/>
      <c r="AB884" s="304"/>
      <c r="AC884" s="304"/>
      <c r="AD884" s="304"/>
      <c r="AE884" s="304"/>
      <c r="AF884" s="304"/>
      <c r="AG884" s="304"/>
      <c r="AH884" s="304"/>
    </row>
    <row r="885">
      <c r="A885" s="292"/>
      <c r="B885" s="292"/>
      <c r="C885" s="292"/>
      <c r="D885" s="412"/>
      <c r="E885" s="412"/>
      <c r="F885" s="412"/>
      <c r="G885" s="412"/>
      <c r="H885" s="412"/>
      <c r="I885" s="412"/>
      <c r="J885" s="412"/>
      <c r="K885" s="413"/>
      <c r="L885" s="413"/>
      <c r="M885" s="413"/>
      <c r="N885" s="414"/>
      <c r="O885" s="412"/>
      <c r="P885" s="412"/>
      <c r="Q885" s="412"/>
      <c r="R885" s="412"/>
      <c r="S885" s="412"/>
      <c r="T885" s="412"/>
      <c r="U885" s="292"/>
      <c r="V885" s="292"/>
      <c r="W885" s="292"/>
      <c r="X885" s="415"/>
      <c r="Y885" s="416"/>
      <c r="Z885" s="417"/>
      <c r="AA885" s="304"/>
      <c r="AB885" s="304"/>
      <c r="AC885" s="304"/>
      <c r="AD885" s="304"/>
      <c r="AE885" s="304"/>
      <c r="AF885" s="304"/>
      <c r="AG885" s="304"/>
      <c r="AH885" s="304"/>
    </row>
    <row r="886">
      <c r="A886" s="292"/>
      <c r="B886" s="292"/>
      <c r="C886" s="292"/>
      <c r="D886" s="412"/>
      <c r="E886" s="412"/>
      <c r="F886" s="412"/>
      <c r="G886" s="412"/>
      <c r="H886" s="412"/>
      <c r="I886" s="412"/>
      <c r="J886" s="412"/>
      <c r="K886" s="413"/>
      <c r="L886" s="413"/>
      <c r="M886" s="413"/>
      <c r="N886" s="414"/>
      <c r="O886" s="412"/>
      <c r="P886" s="412"/>
      <c r="Q886" s="412"/>
      <c r="R886" s="412"/>
      <c r="S886" s="412"/>
      <c r="T886" s="412"/>
      <c r="U886" s="292"/>
      <c r="V886" s="292"/>
      <c r="W886" s="292"/>
      <c r="X886" s="415"/>
      <c r="Y886" s="416"/>
      <c r="Z886" s="417"/>
      <c r="AA886" s="304"/>
      <c r="AB886" s="304"/>
      <c r="AC886" s="304"/>
      <c r="AD886" s="304"/>
      <c r="AE886" s="304"/>
      <c r="AF886" s="304"/>
      <c r="AG886" s="304"/>
      <c r="AH886" s="304"/>
    </row>
    <row r="887">
      <c r="A887" s="292"/>
      <c r="B887" s="292"/>
      <c r="C887" s="292"/>
      <c r="D887" s="412"/>
      <c r="E887" s="412"/>
      <c r="F887" s="412"/>
      <c r="G887" s="412"/>
      <c r="H887" s="412"/>
      <c r="I887" s="412"/>
      <c r="J887" s="412"/>
      <c r="K887" s="413"/>
      <c r="L887" s="413"/>
      <c r="M887" s="413"/>
      <c r="N887" s="414"/>
      <c r="O887" s="412"/>
      <c r="P887" s="412"/>
      <c r="Q887" s="412"/>
      <c r="R887" s="412"/>
      <c r="S887" s="412"/>
      <c r="T887" s="412"/>
      <c r="U887" s="292"/>
      <c r="V887" s="292"/>
      <c r="W887" s="292"/>
      <c r="X887" s="415"/>
      <c r="Y887" s="416"/>
      <c r="Z887" s="417"/>
      <c r="AA887" s="304"/>
      <c r="AB887" s="304"/>
      <c r="AC887" s="304"/>
      <c r="AD887" s="304"/>
      <c r="AE887" s="304"/>
      <c r="AF887" s="304"/>
      <c r="AG887" s="304"/>
      <c r="AH887" s="304"/>
    </row>
    <row r="888">
      <c r="A888" s="292"/>
      <c r="B888" s="292"/>
      <c r="C888" s="292"/>
      <c r="D888" s="412"/>
      <c r="E888" s="412"/>
      <c r="F888" s="412"/>
      <c r="G888" s="412"/>
      <c r="H888" s="412"/>
      <c r="I888" s="412"/>
      <c r="J888" s="412"/>
      <c r="K888" s="413"/>
      <c r="L888" s="413"/>
      <c r="M888" s="413"/>
      <c r="N888" s="414"/>
      <c r="O888" s="412"/>
      <c r="P888" s="412"/>
      <c r="Q888" s="412"/>
      <c r="R888" s="412"/>
      <c r="S888" s="412"/>
      <c r="T888" s="412"/>
      <c r="U888" s="292"/>
      <c r="V888" s="292"/>
      <c r="W888" s="292"/>
      <c r="X888" s="415"/>
      <c r="Y888" s="416"/>
      <c r="Z888" s="417"/>
      <c r="AA888" s="304"/>
      <c r="AB888" s="304"/>
      <c r="AC888" s="304"/>
      <c r="AD888" s="304"/>
      <c r="AE888" s="304"/>
      <c r="AF888" s="304"/>
      <c r="AG888" s="304"/>
      <c r="AH888" s="304"/>
    </row>
    <row r="889">
      <c r="A889" s="292"/>
      <c r="B889" s="292"/>
      <c r="C889" s="292"/>
      <c r="D889" s="412"/>
      <c r="E889" s="412"/>
      <c r="F889" s="412"/>
      <c r="G889" s="412"/>
      <c r="H889" s="412"/>
      <c r="I889" s="412"/>
      <c r="J889" s="412"/>
      <c r="K889" s="413"/>
      <c r="L889" s="413"/>
      <c r="M889" s="413"/>
      <c r="N889" s="414"/>
      <c r="O889" s="412"/>
      <c r="P889" s="412"/>
      <c r="Q889" s="412"/>
      <c r="R889" s="412"/>
      <c r="S889" s="412"/>
      <c r="T889" s="412"/>
      <c r="U889" s="292"/>
      <c r="V889" s="292"/>
      <c r="W889" s="292"/>
      <c r="X889" s="415"/>
      <c r="Y889" s="416"/>
      <c r="Z889" s="417"/>
      <c r="AA889" s="304"/>
      <c r="AB889" s="304"/>
      <c r="AC889" s="304"/>
      <c r="AD889" s="304"/>
      <c r="AE889" s="304"/>
      <c r="AF889" s="304"/>
      <c r="AG889" s="304"/>
      <c r="AH889" s="304"/>
    </row>
    <row r="890">
      <c r="A890" s="292"/>
      <c r="B890" s="292"/>
      <c r="C890" s="292"/>
      <c r="D890" s="412"/>
      <c r="E890" s="412"/>
      <c r="F890" s="412"/>
      <c r="G890" s="412"/>
      <c r="H890" s="412"/>
      <c r="I890" s="412"/>
      <c r="J890" s="412"/>
      <c r="K890" s="413"/>
      <c r="L890" s="413"/>
      <c r="M890" s="413"/>
      <c r="N890" s="414"/>
      <c r="O890" s="412"/>
      <c r="P890" s="412"/>
      <c r="Q890" s="412"/>
      <c r="R890" s="412"/>
      <c r="S890" s="412"/>
      <c r="T890" s="412"/>
      <c r="U890" s="292"/>
      <c r="V890" s="292"/>
      <c r="W890" s="292"/>
      <c r="X890" s="415"/>
      <c r="Y890" s="416"/>
      <c r="Z890" s="417"/>
      <c r="AA890" s="304"/>
      <c r="AB890" s="304"/>
      <c r="AC890" s="304"/>
      <c r="AD890" s="304"/>
      <c r="AE890" s="304"/>
      <c r="AF890" s="304"/>
      <c r="AG890" s="304"/>
      <c r="AH890" s="304"/>
    </row>
    <row r="891">
      <c r="A891" s="292"/>
      <c r="B891" s="292"/>
      <c r="C891" s="292"/>
      <c r="D891" s="412"/>
      <c r="E891" s="412"/>
      <c r="F891" s="412"/>
      <c r="G891" s="412"/>
      <c r="H891" s="412"/>
      <c r="I891" s="412"/>
      <c r="J891" s="412"/>
      <c r="K891" s="413"/>
      <c r="L891" s="413"/>
      <c r="M891" s="413"/>
      <c r="N891" s="414"/>
      <c r="O891" s="412"/>
      <c r="P891" s="412"/>
      <c r="Q891" s="412"/>
      <c r="R891" s="412"/>
      <c r="S891" s="412"/>
      <c r="T891" s="412"/>
      <c r="U891" s="292"/>
      <c r="V891" s="292"/>
      <c r="W891" s="292"/>
      <c r="X891" s="415"/>
      <c r="Y891" s="416"/>
      <c r="Z891" s="417"/>
      <c r="AA891" s="304"/>
      <c r="AB891" s="304"/>
      <c r="AC891" s="304"/>
      <c r="AD891" s="304"/>
      <c r="AE891" s="304"/>
      <c r="AF891" s="304"/>
      <c r="AG891" s="304"/>
      <c r="AH891" s="304"/>
    </row>
    <row r="892">
      <c r="A892" s="292"/>
      <c r="B892" s="292"/>
      <c r="C892" s="292"/>
      <c r="D892" s="412"/>
      <c r="E892" s="412"/>
      <c r="F892" s="412"/>
      <c r="G892" s="412"/>
      <c r="H892" s="412"/>
      <c r="I892" s="412"/>
      <c r="J892" s="412"/>
      <c r="K892" s="413"/>
      <c r="L892" s="413"/>
      <c r="M892" s="413"/>
      <c r="N892" s="414"/>
      <c r="O892" s="412"/>
      <c r="P892" s="412"/>
      <c r="Q892" s="412"/>
      <c r="R892" s="412"/>
      <c r="S892" s="412"/>
      <c r="T892" s="412"/>
      <c r="U892" s="292"/>
      <c r="V892" s="292"/>
      <c r="W892" s="292"/>
      <c r="X892" s="415"/>
      <c r="Y892" s="416"/>
      <c r="Z892" s="417"/>
      <c r="AA892" s="304"/>
      <c r="AB892" s="304"/>
      <c r="AC892" s="304"/>
      <c r="AD892" s="304"/>
      <c r="AE892" s="304"/>
      <c r="AF892" s="304"/>
      <c r="AG892" s="304"/>
      <c r="AH892" s="304"/>
    </row>
    <row r="893">
      <c r="A893" s="292"/>
      <c r="B893" s="292"/>
      <c r="C893" s="292"/>
      <c r="D893" s="412"/>
      <c r="E893" s="412"/>
      <c r="F893" s="412"/>
      <c r="G893" s="412"/>
      <c r="H893" s="412"/>
      <c r="I893" s="412"/>
      <c r="J893" s="412"/>
      <c r="K893" s="413"/>
      <c r="L893" s="413"/>
      <c r="M893" s="413"/>
      <c r="N893" s="414"/>
      <c r="O893" s="412"/>
      <c r="P893" s="412"/>
      <c r="Q893" s="412"/>
      <c r="R893" s="412"/>
      <c r="S893" s="412"/>
      <c r="T893" s="412"/>
      <c r="U893" s="292"/>
      <c r="V893" s="292"/>
      <c r="W893" s="292"/>
      <c r="X893" s="415"/>
      <c r="Y893" s="416"/>
      <c r="Z893" s="417"/>
      <c r="AA893" s="304"/>
      <c r="AB893" s="304"/>
      <c r="AC893" s="304"/>
      <c r="AD893" s="304"/>
      <c r="AE893" s="304"/>
      <c r="AF893" s="304"/>
      <c r="AG893" s="304"/>
      <c r="AH893" s="304"/>
    </row>
    <row r="894">
      <c r="A894" s="292"/>
      <c r="B894" s="292"/>
      <c r="C894" s="292"/>
      <c r="D894" s="412"/>
      <c r="E894" s="412"/>
      <c r="F894" s="412"/>
      <c r="G894" s="412"/>
      <c r="H894" s="412"/>
      <c r="I894" s="412"/>
      <c r="J894" s="412"/>
      <c r="K894" s="413"/>
      <c r="L894" s="413"/>
      <c r="M894" s="413"/>
      <c r="N894" s="414"/>
      <c r="O894" s="412"/>
      <c r="P894" s="412"/>
      <c r="Q894" s="412"/>
      <c r="R894" s="412"/>
      <c r="S894" s="412"/>
      <c r="T894" s="412"/>
      <c r="U894" s="292"/>
      <c r="V894" s="292"/>
      <c r="W894" s="292"/>
      <c r="X894" s="415"/>
      <c r="Y894" s="416"/>
      <c r="Z894" s="417"/>
      <c r="AA894" s="304"/>
      <c r="AB894" s="304"/>
      <c r="AC894" s="304"/>
      <c r="AD894" s="304"/>
      <c r="AE894" s="304"/>
      <c r="AF894" s="304"/>
      <c r="AG894" s="304"/>
      <c r="AH894" s="304"/>
    </row>
    <row r="895">
      <c r="A895" s="292"/>
      <c r="B895" s="292"/>
      <c r="C895" s="292"/>
      <c r="D895" s="412"/>
      <c r="E895" s="412"/>
      <c r="F895" s="412"/>
      <c r="G895" s="412"/>
      <c r="H895" s="412"/>
      <c r="I895" s="412"/>
      <c r="J895" s="412"/>
      <c r="K895" s="413"/>
      <c r="L895" s="413"/>
      <c r="M895" s="413"/>
      <c r="N895" s="414"/>
      <c r="O895" s="412"/>
      <c r="P895" s="412"/>
      <c r="Q895" s="412"/>
      <c r="R895" s="412"/>
      <c r="S895" s="412"/>
      <c r="T895" s="412"/>
      <c r="U895" s="292"/>
      <c r="V895" s="292"/>
      <c r="W895" s="292"/>
      <c r="X895" s="415"/>
      <c r="Y895" s="416"/>
      <c r="Z895" s="417"/>
      <c r="AA895" s="304"/>
      <c r="AB895" s="304"/>
      <c r="AC895" s="304"/>
      <c r="AD895" s="304"/>
      <c r="AE895" s="304"/>
      <c r="AF895" s="304"/>
      <c r="AG895" s="304"/>
      <c r="AH895" s="304"/>
    </row>
    <row r="896">
      <c r="A896" s="292"/>
      <c r="B896" s="292"/>
      <c r="C896" s="292"/>
      <c r="D896" s="412"/>
      <c r="E896" s="412"/>
      <c r="F896" s="412"/>
      <c r="G896" s="412"/>
      <c r="H896" s="412"/>
      <c r="I896" s="412"/>
      <c r="J896" s="412"/>
      <c r="K896" s="413"/>
      <c r="L896" s="413"/>
      <c r="M896" s="413"/>
      <c r="N896" s="414"/>
      <c r="O896" s="412"/>
      <c r="P896" s="412"/>
      <c r="Q896" s="412"/>
      <c r="R896" s="412"/>
      <c r="S896" s="412"/>
      <c r="T896" s="412"/>
      <c r="U896" s="292"/>
      <c r="V896" s="292"/>
      <c r="W896" s="292"/>
      <c r="X896" s="415"/>
      <c r="Y896" s="416"/>
      <c r="Z896" s="417"/>
      <c r="AA896" s="304"/>
      <c r="AB896" s="304"/>
      <c r="AC896" s="304"/>
      <c r="AD896" s="304"/>
      <c r="AE896" s="304"/>
      <c r="AF896" s="304"/>
      <c r="AG896" s="304"/>
      <c r="AH896" s="304"/>
    </row>
    <row r="897">
      <c r="A897" s="292"/>
      <c r="B897" s="292"/>
      <c r="C897" s="292"/>
      <c r="D897" s="412"/>
      <c r="E897" s="412"/>
      <c r="F897" s="412"/>
      <c r="G897" s="412"/>
      <c r="H897" s="412"/>
      <c r="I897" s="412"/>
      <c r="J897" s="412"/>
      <c r="K897" s="413"/>
      <c r="L897" s="413"/>
      <c r="M897" s="413"/>
      <c r="N897" s="414"/>
      <c r="O897" s="412"/>
      <c r="P897" s="412"/>
      <c r="Q897" s="412"/>
      <c r="R897" s="412"/>
      <c r="S897" s="412"/>
      <c r="T897" s="412"/>
      <c r="U897" s="292"/>
      <c r="V897" s="292"/>
      <c r="W897" s="292"/>
      <c r="X897" s="415"/>
      <c r="Y897" s="416"/>
      <c r="Z897" s="417"/>
      <c r="AA897" s="304"/>
      <c r="AB897" s="304"/>
      <c r="AC897" s="304"/>
      <c r="AD897" s="304"/>
      <c r="AE897" s="304"/>
      <c r="AF897" s="304"/>
      <c r="AG897" s="304"/>
      <c r="AH897" s="304"/>
    </row>
    <row r="898">
      <c r="A898" s="292"/>
      <c r="B898" s="292"/>
      <c r="C898" s="292"/>
      <c r="D898" s="412"/>
      <c r="E898" s="412"/>
      <c r="F898" s="412"/>
      <c r="G898" s="412"/>
      <c r="H898" s="412"/>
      <c r="I898" s="412"/>
      <c r="J898" s="412"/>
      <c r="K898" s="413"/>
      <c r="L898" s="413"/>
      <c r="M898" s="413"/>
      <c r="N898" s="414"/>
      <c r="O898" s="412"/>
      <c r="P898" s="412"/>
      <c r="Q898" s="412"/>
      <c r="R898" s="412"/>
      <c r="S898" s="412"/>
      <c r="T898" s="412"/>
      <c r="U898" s="292"/>
      <c r="V898" s="292"/>
      <c r="W898" s="292"/>
      <c r="X898" s="415"/>
      <c r="Y898" s="416"/>
      <c r="Z898" s="417"/>
      <c r="AA898" s="304"/>
      <c r="AB898" s="304"/>
      <c r="AC898" s="304"/>
      <c r="AD898" s="304"/>
      <c r="AE898" s="304"/>
      <c r="AF898" s="304"/>
      <c r="AG898" s="304"/>
      <c r="AH898" s="304"/>
    </row>
    <row r="899">
      <c r="A899" s="292"/>
      <c r="B899" s="292"/>
      <c r="C899" s="292"/>
      <c r="D899" s="412"/>
      <c r="E899" s="412"/>
      <c r="F899" s="412"/>
      <c r="G899" s="412"/>
      <c r="H899" s="412"/>
      <c r="I899" s="412"/>
      <c r="J899" s="412"/>
      <c r="K899" s="413"/>
      <c r="L899" s="413"/>
      <c r="M899" s="413"/>
      <c r="N899" s="414"/>
      <c r="O899" s="412"/>
      <c r="P899" s="412"/>
      <c r="Q899" s="412"/>
      <c r="R899" s="412"/>
      <c r="S899" s="412"/>
      <c r="T899" s="412"/>
      <c r="U899" s="292"/>
      <c r="V899" s="292"/>
      <c r="W899" s="292"/>
      <c r="X899" s="415"/>
      <c r="Y899" s="416"/>
      <c r="Z899" s="417"/>
      <c r="AA899" s="304"/>
      <c r="AB899" s="304"/>
      <c r="AC899" s="304"/>
      <c r="AD899" s="304"/>
      <c r="AE899" s="304"/>
      <c r="AF899" s="304"/>
      <c r="AG899" s="304"/>
      <c r="AH899" s="304"/>
    </row>
    <row r="900">
      <c r="A900" s="292"/>
      <c r="B900" s="292"/>
      <c r="C900" s="292"/>
      <c r="D900" s="412"/>
      <c r="E900" s="412"/>
      <c r="F900" s="412"/>
      <c r="G900" s="412"/>
      <c r="H900" s="412"/>
      <c r="I900" s="412"/>
      <c r="J900" s="412"/>
      <c r="K900" s="413"/>
      <c r="L900" s="413"/>
      <c r="M900" s="413"/>
      <c r="N900" s="414"/>
      <c r="O900" s="412"/>
      <c r="P900" s="412"/>
      <c r="Q900" s="412"/>
      <c r="R900" s="412"/>
      <c r="S900" s="412"/>
      <c r="T900" s="412"/>
      <c r="U900" s="292"/>
      <c r="V900" s="292"/>
      <c r="W900" s="292"/>
      <c r="X900" s="415"/>
      <c r="Y900" s="416"/>
      <c r="Z900" s="417"/>
      <c r="AA900" s="304"/>
      <c r="AB900" s="304"/>
      <c r="AC900" s="304"/>
      <c r="AD900" s="304"/>
      <c r="AE900" s="304"/>
      <c r="AF900" s="304"/>
      <c r="AG900" s="304"/>
      <c r="AH900" s="304"/>
    </row>
    <row r="901">
      <c r="A901" s="292"/>
      <c r="B901" s="292"/>
      <c r="C901" s="292"/>
      <c r="D901" s="412"/>
      <c r="E901" s="412"/>
      <c r="F901" s="412"/>
      <c r="G901" s="412"/>
      <c r="H901" s="412"/>
      <c r="I901" s="412"/>
      <c r="J901" s="412"/>
      <c r="K901" s="413"/>
      <c r="L901" s="413"/>
      <c r="M901" s="413"/>
      <c r="N901" s="414"/>
      <c r="O901" s="412"/>
      <c r="P901" s="412"/>
      <c r="Q901" s="412"/>
      <c r="R901" s="412"/>
      <c r="S901" s="412"/>
      <c r="T901" s="412"/>
      <c r="U901" s="292"/>
      <c r="V901" s="292"/>
      <c r="W901" s="292"/>
      <c r="X901" s="415"/>
      <c r="Y901" s="416"/>
      <c r="Z901" s="417"/>
      <c r="AA901" s="304"/>
      <c r="AB901" s="304"/>
      <c r="AC901" s="304"/>
      <c r="AD901" s="304"/>
      <c r="AE901" s="304"/>
      <c r="AF901" s="304"/>
      <c r="AG901" s="304"/>
      <c r="AH901" s="304"/>
    </row>
    <row r="902">
      <c r="A902" s="292"/>
      <c r="B902" s="292"/>
      <c r="C902" s="292"/>
      <c r="D902" s="412"/>
      <c r="E902" s="412"/>
      <c r="F902" s="412"/>
      <c r="G902" s="412"/>
      <c r="H902" s="412"/>
      <c r="I902" s="412"/>
      <c r="J902" s="412"/>
      <c r="K902" s="413"/>
      <c r="L902" s="413"/>
      <c r="M902" s="413"/>
      <c r="N902" s="414"/>
      <c r="O902" s="412"/>
      <c r="P902" s="412"/>
      <c r="Q902" s="412"/>
      <c r="R902" s="412"/>
      <c r="S902" s="412"/>
      <c r="T902" s="412"/>
      <c r="U902" s="292"/>
      <c r="V902" s="292"/>
      <c r="W902" s="292"/>
      <c r="X902" s="415"/>
      <c r="Y902" s="416"/>
      <c r="Z902" s="417"/>
      <c r="AA902" s="304"/>
      <c r="AB902" s="304"/>
      <c r="AC902" s="304"/>
      <c r="AD902" s="304"/>
      <c r="AE902" s="304"/>
      <c r="AF902" s="304"/>
      <c r="AG902" s="304"/>
      <c r="AH902" s="304"/>
    </row>
    <row r="903">
      <c r="A903" s="292"/>
      <c r="B903" s="292"/>
      <c r="C903" s="292"/>
      <c r="D903" s="412"/>
      <c r="E903" s="412"/>
      <c r="F903" s="412"/>
      <c r="G903" s="412"/>
      <c r="H903" s="412"/>
      <c r="I903" s="412"/>
      <c r="J903" s="412"/>
      <c r="K903" s="413"/>
      <c r="L903" s="413"/>
      <c r="M903" s="413"/>
      <c r="N903" s="414"/>
      <c r="O903" s="412"/>
      <c r="P903" s="412"/>
      <c r="Q903" s="412"/>
      <c r="R903" s="412"/>
      <c r="S903" s="412"/>
      <c r="T903" s="412"/>
      <c r="U903" s="292"/>
      <c r="V903" s="292"/>
      <c r="W903" s="292"/>
      <c r="X903" s="415"/>
      <c r="Y903" s="416"/>
      <c r="Z903" s="417"/>
      <c r="AA903" s="304"/>
      <c r="AB903" s="304"/>
      <c r="AC903" s="304"/>
      <c r="AD903" s="304"/>
      <c r="AE903" s="304"/>
      <c r="AF903" s="304"/>
      <c r="AG903" s="304"/>
      <c r="AH903" s="304"/>
    </row>
    <row r="904">
      <c r="A904" s="292"/>
      <c r="B904" s="292"/>
      <c r="C904" s="292"/>
      <c r="D904" s="412"/>
      <c r="E904" s="412"/>
      <c r="F904" s="412"/>
      <c r="G904" s="412"/>
      <c r="H904" s="412"/>
      <c r="I904" s="412"/>
      <c r="J904" s="412"/>
      <c r="K904" s="413"/>
      <c r="L904" s="413"/>
      <c r="M904" s="413"/>
      <c r="N904" s="414"/>
      <c r="O904" s="412"/>
      <c r="P904" s="412"/>
      <c r="Q904" s="412"/>
      <c r="R904" s="412"/>
      <c r="S904" s="412"/>
      <c r="T904" s="412"/>
      <c r="U904" s="292"/>
      <c r="V904" s="292"/>
      <c r="W904" s="292"/>
      <c r="X904" s="415"/>
      <c r="Y904" s="416"/>
      <c r="Z904" s="417"/>
      <c r="AA904" s="304"/>
      <c r="AB904" s="304"/>
      <c r="AC904" s="304"/>
      <c r="AD904" s="304"/>
      <c r="AE904" s="304"/>
      <c r="AF904" s="304"/>
      <c r="AG904" s="304"/>
      <c r="AH904" s="304"/>
    </row>
    <row r="905">
      <c r="A905" s="292"/>
      <c r="B905" s="292"/>
      <c r="C905" s="292"/>
      <c r="D905" s="412"/>
      <c r="E905" s="412"/>
      <c r="F905" s="412"/>
      <c r="G905" s="412"/>
      <c r="H905" s="412"/>
      <c r="I905" s="412"/>
      <c r="J905" s="412"/>
      <c r="K905" s="413"/>
      <c r="L905" s="413"/>
      <c r="M905" s="413"/>
      <c r="N905" s="414"/>
      <c r="O905" s="412"/>
      <c r="P905" s="412"/>
      <c r="Q905" s="412"/>
      <c r="R905" s="412"/>
      <c r="S905" s="412"/>
      <c r="T905" s="412"/>
      <c r="U905" s="292"/>
      <c r="V905" s="292"/>
      <c r="W905" s="292"/>
      <c r="X905" s="415"/>
      <c r="Y905" s="416"/>
      <c r="Z905" s="417"/>
      <c r="AA905" s="304"/>
      <c r="AB905" s="304"/>
      <c r="AC905" s="304"/>
      <c r="AD905" s="304"/>
      <c r="AE905" s="304"/>
      <c r="AF905" s="304"/>
      <c r="AG905" s="304"/>
      <c r="AH905" s="304"/>
    </row>
    <row r="906">
      <c r="A906" s="292"/>
      <c r="B906" s="292"/>
      <c r="C906" s="292"/>
      <c r="D906" s="412"/>
      <c r="E906" s="412"/>
      <c r="F906" s="412"/>
      <c r="G906" s="412"/>
      <c r="H906" s="412"/>
      <c r="I906" s="412"/>
      <c r="J906" s="412"/>
      <c r="K906" s="413"/>
      <c r="L906" s="413"/>
      <c r="M906" s="413"/>
      <c r="N906" s="414"/>
      <c r="O906" s="412"/>
      <c r="P906" s="412"/>
      <c r="Q906" s="412"/>
      <c r="R906" s="412"/>
      <c r="S906" s="412"/>
      <c r="T906" s="412"/>
      <c r="U906" s="292"/>
      <c r="V906" s="292"/>
      <c r="W906" s="292"/>
      <c r="X906" s="415"/>
      <c r="Y906" s="416"/>
      <c r="Z906" s="417"/>
      <c r="AA906" s="304"/>
      <c r="AB906" s="304"/>
      <c r="AC906" s="304"/>
      <c r="AD906" s="304"/>
      <c r="AE906" s="304"/>
      <c r="AF906" s="304"/>
      <c r="AG906" s="304"/>
      <c r="AH906" s="304"/>
    </row>
    <row r="907">
      <c r="A907" s="292"/>
      <c r="B907" s="292"/>
      <c r="C907" s="292"/>
      <c r="D907" s="412"/>
      <c r="E907" s="412"/>
      <c r="F907" s="412"/>
      <c r="G907" s="412"/>
      <c r="H907" s="412"/>
      <c r="I907" s="412"/>
      <c r="J907" s="412"/>
      <c r="K907" s="413"/>
      <c r="L907" s="413"/>
      <c r="M907" s="413"/>
      <c r="N907" s="414"/>
      <c r="O907" s="412"/>
      <c r="P907" s="412"/>
      <c r="Q907" s="412"/>
      <c r="R907" s="412"/>
      <c r="S907" s="412"/>
      <c r="T907" s="412"/>
      <c r="U907" s="292"/>
      <c r="V907" s="292"/>
      <c r="W907" s="292"/>
      <c r="X907" s="415"/>
      <c r="Y907" s="416"/>
      <c r="Z907" s="417"/>
      <c r="AA907" s="304"/>
      <c r="AB907" s="304"/>
      <c r="AC907" s="304"/>
      <c r="AD907" s="304"/>
      <c r="AE907" s="304"/>
      <c r="AF907" s="304"/>
      <c r="AG907" s="304"/>
      <c r="AH907" s="304"/>
    </row>
    <row r="908">
      <c r="A908" s="292"/>
      <c r="B908" s="292"/>
      <c r="C908" s="292"/>
      <c r="D908" s="412"/>
      <c r="E908" s="412"/>
      <c r="F908" s="412"/>
      <c r="G908" s="412"/>
      <c r="H908" s="412"/>
      <c r="I908" s="412"/>
      <c r="J908" s="412"/>
      <c r="K908" s="413"/>
      <c r="L908" s="413"/>
      <c r="M908" s="413"/>
      <c r="N908" s="414"/>
      <c r="O908" s="412"/>
      <c r="P908" s="412"/>
      <c r="Q908" s="412"/>
      <c r="R908" s="412"/>
      <c r="S908" s="412"/>
      <c r="T908" s="412"/>
      <c r="U908" s="292"/>
      <c r="V908" s="292"/>
      <c r="W908" s="292"/>
      <c r="X908" s="415"/>
      <c r="Y908" s="416"/>
      <c r="Z908" s="417"/>
      <c r="AA908" s="304"/>
      <c r="AB908" s="304"/>
      <c r="AC908" s="304"/>
      <c r="AD908" s="304"/>
      <c r="AE908" s="304"/>
      <c r="AF908" s="304"/>
      <c r="AG908" s="304"/>
      <c r="AH908" s="304"/>
    </row>
    <row r="909">
      <c r="A909" s="292"/>
      <c r="B909" s="292"/>
      <c r="C909" s="292"/>
      <c r="D909" s="412"/>
      <c r="E909" s="412"/>
      <c r="F909" s="412"/>
      <c r="G909" s="412"/>
      <c r="H909" s="412"/>
      <c r="I909" s="412"/>
      <c r="J909" s="412"/>
      <c r="K909" s="413"/>
      <c r="L909" s="413"/>
      <c r="M909" s="413"/>
      <c r="N909" s="414"/>
      <c r="O909" s="412"/>
      <c r="P909" s="412"/>
      <c r="Q909" s="412"/>
      <c r="R909" s="412"/>
      <c r="S909" s="412"/>
      <c r="T909" s="412"/>
      <c r="U909" s="292"/>
      <c r="V909" s="292"/>
      <c r="W909" s="292"/>
      <c r="X909" s="415"/>
      <c r="Y909" s="416"/>
      <c r="Z909" s="417"/>
      <c r="AA909" s="304"/>
      <c r="AB909" s="304"/>
      <c r="AC909" s="304"/>
      <c r="AD909" s="304"/>
      <c r="AE909" s="304"/>
      <c r="AF909" s="304"/>
      <c r="AG909" s="304"/>
      <c r="AH909" s="304"/>
    </row>
    <row r="910">
      <c r="A910" s="292"/>
      <c r="B910" s="292"/>
      <c r="C910" s="292"/>
      <c r="D910" s="412"/>
      <c r="E910" s="412"/>
      <c r="F910" s="412"/>
      <c r="G910" s="412"/>
      <c r="H910" s="412"/>
      <c r="I910" s="412"/>
      <c r="J910" s="412"/>
      <c r="K910" s="413"/>
      <c r="L910" s="413"/>
      <c r="M910" s="413"/>
      <c r="N910" s="414"/>
      <c r="O910" s="412"/>
      <c r="P910" s="412"/>
      <c r="Q910" s="412"/>
      <c r="R910" s="412"/>
      <c r="S910" s="412"/>
      <c r="T910" s="412"/>
      <c r="U910" s="292"/>
      <c r="V910" s="292"/>
      <c r="W910" s="292"/>
      <c r="X910" s="415"/>
      <c r="Y910" s="416"/>
      <c r="Z910" s="417"/>
      <c r="AA910" s="304"/>
      <c r="AB910" s="304"/>
      <c r="AC910" s="304"/>
      <c r="AD910" s="304"/>
      <c r="AE910" s="304"/>
      <c r="AF910" s="304"/>
      <c r="AG910" s="304"/>
      <c r="AH910" s="304"/>
    </row>
    <row r="911">
      <c r="A911" s="292"/>
      <c r="B911" s="292"/>
      <c r="C911" s="292"/>
      <c r="D911" s="412"/>
      <c r="E911" s="412"/>
      <c r="F911" s="412"/>
      <c r="G911" s="412"/>
      <c r="H911" s="412"/>
      <c r="I911" s="412"/>
      <c r="J911" s="412"/>
      <c r="K911" s="413"/>
      <c r="L911" s="413"/>
      <c r="M911" s="413"/>
      <c r="N911" s="414"/>
      <c r="O911" s="412"/>
      <c r="P911" s="412"/>
      <c r="Q911" s="412"/>
      <c r="R911" s="412"/>
      <c r="S911" s="412"/>
      <c r="T911" s="412"/>
      <c r="U911" s="292"/>
      <c r="V911" s="292"/>
      <c r="W911" s="292"/>
      <c r="X911" s="415"/>
      <c r="Y911" s="416"/>
      <c r="Z911" s="417"/>
      <c r="AA911" s="304"/>
      <c r="AB911" s="304"/>
      <c r="AC911" s="304"/>
      <c r="AD911" s="304"/>
      <c r="AE911" s="304"/>
      <c r="AF911" s="304"/>
      <c r="AG911" s="304"/>
      <c r="AH911" s="304"/>
    </row>
    <row r="912">
      <c r="A912" s="292"/>
      <c r="B912" s="292"/>
      <c r="C912" s="292"/>
      <c r="D912" s="412"/>
      <c r="E912" s="412"/>
      <c r="F912" s="412"/>
      <c r="G912" s="412"/>
      <c r="H912" s="412"/>
      <c r="I912" s="412"/>
      <c r="J912" s="412"/>
      <c r="K912" s="413"/>
      <c r="L912" s="413"/>
      <c r="M912" s="413"/>
      <c r="N912" s="414"/>
      <c r="O912" s="412"/>
      <c r="P912" s="412"/>
      <c r="Q912" s="412"/>
      <c r="R912" s="412"/>
      <c r="S912" s="412"/>
      <c r="T912" s="412"/>
      <c r="U912" s="292"/>
      <c r="V912" s="292"/>
      <c r="W912" s="292"/>
      <c r="X912" s="415"/>
      <c r="Y912" s="416"/>
      <c r="Z912" s="417"/>
      <c r="AA912" s="304"/>
      <c r="AB912" s="304"/>
      <c r="AC912" s="304"/>
      <c r="AD912" s="304"/>
      <c r="AE912" s="304"/>
      <c r="AF912" s="304"/>
      <c r="AG912" s="304"/>
      <c r="AH912" s="304"/>
    </row>
    <row r="913">
      <c r="A913" s="292"/>
      <c r="B913" s="292"/>
      <c r="C913" s="292"/>
      <c r="D913" s="412"/>
      <c r="E913" s="412"/>
      <c r="F913" s="412"/>
      <c r="G913" s="412"/>
      <c r="H913" s="412"/>
      <c r="I913" s="412"/>
      <c r="J913" s="412"/>
      <c r="K913" s="413"/>
      <c r="L913" s="413"/>
      <c r="M913" s="413"/>
      <c r="N913" s="414"/>
      <c r="O913" s="412"/>
      <c r="P913" s="412"/>
      <c r="Q913" s="412"/>
      <c r="R913" s="412"/>
      <c r="S913" s="412"/>
      <c r="T913" s="412"/>
      <c r="U913" s="292"/>
      <c r="V913" s="292"/>
      <c r="W913" s="292"/>
      <c r="X913" s="415"/>
      <c r="Y913" s="416"/>
      <c r="Z913" s="417"/>
      <c r="AA913" s="304"/>
      <c r="AB913" s="304"/>
      <c r="AC913" s="304"/>
      <c r="AD913" s="304"/>
      <c r="AE913" s="304"/>
      <c r="AF913" s="304"/>
      <c r="AG913" s="304"/>
      <c r="AH913" s="304"/>
    </row>
    <row r="914">
      <c r="A914" s="292"/>
      <c r="B914" s="292"/>
      <c r="C914" s="292"/>
      <c r="D914" s="412"/>
      <c r="E914" s="412"/>
      <c r="F914" s="412"/>
      <c r="G914" s="412"/>
      <c r="H914" s="412"/>
      <c r="I914" s="412"/>
      <c r="J914" s="412"/>
      <c r="K914" s="413"/>
      <c r="L914" s="413"/>
      <c r="M914" s="413"/>
      <c r="N914" s="414"/>
      <c r="O914" s="412"/>
      <c r="P914" s="412"/>
      <c r="Q914" s="412"/>
      <c r="R914" s="412"/>
      <c r="S914" s="412"/>
      <c r="T914" s="412"/>
      <c r="U914" s="292"/>
      <c r="V914" s="292"/>
      <c r="W914" s="292"/>
      <c r="X914" s="415"/>
      <c r="Y914" s="416"/>
      <c r="Z914" s="417"/>
      <c r="AA914" s="304"/>
      <c r="AB914" s="304"/>
      <c r="AC914" s="304"/>
      <c r="AD914" s="304"/>
      <c r="AE914" s="304"/>
      <c r="AF914" s="304"/>
      <c r="AG914" s="304"/>
      <c r="AH914" s="304"/>
    </row>
    <row r="915">
      <c r="A915" s="292"/>
      <c r="B915" s="292"/>
      <c r="C915" s="292"/>
      <c r="D915" s="412"/>
      <c r="E915" s="412"/>
      <c r="F915" s="412"/>
      <c r="G915" s="412"/>
      <c r="H915" s="412"/>
      <c r="I915" s="412"/>
      <c r="J915" s="412"/>
      <c r="K915" s="413"/>
      <c r="L915" s="413"/>
      <c r="M915" s="413"/>
      <c r="N915" s="414"/>
      <c r="O915" s="412"/>
      <c r="P915" s="412"/>
      <c r="Q915" s="412"/>
      <c r="R915" s="412"/>
      <c r="S915" s="412"/>
      <c r="T915" s="412"/>
      <c r="U915" s="292"/>
      <c r="V915" s="292"/>
      <c r="W915" s="292"/>
      <c r="X915" s="415"/>
      <c r="Y915" s="416"/>
      <c r="Z915" s="417"/>
      <c r="AA915" s="304"/>
      <c r="AB915" s="304"/>
      <c r="AC915" s="304"/>
      <c r="AD915" s="304"/>
      <c r="AE915" s="304"/>
      <c r="AF915" s="304"/>
      <c r="AG915" s="304"/>
      <c r="AH915" s="304"/>
    </row>
    <row r="916">
      <c r="A916" s="292"/>
      <c r="B916" s="292"/>
      <c r="C916" s="292"/>
      <c r="D916" s="412"/>
      <c r="E916" s="412"/>
      <c r="F916" s="412"/>
      <c r="G916" s="412"/>
      <c r="H916" s="412"/>
      <c r="I916" s="412"/>
      <c r="J916" s="412"/>
      <c r="K916" s="413"/>
      <c r="L916" s="413"/>
      <c r="M916" s="413"/>
      <c r="N916" s="414"/>
      <c r="O916" s="412"/>
      <c r="P916" s="412"/>
      <c r="Q916" s="412"/>
      <c r="R916" s="412"/>
      <c r="S916" s="412"/>
      <c r="T916" s="412"/>
      <c r="U916" s="292"/>
      <c r="V916" s="292"/>
      <c r="W916" s="292"/>
      <c r="X916" s="415"/>
      <c r="Y916" s="416"/>
      <c r="Z916" s="417"/>
      <c r="AA916" s="304"/>
      <c r="AB916" s="304"/>
      <c r="AC916" s="304"/>
      <c r="AD916" s="304"/>
      <c r="AE916" s="304"/>
      <c r="AF916" s="304"/>
      <c r="AG916" s="304"/>
      <c r="AH916" s="304"/>
    </row>
    <row r="917">
      <c r="A917" s="292"/>
      <c r="B917" s="292"/>
      <c r="C917" s="292"/>
      <c r="D917" s="412"/>
      <c r="E917" s="412"/>
      <c r="F917" s="412"/>
      <c r="G917" s="412"/>
      <c r="H917" s="412"/>
      <c r="I917" s="412"/>
      <c r="J917" s="412"/>
      <c r="K917" s="413"/>
      <c r="L917" s="413"/>
      <c r="M917" s="413"/>
      <c r="N917" s="414"/>
      <c r="O917" s="412"/>
      <c r="P917" s="412"/>
      <c r="Q917" s="412"/>
      <c r="R917" s="412"/>
      <c r="S917" s="412"/>
      <c r="T917" s="412"/>
      <c r="U917" s="292"/>
      <c r="V917" s="292"/>
      <c r="W917" s="292"/>
      <c r="X917" s="415"/>
      <c r="Y917" s="416"/>
      <c r="Z917" s="417"/>
      <c r="AA917" s="304"/>
      <c r="AB917" s="304"/>
      <c r="AC917" s="304"/>
      <c r="AD917" s="304"/>
      <c r="AE917" s="304"/>
      <c r="AF917" s="304"/>
      <c r="AG917" s="304"/>
      <c r="AH917" s="304"/>
    </row>
    <row r="918">
      <c r="A918" s="292"/>
      <c r="B918" s="292"/>
      <c r="C918" s="292"/>
      <c r="D918" s="412"/>
      <c r="E918" s="412"/>
      <c r="F918" s="412"/>
      <c r="G918" s="412"/>
      <c r="H918" s="412"/>
      <c r="I918" s="412"/>
      <c r="J918" s="412"/>
      <c r="K918" s="413"/>
      <c r="L918" s="413"/>
      <c r="M918" s="413"/>
      <c r="N918" s="414"/>
      <c r="O918" s="412"/>
      <c r="P918" s="412"/>
      <c r="Q918" s="412"/>
      <c r="R918" s="412"/>
      <c r="S918" s="412"/>
      <c r="T918" s="412"/>
      <c r="U918" s="292"/>
      <c r="V918" s="292"/>
      <c r="W918" s="292"/>
      <c r="X918" s="415"/>
      <c r="Y918" s="416"/>
      <c r="Z918" s="417"/>
      <c r="AA918" s="304"/>
      <c r="AB918" s="304"/>
      <c r="AC918" s="304"/>
      <c r="AD918" s="304"/>
      <c r="AE918" s="304"/>
      <c r="AF918" s="304"/>
      <c r="AG918" s="304"/>
      <c r="AH918" s="304"/>
    </row>
    <row r="919">
      <c r="A919" s="292"/>
      <c r="B919" s="292"/>
      <c r="C919" s="292"/>
      <c r="D919" s="412"/>
      <c r="E919" s="412"/>
      <c r="F919" s="412"/>
      <c r="G919" s="412"/>
      <c r="H919" s="412"/>
      <c r="I919" s="412"/>
      <c r="J919" s="412"/>
      <c r="K919" s="413"/>
      <c r="L919" s="413"/>
      <c r="M919" s="413"/>
      <c r="N919" s="414"/>
      <c r="O919" s="412"/>
      <c r="P919" s="412"/>
      <c r="Q919" s="412"/>
      <c r="R919" s="412"/>
      <c r="S919" s="412"/>
      <c r="T919" s="412"/>
      <c r="U919" s="292"/>
      <c r="V919" s="292"/>
      <c r="W919" s="292"/>
      <c r="X919" s="415"/>
      <c r="Y919" s="416"/>
      <c r="Z919" s="417"/>
      <c r="AA919" s="304"/>
      <c r="AB919" s="304"/>
      <c r="AC919" s="304"/>
      <c r="AD919" s="304"/>
      <c r="AE919" s="304"/>
      <c r="AF919" s="304"/>
      <c r="AG919" s="304"/>
      <c r="AH919" s="304"/>
    </row>
    <row r="920">
      <c r="A920" s="292"/>
      <c r="B920" s="292"/>
      <c r="C920" s="292"/>
      <c r="D920" s="412"/>
      <c r="E920" s="412"/>
      <c r="F920" s="412"/>
      <c r="G920" s="412"/>
      <c r="H920" s="412"/>
      <c r="I920" s="412"/>
      <c r="J920" s="412"/>
      <c r="K920" s="413"/>
      <c r="L920" s="413"/>
      <c r="M920" s="413"/>
      <c r="N920" s="414"/>
      <c r="O920" s="412"/>
      <c r="P920" s="412"/>
      <c r="Q920" s="412"/>
      <c r="R920" s="412"/>
      <c r="S920" s="412"/>
      <c r="T920" s="412"/>
      <c r="U920" s="292"/>
      <c r="V920" s="292"/>
      <c r="W920" s="292"/>
      <c r="X920" s="415"/>
      <c r="Y920" s="416"/>
      <c r="Z920" s="417"/>
      <c r="AA920" s="304"/>
      <c r="AB920" s="304"/>
      <c r="AC920" s="304"/>
      <c r="AD920" s="304"/>
      <c r="AE920" s="304"/>
      <c r="AF920" s="304"/>
      <c r="AG920" s="304"/>
      <c r="AH920" s="304"/>
    </row>
    <row r="921">
      <c r="A921" s="292"/>
      <c r="B921" s="292"/>
      <c r="C921" s="292"/>
      <c r="D921" s="412"/>
      <c r="E921" s="412"/>
      <c r="F921" s="412"/>
      <c r="G921" s="412"/>
      <c r="H921" s="412"/>
      <c r="I921" s="412"/>
      <c r="J921" s="412"/>
      <c r="K921" s="413"/>
      <c r="L921" s="413"/>
      <c r="M921" s="413"/>
      <c r="N921" s="414"/>
      <c r="O921" s="412"/>
      <c r="P921" s="412"/>
      <c r="Q921" s="412"/>
      <c r="R921" s="412"/>
      <c r="S921" s="412"/>
      <c r="T921" s="412"/>
      <c r="U921" s="292"/>
      <c r="V921" s="292"/>
      <c r="W921" s="292"/>
      <c r="X921" s="415"/>
      <c r="Y921" s="416"/>
      <c r="Z921" s="417"/>
      <c r="AA921" s="304"/>
      <c r="AB921" s="304"/>
      <c r="AC921" s="304"/>
      <c r="AD921" s="304"/>
      <c r="AE921" s="304"/>
      <c r="AF921" s="304"/>
      <c r="AG921" s="304"/>
      <c r="AH921" s="304"/>
    </row>
    <row r="922">
      <c r="A922" s="292"/>
      <c r="B922" s="292"/>
      <c r="C922" s="292"/>
      <c r="D922" s="412"/>
      <c r="E922" s="412"/>
      <c r="F922" s="412"/>
      <c r="G922" s="412"/>
      <c r="H922" s="412"/>
      <c r="I922" s="412"/>
      <c r="J922" s="412"/>
      <c r="K922" s="413"/>
      <c r="L922" s="413"/>
      <c r="M922" s="413"/>
      <c r="N922" s="414"/>
      <c r="O922" s="412"/>
      <c r="P922" s="412"/>
      <c r="Q922" s="412"/>
      <c r="R922" s="412"/>
      <c r="S922" s="412"/>
      <c r="T922" s="412"/>
      <c r="U922" s="292"/>
      <c r="V922" s="292"/>
      <c r="W922" s="292"/>
      <c r="X922" s="415"/>
      <c r="Y922" s="416"/>
      <c r="Z922" s="417"/>
      <c r="AA922" s="304"/>
      <c r="AB922" s="304"/>
      <c r="AC922" s="304"/>
      <c r="AD922" s="304"/>
      <c r="AE922" s="304"/>
      <c r="AF922" s="304"/>
      <c r="AG922" s="304"/>
      <c r="AH922" s="304"/>
    </row>
    <row r="923">
      <c r="A923" s="292"/>
      <c r="B923" s="292"/>
      <c r="C923" s="292"/>
      <c r="D923" s="412"/>
      <c r="E923" s="412"/>
      <c r="F923" s="412"/>
      <c r="G923" s="412"/>
      <c r="H923" s="412"/>
      <c r="I923" s="412"/>
      <c r="J923" s="412"/>
      <c r="K923" s="413"/>
      <c r="L923" s="413"/>
      <c r="M923" s="413"/>
      <c r="N923" s="414"/>
      <c r="O923" s="412"/>
      <c r="P923" s="412"/>
      <c r="Q923" s="412"/>
      <c r="R923" s="412"/>
      <c r="S923" s="412"/>
      <c r="T923" s="412"/>
      <c r="U923" s="292"/>
      <c r="V923" s="292"/>
      <c r="W923" s="292"/>
      <c r="X923" s="415"/>
      <c r="Y923" s="416"/>
      <c r="Z923" s="417"/>
      <c r="AA923" s="304"/>
      <c r="AB923" s="304"/>
      <c r="AC923" s="304"/>
      <c r="AD923" s="304"/>
      <c r="AE923" s="304"/>
      <c r="AF923" s="304"/>
      <c r="AG923" s="304"/>
      <c r="AH923" s="304"/>
    </row>
    <row r="924">
      <c r="A924" s="292"/>
      <c r="B924" s="292"/>
      <c r="C924" s="292"/>
      <c r="D924" s="412"/>
      <c r="E924" s="412"/>
      <c r="F924" s="412"/>
      <c r="G924" s="412"/>
      <c r="H924" s="412"/>
      <c r="I924" s="412"/>
      <c r="J924" s="412"/>
      <c r="K924" s="413"/>
      <c r="L924" s="413"/>
      <c r="M924" s="413"/>
      <c r="N924" s="414"/>
      <c r="O924" s="412"/>
      <c r="P924" s="412"/>
      <c r="Q924" s="412"/>
      <c r="R924" s="412"/>
      <c r="S924" s="412"/>
      <c r="T924" s="412"/>
      <c r="U924" s="292"/>
      <c r="V924" s="292"/>
      <c r="W924" s="292"/>
      <c r="X924" s="415"/>
      <c r="Y924" s="416"/>
      <c r="Z924" s="417"/>
      <c r="AA924" s="304"/>
      <c r="AB924" s="304"/>
      <c r="AC924" s="304"/>
      <c r="AD924" s="304"/>
      <c r="AE924" s="304"/>
      <c r="AF924" s="304"/>
      <c r="AG924" s="304"/>
      <c r="AH924" s="304"/>
    </row>
    <row r="925">
      <c r="A925" s="292"/>
      <c r="B925" s="292"/>
      <c r="C925" s="292"/>
      <c r="D925" s="412"/>
      <c r="E925" s="412"/>
      <c r="F925" s="412"/>
      <c r="G925" s="412"/>
      <c r="H925" s="412"/>
      <c r="I925" s="412"/>
      <c r="J925" s="412"/>
      <c r="K925" s="413"/>
      <c r="L925" s="413"/>
      <c r="M925" s="413"/>
      <c r="N925" s="414"/>
      <c r="O925" s="412"/>
      <c r="P925" s="412"/>
      <c r="Q925" s="412"/>
      <c r="R925" s="412"/>
      <c r="S925" s="412"/>
      <c r="T925" s="412"/>
      <c r="U925" s="292"/>
      <c r="V925" s="292"/>
      <c r="W925" s="292"/>
      <c r="X925" s="415"/>
      <c r="Y925" s="416"/>
      <c r="Z925" s="417"/>
      <c r="AA925" s="304"/>
      <c r="AB925" s="304"/>
      <c r="AC925" s="304"/>
      <c r="AD925" s="304"/>
      <c r="AE925" s="304"/>
      <c r="AF925" s="304"/>
      <c r="AG925" s="304"/>
      <c r="AH925" s="304"/>
    </row>
    <row r="926">
      <c r="A926" s="292"/>
      <c r="B926" s="292"/>
      <c r="C926" s="292"/>
      <c r="D926" s="412"/>
      <c r="E926" s="412"/>
      <c r="F926" s="412"/>
      <c r="G926" s="412"/>
      <c r="H926" s="412"/>
      <c r="I926" s="412"/>
      <c r="J926" s="412"/>
      <c r="K926" s="413"/>
      <c r="L926" s="413"/>
      <c r="M926" s="413"/>
      <c r="N926" s="414"/>
      <c r="O926" s="412"/>
      <c r="P926" s="412"/>
      <c r="Q926" s="412"/>
      <c r="R926" s="412"/>
      <c r="S926" s="412"/>
      <c r="T926" s="412"/>
      <c r="U926" s="292"/>
      <c r="V926" s="292"/>
      <c r="W926" s="292"/>
      <c r="X926" s="415"/>
      <c r="Y926" s="416"/>
      <c r="Z926" s="417"/>
      <c r="AA926" s="304"/>
      <c r="AB926" s="304"/>
      <c r="AC926" s="304"/>
      <c r="AD926" s="304"/>
      <c r="AE926" s="304"/>
      <c r="AF926" s="304"/>
      <c r="AG926" s="304"/>
      <c r="AH926" s="304"/>
    </row>
    <row r="927">
      <c r="A927" s="292"/>
      <c r="B927" s="292"/>
      <c r="C927" s="292"/>
      <c r="D927" s="412"/>
      <c r="E927" s="412"/>
      <c r="F927" s="412"/>
      <c r="G927" s="412"/>
      <c r="H927" s="412"/>
      <c r="I927" s="412"/>
      <c r="J927" s="412"/>
      <c r="K927" s="413"/>
      <c r="L927" s="413"/>
      <c r="M927" s="413"/>
      <c r="N927" s="414"/>
      <c r="O927" s="412"/>
      <c r="P927" s="412"/>
      <c r="Q927" s="412"/>
      <c r="R927" s="412"/>
      <c r="S927" s="412"/>
      <c r="T927" s="412"/>
      <c r="U927" s="292"/>
      <c r="V927" s="292"/>
      <c r="W927" s="292"/>
      <c r="X927" s="415"/>
      <c r="Y927" s="416"/>
      <c r="Z927" s="417"/>
      <c r="AA927" s="304"/>
      <c r="AB927" s="304"/>
      <c r="AC927" s="304"/>
      <c r="AD927" s="304"/>
      <c r="AE927" s="304"/>
      <c r="AF927" s="304"/>
      <c r="AG927" s="304"/>
      <c r="AH927" s="304"/>
    </row>
    <row r="928">
      <c r="A928" s="292"/>
      <c r="B928" s="292"/>
      <c r="C928" s="292"/>
      <c r="D928" s="412"/>
      <c r="E928" s="412"/>
      <c r="F928" s="412"/>
      <c r="G928" s="412"/>
      <c r="H928" s="412"/>
      <c r="I928" s="412"/>
      <c r="J928" s="412"/>
      <c r="K928" s="413"/>
      <c r="L928" s="413"/>
      <c r="M928" s="413"/>
      <c r="N928" s="414"/>
      <c r="O928" s="412"/>
      <c r="P928" s="412"/>
      <c r="Q928" s="412"/>
      <c r="R928" s="412"/>
      <c r="S928" s="412"/>
      <c r="T928" s="412"/>
      <c r="U928" s="292"/>
      <c r="V928" s="292"/>
      <c r="W928" s="292"/>
      <c r="X928" s="415"/>
      <c r="Y928" s="416"/>
      <c r="Z928" s="417"/>
      <c r="AA928" s="304"/>
      <c r="AB928" s="304"/>
      <c r="AC928" s="304"/>
      <c r="AD928" s="304"/>
      <c r="AE928" s="304"/>
      <c r="AF928" s="304"/>
      <c r="AG928" s="304"/>
      <c r="AH928" s="304"/>
    </row>
    <row r="929">
      <c r="A929" s="292"/>
      <c r="B929" s="292"/>
      <c r="C929" s="292"/>
      <c r="D929" s="412"/>
      <c r="E929" s="412"/>
      <c r="F929" s="412"/>
      <c r="G929" s="412"/>
      <c r="H929" s="412"/>
      <c r="I929" s="412"/>
      <c r="J929" s="412"/>
      <c r="K929" s="413"/>
      <c r="L929" s="413"/>
      <c r="M929" s="413"/>
      <c r="N929" s="414"/>
      <c r="O929" s="412"/>
      <c r="P929" s="412"/>
      <c r="Q929" s="412"/>
      <c r="R929" s="412"/>
      <c r="S929" s="412"/>
      <c r="T929" s="412"/>
      <c r="U929" s="292"/>
      <c r="V929" s="292"/>
      <c r="W929" s="292"/>
      <c r="X929" s="415"/>
      <c r="Y929" s="416"/>
      <c r="Z929" s="417"/>
      <c r="AA929" s="304"/>
      <c r="AB929" s="304"/>
      <c r="AC929" s="304"/>
      <c r="AD929" s="304"/>
      <c r="AE929" s="304"/>
      <c r="AF929" s="304"/>
      <c r="AG929" s="304"/>
      <c r="AH929" s="304"/>
    </row>
    <row r="930">
      <c r="A930" s="292"/>
      <c r="B930" s="292"/>
      <c r="C930" s="292"/>
      <c r="D930" s="412"/>
      <c r="E930" s="412"/>
      <c r="F930" s="412"/>
      <c r="G930" s="412"/>
      <c r="H930" s="412"/>
      <c r="I930" s="412"/>
      <c r="J930" s="412"/>
      <c r="K930" s="413"/>
      <c r="L930" s="413"/>
      <c r="M930" s="413"/>
      <c r="N930" s="414"/>
      <c r="O930" s="412"/>
      <c r="P930" s="412"/>
      <c r="Q930" s="412"/>
      <c r="R930" s="412"/>
      <c r="S930" s="412"/>
      <c r="T930" s="412"/>
      <c r="U930" s="292"/>
      <c r="V930" s="292"/>
      <c r="W930" s="292"/>
      <c r="X930" s="415"/>
      <c r="Y930" s="416"/>
      <c r="Z930" s="417"/>
      <c r="AA930" s="304"/>
      <c r="AB930" s="304"/>
      <c r="AC930" s="304"/>
      <c r="AD930" s="304"/>
      <c r="AE930" s="304"/>
      <c r="AF930" s="304"/>
      <c r="AG930" s="304"/>
      <c r="AH930" s="304"/>
    </row>
    <row r="931">
      <c r="A931" s="292"/>
      <c r="B931" s="292"/>
      <c r="C931" s="292"/>
      <c r="D931" s="412"/>
      <c r="E931" s="412"/>
      <c r="F931" s="412"/>
      <c r="G931" s="412"/>
      <c r="H931" s="412"/>
      <c r="I931" s="412"/>
      <c r="J931" s="412"/>
      <c r="K931" s="413"/>
      <c r="L931" s="413"/>
      <c r="M931" s="413"/>
      <c r="N931" s="414"/>
      <c r="O931" s="412"/>
      <c r="P931" s="412"/>
      <c r="Q931" s="412"/>
      <c r="R931" s="412"/>
      <c r="S931" s="412"/>
      <c r="T931" s="412"/>
      <c r="U931" s="292"/>
      <c r="V931" s="292"/>
      <c r="W931" s="292"/>
      <c r="X931" s="415"/>
      <c r="Y931" s="416"/>
      <c r="Z931" s="417"/>
      <c r="AA931" s="304"/>
      <c r="AB931" s="304"/>
      <c r="AC931" s="304"/>
      <c r="AD931" s="304"/>
      <c r="AE931" s="304"/>
      <c r="AF931" s="304"/>
      <c r="AG931" s="304"/>
      <c r="AH931" s="304"/>
    </row>
    <row r="932">
      <c r="A932" s="292"/>
      <c r="B932" s="292"/>
      <c r="C932" s="292"/>
      <c r="D932" s="412"/>
      <c r="E932" s="412"/>
      <c r="F932" s="412"/>
      <c r="G932" s="412"/>
      <c r="H932" s="412"/>
      <c r="I932" s="412"/>
      <c r="J932" s="412"/>
      <c r="K932" s="413"/>
      <c r="L932" s="413"/>
      <c r="M932" s="413"/>
      <c r="N932" s="414"/>
      <c r="O932" s="412"/>
      <c r="P932" s="412"/>
      <c r="Q932" s="412"/>
      <c r="R932" s="412"/>
      <c r="S932" s="412"/>
      <c r="T932" s="412"/>
      <c r="U932" s="292"/>
      <c r="V932" s="292"/>
      <c r="W932" s="292"/>
      <c r="X932" s="415"/>
      <c r="Y932" s="416"/>
      <c r="Z932" s="417"/>
      <c r="AA932" s="304"/>
      <c r="AB932" s="304"/>
      <c r="AC932" s="304"/>
      <c r="AD932" s="304"/>
      <c r="AE932" s="304"/>
      <c r="AF932" s="304"/>
      <c r="AG932" s="304"/>
      <c r="AH932" s="304"/>
    </row>
    <row r="933">
      <c r="A933" s="292"/>
      <c r="B933" s="292"/>
      <c r="C933" s="292"/>
      <c r="D933" s="412"/>
      <c r="E933" s="412"/>
      <c r="F933" s="412"/>
      <c r="G933" s="412"/>
      <c r="H933" s="412"/>
      <c r="I933" s="412"/>
      <c r="J933" s="412"/>
      <c r="K933" s="413"/>
      <c r="L933" s="413"/>
      <c r="M933" s="413"/>
      <c r="N933" s="414"/>
      <c r="O933" s="412"/>
      <c r="P933" s="412"/>
      <c r="Q933" s="412"/>
      <c r="R933" s="412"/>
      <c r="S933" s="412"/>
      <c r="T933" s="412"/>
      <c r="U933" s="292"/>
      <c r="V933" s="292"/>
      <c r="W933" s="292"/>
      <c r="X933" s="415"/>
      <c r="Y933" s="416"/>
      <c r="Z933" s="417"/>
      <c r="AA933" s="304"/>
      <c r="AB933" s="304"/>
      <c r="AC933" s="304"/>
      <c r="AD933" s="304"/>
      <c r="AE933" s="304"/>
      <c r="AF933" s="304"/>
      <c r="AG933" s="304"/>
      <c r="AH933" s="304"/>
    </row>
    <row r="934">
      <c r="A934" s="292"/>
      <c r="B934" s="292"/>
      <c r="C934" s="292"/>
      <c r="D934" s="412"/>
      <c r="E934" s="412"/>
      <c r="F934" s="412"/>
      <c r="G934" s="412"/>
      <c r="H934" s="412"/>
      <c r="I934" s="412"/>
      <c r="J934" s="412"/>
      <c r="K934" s="413"/>
      <c r="L934" s="413"/>
      <c r="M934" s="413"/>
      <c r="N934" s="414"/>
      <c r="O934" s="412"/>
      <c r="P934" s="412"/>
      <c r="Q934" s="412"/>
      <c r="R934" s="412"/>
      <c r="S934" s="412"/>
      <c r="T934" s="412"/>
      <c r="U934" s="292"/>
      <c r="V934" s="292"/>
      <c r="W934" s="292"/>
      <c r="X934" s="415"/>
      <c r="Y934" s="416"/>
      <c r="Z934" s="417"/>
      <c r="AA934" s="304"/>
      <c r="AB934" s="304"/>
      <c r="AC934" s="304"/>
      <c r="AD934" s="304"/>
      <c r="AE934" s="304"/>
      <c r="AF934" s="304"/>
      <c r="AG934" s="304"/>
      <c r="AH934" s="304"/>
    </row>
    <row r="935">
      <c r="A935" s="292"/>
      <c r="B935" s="292"/>
      <c r="C935" s="292"/>
      <c r="D935" s="412"/>
      <c r="E935" s="412"/>
      <c r="F935" s="412"/>
      <c r="G935" s="412"/>
      <c r="H935" s="412"/>
      <c r="I935" s="412"/>
      <c r="J935" s="412"/>
      <c r="K935" s="413"/>
      <c r="L935" s="413"/>
      <c r="M935" s="413"/>
      <c r="N935" s="414"/>
      <c r="O935" s="412"/>
      <c r="P935" s="412"/>
      <c r="Q935" s="412"/>
      <c r="R935" s="412"/>
      <c r="S935" s="412"/>
      <c r="T935" s="412"/>
      <c r="U935" s="292"/>
      <c r="V935" s="292"/>
      <c r="W935" s="292"/>
      <c r="X935" s="415"/>
      <c r="Y935" s="416"/>
      <c r="Z935" s="417"/>
      <c r="AA935" s="304"/>
      <c r="AB935" s="304"/>
      <c r="AC935" s="304"/>
      <c r="AD935" s="304"/>
      <c r="AE935" s="304"/>
      <c r="AF935" s="304"/>
      <c r="AG935" s="304"/>
      <c r="AH935" s="304"/>
    </row>
    <row r="936">
      <c r="A936" s="292"/>
      <c r="B936" s="292"/>
      <c r="C936" s="292"/>
      <c r="D936" s="412"/>
      <c r="E936" s="412"/>
      <c r="F936" s="412"/>
      <c r="G936" s="412"/>
      <c r="H936" s="412"/>
      <c r="I936" s="412"/>
      <c r="J936" s="412"/>
      <c r="K936" s="413"/>
      <c r="L936" s="413"/>
      <c r="M936" s="413"/>
      <c r="N936" s="414"/>
      <c r="O936" s="412"/>
      <c r="P936" s="412"/>
      <c r="Q936" s="412"/>
      <c r="R936" s="412"/>
      <c r="S936" s="412"/>
      <c r="T936" s="412"/>
      <c r="U936" s="292"/>
      <c r="V936" s="292"/>
      <c r="W936" s="292"/>
      <c r="X936" s="415"/>
      <c r="Y936" s="416"/>
      <c r="Z936" s="417"/>
      <c r="AA936" s="304"/>
      <c r="AB936" s="304"/>
      <c r="AC936" s="304"/>
      <c r="AD936" s="304"/>
      <c r="AE936" s="304"/>
      <c r="AF936" s="304"/>
      <c r="AG936" s="304"/>
      <c r="AH936" s="304"/>
    </row>
    <row r="937">
      <c r="A937" s="292"/>
      <c r="B937" s="292"/>
      <c r="C937" s="292"/>
      <c r="D937" s="412"/>
      <c r="E937" s="412"/>
      <c r="F937" s="412"/>
      <c r="G937" s="412"/>
      <c r="H937" s="412"/>
      <c r="I937" s="412"/>
      <c r="J937" s="412"/>
      <c r="K937" s="413"/>
      <c r="L937" s="413"/>
      <c r="M937" s="413"/>
      <c r="N937" s="414"/>
      <c r="O937" s="412"/>
      <c r="P937" s="412"/>
      <c r="Q937" s="412"/>
      <c r="R937" s="412"/>
      <c r="S937" s="412"/>
      <c r="T937" s="412"/>
      <c r="U937" s="292"/>
      <c r="V937" s="292"/>
      <c r="W937" s="292"/>
      <c r="X937" s="415"/>
      <c r="Y937" s="416"/>
      <c r="Z937" s="417"/>
      <c r="AA937" s="304"/>
      <c r="AB937" s="304"/>
      <c r="AC937" s="304"/>
      <c r="AD937" s="304"/>
      <c r="AE937" s="304"/>
      <c r="AF937" s="304"/>
      <c r="AG937" s="304"/>
      <c r="AH937" s="304"/>
    </row>
    <row r="938">
      <c r="A938" s="292"/>
      <c r="B938" s="292"/>
      <c r="C938" s="292"/>
      <c r="D938" s="412"/>
      <c r="E938" s="412"/>
      <c r="F938" s="412"/>
      <c r="G938" s="412"/>
      <c r="H938" s="412"/>
      <c r="I938" s="412"/>
      <c r="J938" s="412"/>
      <c r="K938" s="413"/>
      <c r="L938" s="413"/>
      <c r="M938" s="413"/>
      <c r="N938" s="414"/>
      <c r="O938" s="412"/>
      <c r="P938" s="412"/>
      <c r="Q938" s="412"/>
      <c r="R938" s="412"/>
      <c r="S938" s="412"/>
      <c r="T938" s="412"/>
      <c r="U938" s="292"/>
      <c r="V938" s="292"/>
      <c r="W938" s="292"/>
      <c r="X938" s="415"/>
      <c r="Y938" s="416"/>
      <c r="Z938" s="417"/>
      <c r="AA938" s="304"/>
      <c r="AB938" s="304"/>
      <c r="AC938" s="304"/>
      <c r="AD938" s="304"/>
      <c r="AE938" s="304"/>
      <c r="AF938" s="304"/>
      <c r="AG938" s="304"/>
      <c r="AH938" s="304"/>
    </row>
    <row r="939">
      <c r="A939" s="292"/>
      <c r="B939" s="292"/>
      <c r="C939" s="292"/>
      <c r="D939" s="412"/>
      <c r="E939" s="412"/>
      <c r="F939" s="412"/>
      <c r="G939" s="412"/>
      <c r="H939" s="412"/>
      <c r="I939" s="412"/>
      <c r="J939" s="412"/>
      <c r="K939" s="413"/>
      <c r="L939" s="413"/>
      <c r="M939" s="413"/>
      <c r="N939" s="414"/>
      <c r="O939" s="412"/>
      <c r="P939" s="412"/>
      <c r="Q939" s="412"/>
      <c r="R939" s="412"/>
      <c r="S939" s="412"/>
      <c r="T939" s="412"/>
      <c r="U939" s="292"/>
      <c r="V939" s="292"/>
      <c r="W939" s="292"/>
      <c r="X939" s="415"/>
      <c r="Y939" s="416"/>
      <c r="Z939" s="417"/>
      <c r="AA939" s="304"/>
      <c r="AB939" s="304"/>
      <c r="AC939" s="304"/>
      <c r="AD939" s="304"/>
      <c r="AE939" s="304"/>
      <c r="AF939" s="304"/>
      <c r="AG939" s="304"/>
      <c r="AH939" s="304"/>
    </row>
    <row r="940">
      <c r="A940" s="292"/>
      <c r="B940" s="292"/>
      <c r="C940" s="292"/>
      <c r="D940" s="412"/>
      <c r="E940" s="412"/>
      <c r="F940" s="412"/>
      <c r="G940" s="412"/>
      <c r="H940" s="412"/>
      <c r="I940" s="412"/>
      <c r="J940" s="412"/>
      <c r="K940" s="413"/>
      <c r="L940" s="413"/>
      <c r="M940" s="413"/>
      <c r="N940" s="414"/>
      <c r="O940" s="412"/>
      <c r="P940" s="412"/>
      <c r="Q940" s="412"/>
      <c r="R940" s="412"/>
      <c r="S940" s="412"/>
      <c r="T940" s="412"/>
      <c r="U940" s="292"/>
      <c r="V940" s="292"/>
      <c r="W940" s="292"/>
      <c r="X940" s="415"/>
      <c r="Y940" s="416"/>
      <c r="Z940" s="417"/>
      <c r="AA940" s="304"/>
      <c r="AB940" s="304"/>
      <c r="AC940" s="304"/>
      <c r="AD940" s="304"/>
      <c r="AE940" s="304"/>
      <c r="AF940" s="304"/>
      <c r="AG940" s="304"/>
      <c r="AH940" s="304"/>
    </row>
    <row r="941">
      <c r="A941" s="292"/>
      <c r="B941" s="292"/>
      <c r="C941" s="292"/>
      <c r="D941" s="412"/>
      <c r="E941" s="412"/>
      <c r="F941" s="412"/>
      <c r="G941" s="412"/>
      <c r="H941" s="412"/>
      <c r="I941" s="412"/>
      <c r="J941" s="412"/>
      <c r="K941" s="413"/>
      <c r="L941" s="413"/>
      <c r="M941" s="413"/>
      <c r="N941" s="414"/>
      <c r="O941" s="412"/>
      <c r="P941" s="412"/>
      <c r="Q941" s="412"/>
      <c r="R941" s="412"/>
      <c r="S941" s="412"/>
      <c r="T941" s="412"/>
      <c r="U941" s="292"/>
      <c r="V941" s="292"/>
      <c r="W941" s="292"/>
      <c r="X941" s="415"/>
      <c r="Y941" s="416"/>
      <c r="Z941" s="417"/>
      <c r="AA941" s="304"/>
      <c r="AB941" s="304"/>
      <c r="AC941" s="304"/>
      <c r="AD941" s="304"/>
      <c r="AE941" s="304"/>
      <c r="AF941" s="304"/>
      <c r="AG941" s="304"/>
      <c r="AH941" s="304"/>
    </row>
    <row r="942">
      <c r="A942" s="292"/>
      <c r="B942" s="292"/>
      <c r="C942" s="292"/>
      <c r="D942" s="412"/>
      <c r="E942" s="412"/>
      <c r="F942" s="412"/>
      <c r="G942" s="412"/>
      <c r="H942" s="412"/>
      <c r="I942" s="412"/>
      <c r="J942" s="412"/>
      <c r="K942" s="413"/>
      <c r="L942" s="413"/>
      <c r="M942" s="413"/>
      <c r="N942" s="414"/>
      <c r="O942" s="412"/>
      <c r="P942" s="412"/>
      <c r="Q942" s="412"/>
      <c r="R942" s="412"/>
      <c r="S942" s="412"/>
      <c r="T942" s="412"/>
      <c r="U942" s="292"/>
      <c r="V942" s="292"/>
      <c r="W942" s="292"/>
      <c r="X942" s="415"/>
      <c r="Y942" s="416"/>
      <c r="Z942" s="417"/>
      <c r="AA942" s="304"/>
      <c r="AB942" s="304"/>
      <c r="AC942" s="304"/>
      <c r="AD942" s="304"/>
      <c r="AE942" s="304"/>
      <c r="AF942" s="304"/>
      <c r="AG942" s="304"/>
      <c r="AH942" s="304"/>
    </row>
    <row r="943">
      <c r="A943" s="292"/>
      <c r="B943" s="292"/>
      <c r="C943" s="292"/>
      <c r="D943" s="412"/>
      <c r="E943" s="412"/>
      <c r="F943" s="412"/>
      <c r="G943" s="412"/>
      <c r="H943" s="412"/>
      <c r="I943" s="412"/>
      <c r="J943" s="412"/>
      <c r="K943" s="413"/>
      <c r="L943" s="413"/>
      <c r="M943" s="413"/>
      <c r="N943" s="414"/>
      <c r="O943" s="412"/>
      <c r="P943" s="412"/>
      <c r="Q943" s="412"/>
      <c r="R943" s="412"/>
      <c r="S943" s="412"/>
      <c r="T943" s="412"/>
      <c r="U943" s="292"/>
      <c r="V943" s="292"/>
      <c r="W943" s="292"/>
      <c r="X943" s="415"/>
      <c r="Y943" s="416"/>
      <c r="Z943" s="417"/>
      <c r="AA943" s="304"/>
      <c r="AB943" s="304"/>
      <c r="AC943" s="304"/>
      <c r="AD943" s="304"/>
      <c r="AE943" s="304"/>
      <c r="AF943" s="304"/>
      <c r="AG943" s="304"/>
      <c r="AH943" s="304"/>
    </row>
    <row r="944">
      <c r="A944" s="292"/>
      <c r="B944" s="292"/>
      <c r="C944" s="292"/>
      <c r="D944" s="412"/>
      <c r="E944" s="412"/>
      <c r="F944" s="412"/>
      <c r="G944" s="412"/>
      <c r="H944" s="412"/>
      <c r="I944" s="412"/>
      <c r="J944" s="412"/>
      <c r="K944" s="413"/>
      <c r="L944" s="413"/>
      <c r="M944" s="413"/>
      <c r="N944" s="414"/>
      <c r="O944" s="412"/>
      <c r="P944" s="412"/>
      <c r="Q944" s="412"/>
      <c r="R944" s="412"/>
      <c r="S944" s="412"/>
      <c r="T944" s="412"/>
      <c r="U944" s="292"/>
      <c r="V944" s="292"/>
      <c r="W944" s="292"/>
      <c r="X944" s="415"/>
      <c r="Y944" s="416"/>
      <c r="Z944" s="417"/>
      <c r="AA944" s="304"/>
      <c r="AB944" s="304"/>
      <c r="AC944" s="304"/>
      <c r="AD944" s="304"/>
      <c r="AE944" s="304"/>
      <c r="AF944" s="304"/>
      <c r="AG944" s="304"/>
      <c r="AH944" s="304"/>
    </row>
    <row r="945">
      <c r="A945" s="292"/>
      <c r="B945" s="292"/>
      <c r="C945" s="292"/>
      <c r="D945" s="412"/>
      <c r="E945" s="412"/>
      <c r="F945" s="412"/>
      <c r="G945" s="412"/>
      <c r="H945" s="412"/>
      <c r="I945" s="412"/>
      <c r="J945" s="412"/>
      <c r="K945" s="413"/>
      <c r="L945" s="413"/>
      <c r="M945" s="413"/>
      <c r="N945" s="414"/>
      <c r="O945" s="412"/>
      <c r="P945" s="412"/>
      <c r="Q945" s="412"/>
      <c r="R945" s="412"/>
      <c r="S945" s="412"/>
      <c r="T945" s="412"/>
      <c r="U945" s="292"/>
      <c r="V945" s="292"/>
      <c r="W945" s="292"/>
      <c r="X945" s="415"/>
      <c r="Y945" s="416"/>
      <c r="Z945" s="417"/>
      <c r="AA945" s="304"/>
      <c r="AB945" s="304"/>
      <c r="AC945" s="304"/>
      <c r="AD945" s="304"/>
      <c r="AE945" s="304"/>
      <c r="AF945" s="304"/>
      <c r="AG945" s="304"/>
      <c r="AH945" s="304"/>
    </row>
    <row r="946">
      <c r="A946" s="292"/>
      <c r="B946" s="292"/>
      <c r="C946" s="292"/>
      <c r="D946" s="412"/>
      <c r="E946" s="412"/>
      <c r="F946" s="412"/>
      <c r="G946" s="412"/>
      <c r="H946" s="412"/>
      <c r="I946" s="412"/>
      <c r="J946" s="412"/>
      <c r="K946" s="413"/>
      <c r="L946" s="413"/>
      <c r="M946" s="413"/>
      <c r="N946" s="414"/>
      <c r="O946" s="412"/>
      <c r="P946" s="412"/>
      <c r="Q946" s="412"/>
      <c r="R946" s="412"/>
      <c r="S946" s="412"/>
      <c r="T946" s="412"/>
      <c r="U946" s="292"/>
      <c r="V946" s="292"/>
      <c r="W946" s="292"/>
      <c r="X946" s="415"/>
      <c r="Y946" s="416"/>
      <c r="Z946" s="417"/>
      <c r="AA946" s="304"/>
      <c r="AB946" s="304"/>
      <c r="AC946" s="304"/>
      <c r="AD946" s="304"/>
      <c r="AE946" s="304"/>
      <c r="AF946" s="304"/>
      <c r="AG946" s="304"/>
      <c r="AH946" s="304"/>
    </row>
    <row r="947">
      <c r="A947" s="292"/>
      <c r="B947" s="292"/>
      <c r="C947" s="292"/>
      <c r="D947" s="412"/>
      <c r="E947" s="412"/>
      <c r="F947" s="412"/>
      <c r="G947" s="412"/>
      <c r="H947" s="412"/>
      <c r="I947" s="412"/>
      <c r="J947" s="412"/>
      <c r="K947" s="413"/>
      <c r="L947" s="413"/>
      <c r="M947" s="413"/>
      <c r="N947" s="414"/>
      <c r="O947" s="412"/>
      <c r="P947" s="412"/>
      <c r="Q947" s="412"/>
      <c r="R947" s="412"/>
      <c r="S947" s="412"/>
      <c r="T947" s="412"/>
      <c r="U947" s="292"/>
      <c r="V947" s="292"/>
      <c r="W947" s="292"/>
      <c r="X947" s="415"/>
      <c r="Y947" s="416"/>
      <c r="Z947" s="417"/>
      <c r="AA947" s="304"/>
      <c r="AB947" s="304"/>
      <c r="AC947" s="304"/>
      <c r="AD947" s="304"/>
      <c r="AE947" s="304"/>
      <c r="AF947" s="304"/>
      <c r="AG947" s="304"/>
      <c r="AH947" s="304"/>
    </row>
    <row r="948">
      <c r="A948" s="292"/>
      <c r="B948" s="292"/>
      <c r="C948" s="292"/>
      <c r="D948" s="412"/>
      <c r="E948" s="412"/>
      <c r="F948" s="412"/>
      <c r="G948" s="412"/>
      <c r="H948" s="412"/>
      <c r="I948" s="412"/>
      <c r="J948" s="412"/>
      <c r="K948" s="413"/>
      <c r="L948" s="413"/>
      <c r="M948" s="413"/>
      <c r="N948" s="414"/>
      <c r="O948" s="412"/>
      <c r="P948" s="412"/>
      <c r="Q948" s="412"/>
      <c r="R948" s="412"/>
      <c r="S948" s="412"/>
      <c r="T948" s="412"/>
      <c r="U948" s="292"/>
      <c r="V948" s="292"/>
      <c r="W948" s="292"/>
      <c r="X948" s="415"/>
      <c r="Y948" s="416"/>
      <c r="Z948" s="417"/>
      <c r="AA948" s="304"/>
      <c r="AB948" s="304"/>
      <c r="AC948" s="304"/>
      <c r="AD948" s="304"/>
      <c r="AE948" s="304"/>
      <c r="AF948" s="304"/>
      <c r="AG948" s="304"/>
      <c r="AH948" s="304"/>
    </row>
    <row r="949">
      <c r="A949" s="292"/>
      <c r="B949" s="292"/>
      <c r="C949" s="292"/>
      <c r="D949" s="412"/>
      <c r="E949" s="412"/>
      <c r="F949" s="412"/>
      <c r="G949" s="412"/>
      <c r="H949" s="412"/>
      <c r="I949" s="412"/>
      <c r="J949" s="412"/>
      <c r="K949" s="413"/>
      <c r="L949" s="413"/>
      <c r="M949" s="413"/>
      <c r="N949" s="414"/>
      <c r="O949" s="412"/>
      <c r="P949" s="412"/>
      <c r="Q949" s="412"/>
      <c r="R949" s="412"/>
      <c r="S949" s="412"/>
      <c r="T949" s="412"/>
      <c r="U949" s="292"/>
      <c r="V949" s="292"/>
      <c r="W949" s="292"/>
      <c r="X949" s="415"/>
      <c r="Y949" s="416"/>
      <c r="Z949" s="417"/>
      <c r="AA949" s="304"/>
      <c r="AB949" s="304"/>
      <c r="AC949" s="304"/>
      <c r="AD949" s="304"/>
      <c r="AE949" s="304"/>
      <c r="AF949" s="304"/>
      <c r="AG949" s="304"/>
      <c r="AH949" s="304"/>
    </row>
    <row r="950">
      <c r="A950" s="292"/>
      <c r="B950" s="292"/>
      <c r="C950" s="292"/>
      <c r="D950" s="412"/>
      <c r="E950" s="412"/>
      <c r="F950" s="412"/>
      <c r="G950" s="412"/>
      <c r="H950" s="412"/>
      <c r="I950" s="412"/>
      <c r="J950" s="412"/>
      <c r="K950" s="413"/>
      <c r="L950" s="413"/>
      <c r="M950" s="413"/>
      <c r="N950" s="414"/>
      <c r="O950" s="412"/>
      <c r="P950" s="412"/>
      <c r="Q950" s="412"/>
      <c r="R950" s="412"/>
      <c r="S950" s="412"/>
      <c r="T950" s="412"/>
      <c r="U950" s="292"/>
      <c r="V950" s="292"/>
      <c r="W950" s="292"/>
      <c r="X950" s="415"/>
      <c r="Y950" s="416"/>
      <c r="Z950" s="417"/>
      <c r="AA950" s="304"/>
      <c r="AB950" s="304"/>
      <c r="AC950" s="304"/>
      <c r="AD950" s="304"/>
      <c r="AE950" s="304"/>
      <c r="AF950" s="304"/>
      <c r="AG950" s="304"/>
      <c r="AH950" s="304"/>
    </row>
    <row r="951">
      <c r="A951" s="292"/>
      <c r="B951" s="292"/>
      <c r="C951" s="292"/>
      <c r="D951" s="412"/>
      <c r="E951" s="412"/>
      <c r="F951" s="412"/>
      <c r="G951" s="412"/>
      <c r="H951" s="412"/>
      <c r="I951" s="412"/>
      <c r="J951" s="412"/>
      <c r="K951" s="413"/>
      <c r="L951" s="413"/>
      <c r="M951" s="413"/>
      <c r="N951" s="414"/>
      <c r="O951" s="412"/>
      <c r="P951" s="412"/>
      <c r="Q951" s="412"/>
      <c r="R951" s="412"/>
      <c r="S951" s="412"/>
      <c r="T951" s="412"/>
      <c r="U951" s="292"/>
      <c r="V951" s="292"/>
      <c r="W951" s="292"/>
      <c r="X951" s="415"/>
      <c r="Y951" s="416"/>
      <c r="Z951" s="417"/>
      <c r="AA951" s="304"/>
      <c r="AB951" s="304"/>
      <c r="AC951" s="304"/>
      <c r="AD951" s="304"/>
      <c r="AE951" s="304"/>
      <c r="AF951" s="304"/>
      <c r="AG951" s="304"/>
      <c r="AH951" s="304"/>
    </row>
    <row r="952">
      <c r="A952" s="292"/>
      <c r="B952" s="292"/>
      <c r="C952" s="292"/>
      <c r="D952" s="412"/>
      <c r="E952" s="412"/>
      <c r="F952" s="412"/>
      <c r="G952" s="412"/>
      <c r="H952" s="412"/>
      <c r="I952" s="412"/>
      <c r="J952" s="412"/>
      <c r="K952" s="413"/>
      <c r="L952" s="413"/>
      <c r="M952" s="413"/>
      <c r="N952" s="414"/>
      <c r="O952" s="412"/>
      <c r="P952" s="412"/>
      <c r="Q952" s="412"/>
      <c r="R952" s="412"/>
      <c r="S952" s="412"/>
      <c r="T952" s="412"/>
      <c r="U952" s="292"/>
      <c r="V952" s="292"/>
      <c r="W952" s="292"/>
      <c r="X952" s="415"/>
      <c r="Y952" s="416"/>
      <c r="Z952" s="417"/>
      <c r="AA952" s="304"/>
      <c r="AB952" s="304"/>
      <c r="AC952" s="304"/>
      <c r="AD952" s="304"/>
      <c r="AE952" s="304"/>
      <c r="AF952" s="304"/>
      <c r="AG952" s="304"/>
      <c r="AH952" s="304"/>
    </row>
    <row r="953">
      <c r="A953" s="292"/>
      <c r="B953" s="292"/>
      <c r="C953" s="292"/>
      <c r="D953" s="412"/>
      <c r="E953" s="412"/>
      <c r="F953" s="412"/>
      <c r="G953" s="412"/>
      <c r="H953" s="412"/>
      <c r="I953" s="412"/>
      <c r="J953" s="412"/>
      <c r="K953" s="413"/>
      <c r="L953" s="413"/>
      <c r="M953" s="413"/>
      <c r="N953" s="414"/>
      <c r="O953" s="412"/>
      <c r="P953" s="412"/>
      <c r="Q953" s="412"/>
      <c r="R953" s="412"/>
      <c r="S953" s="412"/>
      <c r="T953" s="412"/>
      <c r="U953" s="292"/>
      <c r="V953" s="292"/>
      <c r="W953" s="292"/>
      <c r="X953" s="415"/>
      <c r="Y953" s="416"/>
      <c r="Z953" s="417"/>
      <c r="AA953" s="304"/>
      <c r="AB953" s="304"/>
      <c r="AC953" s="304"/>
      <c r="AD953" s="304"/>
      <c r="AE953" s="304"/>
      <c r="AF953" s="304"/>
      <c r="AG953" s="304"/>
      <c r="AH953" s="304"/>
    </row>
    <row r="954">
      <c r="A954" s="292"/>
      <c r="B954" s="292"/>
      <c r="C954" s="292"/>
      <c r="D954" s="412"/>
      <c r="E954" s="412"/>
      <c r="F954" s="412"/>
      <c r="G954" s="412"/>
      <c r="H954" s="412"/>
      <c r="I954" s="412"/>
      <c r="J954" s="412"/>
      <c r="K954" s="413"/>
      <c r="L954" s="413"/>
      <c r="M954" s="413"/>
      <c r="N954" s="414"/>
      <c r="O954" s="412"/>
      <c r="P954" s="412"/>
      <c r="Q954" s="412"/>
      <c r="R954" s="412"/>
      <c r="S954" s="412"/>
      <c r="T954" s="412"/>
      <c r="U954" s="292"/>
      <c r="V954" s="292"/>
      <c r="W954" s="292"/>
      <c r="X954" s="415"/>
      <c r="Y954" s="416"/>
      <c r="Z954" s="417"/>
      <c r="AA954" s="304"/>
      <c r="AB954" s="304"/>
      <c r="AC954" s="304"/>
      <c r="AD954" s="304"/>
      <c r="AE954" s="304"/>
      <c r="AF954" s="304"/>
      <c r="AG954" s="304"/>
      <c r="AH954" s="304"/>
    </row>
    <row r="955">
      <c r="A955" s="292"/>
      <c r="B955" s="292"/>
      <c r="C955" s="292"/>
      <c r="D955" s="412"/>
      <c r="E955" s="412"/>
      <c r="F955" s="412"/>
      <c r="G955" s="412"/>
      <c r="H955" s="412"/>
      <c r="I955" s="412"/>
      <c r="J955" s="412"/>
      <c r="K955" s="413"/>
      <c r="L955" s="413"/>
      <c r="M955" s="413"/>
      <c r="N955" s="414"/>
      <c r="O955" s="412"/>
      <c r="P955" s="412"/>
      <c r="Q955" s="412"/>
      <c r="R955" s="412"/>
      <c r="S955" s="412"/>
      <c r="T955" s="412"/>
      <c r="U955" s="292"/>
      <c r="V955" s="292"/>
      <c r="W955" s="292"/>
      <c r="X955" s="415"/>
      <c r="Y955" s="416"/>
      <c r="Z955" s="417"/>
      <c r="AA955" s="304"/>
      <c r="AB955" s="304"/>
      <c r="AC955" s="304"/>
      <c r="AD955" s="304"/>
      <c r="AE955" s="304"/>
      <c r="AF955" s="304"/>
      <c r="AG955" s="304"/>
      <c r="AH955" s="304"/>
    </row>
    <row r="956">
      <c r="A956" s="292"/>
      <c r="B956" s="292"/>
      <c r="C956" s="292"/>
      <c r="D956" s="412"/>
      <c r="E956" s="412"/>
      <c r="F956" s="412"/>
      <c r="G956" s="412"/>
      <c r="H956" s="412"/>
      <c r="I956" s="412"/>
      <c r="J956" s="412"/>
      <c r="K956" s="413"/>
      <c r="L956" s="413"/>
      <c r="M956" s="413"/>
      <c r="N956" s="414"/>
      <c r="O956" s="412"/>
      <c r="P956" s="412"/>
      <c r="Q956" s="412"/>
      <c r="R956" s="412"/>
      <c r="S956" s="412"/>
      <c r="T956" s="412"/>
      <c r="U956" s="292"/>
      <c r="V956" s="292"/>
      <c r="W956" s="292"/>
      <c r="X956" s="415"/>
      <c r="Y956" s="416"/>
      <c r="Z956" s="417"/>
      <c r="AA956" s="304"/>
      <c r="AB956" s="304"/>
      <c r="AC956" s="304"/>
      <c r="AD956" s="304"/>
      <c r="AE956" s="304"/>
      <c r="AF956" s="304"/>
      <c r="AG956" s="304"/>
      <c r="AH956" s="304"/>
    </row>
    <row r="957">
      <c r="A957" s="292"/>
      <c r="B957" s="292"/>
      <c r="C957" s="292"/>
      <c r="D957" s="412"/>
      <c r="E957" s="412"/>
      <c r="F957" s="412"/>
      <c r="G957" s="412"/>
      <c r="H957" s="412"/>
      <c r="I957" s="412"/>
      <c r="J957" s="412"/>
      <c r="K957" s="413"/>
      <c r="L957" s="413"/>
      <c r="M957" s="413"/>
      <c r="N957" s="414"/>
      <c r="O957" s="412"/>
      <c r="P957" s="412"/>
      <c r="Q957" s="412"/>
      <c r="R957" s="412"/>
      <c r="S957" s="412"/>
      <c r="T957" s="412"/>
      <c r="U957" s="292"/>
      <c r="V957" s="292"/>
      <c r="W957" s="292"/>
      <c r="X957" s="415"/>
      <c r="Y957" s="416"/>
      <c r="Z957" s="417"/>
      <c r="AA957" s="304"/>
      <c r="AB957" s="304"/>
      <c r="AC957" s="304"/>
      <c r="AD957" s="304"/>
      <c r="AE957" s="304"/>
      <c r="AF957" s="304"/>
      <c r="AG957" s="304"/>
      <c r="AH957" s="304"/>
    </row>
    <row r="958">
      <c r="A958" s="292"/>
      <c r="B958" s="292"/>
      <c r="C958" s="292"/>
      <c r="D958" s="412"/>
      <c r="E958" s="412"/>
      <c r="F958" s="412"/>
      <c r="G958" s="412"/>
      <c r="H958" s="412"/>
      <c r="I958" s="412"/>
      <c r="J958" s="412"/>
      <c r="K958" s="413"/>
      <c r="L958" s="413"/>
      <c r="M958" s="413"/>
      <c r="N958" s="414"/>
      <c r="O958" s="412"/>
      <c r="P958" s="412"/>
      <c r="Q958" s="412"/>
      <c r="R958" s="412"/>
      <c r="S958" s="412"/>
      <c r="T958" s="412"/>
      <c r="U958" s="292"/>
      <c r="V958" s="292"/>
      <c r="W958" s="292"/>
      <c r="X958" s="415"/>
      <c r="Y958" s="416"/>
      <c r="Z958" s="417"/>
      <c r="AA958" s="304"/>
      <c r="AB958" s="304"/>
      <c r="AC958" s="304"/>
      <c r="AD958" s="304"/>
      <c r="AE958" s="304"/>
      <c r="AF958" s="304"/>
      <c r="AG958" s="304"/>
      <c r="AH958" s="304"/>
    </row>
    <row r="959">
      <c r="A959" s="292"/>
      <c r="B959" s="292"/>
      <c r="C959" s="292"/>
      <c r="D959" s="412"/>
      <c r="E959" s="412"/>
      <c r="F959" s="412"/>
      <c r="G959" s="412"/>
      <c r="H959" s="412"/>
      <c r="I959" s="412"/>
      <c r="J959" s="412"/>
      <c r="K959" s="413"/>
      <c r="L959" s="413"/>
      <c r="M959" s="413"/>
      <c r="N959" s="414"/>
      <c r="O959" s="412"/>
      <c r="P959" s="412"/>
      <c r="Q959" s="412"/>
      <c r="R959" s="412"/>
      <c r="S959" s="412"/>
      <c r="T959" s="412"/>
      <c r="U959" s="292"/>
      <c r="V959" s="292"/>
      <c r="W959" s="292"/>
      <c r="X959" s="415"/>
      <c r="Y959" s="416"/>
      <c r="Z959" s="417"/>
      <c r="AA959" s="304"/>
      <c r="AB959" s="304"/>
      <c r="AC959" s="304"/>
      <c r="AD959" s="304"/>
      <c r="AE959" s="304"/>
      <c r="AF959" s="304"/>
      <c r="AG959" s="304"/>
      <c r="AH959" s="304"/>
    </row>
    <row r="960">
      <c r="A960" s="292"/>
      <c r="B960" s="292"/>
      <c r="C960" s="292"/>
      <c r="D960" s="412"/>
      <c r="E960" s="412"/>
      <c r="F960" s="412"/>
      <c r="G960" s="412"/>
      <c r="H960" s="412"/>
      <c r="I960" s="412"/>
      <c r="J960" s="412"/>
      <c r="K960" s="413"/>
      <c r="L960" s="413"/>
      <c r="M960" s="413"/>
      <c r="N960" s="414"/>
      <c r="O960" s="412"/>
      <c r="P960" s="412"/>
      <c r="Q960" s="412"/>
      <c r="R960" s="412"/>
      <c r="S960" s="412"/>
      <c r="T960" s="412"/>
      <c r="U960" s="292"/>
      <c r="V960" s="292"/>
      <c r="W960" s="292"/>
      <c r="X960" s="415"/>
      <c r="Y960" s="416"/>
      <c r="Z960" s="417"/>
      <c r="AA960" s="304"/>
      <c r="AB960" s="304"/>
      <c r="AC960" s="304"/>
      <c r="AD960" s="304"/>
      <c r="AE960" s="304"/>
      <c r="AF960" s="304"/>
      <c r="AG960" s="304"/>
      <c r="AH960" s="304"/>
    </row>
    <row r="961">
      <c r="A961" s="292"/>
      <c r="B961" s="292"/>
      <c r="C961" s="292"/>
      <c r="D961" s="412"/>
      <c r="E961" s="412"/>
      <c r="F961" s="412"/>
      <c r="G961" s="412"/>
      <c r="H961" s="412"/>
      <c r="I961" s="412"/>
      <c r="J961" s="412"/>
      <c r="K961" s="413"/>
      <c r="L961" s="413"/>
      <c r="M961" s="413"/>
      <c r="N961" s="414"/>
      <c r="O961" s="412"/>
      <c r="P961" s="412"/>
      <c r="Q961" s="412"/>
      <c r="R961" s="412"/>
      <c r="S961" s="412"/>
      <c r="T961" s="412"/>
      <c r="U961" s="292"/>
      <c r="V961" s="292"/>
      <c r="W961" s="292"/>
      <c r="X961" s="415"/>
      <c r="Y961" s="416"/>
      <c r="Z961" s="417"/>
      <c r="AA961" s="304"/>
      <c r="AB961" s="304"/>
      <c r="AC961" s="304"/>
      <c r="AD961" s="304"/>
      <c r="AE961" s="304"/>
      <c r="AF961" s="304"/>
      <c r="AG961" s="304"/>
      <c r="AH961" s="304"/>
    </row>
    <row r="962">
      <c r="A962" s="292"/>
      <c r="B962" s="292"/>
      <c r="C962" s="292"/>
      <c r="D962" s="412"/>
      <c r="E962" s="412"/>
      <c r="F962" s="412"/>
      <c r="G962" s="412"/>
      <c r="H962" s="412"/>
      <c r="I962" s="412"/>
      <c r="J962" s="412"/>
      <c r="K962" s="413"/>
      <c r="L962" s="413"/>
      <c r="M962" s="413"/>
      <c r="N962" s="414"/>
      <c r="O962" s="412"/>
      <c r="P962" s="412"/>
      <c r="Q962" s="412"/>
      <c r="R962" s="412"/>
      <c r="S962" s="412"/>
      <c r="T962" s="412"/>
      <c r="U962" s="292"/>
      <c r="V962" s="292"/>
      <c r="W962" s="292"/>
      <c r="X962" s="415"/>
      <c r="Y962" s="416"/>
      <c r="Z962" s="417"/>
      <c r="AA962" s="304"/>
      <c r="AB962" s="304"/>
      <c r="AC962" s="304"/>
      <c r="AD962" s="304"/>
      <c r="AE962" s="304"/>
      <c r="AF962" s="304"/>
      <c r="AG962" s="304"/>
      <c r="AH962" s="304"/>
    </row>
    <row r="963">
      <c r="A963" s="292"/>
      <c r="B963" s="292"/>
      <c r="C963" s="292"/>
      <c r="D963" s="412"/>
      <c r="E963" s="412"/>
      <c r="F963" s="412"/>
      <c r="G963" s="412"/>
      <c r="H963" s="412"/>
      <c r="I963" s="412"/>
      <c r="J963" s="412"/>
      <c r="K963" s="413"/>
      <c r="L963" s="413"/>
      <c r="M963" s="413"/>
      <c r="N963" s="414"/>
      <c r="O963" s="412"/>
      <c r="P963" s="412"/>
      <c r="Q963" s="412"/>
      <c r="R963" s="412"/>
      <c r="S963" s="412"/>
      <c r="T963" s="412"/>
      <c r="U963" s="292"/>
      <c r="V963" s="292"/>
      <c r="W963" s="292"/>
      <c r="X963" s="415"/>
      <c r="Y963" s="416"/>
      <c r="Z963" s="417"/>
      <c r="AA963" s="304"/>
      <c r="AB963" s="304"/>
      <c r="AC963" s="304"/>
      <c r="AD963" s="304"/>
      <c r="AE963" s="304"/>
      <c r="AF963" s="304"/>
      <c r="AG963" s="304"/>
      <c r="AH963" s="304"/>
    </row>
    <row r="964">
      <c r="A964" s="292"/>
      <c r="B964" s="292"/>
      <c r="C964" s="292"/>
      <c r="D964" s="412"/>
      <c r="E964" s="412"/>
      <c r="F964" s="412"/>
      <c r="G964" s="412"/>
      <c r="H964" s="412"/>
      <c r="I964" s="412"/>
      <c r="J964" s="412"/>
      <c r="K964" s="413"/>
      <c r="L964" s="413"/>
      <c r="M964" s="413"/>
      <c r="N964" s="414"/>
      <c r="O964" s="412"/>
      <c r="P964" s="412"/>
      <c r="Q964" s="412"/>
      <c r="R964" s="412"/>
      <c r="S964" s="412"/>
      <c r="T964" s="412"/>
      <c r="U964" s="292"/>
      <c r="V964" s="292"/>
      <c r="W964" s="292"/>
      <c r="X964" s="415"/>
      <c r="Y964" s="416"/>
      <c r="Z964" s="417"/>
      <c r="AA964" s="304"/>
      <c r="AB964" s="304"/>
      <c r="AC964" s="304"/>
      <c r="AD964" s="304"/>
      <c r="AE964" s="304"/>
      <c r="AF964" s="304"/>
      <c r="AG964" s="304"/>
      <c r="AH964" s="304"/>
    </row>
    <row r="965">
      <c r="A965" s="292"/>
      <c r="B965" s="292"/>
      <c r="C965" s="292"/>
      <c r="D965" s="412"/>
      <c r="E965" s="412"/>
      <c r="F965" s="412"/>
      <c r="G965" s="412"/>
      <c r="H965" s="412"/>
      <c r="I965" s="412"/>
      <c r="J965" s="412"/>
      <c r="K965" s="413"/>
      <c r="L965" s="413"/>
      <c r="M965" s="413"/>
      <c r="N965" s="414"/>
      <c r="O965" s="412"/>
      <c r="P965" s="412"/>
      <c r="Q965" s="412"/>
      <c r="R965" s="412"/>
      <c r="S965" s="412"/>
      <c r="T965" s="412"/>
      <c r="U965" s="292"/>
      <c r="V965" s="292"/>
      <c r="W965" s="292"/>
      <c r="X965" s="415"/>
      <c r="Y965" s="416"/>
      <c r="Z965" s="417"/>
      <c r="AA965" s="304"/>
      <c r="AB965" s="304"/>
      <c r="AC965" s="304"/>
      <c r="AD965" s="304"/>
      <c r="AE965" s="304"/>
      <c r="AF965" s="304"/>
      <c r="AG965" s="304"/>
      <c r="AH965" s="304"/>
    </row>
    <row r="966">
      <c r="A966" s="292"/>
      <c r="B966" s="292"/>
      <c r="C966" s="292"/>
      <c r="D966" s="412"/>
      <c r="E966" s="412"/>
      <c r="F966" s="412"/>
      <c r="G966" s="412"/>
      <c r="H966" s="412"/>
      <c r="I966" s="412"/>
      <c r="J966" s="412"/>
      <c r="K966" s="413"/>
      <c r="L966" s="413"/>
      <c r="M966" s="413"/>
      <c r="N966" s="414"/>
      <c r="O966" s="412"/>
      <c r="P966" s="412"/>
      <c r="Q966" s="412"/>
      <c r="R966" s="412"/>
      <c r="S966" s="412"/>
      <c r="T966" s="412"/>
      <c r="U966" s="292"/>
      <c r="V966" s="292"/>
      <c r="W966" s="292"/>
      <c r="X966" s="415"/>
      <c r="Y966" s="416"/>
      <c r="Z966" s="417"/>
      <c r="AA966" s="304"/>
      <c r="AB966" s="304"/>
      <c r="AC966" s="304"/>
      <c r="AD966" s="304"/>
      <c r="AE966" s="304"/>
      <c r="AF966" s="304"/>
      <c r="AG966" s="304"/>
      <c r="AH966" s="304"/>
    </row>
    <row r="967">
      <c r="A967" s="292"/>
      <c r="B967" s="292"/>
      <c r="C967" s="292"/>
      <c r="D967" s="412"/>
      <c r="E967" s="412"/>
      <c r="F967" s="412"/>
      <c r="G967" s="412"/>
      <c r="H967" s="412"/>
      <c r="I967" s="412"/>
      <c r="J967" s="412"/>
      <c r="K967" s="413"/>
      <c r="L967" s="413"/>
      <c r="M967" s="413"/>
      <c r="N967" s="414"/>
      <c r="O967" s="412"/>
      <c r="P967" s="412"/>
      <c r="Q967" s="412"/>
      <c r="R967" s="412"/>
      <c r="S967" s="412"/>
      <c r="T967" s="412"/>
      <c r="U967" s="292"/>
      <c r="V967" s="292"/>
      <c r="W967" s="292"/>
      <c r="X967" s="415"/>
      <c r="Y967" s="416"/>
      <c r="Z967" s="417"/>
      <c r="AA967" s="304"/>
      <c r="AB967" s="304"/>
      <c r="AC967" s="304"/>
      <c r="AD967" s="304"/>
      <c r="AE967" s="304"/>
      <c r="AF967" s="304"/>
      <c r="AG967" s="304"/>
      <c r="AH967" s="304"/>
    </row>
    <row r="968">
      <c r="A968" s="292"/>
      <c r="B968" s="292"/>
      <c r="C968" s="292"/>
      <c r="D968" s="412"/>
      <c r="E968" s="412"/>
      <c r="F968" s="412"/>
      <c r="G968" s="412"/>
      <c r="H968" s="412"/>
      <c r="I968" s="412"/>
      <c r="J968" s="412"/>
      <c r="K968" s="413"/>
      <c r="L968" s="413"/>
      <c r="M968" s="413"/>
      <c r="N968" s="414"/>
      <c r="O968" s="412"/>
      <c r="P968" s="412"/>
      <c r="Q968" s="412"/>
      <c r="R968" s="412"/>
      <c r="S968" s="412"/>
      <c r="T968" s="412"/>
      <c r="U968" s="292"/>
      <c r="V968" s="292"/>
      <c r="W968" s="292"/>
      <c r="X968" s="415"/>
      <c r="Y968" s="416"/>
      <c r="Z968" s="417"/>
      <c r="AA968" s="304"/>
      <c r="AB968" s="304"/>
      <c r="AC968" s="304"/>
      <c r="AD968" s="304"/>
      <c r="AE968" s="304"/>
      <c r="AF968" s="304"/>
      <c r="AG968" s="304"/>
      <c r="AH968" s="304"/>
    </row>
    <row r="969">
      <c r="A969" s="292"/>
      <c r="B969" s="292"/>
      <c r="C969" s="292"/>
      <c r="D969" s="412"/>
      <c r="E969" s="412"/>
      <c r="F969" s="412"/>
      <c r="G969" s="412"/>
      <c r="H969" s="412"/>
      <c r="I969" s="412"/>
      <c r="J969" s="412"/>
      <c r="K969" s="413"/>
      <c r="L969" s="413"/>
      <c r="M969" s="413"/>
      <c r="N969" s="414"/>
      <c r="O969" s="412"/>
      <c r="P969" s="412"/>
      <c r="Q969" s="412"/>
      <c r="R969" s="412"/>
      <c r="S969" s="412"/>
      <c r="T969" s="412"/>
      <c r="U969" s="292"/>
      <c r="V969" s="292"/>
      <c r="W969" s="292"/>
      <c r="X969" s="415"/>
      <c r="Y969" s="416"/>
      <c r="Z969" s="417"/>
      <c r="AA969" s="304"/>
      <c r="AB969" s="304"/>
      <c r="AC969" s="304"/>
      <c r="AD969" s="304"/>
      <c r="AE969" s="304"/>
      <c r="AF969" s="304"/>
      <c r="AG969" s="304"/>
      <c r="AH969" s="304"/>
    </row>
    <row r="970">
      <c r="A970" s="292"/>
      <c r="B970" s="292"/>
      <c r="C970" s="292"/>
      <c r="D970" s="412"/>
      <c r="E970" s="412"/>
      <c r="F970" s="412"/>
      <c r="G970" s="412"/>
      <c r="H970" s="412"/>
      <c r="I970" s="412"/>
      <c r="J970" s="412"/>
      <c r="K970" s="413"/>
      <c r="L970" s="413"/>
      <c r="M970" s="413"/>
      <c r="N970" s="414"/>
      <c r="O970" s="412"/>
      <c r="P970" s="412"/>
      <c r="Q970" s="412"/>
      <c r="R970" s="412"/>
      <c r="S970" s="412"/>
      <c r="T970" s="412"/>
      <c r="U970" s="292"/>
      <c r="V970" s="292"/>
      <c r="W970" s="292"/>
      <c r="X970" s="415"/>
      <c r="Y970" s="416"/>
      <c r="Z970" s="417"/>
      <c r="AA970" s="304"/>
      <c r="AB970" s="304"/>
      <c r="AC970" s="304"/>
      <c r="AD970" s="304"/>
      <c r="AE970" s="304"/>
      <c r="AF970" s="304"/>
      <c r="AG970" s="304"/>
      <c r="AH970" s="304"/>
    </row>
    <row r="971">
      <c r="A971" s="292"/>
      <c r="B971" s="292"/>
      <c r="C971" s="292"/>
      <c r="D971" s="412"/>
      <c r="E971" s="412"/>
      <c r="F971" s="412"/>
      <c r="G971" s="412"/>
      <c r="H971" s="412"/>
      <c r="I971" s="412"/>
      <c r="J971" s="412"/>
      <c r="K971" s="413"/>
      <c r="L971" s="413"/>
      <c r="M971" s="413"/>
      <c r="N971" s="414"/>
      <c r="O971" s="412"/>
      <c r="P971" s="412"/>
      <c r="Q971" s="412"/>
      <c r="R971" s="412"/>
      <c r="S971" s="412"/>
      <c r="T971" s="412"/>
      <c r="U971" s="292"/>
      <c r="V971" s="292"/>
      <c r="W971" s="292"/>
      <c r="X971" s="415"/>
      <c r="Y971" s="416"/>
      <c r="Z971" s="417"/>
      <c r="AA971" s="304"/>
      <c r="AB971" s="304"/>
      <c r="AC971" s="304"/>
      <c r="AD971" s="304"/>
      <c r="AE971" s="304"/>
      <c r="AF971" s="304"/>
      <c r="AG971" s="304"/>
      <c r="AH971" s="304"/>
    </row>
    <row r="972">
      <c r="A972" s="292"/>
      <c r="B972" s="292"/>
      <c r="C972" s="292"/>
      <c r="D972" s="412"/>
      <c r="E972" s="412"/>
      <c r="F972" s="412"/>
      <c r="G972" s="412"/>
      <c r="H972" s="412"/>
      <c r="I972" s="412"/>
      <c r="J972" s="412"/>
      <c r="K972" s="413"/>
      <c r="L972" s="413"/>
      <c r="M972" s="413"/>
      <c r="N972" s="414"/>
      <c r="O972" s="412"/>
      <c r="P972" s="412"/>
      <c r="Q972" s="412"/>
      <c r="R972" s="412"/>
      <c r="S972" s="412"/>
      <c r="T972" s="412"/>
      <c r="U972" s="292"/>
      <c r="V972" s="292"/>
      <c r="W972" s="292"/>
      <c r="X972" s="415"/>
      <c r="Y972" s="416"/>
      <c r="Z972" s="417"/>
      <c r="AA972" s="304"/>
      <c r="AB972" s="304"/>
      <c r="AC972" s="304"/>
      <c r="AD972" s="304"/>
      <c r="AE972" s="304"/>
      <c r="AF972" s="304"/>
      <c r="AG972" s="304"/>
      <c r="AH972" s="304"/>
    </row>
    <row r="973">
      <c r="A973" s="292"/>
      <c r="B973" s="292"/>
      <c r="C973" s="292"/>
      <c r="D973" s="412"/>
      <c r="E973" s="412"/>
      <c r="F973" s="412"/>
      <c r="G973" s="412"/>
      <c r="H973" s="412"/>
      <c r="I973" s="412"/>
      <c r="J973" s="412"/>
      <c r="K973" s="413"/>
      <c r="L973" s="413"/>
      <c r="M973" s="413"/>
      <c r="N973" s="414"/>
      <c r="O973" s="412"/>
      <c r="P973" s="412"/>
      <c r="Q973" s="412"/>
      <c r="R973" s="412"/>
      <c r="S973" s="412"/>
      <c r="T973" s="412"/>
      <c r="U973" s="292"/>
      <c r="V973" s="292"/>
      <c r="W973" s="292"/>
      <c r="X973" s="415"/>
      <c r="Y973" s="416"/>
      <c r="Z973" s="417"/>
      <c r="AA973" s="304"/>
      <c r="AB973" s="304"/>
      <c r="AC973" s="304"/>
      <c r="AD973" s="304"/>
      <c r="AE973" s="304"/>
      <c r="AF973" s="304"/>
      <c r="AG973" s="304"/>
      <c r="AH973" s="304"/>
    </row>
    <row r="974">
      <c r="A974" s="292"/>
      <c r="B974" s="292"/>
      <c r="C974" s="292"/>
      <c r="D974" s="412"/>
      <c r="E974" s="412"/>
      <c r="F974" s="412"/>
      <c r="G974" s="412"/>
      <c r="H974" s="412"/>
      <c r="I974" s="412"/>
      <c r="J974" s="412"/>
      <c r="K974" s="413"/>
      <c r="L974" s="413"/>
      <c r="M974" s="413"/>
      <c r="N974" s="414"/>
      <c r="O974" s="412"/>
      <c r="P974" s="412"/>
      <c r="Q974" s="412"/>
      <c r="R974" s="412"/>
      <c r="S974" s="412"/>
      <c r="T974" s="412"/>
      <c r="U974" s="292"/>
      <c r="V974" s="292"/>
      <c r="W974" s="292"/>
      <c r="X974" s="415"/>
      <c r="Y974" s="416"/>
      <c r="Z974" s="417"/>
      <c r="AA974" s="304"/>
      <c r="AB974" s="304"/>
      <c r="AC974" s="304"/>
      <c r="AD974" s="304"/>
      <c r="AE974" s="304"/>
      <c r="AF974" s="304"/>
      <c r="AG974" s="304"/>
      <c r="AH974" s="304"/>
    </row>
    <row r="975">
      <c r="A975" s="292"/>
      <c r="B975" s="292"/>
      <c r="C975" s="292"/>
      <c r="D975" s="412"/>
      <c r="E975" s="412"/>
      <c r="F975" s="412"/>
      <c r="G975" s="412"/>
      <c r="H975" s="412"/>
      <c r="I975" s="412"/>
      <c r="J975" s="412"/>
      <c r="K975" s="413"/>
      <c r="L975" s="413"/>
      <c r="M975" s="413"/>
      <c r="N975" s="414"/>
      <c r="O975" s="412"/>
      <c r="P975" s="412"/>
      <c r="Q975" s="412"/>
      <c r="R975" s="412"/>
      <c r="S975" s="412"/>
      <c r="T975" s="412"/>
      <c r="U975" s="292"/>
      <c r="V975" s="292"/>
      <c r="W975" s="292"/>
      <c r="X975" s="415"/>
      <c r="Y975" s="416"/>
      <c r="Z975" s="417"/>
      <c r="AA975" s="304"/>
      <c r="AB975" s="304"/>
      <c r="AC975" s="304"/>
      <c r="AD975" s="304"/>
      <c r="AE975" s="304"/>
      <c r="AF975" s="304"/>
      <c r="AG975" s="304"/>
      <c r="AH975" s="304"/>
    </row>
    <row r="976">
      <c r="A976" s="292"/>
      <c r="B976" s="292"/>
      <c r="C976" s="292"/>
      <c r="D976" s="412"/>
      <c r="E976" s="412"/>
      <c r="F976" s="412"/>
      <c r="G976" s="412"/>
      <c r="H976" s="412"/>
      <c r="I976" s="412"/>
      <c r="J976" s="412"/>
      <c r="K976" s="413"/>
      <c r="L976" s="413"/>
      <c r="M976" s="413"/>
      <c r="N976" s="414"/>
      <c r="O976" s="412"/>
      <c r="P976" s="412"/>
      <c r="Q976" s="412"/>
      <c r="R976" s="412"/>
      <c r="S976" s="412"/>
      <c r="T976" s="412"/>
      <c r="U976" s="292"/>
      <c r="V976" s="292"/>
      <c r="W976" s="292"/>
      <c r="X976" s="415"/>
      <c r="Y976" s="416"/>
      <c r="Z976" s="417"/>
      <c r="AA976" s="304"/>
      <c r="AB976" s="304"/>
      <c r="AC976" s="304"/>
      <c r="AD976" s="304"/>
      <c r="AE976" s="304"/>
      <c r="AF976" s="304"/>
      <c r="AG976" s="304"/>
      <c r="AH976" s="304"/>
    </row>
    <row r="977">
      <c r="A977" s="292"/>
      <c r="B977" s="292"/>
      <c r="C977" s="292"/>
      <c r="D977" s="412"/>
      <c r="E977" s="412"/>
      <c r="F977" s="412"/>
      <c r="G977" s="412"/>
      <c r="H977" s="412"/>
      <c r="I977" s="412"/>
      <c r="J977" s="412"/>
      <c r="K977" s="413"/>
      <c r="L977" s="413"/>
      <c r="M977" s="413"/>
      <c r="N977" s="414"/>
      <c r="O977" s="412"/>
      <c r="P977" s="412"/>
      <c r="Q977" s="412"/>
      <c r="R977" s="412"/>
      <c r="S977" s="412"/>
      <c r="T977" s="412"/>
      <c r="U977" s="292"/>
      <c r="V977" s="292"/>
      <c r="W977" s="292"/>
      <c r="X977" s="415"/>
      <c r="Y977" s="416"/>
      <c r="Z977" s="417"/>
      <c r="AA977" s="304"/>
      <c r="AB977" s="304"/>
      <c r="AC977" s="304"/>
      <c r="AD977" s="304"/>
      <c r="AE977" s="304"/>
      <c r="AF977" s="304"/>
      <c r="AG977" s="304"/>
      <c r="AH977" s="304"/>
    </row>
    <row r="978">
      <c r="A978" s="292"/>
      <c r="B978" s="292"/>
      <c r="C978" s="292"/>
      <c r="D978" s="412"/>
      <c r="E978" s="412"/>
      <c r="F978" s="412"/>
      <c r="G978" s="412"/>
      <c r="H978" s="412"/>
      <c r="I978" s="412"/>
      <c r="J978" s="412"/>
      <c r="K978" s="413"/>
      <c r="L978" s="413"/>
      <c r="M978" s="413"/>
      <c r="N978" s="414"/>
      <c r="O978" s="412"/>
      <c r="P978" s="412"/>
      <c r="Q978" s="412"/>
      <c r="R978" s="412"/>
      <c r="S978" s="412"/>
      <c r="T978" s="412"/>
      <c r="U978" s="292"/>
      <c r="V978" s="292"/>
      <c r="W978" s="292"/>
      <c r="X978" s="415"/>
      <c r="Y978" s="416"/>
      <c r="Z978" s="417"/>
      <c r="AA978" s="304"/>
      <c r="AB978" s="304"/>
      <c r="AC978" s="304"/>
      <c r="AD978" s="304"/>
      <c r="AE978" s="304"/>
      <c r="AF978" s="304"/>
      <c r="AG978" s="304"/>
      <c r="AH978" s="304"/>
    </row>
    <row r="979">
      <c r="A979" s="292"/>
      <c r="B979" s="292"/>
      <c r="C979" s="292"/>
      <c r="D979" s="412"/>
      <c r="E979" s="412"/>
      <c r="F979" s="412"/>
      <c r="G979" s="412"/>
      <c r="H979" s="412"/>
      <c r="I979" s="412"/>
      <c r="J979" s="412"/>
      <c r="K979" s="413"/>
      <c r="L979" s="413"/>
      <c r="M979" s="413"/>
      <c r="N979" s="414"/>
      <c r="O979" s="412"/>
      <c r="P979" s="412"/>
      <c r="Q979" s="412"/>
      <c r="R979" s="412"/>
      <c r="S979" s="412"/>
      <c r="T979" s="412"/>
      <c r="U979" s="292"/>
      <c r="V979" s="292"/>
      <c r="W979" s="292"/>
      <c r="X979" s="415"/>
      <c r="Y979" s="416"/>
      <c r="Z979" s="417"/>
      <c r="AA979" s="304"/>
      <c r="AB979" s="304"/>
      <c r="AC979" s="304"/>
      <c r="AD979" s="304"/>
      <c r="AE979" s="304"/>
      <c r="AF979" s="304"/>
      <c r="AG979" s="304"/>
      <c r="AH979" s="304"/>
    </row>
    <row r="980">
      <c r="A980" s="292"/>
      <c r="B980" s="292"/>
      <c r="C980" s="292"/>
      <c r="D980" s="412"/>
      <c r="E980" s="412"/>
      <c r="F980" s="412"/>
      <c r="G980" s="412"/>
      <c r="H980" s="412"/>
      <c r="I980" s="412"/>
      <c r="J980" s="412"/>
      <c r="K980" s="413"/>
      <c r="L980" s="413"/>
      <c r="M980" s="413"/>
      <c r="N980" s="414"/>
      <c r="O980" s="412"/>
      <c r="P980" s="412"/>
      <c r="Q980" s="412"/>
      <c r="R980" s="412"/>
      <c r="S980" s="412"/>
      <c r="T980" s="412"/>
      <c r="U980" s="292"/>
      <c r="V980" s="292"/>
      <c r="W980" s="292"/>
      <c r="X980" s="415"/>
      <c r="Y980" s="416"/>
      <c r="Z980" s="417"/>
      <c r="AA980" s="304"/>
      <c r="AB980" s="304"/>
      <c r="AC980" s="304"/>
      <c r="AD980" s="304"/>
      <c r="AE980" s="304"/>
      <c r="AF980" s="304"/>
      <c r="AG980" s="304"/>
      <c r="AH980" s="304"/>
    </row>
    <row r="981">
      <c r="A981" s="292"/>
      <c r="B981" s="292"/>
      <c r="C981" s="292"/>
      <c r="D981" s="412"/>
      <c r="E981" s="412"/>
      <c r="F981" s="412"/>
      <c r="G981" s="412"/>
      <c r="H981" s="412"/>
      <c r="I981" s="412"/>
      <c r="J981" s="412"/>
      <c r="K981" s="413"/>
      <c r="L981" s="413"/>
      <c r="M981" s="413"/>
      <c r="N981" s="414"/>
      <c r="O981" s="412"/>
      <c r="P981" s="412"/>
      <c r="Q981" s="412"/>
      <c r="R981" s="412"/>
      <c r="S981" s="412"/>
      <c r="T981" s="412"/>
      <c r="U981" s="292"/>
      <c r="V981" s="292"/>
      <c r="W981" s="292"/>
      <c r="X981" s="415"/>
      <c r="Y981" s="416"/>
      <c r="Z981" s="417"/>
      <c r="AA981" s="304"/>
      <c r="AB981" s="304"/>
      <c r="AC981" s="304"/>
      <c r="AD981" s="304"/>
      <c r="AE981" s="304"/>
      <c r="AF981" s="304"/>
      <c r="AG981" s="304"/>
      <c r="AH981" s="304"/>
    </row>
    <row r="982">
      <c r="A982" s="292"/>
      <c r="B982" s="292"/>
      <c r="C982" s="292"/>
      <c r="D982" s="412"/>
      <c r="E982" s="412"/>
      <c r="F982" s="412"/>
      <c r="G982" s="412"/>
      <c r="H982" s="412"/>
      <c r="I982" s="412"/>
      <c r="J982" s="412"/>
      <c r="K982" s="413"/>
      <c r="L982" s="413"/>
      <c r="M982" s="413"/>
      <c r="N982" s="414"/>
      <c r="O982" s="412"/>
      <c r="P982" s="412"/>
      <c r="Q982" s="412"/>
      <c r="R982" s="412"/>
      <c r="S982" s="412"/>
      <c r="T982" s="412"/>
      <c r="U982" s="292"/>
      <c r="V982" s="292"/>
      <c r="W982" s="292"/>
      <c r="X982" s="415"/>
      <c r="Y982" s="416"/>
      <c r="Z982" s="417"/>
      <c r="AA982" s="304"/>
      <c r="AB982" s="304"/>
      <c r="AC982" s="304"/>
      <c r="AD982" s="304"/>
      <c r="AE982" s="304"/>
      <c r="AF982" s="304"/>
      <c r="AG982" s="304"/>
      <c r="AH982" s="304"/>
    </row>
    <row r="983">
      <c r="A983" s="292"/>
      <c r="B983" s="292"/>
      <c r="C983" s="292"/>
      <c r="D983" s="412"/>
      <c r="E983" s="412"/>
      <c r="F983" s="412"/>
      <c r="G983" s="412"/>
      <c r="H983" s="412"/>
      <c r="I983" s="412"/>
      <c r="J983" s="412"/>
      <c r="K983" s="413"/>
      <c r="L983" s="413"/>
      <c r="M983" s="413"/>
      <c r="N983" s="414"/>
      <c r="O983" s="412"/>
      <c r="P983" s="412"/>
      <c r="Q983" s="412"/>
      <c r="R983" s="412"/>
      <c r="S983" s="412"/>
      <c r="T983" s="412"/>
      <c r="U983" s="292"/>
      <c r="V983" s="292"/>
      <c r="W983" s="292"/>
      <c r="X983" s="415"/>
      <c r="Y983" s="416"/>
      <c r="Z983" s="417"/>
      <c r="AA983" s="304"/>
      <c r="AB983" s="304"/>
      <c r="AC983" s="304"/>
      <c r="AD983" s="304"/>
      <c r="AE983" s="304"/>
      <c r="AF983" s="304"/>
      <c r="AG983" s="304"/>
      <c r="AH983" s="304"/>
    </row>
    <row r="984">
      <c r="A984" s="292"/>
      <c r="B984" s="292"/>
      <c r="C984" s="292"/>
      <c r="D984" s="412"/>
      <c r="E984" s="412"/>
      <c r="F984" s="412"/>
      <c r="G984" s="412"/>
      <c r="H984" s="412"/>
      <c r="I984" s="412"/>
      <c r="J984" s="412"/>
      <c r="K984" s="413"/>
      <c r="L984" s="413"/>
      <c r="M984" s="413"/>
      <c r="N984" s="414"/>
      <c r="O984" s="412"/>
      <c r="P984" s="412"/>
      <c r="Q984" s="412"/>
      <c r="R984" s="412"/>
      <c r="S984" s="412"/>
      <c r="T984" s="412"/>
      <c r="U984" s="292"/>
      <c r="V984" s="292"/>
      <c r="W984" s="292"/>
      <c r="X984" s="415"/>
      <c r="Y984" s="416"/>
      <c r="Z984" s="417"/>
      <c r="AA984" s="304"/>
      <c r="AB984" s="304"/>
      <c r="AC984" s="304"/>
      <c r="AD984" s="304"/>
      <c r="AE984" s="304"/>
      <c r="AF984" s="304"/>
      <c r="AG984" s="304"/>
      <c r="AH984" s="304"/>
    </row>
    <row r="985">
      <c r="A985" s="292"/>
      <c r="B985" s="292"/>
      <c r="C985" s="292"/>
      <c r="D985" s="412"/>
      <c r="E985" s="412"/>
      <c r="F985" s="412"/>
      <c r="G985" s="412"/>
      <c r="H985" s="412"/>
      <c r="I985" s="412"/>
      <c r="J985" s="412"/>
      <c r="K985" s="413"/>
      <c r="L985" s="413"/>
      <c r="M985" s="413"/>
      <c r="N985" s="414"/>
      <c r="O985" s="412"/>
      <c r="P985" s="412"/>
      <c r="Q985" s="412"/>
      <c r="R985" s="412"/>
      <c r="S985" s="412"/>
      <c r="T985" s="412"/>
      <c r="U985" s="292"/>
      <c r="V985" s="292"/>
      <c r="W985" s="292"/>
      <c r="X985" s="415"/>
      <c r="Y985" s="416"/>
      <c r="Z985" s="417"/>
      <c r="AA985" s="304"/>
      <c r="AB985" s="304"/>
      <c r="AC985" s="304"/>
      <c r="AD985" s="304"/>
      <c r="AE985" s="304"/>
      <c r="AF985" s="304"/>
      <c r="AG985" s="304"/>
      <c r="AH985" s="304"/>
    </row>
    <row r="986">
      <c r="A986" s="292"/>
      <c r="B986" s="292"/>
      <c r="C986" s="292"/>
      <c r="D986" s="412"/>
      <c r="E986" s="412"/>
      <c r="F986" s="412"/>
      <c r="G986" s="412"/>
      <c r="H986" s="412"/>
      <c r="I986" s="412"/>
      <c r="J986" s="412"/>
      <c r="K986" s="413"/>
      <c r="L986" s="413"/>
      <c r="M986" s="413"/>
      <c r="N986" s="414"/>
      <c r="O986" s="412"/>
      <c r="P986" s="412"/>
      <c r="Q986" s="412"/>
      <c r="R986" s="412"/>
      <c r="S986" s="412"/>
      <c r="T986" s="412"/>
      <c r="U986" s="292"/>
      <c r="V986" s="292"/>
      <c r="W986" s="292"/>
      <c r="X986" s="415"/>
      <c r="Y986" s="416"/>
      <c r="Z986" s="417"/>
      <c r="AA986" s="304"/>
      <c r="AB986" s="304"/>
      <c r="AC986" s="304"/>
      <c r="AD986" s="304"/>
      <c r="AE986" s="304"/>
      <c r="AF986" s="304"/>
      <c r="AG986" s="304"/>
      <c r="AH986" s="304"/>
    </row>
    <row r="987">
      <c r="A987" s="292"/>
      <c r="B987" s="292"/>
      <c r="C987" s="292"/>
      <c r="D987" s="412"/>
      <c r="E987" s="412"/>
      <c r="F987" s="412"/>
      <c r="G987" s="412"/>
      <c r="H987" s="412"/>
      <c r="I987" s="412"/>
      <c r="J987" s="412"/>
      <c r="K987" s="413"/>
      <c r="L987" s="413"/>
      <c r="M987" s="413"/>
      <c r="N987" s="414"/>
      <c r="O987" s="412"/>
      <c r="P987" s="412"/>
      <c r="Q987" s="412"/>
      <c r="R987" s="412"/>
      <c r="S987" s="412"/>
      <c r="T987" s="412"/>
      <c r="U987" s="292"/>
      <c r="V987" s="292"/>
      <c r="W987" s="292"/>
      <c r="X987" s="415"/>
      <c r="Y987" s="416"/>
      <c r="Z987" s="417"/>
      <c r="AA987" s="304"/>
      <c r="AB987" s="304"/>
      <c r="AC987" s="304"/>
      <c r="AD987" s="304"/>
      <c r="AE987" s="304"/>
      <c r="AF987" s="304"/>
      <c r="AG987" s="304"/>
      <c r="AH987" s="304"/>
    </row>
    <row r="988">
      <c r="A988" s="292"/>
      <c r="B988" s="292"/>
      <c r="C988" s="292"/>
      <c r="D988" s="412"/>
      <c r="E988" s="412"/>
      <c r="F988" s="412"/>
      <c r="G988" s="412"/>
      <c r="H988" s="412"/>
      <c r="I988" s="412"/>
      <c r="J988" s="412"/>
      <c r="K988" s="413"/>
      <c r="L988" s="413"/>
      <c r="M988" s="413"/>
      <c r="N988" s="414"/>
      <c r="O988" s="412"/>
      <c r="P988" s="412"/>
      <c r="Q988" s="412"/>
      <c r="R988" s="412"/>
      <c r="S988" s="412"/>
      <c r="T988" s="412"/>
      <c r="U988" s="292"/>
      <c r="V988" s="292"/>
      <c r="W988" s="292"/>
      <c r="X988" s="415"/>
      <c r="Y988" s="416"/>
      <c r="Z988" s="417"/>
      <c r="AA988" s="304"/>
      <c r="AB988" s="304"/>
      <c r="AC988" s="304"/>
      <c r="AD988" s="304"/>
      <c r="AE988" s="304"/>
      <c r="AF988" s="304"/>
      <c r="AG988" s="304"/>
      <c r="AH988" s="304"/>
    </row>
    <row r="989">
      <c r="A989" s="292"/>
      <c r="B989" s="292"/>
      <c r="C989" s="292"/>
      <c r="D989" s="412"/>
      <c r="E989" s="412"/>
      <c r="F989" s="412"/>
      <c r="G989" s="412"/>
      <c r="H989" s="412"/>
      <c r="I989" s="412"/>
      <c r="J989" s="412"/>
      <c r="K989" s="413"/>
      <c r="L989" s="413"/>
      <c r="M989" s="413"/>
      <c r="N989" s="414"/>
      <c r="O989" s="412"/>
      <c r="P989" s="412"/>
      <c r="Q989" s="412"/>
      <c r="R989" s="412"/>
      <c r="S989" s="412"/>
      <c r="T989" s="412"/>
      <c r="U989" s="292"/>
      <c r="V989" s="292"/>
      <c r="W989" s="292"/>
      <c r="X989" s="415"/>
      <c r="Y989" s="416"/>
      <c r="Z989" s="417"/>
      <c r="AA989" s="304"/>
      <c r="AB989" s="304"/>
      <c r="AC989" s="304"/>
      <c r="AD989" s="304"/>
      <c r="AE989" s="304"/>
      <c r="AF989" s="304"/>
      <c r="AG989" s="304"/>
      <c r="AH989" s="304"/>
    </row>
    <row r="990">
      <c r="A990" s="292"/>
      <c r="B990" s="292"/>
      <c r="C990" s="292"/>
      <c r="D990" s="412"/>
      <c r="E990" s="412"/>
      <c r="F990" s="412"/>
      <c r="G990" s="412"/>
      <c r="H990" s="412"/>
      <c r="I990" s="412"/>
      <c r="J990" s="412"/>
      <c r="K990" s="413"/>
      <c r="L990" s="413"/>
      <c r="M990" s="413"/>
      <c r="N990" s="414"/>
      <c r="O990" s="412"/>
      <c r="P990" s="412"/>
      <c r="Q990" s="412"/>
      <c r="R990" s="412"/>
      <c r="S990" s="412"/>
      <c r="T990" s="412"/>
      <c r="U990" s="292"/>
      <c r="V990" s="292"/>
      <c r="W990" s="292"/>
      <c r="X990" s="415"/>
      <c r="Y990" s="416"/>
      <c r="Z990" s="417"/>
      <c r="AA990" s="304"/>
      <c r="AB990" s="304"/>
      <c r="AC990" s="304"/>
      <c r="AD990" s="304"/>
      <c r="AE990" s="304"/>
      <c r="AF990" s="304"/>
      <c r="AG990" s="304"/>
      <c r="AH990" s="304"/>
    </row>
    <row r="991">
      <c r="A991" s="292"/>
      <c r="B991" s="292"/>
      <c r="C991" s="292"/>
      <c r="D991" s="412"/>
      <c r="E991" s="412"/>
      <c r="F991" s="412"/>
      <c r="G991" s="412"/>
      <c r="H991" s="412"/>
      <c r="I991" s="412"/>
      <c r="J991" s="412"/>
      <c r="K991" s="413"/>
      <c r="L991" s="413"/>
      <c r="M991" s="413"/>
      <c r="N991" s="414"/>
      <c r="O991" s="412"/>
      <c r="P991" s="412"/>
      <c r="Q991" s="412"/>
      <c r="R991" s="412"/>
      <c r="S991" s="412"/>
      <c r="T991" s="412"/>
      <c r="U991" s="292"/>
      <c r="V991" s="292"/>
      <c r="W991" s="292"/>
      <c r="X991" s="415"/>
      <c r="Y991" s="416"/>
      <c r="Z991" s="417"/>
      <c r="AA991" s="304"/>
      <c r="AB991" s="304"/>
      <c r="AC991" s="304"/>
      <c r="AD991" s="304"/>
      <c r="AE991" s="304"/>
      <c r="AF991" s="304"/>
      <c r="AG991" s="304"/>
      <c r="AH991" s="304"/>
    </row>
    <row r="992">
      <c r="A992" s="292"/>
      <c r="B992" s="292"/>
      <c r="C992" s="292"/>
      <c r="D992" s="412"/>
      <c r="E992" s="412"/>
      <c r="F992" s="412"/>
      <c r="G992" s="412"/>
      <c r="H992" s="412"/>
      <c r="I992" s="412"/>
      <c r="J992" s="412"/>
      <c r="K992" s="413"/>
      <c r="L992" s="413"/>
      <c r="M992" s="413"/>
      <c r="N992" s="414"/>
      <c r="O992" s="412"/>
      <c r="P992" s="412"/>
      <c r="Q992" s="412"/>
      <c r="R992" s="412"/>
      <c r="S992" s="412"/>
      <c r="T992" s="412"/>
      <c r="U992" s="292"/>
      <c r="V992" s="292"/>
      <c r="W992" s="292"/>
      <c r="X992" s="415"/>
      <c r="Y992" s="416"/>
      <c r="Z992" s="417"/>
      <c r="AA992" s="304"/>
      <c r="AB992" s="304"/>
      <c r="AC992" s="304"/>
      <c r="AD992" s="304"/>
      <c r="AE992" s="304"/>
      <c r="AF992" s="304"/>
      <c r="AG992" s="304"/>
      <c r="AH992" s="304"/>
    </row>
    <row r="993">
      <c r="A993" s="292"/>
      <c r="B993" s="292"/>
      <c r="C993" s="292"/>
      <c r="D993" s="412"/>
      <c r="E993" s="412"/>
      <c r="F993" s="412"/>
      <c r="G993" s="412"/>
      <c r="H993" s="412"/>
      <c r="I993" s="412"/>
      <c r="J993" s="412"/>
      <c r="K993" s="413"/>
      <c r="L993" s="413"/>
      <c r="M993" s="413"/>
      <c r="N993" s="414"/>
      <c r="O993" s="412"/>
      <c r="P993" s="412"/>
      <c r="Q993" s="412"/>
      <c r="R993" s="412"/>
      <c r="S993" s="412"/>
      <c r="T993" s="412"/>
      <c r="U993" s="292"/>
      <c r="V993" s="292"/>
      <c r="W993" s="292"/>
      <c r="X993" s="415"/>
      <c r="Y993" s="416"/>
      <c r="Z993" s="417"/>
      <c r="AA993" s="304"/>
      <c r="AB993" s="304"/>
      <c r="AC993" s="304"/>
      <c r="AD993" s="304"/>
      <c r="AE993" s="304"/>
      <c r="AF993" s="304"/>
      <c r="AG993" s="304"/>
      <c r="AH993" s="304"/>
    </row>
    <row r="994">
      <c r="A994" s="292"/>
      <c r="B994" s="292"/>
      <c r="C994" s="292"/>
      <c r="D994" s="412"/>
      <c r="E994" s="412"/>
      <c r="F994" s="412"/>
      <c r="G994" s="412"/>
      <c r="H994" s="412"/>
      <c r="I994" s="412"/>
      <c r="J994" s="412"/>
      <c r="K994" s="413"/>
      <c r="L994" s="413"/>
      <c r="M994" s="413"/>
      <c r="N994" s="414"/>
      <c r="O994" s="412"/>
      <c r="P994" s="412"/>
      <c r="Q994" s="412"/>
      <c r="R994" s="412"/>
      <c r="S994" s="412"/>
      <c r="T994" s="412"/>
      <c r="U994" s="292"/>
      <c r="V994" s="292"/>
      <c r="W994" s="292"/>
      <c r="X994" s="415"/>
      <c r="Y994" s="416"/>
      <c r="Z994" s="417"/>
      <c r="AA994" s="304"/>
      <c r="AB994" s="304"/>
      <c r="AC994" s="304"/>
      <c r="AD994" s="304"/>
      <c r="AE994" s="304"/>
      <c r="AF994" s="304"/>
      <c r="AG994" s="304"/>
      <c r="AH994" s="304"/>
    </row>
    <row r="995">
      <c r="A995" s="292"/>
      <c r="B995" s="292"/>
      <c r="C995" s="292"/>
      <c r="D995" s="412"/>
      <c r="E995" s="412"/>
      <c r="F995" s="412"/>
      <c r="G995" s="412"/>
      <c r="H995" s="412"/>
      <c r="I995" s="412"/>
      <c r="J995" s="412"/>
      <c r="K995" s="413"/>
      <c r="L995" s="413"/>
      <c r="M995" s="413"/>
      <c r="N995" s="414"/>
      <c r="O995" s="412"/>
      <c r="P995" s="412"/>
      <c r="Q995" s="412"/>
      <c r="R995" s="412"/>
      <c r="S995" s="412"/>
      <c r="T995" s="412"/>
      <c r="U995" s="292"/>
      <c r="V995" s="292"/>
      <c r="W995" s="292"/>
      <c r="X995" s="415"/>
      <c r="Y995" s="416"/>
      <c r="Z995" s="417"/>
      <c r="AA995" s="304"/>
      <c r="AB995" s="304"/>
      <c r="AC995" s="304"/>
      <c r="AD995" s="304"/>
      <c r="AE995" s="304"/>
      <c r="AF995" s="304"/>
      <c r="AG995" s="304"/>
      <c r="AH995" s="304"/>
    </row>
    <row r="996">
      <c r="A996" s="292"/>
      <c r="B996" s="292"/>
      <c r="C996" s="292"/>
      <c r="D996" s="412"/>
      <c r="E996" s="412"/>
      <c r="F996" s="412"/>
      <c r="G996" s="412"/>
      <c r="H996" s="412"/>
      <c r="I996" s="412"/>
      <c r="J996" s="412"/>
      <c r="K996" s="413"/>
      <c r="L996" s="413"/>
      <c r="M996" s="413"/>
      <c r="N996" s="414"/>
      <c r="O996" s="412"/>
      <c r="P996" s="412"/>
      <c r="Q996" s="412"/>
      <c r="R996" s="412"/>
      <c r="S996" s="412"/>
      <c r="T996" s="412"/>
      <c r="U996" s="292"/>
      <c r="V996" s="292"/>
      <c r="W996" s="292"/>
      <c r="X996" s="415"/>
      <c r="Y996" s="416"/>
      <c r="Z996" s="417"/>
      <c r="AA996" s="304"/>
      <c r="AB996" s="304"/>
      <c r="AC996" s="304"/>
      <c r="AD996" s="304"/>
      <c r="AE996" s="304"/>
      <c r="AF996" s="304"/>
      <c r="AG996" s="304"/>
      <c r="AH996" s="304"/>
    </row>
    <row r="997">
      <c r="A997" s="292"/>
      <c r="B997" s="292"/>
      <c r="C997" s="292"/>
      <c r="D997" s="412"/>
      <c r="E997" s="412"/>
      <c r="F997" s="412"/>
      <c r="G997" s="412"/>
      <c r="H997" s="412"/>
      <c r="I997" s="412"/>
      <c r="J997" s="412"/>
      <c r="K997" s="413"/>
      <c r="L997" s="413"/>
      <c r="M997" s="413"/>
      <c r="N997" s="414"/>
      <c r="O997" s="412"/>
      <c r="P997" s="412"/>
      <c r="Q997" s="412"/>
      <c r="R997" s="412"/>
      <c r="S997" s="412"/>
      <c r="T997" s="412"/>
      <c r="U997" s="292"/>
      <c r="V997" s="292"/>
      <c r="W997" s="292"/>
      <c r="X997" s="415"/>
      <c r="Y997" s="416"/>
      <c r="Z997" s="417"/>
      <c r="AA997" s="304"/>
      <c r="AB997" s="304"/>
      <c r="AC997" s="304"/>
      <c r="AD997" s="304"/>
      <c r="AE997" s="304"/>
      <c r="AF997" s="304"/>
      <c r="AG997" s="304"/>
      <c r="AH997" s="304"/>
    </row>
    <row r="998">
      <c r="A998" s="292"/>
      <c r="B998" s="292"/>
      <c r="C998" s="292"/>
      <c r="D998" s="412"/>
      <c r="E998" s="412"/>
      <c r="F998" s="412"/>
      <c r="G998" s="412"/>
      <c r="H998" s="412"/>
      <c r="I998" s="412"/>
      <c r="J998" s="412"/>
      <c r="K998" s="413"/>
      <c r="L998" s="413"/>
      <c r="M998" s="413"/>
      <c r="N998" s="414"/>
      <c r="O998" s="412"/>
      <c r="P998" s="412"/>
      <c r="Q998" s="412"/>
      <c r="R998" s="412"/>
      <c r="S998" s="412"/>
      <c r="T998" s="412"/>
      <c r="U998" s="292"/>
      <c r="V998" s="292"/>
      <c r="W998" s="292"/>
      <c r="X998" s="415"/>
      <c r="Y998" s="416"/>
      <c r="Z998" s="417"/>
      <c r="AA998" s="304"/>
      <c r="AB998" s="304"/>
      <c r="AC998" s="304"/>
      <c r="AD998" s="304"/>
      <c r="AE998" s="304"/>
      <c r="AF998" s="304"/>
      <c r="AG998" s="304"/>
      <c r="AH998" s="304"/>
    </row>
    <row r="999">
      <c r="A999" s="292"/>
      <c r="B999" s="292"/>
      <c r="C999" s="292"/>
      <c r="D999" s="412"/>
      <c r="E999" s="412"/>
      <c r="F999" s="412"/>
      <c r="G999" s="412"/>
      <c r="H999" s="412"/>
      <c r="I999" s="412"/>
      <c r="J999" s="412"/>
      <c r="K999" s="413"/>
      <c r="L999" s="413"/>
      <c r="M999" s="413"/>
      <c r="N999" s="414"/>
      <c r="O999" s="412"/>
      <c r="P999" s="412"/>
      <c r="Q999" s="412"/>
      <c r="R999" s="412"/>
      <c r="S999" s="412"/>
      <c r="T999" s="412"/>
      <c r="U999" s="292"/>
      <c r="V999" s="292"/>
      <c r="W999" s="292"/>
      <c r="X999" s="415"/>
      <c r="Y999" s="416"/>
      <c r="Z999" s="417"/>
      <c r="AA999" s="304"/>
      <c r="AB999" s="304"/>
      <c r="AC999" s="304"/>
      <c r="AD999" s="304"/>
      <c r="AE999" s="304"/>
      <c r="AF999" s="304"/>
      <c r="AG999" s="304"/>
      <c r="AH999" s="304"/>
    </row>
    <row r="1000">
      <c r="A1000" s="292"/>
      <c r="B1000" s="292"/>
      <c r="C1000" s="292"/>
      <c r="D1000" s="412"/>
      <c r="E1000" s="412"/>
      <c r="F1000" s="412"/>
      <c r="G1000" s="412"/>
      <c r="H1000" s="412"/>
      <c r="I1000" s="412"/>
      <c r="J1000" s="412"/>
      <c r="K1000" s="413"/>
      <c r="L1000" s="413"/>
      <c r="M1000" s="413"/>
      <c r="N1000" s="414"/>
      <c r="O1000" s="412"/>
      <c r="P1000" s="412"/>
      <c r="Q1000" s="412"/>
      <c r="R1000" s="412"/>
      <c r="S1000" s="412"/>
      <c r="T1000" s="412"/>
      <c r="U1000" s="292"/>
      <c r="V1000" s="292"/>
      <c r="W1000" s="292"/>
      <c r="X1000" s="415"/>
      <c r="Y1000" s="416"/>
      <c r="Z1000" s="417"/>
      <c r="AA1000" s="304"/>
      <c r="AB1000" s="304"/>
      <c r="AC1000" s="304"/>
      <c r="AD1000" s="304"/>
      <c r="AE1000" s="304"/>
      <c r="AF1000" s="304"/>
      <c r="AG1000" s="304"/>
      <c r="AH1000" s="304"/>
    </row>
    <row r="1001">
      <c r="A1001" s="292"/>
      <c r="B1001" s="292"/>
      <c r="C1001" s="292"/>
      <c r="D1001" s="412"/>
      <c r="E1001" s="412"/>
      <c r="F1001" s="412"/>
      <c r="G1001" s="412"/>
      <c r="H1001" s="412"/>
      <c r="I1001" s="412"/>
      <c r="J1001" s="412"/>
      <c r="K1001" s="413"/>
      <c r="L1001" s="413"/>
      <c r="M1001" s="413"/>
      <c r="N1001" s="414"/>
      <c r="O1001" s="412"/>
      <c r="P1001" s="412"/>
      <c r="Q1001" s="412"/>
      <c r="R1001" s="412"/>
      <c r="S1001" s="412"/>
      <c r="T1001" s="412"/>
      <c r="U1001" s="292"/>
      <c r="V1001" s="292"/>
      <c r="W1001" s="292"/>
      <c r="X1001" s="415"/>
      <c r="Y1001" s="416"/>
      <c r="Z1001" s="417"/>
      <c r="AA1001" s="304"/>
      <c r="AB1001" s="304"/>
      <c r="AC1001" s="304"/>
      <c r="AD1001" s="304"/>
      <c r="AE1001" s="304"/>
      <c r="AF1001" s="304"/>
      <c r="AG1001" s="304"/>
      <c r="AH1001" s="304"/>
    </row>
    <row r="1002">
      <c r="A1002" s="292"/>
      <c r="B1002" s="292"/>
      <c r="C1002" s="292"/>
      <c r="D1002" s="412"/>
      <c r="E1002" s="412"/>
      <c r="F1002" s="412"/>
      <c r="G1002" s="412"/>
      <c r="H1002" s="412"/>
      <c r="I1002" s="412"/>
      <c r="J1002" s="412"/>
      <c r="K1002" s="413"/>
      <c r="L1002" s="413"/>
      <c r="M1002" s="413"/>
      <c r="N1002" s="414"/>
      <c r="O1002" s="412"/>
      <c r="P1002" s="412"/>
      <c r="Q1002" s="412"/>
      <c r="R1002" s="412"/>
      <c r="S1002" s="412"/>
      <c r="T1002" s="412"/>
      <c r="U1002" s="292"/>
      <c r="V1002" s="292"/>
      <c r="W1002" s="292"/>
      <c r="X1002" s="415"/>
      <c r="Y1002" s="416"/>
      <c r="Z1002" s="417"/>
      <c r="AA1002" s="304"/>
      <c r="AB1002" s="304"/>
      <c r="AC1002" s="304"/>
      <c r="AD1002" s="304"/>
      <c r="AE1002" s="304"/>
      <c r="AF1002" s="304"/>
      <c r="AG1002" s="304"/>
      <c r="AH1002" s="304"/>
    </row>
    <row r="1003">
      <c r="A1003" s="292"/>
      <c r="B1003" s="292"/>
      <c r="C1003" s="292"/>
      <c r="D1003" s="412"/>
      <c r="E1003" s="412"/>
      <c r="F1003" s="412"/>
      <c r="G1003" s="412"/>
      <c r="H1003" s="412"/>
      <c r="I1003" s="412"/>
      <c r="J1003" s="412"/>
      <c r="K1003" s="413"/>
      <c r="L1003" s="413"/>
      <c r="M1003" s="413"/>
      <c r="N1003" s="414"/>
      <c r="O1003" s="412"/>
      <c r="P1003" s="412"/>
      <c r="Q1003" s="412"/>
      <c r="R1003" s="412"/>
      <c r="S1003" s="412"/>
      <c r="T1003" s="412"/>
      <c r="U1003" s="292"/>
      <c r="V1003" s="292"/>
      <c r="W1003" s="292"/>
      <c r="X1003" s="415"/>
      <c r="Y1003" s="416"/>
      <c r="Z1003" s="417"/>
      <c r="AA1003" s="304"/>
      <c r="AB1003" s="304"/>
      <c r="AC1003" s="304"/>
      <c r="AD1003" s="304"/>
      <c r="AE1003" s="304"/>
      <c r="AF1003" s="304"/>
      <c r="AG1003" s="304"/>
      <c r="AH1003" s="304"/>
    </row>
    <row r="1004">
      <c r="A1004" s="292"/>
      <c r="B1004" s="292"/>
      <c r="C1004" s="292"/>
      <c r="D1004" s="412"/>
      <c r="E1004" s="412"/>
      <c r="F1004" s="412"/>
      <c r="G1004" s="412"/>
      <c r="H1004" s="412"/>
      <c r="I1004" s="412"/>
      <c r="J1004" s="412"/>
      <c r="K1004" s="413"/>
      <c r="L1004" s="413"/>
      <c r="M1004" s="413"/>
      <c r="N1004" s="414"/>
      <c r="O1004" s="412"/>
      <c r="P1004" s="412"/>
      <c r="Q1004" s="412"/>
      <c r="R1004" s="412"/>
      <c r="S1004" s="412"/>
      <c r="T1004" s="412"/>
      <c r="U1004" s="292"/>
      <c r="V1004" s="292"/>
      <c r="W1004" s="292"/>
      <c r="X1004" s="415"/>
      <c r="Y1004" s="416"/>
      <c r="Z1004" s="417"/>
      <c r="AA1004" s="304"/>
      <c r="AB1004" s="304"/>
      <c r="AC1004" s="304"/>
      <c r="AD1004" s="304"/>
      <c r="AE1004" s="304"/>
      <c r="AF1004" s="304"/>
      <c r="AG1004" s="304"/>
      <c r="AH1004" s="304"/>
    </row>
    <row r="1005">
      <c r="A1005" s="292"/>
      <c r="B1005" s="292"/>
      <c r="C1005" s="292"/>
      <c r="D1005" s="412"/>
      <c r="E1005" s="412"/>
      <c r="F1005" s="412"/>
      <c r="G1005" s="412"/>
      <c r="H1005" s="412"/>
      <c r="I1005" s="412"/>
      <c r="J1005" s="412"/>
      <c r="K1005" s="413"/>
      <c r="L1005" s="413"/>
      <c r="M1005" s="413"/>
      <c r="N1005" s="414"/>
      <c r="O1005" s="412"/>
      <c r="P1005" s="412"/>
      <c r="Q1005" s="412"/>
      <c r="R1005" s="412"/>
      <c r="S1005" s="412"/>
      <c r="T1005" s="412"/>
      <c r="U1005" s="292"/>
      <c r="V1005" s="292"/>
      <c r="W1005" s="292"/>
      <c r="X1005" s="415"/>
      <c r="Y1005" s="416"/>
      <c r="Z1005" s="417"/>
      <c r="AA1005" s="304"/>
      <c r="AB1005" s="304"/>
      <c r="AC1005" s="304"/>
      <c r="AD1005" s="304"/>
      <c r="AE1005" s="304"/>
      <c r="AF1005" s="304"/>
      <c r="AG1005" s="304"/>
      <c r="AH1005" s="304"/>
    </row>
    <row r="1006">
      <c r="A1006" s="292"/>
      <c r="B1006" s="292"/>
      <c r="C1006" s="292"/>
      <c r="D1006" s="412"/>
      <c r="E1006" s="412"/>
      <c r="F1006" s="412"/>
      <c r="G1006" s="412"/>
      <c r="H1006" s="412"/>
      <c r="I1006" s="412"/>
      <c r="J1006" s="412"/>
      <c r="K1006" s="413"/>
      <c r="L1006" s="413"/>
      <c r="M1006" s="413"/>
      <c r="N1006" s="414"/>
      <c r="O1006" s="412"/>
      <c r="P1006" s="412"/>
      <c r="Q1006" s="412"/>
      <c r="R1006" s="412"/>
      <c r="S1006" s="412"/>
      <c r="T1006" s="412"/>
      <c r="U1006" s="292"/>
      <c r="V1006" s="292"/>
      <c r="W1006" s="292"/>
      <c r="X1006" s="415"/>
      <c r="Y1006" s="416"/>
      <c r="Z1006" s="417"/>
      <c r="AA1006" s="304"/>
      <c r="AB1006" s="304"/>
      <c r="AC1006" s="304"/>
      <c r="AD1006" s="304"/>
      <c r="AE1006" s="304"/>
      <c r="AF1006" s="304"/>
      <c r="AG1006" s="304"/>
      <c r="AH1006" s="304"/>
    </row>
  </sheetData>
  <autoFilter ref="$A$4:$AH$233"/>
  <mergeCells count="3">
    <mergeCell ref="F3:I3"/>
    <mergeCell ref="J3:L3"/>
    <mergeCell ref="N3:U3"/>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0"/>
    <col customWidth="1" min="2" max="2" width="10.25"/>
    <col customWidth="1" min="3" max="3" width="16.38"/>
    <col customWidth="1" min="4" max="4" width="8.25"/>
    <col customWidth="1" min="5" max="5" width="6.5"/>
    <col customWidth="1" min="6" max="6" width="6.0"/>
    <col customWidth="1" min="7" max="7" width="25.13"/>
    <col customWidth="1" min="8" max="8" width="5.25"/>
    <col customWidth="1" min="9" max="9" width="6.0"/>
    <col customWidth="1" min="10" max="10" width="6.88"/>
    <col customWidth="1" min="11" max="11" width="4.5"/>
    <col customWidth="1" min="12" max="12" width="6.5"/>
    <col customWidth="1" min="13" max="13" width="4.5"/>
    <col customWidth="1" min="14" max="14" width="5.75"/>
    <col customWidth="1" min="15" max="23" width="14.38"/>
    <col customWidth="1" min="24" max="28" width="12.13"/>
  </cols>
  <sheetData>
    <row r="1">
      <c r="B1" s="418" t="s">
        <v>1168</v>
      </c>
      <c r="D1" s="419" t="s">
        <v>1169</v>
      </c>
      <c r="E1" s="420">
        <v>52.0</v>
      </c>
      <c r="F1" s="421" t="s">
        <v>1170</v>
      </c>
      <c r="G1" s="420">
        <v>0.0</v>
      </c>
      <c r="H1" s="422" t="s">
        <v>1171</v>
      </c>
      <c r="I1" s="423">
        <f>E1-G1</f>
        <v>52</v>
      </c>
      <c r="J1" s="424" t="s">
        <v>1172</v>
      </c>
      <c r="K1" s="44"/>
      <c r="L1" s="425">
        <f>G1/E1</f>
        <v>0</v>
      </c>
      <c r="M1" s="44"/>
      <c r="N1" s="426"/>
      <c r="O1" s="427" t="s">
        <v>1173</v>
      </c>
      <c r="P1" s="43"/>
      <c r="Q1" s="43"/>
      <c r="R1" s="43"/>
      <c r="S1" s="428" t="s">
        <v>1174</v>
      </c>
    </row>
    <row r="2">
      <c r="A2" s="429"/>
      <c r="B2" s="430" t="s">
        <v>1175</v>
      </c>
      <c r="C2" s="430" t="s">
        <v>1176</v>
      </c>
      <c r="D2" s="430" t="s">
        <v>636</v>
      </c>
      <c r="E2" s="430" t="s">
        <v>1177</v>
      </c>
      <c r="F2" s="430" t="s">
        <v>1178</v>
      </c>
      <c r="G2" s="431" t="s">
        <v>1179</v>
      </c>
      <c r="H2" s="430" t="s">
        <v>1180</v>
      </c>
      <c r="I2" s="430" t="s">
        <v>1181</v>
      </c>
      <c r="J2" s="430" t="s">
        <v>1182</v>
      </c>
      <c r="K2" s="430" t="s">
        <v>1183</v>
      </c>
      <c r="L2" s="430" t="s">
        <v>1184</v>
      </c>
      <c r="M2" s="430" t="s">
        <v>1185</v>
      </c>
      <c r="N2" s="430" t="s">
        <v>113</v>
      </c>
      <c r="O2" s="432" t="s">
        <v>23</v>
      </c>
      <c r="P2" s="432" t="s">
        <v>39</v>
      </c>
      <c r="Q2" s="432" t="s">
        <v>108</v>
      </c>
      <c r="R2" s="432" t="s">
        <v>37</v>
      </c>
      <c r="S2" s="433" t="s">
        <v>21</v>
      </c>
      <c r="T2" s="433" t="s">
        <v>110</v>
      </c>
      <c r="U2" s="433" t="s">
        <v>38</v>
      </c>
      <c r="V2" s="433" t="s">
        <v>54</v>
      </c>
      <c r="W2" s="433" t="s">
        <v>55</v>
      </c>
      <c r="X2" s="434"/>
      <c r="Y2" s="434"/>
      <c r="Z2" s="434"/>
      <c r="AA2" s="434"/>
      <c r="AB2" s="434"/>
    </row>
    <row r="3">
      <c r="A3" s="429"/>
      <c r="B3" s="435" t="s">
        <v>1186</v>
      </c>
      <c r="C3" s="436" t="s">
        <v>622</v>
      </c>
      <c r="D3" s="435">
        <v>2023.05</v>
      </c>
      <c r="E3" s="435">
        <v>4.0</v>
      </c>
      <c r="F3" s="435">
        <v>430.0</v>
      </c>
      <c r="G3" s="435">
        <v>73.0</v>
      </c>
      <c r="H3" s="435">
        <v>73.0</v>
      </c>
      <c r="I3" s="435">
        <v>42.0</v>
      </c>
      <c r="J3" s="435">
        <v>22.0</v>
      </c>
      <c r="K3" s="435">
        <v>53.0</v>
      </c>
      <c r="L3" s="435" t="s">
        <v>1187</v>
      </c>
      <c r="M3" s="435">
        <v>2.0</v>
      </c>
      <c r="N3" s="435">
        <v>2.0</v>
      </c>
      <c r="O3" s="437" t="s">
        <v>1188</v>
      </c>
      <c r="P3" s="437"/>
      <c r="Q3" s="437"/>
      <c r="R3" s="437"/>
      <c r="S3" s="437"/>
      <c r="T3" s="437"/>
      <c r="U3" s="437"/>
      <c r="V3" s="437"/>
      <c r="W3" s="437"/>
      <c r="X3" s="438"/>
      <c r="Y3" s="438"/>
      <c r="Z3" s="438"/>
      <c r="AA3" s="438"/>
      <c r="AB3" s="438"/>
    </row>
    <row r="4">
      <c r="A4" s="429"/>
      <c r="B4" s="435" t="s">
        <v>1186</v>
      </c>
      <c r="C4" s="95"/>
      <c r="D4" s="435">
        <v>2023.05</v>
      </c>
      <c r="E4" s="435">
        <v>4.0</v>
      </c>
      <c r="F4" s="435">
        <v>430.0</v>
      </c>
      <c r="G4" s="439">
        <v>81.0</v>
      </c>
      <c r="H4" s="439">
        <v>81.0</v>
      </c>
      <c r="I4" s="435">
        <v>281.0</v>
      </c>
      <c r="J4" s="435">
        <v>25.0</v>
      </c>
      <c r="K4" s="435">
        <v>59.0</v>
      </c>
      <c r="L4" s="435" t="s">
        <v>1187</v>
      </c>
      <c r="M4" s="435">
        <v>3.0</v>
      </c>
      <c r="N4" s="435">
        <v>2.0</v>
      </c>
      <c r="O4" s="95"/>
      <c r="P4" s="95"/>
      <c r="Q4" s="95"/>
      <c r="R4" s="95"/>
      <c r="S4" s="95"/>
      <c r="T4" s="95"/>
      <c r="U4" s="95"/>
      <c r="V4" s="95"/>
      <c r="W4" s="95"/>
      <c r="X4" s="438"/>
      <c r="Y4" s="438"/>
      <c r="Z4" s="438"/>
      <c r="AA4" s="438"/>
      <c r="AB4" s="438"/>
    </row>
    <row r="5">
      <c r="A5" s="429"/>
      <c r="B5" s="435" t="s">
        <v>1186</v>
      </c>
      <c r="C5" s="95"/>
      <c r="D5" s="435">
        <v>2023.05</v>
      </c>
      <c r="E5" s="435">
        <v>4.0</v>
      </c>
      <c r="F5" s="435">
        <v>430.0</v>
      </c>
      <c r="G5" s="439">
        <v>107.0</v>
      </c>
      <c r="H5" s="439">
        <v>107.0</v>
      </c>
      <c r="I5" s="435">
        <v>100.0</v>
      </c>
      <c r="J5" s="435">
        <v>32.0</v>
      </c>
      <c r="K5" s="435">
        <v>79.0</v>
      </c>
      <c r="L5" s="435" t="s">
        <v>1187</v>
      </c>
      <c r="M5" s="435">
        <v>3.0</v>
      </c>
      <c r="N5" s="435">
        <v>2.0</v>
      </c>
      <c r="O5" s="95"/>
      <c r="P5" s="95"/>
      <c r="Q5" s="95"/>
      <c r="R5" s="95"/>
      <c r="S5" s="95"/>
      <c r="T5" s="95"/>
      <c r="U5" s="95"/>
      <c r="V5" s="95"/>
      <c r="W5" s="95"/>
      <c r="X5" s="438"/>
      <c r="Y5" s="438"/>
      <c r="Z5" s="438"/>
      <c r="AA5" s="438"/>
      <c r="AB5" s="438"/>
    </row>
    <row r="6">
      <c r="A6" s="429"/>
      <c r="B6" s="435" t="s">
        <v>1186</v>
      </c>
      <c r="C6" s="95"/>
      <c r="D6" s="435">
        <v>2023.05</v>
      </c>
      <c r="E6" s="435">
        <v>4.0</v>
      </c>
      <c r="F6" s="435">
        <v>430.0</v>
      </c>
      <c r="G6" s="439" t="s">
        <v>1189</v>
      </c>
      <c r="H6" s="439">
        <v>117.0</v>
      </c>
      <c r="I6" s="435">
        <v>5.0</v>
      </c>
      <c r="J6" s="435">
        <v>35.0</v>
      </c>
      <c r="K6" s="435">
        <v>84.0</v>
      </c>
      <c r="L6" s="435" t="s">
        <v>1187</v>
      </c>
      <c r="M6" s="435">
        <v>3.0</v>
      </c>
      <c r="N6" s="435">
        <v>2.0</v>
      </c>
      <c r="O6" s="95"/>
      <c r="P6" s="95"/>
      <c r="Q6" s="95"/>
      <c r="R6" s="95"/>
      <c r="S6" s="95"/>
      <c r="T6" s="95"/>
      <c r="U6" s="95"/>
      <c r="V6" s="95"/>
      <c r="W6" s="95"/>
      <c r="X6" s="438"/>
      <c r="Y6" s="438"/>
      <c r="Z6" s="438"/>
      <c r="AA6" s="438"/>
      <c r="AB6" s="438"/>
    </row>
    <row r="7">
      <c r="A7" s="429"/>
      <c r="B7" s="435" t="s">
        <v>1186</v>
      </c>
      <c r="C7" s="164"/>
      <c r="D7" s="435">
        <v>2023.05</v>
      </c>
      <c r="E7" s="435">
        <v>4.0</v>
      </c>
      <c r="F7" s="435">
        <v>430.0</v>
      </c>
      <c r="G7" s="439">
        <v>160.0</v>
      </c>
      <c r="H7" s="439">
        <v>160.0</v>
      </c>
      <c r="I7" s="435">
        <v>2.0</v>
      </c>
      <c r="J7" s="435">
        <v>48.0</v>
      </c>
      <c r="K7" s="435">
        <v>114.0</v>
      </c>
      <c r="L7" s="435" t="s">
        <v>1187</v>
      </c>
      <c r="M7" s="435">
        <v>3.0</v>
      </c>
      <c r="N7" s="435">
        <v>2.0</v>
      </c>
      <c r="O7" s="164"/>
      <c r="P7" s="164"/>
      <c r="Q7" s="164"/>
      <c r="R7" s="164"/>
      <c r="S7" s="164"/>
      <c r="T7" s="164"/>
      <c r="U7" s="164"/>
      <c r="V7" s="164"/>
      <c r="W7" s="164"/>
      <c r="X7" s="438"/>
      <c r="Y7" s="438"/>
      <c r="Z7" s="438"/>
      <c r="AA7" s="438"/>
      <c r="AB7" s="438"/>
    </row>
    <row r="8">
      <c r="A8" s="429"/>
      <c r="B8" s="435" t="s">
        <v>1186</v>
      </c>
      <c r="C8" s="436" t="s">
        <v>797</v>
      </c>
      <c r="D8" s="435">
        <v>2006.01</v>
      </c>
      <c r="E8" s="435">
        <v>21.0</v>
      </c>
      <c r="F8" s="435">
        <v>670.0</v>
      </c>
      <c r="G8" s="439" t="s">
        <v>1190</v>
      </c>
      <c r="H8" s="439">
        <v>82.0</v>
      </c>
      <c r="I8" s="435">
        <v>196.0</v>
      </c>
      <c r="J8" s="435">
        <v>25.0</v>
      </c>
      <c r="K8" s="435">
        <v>63.0</v>
      </c>
      <c r="L8" s="435" t="s">
        <v>1187</v>
      </c>
      <c r="M8" s="435">
        <v>3.0</v>
      </c>
      <c r="N8" s="435">
        <v>2.0</v>
      </c>
      <c r="O8" s="437"/>
      <c r="P8" s="437"/>
      <c r="Q8" s="437"/>
      <c r="R8" s="437"/>
      <c r="S8" s="437"/>
      <c r="T8" s="437"/>
      <c r="U8" s="437"/>
      <c r="V8" s="437"/>
      <c r="W8" s="437"/>
      <c r="X8" s="438"/>
      <c r="Y8" s="438"/>
      <c r="Z8" s="438"/>
      <c r="AA8" s="438"/>
      <c r="AB8" s="438"/>
    </row>
    <row r="9">
      <c r="A9" s="429"/>
      <c r="B9" s="435" t="s">
        <v>1186</v>
      </c>
      <c r="C9" s="95"/>
      <c r="D9" s="435">
        <v>2006.01</v>
      </c>
      <c r="E9" s="435">
        <v>21.0</v>
      </c>
      <c r="F9" s="435">
        <v>670.0</v>
      </c>
      <c r="G9" s="435" t="s">
        <v>1191</v>
      </c>
      <c r="H9" s="435">
        <v>102.0</v>
      </c>
      <c r="I9" s="435">
        <v>308.0</v>
      </c>
      <c r="J9" s="435">
        <v>31.0</v>
      </c>
      <c r="K9" s="435">
        <v>81.0</v>
      </c>
      <c r="L9" s="435" t="s">
        <v>1187</v>
      </c>
      <c r="M9" s="435">
        <v>3.0</v>
      </c>
      <c r="N9" s="435">
        <v>2.0</v>
      </c>
      <c r="O9" s="95"/>
      <c r="P9" s="95"/>
      <c r="Q9" s="95"/>
      <c r="R9" s="95"/>
      <c r="S9" s="95"/>
      <c r="T9" s="95"/>
      <c r="U9" s="95"/>
      <c r="V9" s="95"/>
      <c r="W9" s="95"/>
      <c r="X9" s="440"/>
      <c r="Y9" s="440"/>
      <c r="Z9" s="440"/>
      <c r="AA9" s="440"/>
      <c r="AB9" s="440"/>
    </row>
    <row r="10">
      <c r="A10" s="429"/>
      <c r="B10" s="435" t="s">
        <v>1186</v>
      </c>
      <c r="C10" s="164"/>
      <c r="D10" s="435">
        <v>2006.01</v>
      </c>
      <c r="E10" s="435">
        <v>21.0</v>
      </c>
      <c r="F10" s="435">
        <v>670.0</v>
      </c>
      <c r="G10" s="435" t="s">
        <v>1192</v>
      </c>
      <c r="H10" s="435">
        <v>108.0</v>
      </c>
      <c r="I10" s="435">
        <v>166.0</v>
      </c>
      <c r="J10" s="435">
        <v>33.0</v>
      </c>
      <c r="K10" s="435">
        <v>84.0</v>
      </c>
      <c r="L10" s="435" t="s">
        <v>1187</v>
      </c>
      <c r="M10" s="435">
        <v>3.0</v>
      </c>
      <c r="N10" s="435">
        <v>2.0</v>
      </c>
      <c r="O10" s="164"/>
      <c r="P10" s="164"/>
      <c r="Q10" s="164"/>
      <c r="R10" s="164"/>
      <c r="S10" s="164"/>
      <c r="T10" s="164"/>
      <c r="U10" s="164"/>
      <c r="V10" s="164"/>
      <c r="W10" s="164"/>
      <c r="X10" s="440"/>
      <c r="Y10" s="440"/>
      <c r="Z10" s="440"/>
      <c r="AA10" s="440"/>
      <c r="AB10" s="440"/>
    </row>
    <row r="11">
      <c r="A11" s="429"/>
      <c r="B11" s="435" t="s">
        <v>1186</v>
      </c>
      <c r="C11" s="436" t="s">
        <v>820</v>
      </c>
      <c r="D11" s="435">
        <v>2011.08</v>
      </c>
      <c r="E11" s="435">
        <v>16.0</v>
      </c>
      <c r="F11" s="435">
        <v>1025.0</v>
      </c>
      <c r="G11" s="439" t="s">
        <v>1193</v>
      </c>
      <c r="H11" s="439">
        <v>99.0</v>
      </c>
      <c r="I11" s="435">
        <v>55.0</v>
      </c>
      <c r="J11" s="435">
        <v>30.0</v>
      </c>
      <c r="K11" s="435">
        <v>74.0</v>
      </c>
      <c r="L11" s="435" t="s">
        <v>1187</v>
      </c>
      <c r="M11" s="435">
        <v>3.0</v>
      </c>
      <c r="N11" s="435">
        <v>2.0</v>
      </c>
      <c r="O11" s="437"/>
      <c r="P11" s="437"/>
      <c r="Q11" s="437"/>
      <c r="R11" s="437"/>
      <c r="S11" s="437"/>
      <c r="T11" s="437"/>
      <c r="U11" s="437"/>
      <c r="V11" s="437"/>
      <c r="W11" s="437" t="s">
        <v>1194</v>
      </c>
      <c r="X11" s="441"/>
      <c r="Y11" s="441"/>
      <c r="Z11" s="441"/>
      <c r="AA11" s="441"/>
      <c r="AB11" s="441"/>
    </row>
    <row r="12">
      <c r="A12" s="429"/>
      <c r="B12" s="435" t="s">
        <v>1186</v>
      </c>
      <c r="C12" s="95"/>
      <c r="D12" s="435">
        <v>2011.08</v>
      </c>
      <c r="E12" s="435">
        <v>16.0</v>
      </c>
      <c r="F12" s="435">
        <v>1025.0</v>
      </c>
      <c r="G12" s="439" t="s">
        <v>1195</v>
      </c>
      <c r="H12" s="439">
        <v>112.0</v>
      </c>
      <c r="I12" s="435">
        <v>868.0</v>
      </c>
      <c r="J12" s="435">
        <v>34.0</v>
      </c>
      <c r="K12" s="435">
        <v>84.0</v>
      </c>
      <c r="L12" s="435" t="s">
        <v>1187</v>
      </c>
      <c r="M12" s="435">
        <v>3.0</v>
      </c>
      <c r="N12" s="435">
        <v>2.0</v>
      </c>
      <c r="O12" s="95"/>
      <c r="P12" s="95"/>
      <c r="Q12" s="95"/>
      <c r="R12" s="95"/>
      <c r="S12" s="95"/>
      <c r="T12" s="95"/>
      <c r="U12" s="95"/>
      <c r="V12" s="95"/>
      <c r="W12" s="95"/>
      <c r="X12" s="440"/>
      <c r="Y12" s="440"/>
      <c r="Z12" s="440"/>
      <c r="AA12" s="440"/>
      <c r="AB12" s="440"/>
    </row>
    <row r="13">
      <c r="A13" s="429"/>
      <c r="B13" s="435" t="s">
        <v>1186</v>
      </c>
      <c r="C13" s="164"/>
      <c r="D13" s="435">
        <v>2011.08</v>
      </c>
      <c r="E13" s="435">
        <v>16.0</v>
      </c>
      <c r="F13" s="435">
        <v>1025.0</v>
      </c>
      <c r="G13" s="435" t="s">
        <v>1196</v>
      </c>
      <c r="H13" s="435">
        <v>154.0</v>
      </c>
      <c r="I13" s="435">
        <v>102.0</v>
      </c>
      <c r="J13" s="435">
        <v>47.0</v>
      </c>
      <c r="K13" s="435">
        <v>118.0</v>
      </c>
      <c r="L13" s="435" t="s">
        <v>1187</v>
      </c>
      <c r="M13" s="435">
        <v>4.0</v>
      </c>
      <c r="N13" s="435">
        <v>2.0</v>
      </c>
      <c r="O13" s="164"/>
      <c r="P13" s="164"/>
      <c r="Q13" s="164"/>
      <c r="R13" s="164"/>
      <c r="S13" s="164"/>
      <c r="T13" s="164"/>
      <c r="U13" s="164"/>
      <c r="V13" s="164"/>
      <c r="W13" s="164"/>
      <c r="X13" s="441"/>
      <c r="Y13" s="441"/>
      <c r="Z13" s="441"/>
      <c r="AA13" s="441"/>
      <c r="AB13" s="441"/>
    </row>
    <row r="14">
      <c r="A14" s="429"/>
      <c r="B14" s="435" t="s">
        <v>1186</v>
      </c>
      <c r="C14" s="436" t="s">
        <v>1197</v>
      </c>
      <c r="D14" s="435">
        <v>2024.09</v>
      </c>
      <c r="E14" s="435">
        <v>3.0</v>
      </c>
      <c r="F14" s="435">
        <v>358.0</v>
      </c>
      <c r="G14" s="435" t="s">
        <v>1198</v>
      </c>
      <c r="H14" s="435">
        <v>113.0</v>
      </c>
      <c r="I14" s="435">
        <v>156.0</v>
      </c>
      <c r="J14" s="435">
        <v>34.0</v>
      </c>
      <c r="K14" s="435">
        <v>84.0</v>
      </c>
      <c r="L14" s="435" t="s">
        <v>1187</v>
      </c>
      <c r="M14" s="435">
        <v>3.0</v>
      </c>
      <c r="N14" s="435">
        <v>2.0</v>
      </c>
      <c r="O14" s="437"/>
      <c r="P14" s="437"/>
      <c r="Q14" s="437"/>
      <c r="R14" s="437"/>
      <c r="S14" s="437"/>
      <c r="T14" s="437"/>
      <c r="U14" s="437"/>
      <c r="V14" s="437"/>
      <c r="W14" s="437" t="s">
        <v>1199</v>
      </c>
      <c r="X14" s="441"/>
      <c r="Y14" s="441"/>
      <c r="Z14" s="441"/>
      <c r="AA14" s="441"/>
      <c r="AB14" s="441"/>
    </row>
    <row r="15">
      <c r="A15" s="429"/>
      <c r="B15" s="435" t="s">
        <v>1186</v>
      </c>
      <c r="C15" s="95"/>
      <c r="D15" s="435">
        <v>2024.09</v>
      </c>
      <c r="E15" s="435">
        <v>3.0</v>
      </c>
      <c r="F15" s="435">
        <v>358.0</v>
      </c>
      <c r="G15" s="435" t="s">
        <v>1200</v>
      </c>
      <c r="H15" s="435">
        <v>141.0</v>
      </c>
      <c r="I15" s="435">
        <v>115.0</v>
      </c>
      <c r="J15" s="435">
        <v>43.0</v>
      </c>
      <c r="K15" s="435">
        <v>105.0</v>
      </c>
      <c r="L15" s="435" t="s">
        <v>1187</v>
      </c>
      <c r="M15" s="435">
        <v>3.0</v>
      </c>
      <c r="N15" s="435">
        <v>2.0</v>
      </c>
      <c r="O15" s="95"/>
      <c r="P15" s="95"/>
      <c r="Q15" s="95"/>
      <c r="R15" s="95"/>
      <c r="S15" s="95"/>
      <c r="T15" s="95"/>
      <c r="U15" s="95"/>
      <c r="V15" s="95"/>
      <c r="W15" s="95"/>
      <c r="X15" s="441"/>
      <c r="Y15" s="441"/>
      <c r="Z15" s="441"/>
      <c r="AA15" s="441"/>
      <c r="AB15" s="441"/>
    </row>
    <row r="16">
      <c r="A16" s="429"/>
      <c r="B16" s="435" t="s">
        <v>1186</v>
      </c>
      <c r="C16" s="95"/>
      <c r="D16" s="435">
        <v>2024.09</v>
      </c>
      <c r="E16" s="435">
        <v>3.0</v>
      </c>
      <c r="F16" s="435">
        <v>358.0</v>
      </c>
      <c r="G16" s="435">
        <v>146.0</v>
      </c>
      <c r="H16" s="435">
        <v>146.0</v>
      </c>
      <c r="I16" s="435">
        <v>85.0</v>
      </c>
      <c r="J16" s="435">
        <v>44.0</v>
      </c>
      <c r="K16" s="435">
        <v>108.0</v>
      </c>
      <c r="L16" s="435" t="s">
        <v>1187</v>
      </c>
      <c r="M16" s="435">
        <v>4.0</v>
      </c>
      <c r="N16" s="435">
        <v>2.0</v>
      </c>
      <c r="O16" s="95"/>
      <c r="P16" s="95"/>
      <c r="Q16" s="95"/>
      <c r="R16" s="95"/>
      <c r="S16" s="95"/>
      <c r="T16" s="95"/>
      <c r="U16" s="95"/>
      <c r="V16" s="95"/>
      <c r="W16" s="95"/>
      <c r="X16" s="441"/>
      <c r="Y16" s="441"/>
      <c r="Z16" s="441"/>
      <c r="AA16" s="441"/>
      <c r="AB16" s="441"/>
    </row>
    <row r="17">
      <c r="A17" s="429"/>
      <c r="B17" s="435" t="s">
        <v>1186</v>
      </c>
      <c r="C17" s="164"/>
      <c r="D17" s="435">
        <v>2024.09</v>
      </c>
      <c r="E17" s="435">
        <v>3.0</v>
      </c>
      <c r="F17" s="435">
        <v>358.0</v>
      </c>
      <c r="G17" s="439">
        <v>210.0</v>
      </c>
      <c r="H17" s="439">
        <v>210.0</v>
      </c>
      <c r="I17" s="435">
        <v>2.0</v>
      </c>
      <c r="J17" s="435">
        <v>64.0</v>
      </c>
      <c r="K17" s="435">
        <v>155.0</v>
      </c>
      <c r="L17" s="435" t="s">
        <v>1187</v>
      </c>
      <c r="M17" s="435">
        <v>3.0</v>
      </c>
      <c r="N17" s="435">
        <v>3.0</v>
      </c>
      <c r="O17" s="164"/>
      <c r="P17" s="164"/>
      <c r="Q17" s="164"/>
      <c r="R17" s="164"/>
      <c r="S17" s="164"/>
      <c r="T17" s="164"/>
      <c r="U17" s="164"/>
      <c r="V17" s="164"/>
      <c r="W17" s="164"/>
      <c r="X17" s="438"/>
      <c r="Y17" s="438"/>
      <c r="Z17" s="438"/>
      <c r="AA17" s="438"/>
      <c r="AB17" s="438"/>
    </row>
    <row r="18">
      <c r="A18" s="429"/>
      <c r="B18" s="435" t="s">
        <v>1201</v>
      </c>
      <c r="C18" s="435" t="s">
        <v>940</v>
      </c>
      <c r="D18" s="435">
        <v>2007.06</v>
      </c>
      <c r="E18" s="435">
        <v>20.0</v>
      </c>
      <c r="F18" s="435">
        <v>664.0</v>
      </c>
      <c r="G18" s="439" t="s">
        <v>1202</v>
      </c>
      <c r="H18" s="439">
        <v>109.0</v>
      </c>
      <c r="I18" s="435">
        <v>664.0</v>
      </c>
      <c r="J18" s="435">
        <v>33.0</v>
      </c>
      <c r="K18" s="435">
        <v>84.0</v>
      </c>
      <c r="L18" s="435" t="s">
        <v>1187</v>
      </c>
      <c r="M18" s="435">
        <v>3.0</v>
      </c>
      <c r="N18" s="435">
        <v>2.0</v>
      </c>
      <c r="O18" s="442"/>
      <c r="P18" s="442"/>
      <c r="Q18" s="442"/>
      <c r="R18" s="442"/>
      <c r="S18" s="442"/>
      <c r="T18" s="346" t="s">
        <v>836</v>
      </c>
      <c r="U18" s="442"/>
      <c r="V18" s="442"/>
      <c r="W18" s="442"/>
      <c r="X18" s="438"/>
      <c r="Y18" s="438"/>
      <c r="Z18" s="438"/>
      <c r="AA18" s="438"/>
      <c r="AB18" s="438"/>
    </row>
    <row r="19">
      <c r="A19" s="429"/>
      <c r="B19" s="435" t="s">
        <v>1201</v>
      </c>
      <c r="C19" s="436" t="s">
        <v>946</v>
      </c>
      <c r="D19" s="435">
        <v>2006.07</v>
      </c>
      <c r="E19" s="435">
        <v>21.0</v>
      </c>
      <c r="F19" s="435">
        <v>696.0</v>
      </c>
      <c r="G19" s="435" t="s">
        <v>1203</v>
      </c>
      <c r="H19" s="435">
        <v>119.0</v>
      </c>
      <c r="I19" s="435">
        <v>414.0</v>
      </c>
      <c r="J19" s="435">
        <v>36.0</v>
      </c>
      <c r="K19" s="435">
        <v>84.0</v>
      </c>
      <c r="L19" s="435" t="s">
        <v>1187</v>
      </c>
      <c r="M19" s="435">
        <v>3.0</v>
      </c>
      <c r="N19" s="435">
        <v>2.0</v>
      </c>
      <c r="O19" s="437"/>
      <c r="P19" s="437"/>
      <c r="Q19" s="437"/>
      <c r="R19" s="437"/>
      <c r="S19" s="437"/>
      <c r="T19" s="437"/>
      <c r="U19" s="437"/>
      <c r="V19" s="437"/>
      <c r="W19" s="437"/>
      <c r="X19" s="438"/>
      <c r="Y19" s="438"/>
      <c r="Z19" s="438"/>
      <c r="AA19" s="438"/>
      <c r="AB19" s="438"/>
    </row>
    <row r="20">
      <c r="A20" s="429"/>
      <c r="B20" s="435" t="s">
        <v>1201</v>
      </c>
      <c r="C20" s="95"/>
      <c r="D20" s="435">
        <v>2006.07</v>
      </c>
      <c r="E20" s="435">
        <v>21.0</v>
      </c>
      <c r="F20" s="435">
        <v>696.0</v>
      </c>
      <c r="G20" s="435" t="s">
        <v>1204</v>
      </c>
      <c r="H20" s="435">
        <v>140.0</v>
      </c>
      <c r="I20" s="435">
        <v>219.0</v>
      </c>
      <c r="J20" s="435">
        <v>42.0</v>
      </c>
      <c r="K20" s="435">
        <v>101.0</v>
      </c>
      <c r="L20" s="435" t="s">
        <v>1187</v>
      </c>
      <c r="M20" s="435">
        <v>3.0</v>
      </c>
      <c r="N20" s="435">
        <v>2.0</v>
      </c>
      <c r="O20" s="95"/>
      <c r="P20" s="95"/>
      <c r="Q20" s="95"/>
      <c r="R20" s="95"/>
      <c r="S20" s="95"/>
      <c r="T20" s="95"/>
      <c r="U20" s="95"/>
      <c r="V20" s="95"/>
      <c r="W20" s="95"/>
      <c r="X20" s="438"/>
      <c r="Y20" s="438"/>
      <c r="Z20" s="438"/>
      <c r="AA20" s="438"/>
      <c r="AB20" s="438"/>
    </row>
    <row r="21">
      <c r="A21" s="429"/>
      <c r="B21" s="435" t="s">
        <v>1201</v>
      </c>
      <c r="C21" s="164"/>
      <c r="D21" s="435">
        <v>2006.07</v>
      </c>
      <c r="E21" s="435">
        <v>21.0</v>
      </c>
      <c r="F21" s="435">
        <v>696.0</v>
      </c>
      <c r="G21" s="435">
        <v>169.0</v>
      </c>
      <c r="H21" s="435">
        <v>169.0</v>
      </c>
      <c r="I21" s="435">
        <v>63.0</v>
      </c>
      <c r="J21" s="435">
        <v>51.0</v>
      </c>
      <c r="K21" s="435">
        <v>131.0</v>
      </c>
      <c r="L21" s="435" t="s">
        <v>1187</v>
      </c>
      <c r="M21" s="435">
        <v>4.0</v>
      </c>
      <c r="N21" s="435">
        <v>2.0</v>
      </c>
      <c r="O21" s="164"/>
      <c r="P21" s="164"/>
      <c r="Q21" s="164"/>
      <c r="R21" s="164"/>
      <c r="S21" s="164"/>
      <c r="T21" s="164"/>
      <c r="U21" s="164"/>
      <c r="V21" s="164"/>
      <c r="W21" s="164"/>
      <c r="X21" s="443"/>
      <c r="Y21" s="443"/>
      <c r="Z21" s="443"/>
      <c r="AA21" s="443"/>
      <c r="AB21" s="443"/>
    </row>
    <row r="22">
      <c r="A22" s="429"/>
      <c r="B22" s="435" t="s">
        <v>1201</v>
      </c>
      <c r="C22" s="435" t="s">
        <v>888</v>
      </c>
      <c r="D22" s="435">
        <v>2007.01</v>
      </c>
      <c r="E22" s="435">
        <v>20.0</v>
      </c>
      <c r="F22" s="435">
        <v>653.0</v>
      </c>
      <c r="G22" s="435" t="s">
        <v>1205</v>
      </c>
      <c r="H22" s="435">
        <v>89.0</v>
      </c>
      <c r="I22" s="435">
        <v>653.0</v>
      </c>
      <c r="J22" s="435">
        <v>27.0</v>
      </c>
      <c r="K22" s="435">
        <v>59.0</v>
      </c>
      <c r="L22" s="435" t="s">
        <v>1187</v>
      </c>
      <c r="M22" s="435">
        <v>3.0</v>
      </c>
      <c r="N22" s="435">
        <v>2.0</v>
      </c>
      <c r="O22" s="442"/>
      <c r="P22" s="442"/>
      <c r="Q22" s="442"/>
      <c r="R22" s="442"/>
      <c r="S22" s="442"/>
      <c r="T22" s="442"/>
      <c r="U22" s="442"/>
      <c r="V22" s="442"/>
      <c r="W22" s="442"/>
      <c r="X22" s="438"/>
      <c r="Y22" s="438"/>
      <c r="Z22" s="438"/>
      <c r="AA22" s="438"/>
      <c r="AB22" s="438"/>
    </row>
    <row r="23">
      <c r="A23" s="444"/>
      <c r="B23" s="435" t="s">
        <v>1201</v>
      </c>
      <c r="C23" s="435" t="s">
        <v>876</v>
      </c>
      <c r="D23" s="435">
        <v>2007.1</v>
      </c>
      <c r="E23" s="435">
        <v>20.0</v>
      </c>
      <c r="F23" s="435">
        <v>451.0</v>
      </c>
      <c r="G23" s="435" t="s">
        <v>1206</v>
      </c>
      <c r="H23" s="435">
        <v>114.0</v>
      </c>
      <c r="I23" s="435">
        <v>451.0</v>
      </c>
      <c r="J23" s="435">
        <v>35.0</v>
      </c>
      <c r="K23" s="435">
        <v>84.0</v>
      </c>
      <c r="L23" s="435" t="s">
        <v>1187</v>
      </c>
      <c r="M23" s="435">
        <v>3.0</v>
      </c>
      <c r="N23" s="435">
        <v>2.0</v>
      </c>
      <c r="O23" s="442"/>
      <c r="P23" s="442"/>
      <c r="Q23" s="442"/>
      <c r="R23" s="442"/>
      <c r="S23" s="442"/>
      <c r="T23" s="442"/>
      <c r="U23" s="442"/>
      <c r="V23" s="442"/>
      <c r="W23" s="442"/>
      <c r="X23" s="438"/>
      <c r="Y23" s="438"/>
      <c r="Z23" s="438"/>
      <c r="AA23" s="438"/>
      <c r="AB23" s="438"/>
    </row>
    <row r="24">
      <c r="A24" s="429"/>
      <c r="B24" s="435" t="s">
        <v>1201</v>
      </c>
      <c r="C24" s="436" t="s">
        <v>1207</v>
      </c>
      <c r="D24" s="435">
        <v>1985.1</v>
      </c>
      <c r="E24" s="435">
        <v>42.0</v>
      </c>
      <c r="F24" s="435">
        <v>460.0</v>
      </c>
      <c r="G24" s="435">
        <v>47.0</v>
      </c>
      <c r="H24" s="435">
        <v>47.0</v>
      </c>
      <c r="I24" s="435">
        <v>27.0</v>
      </c>
      <c r="J24" s="435">
        <v>14.0</v>
      </c>
      <c r="K24" s="435">
        <v>42.0</v>
      </c>
      <c r="L24" s="435" t="s">
        <v>1187</v>
      </c>
      <c r="M24" s="435">
        <v>2.0</v>
      </c>
      <c r="N24" s="435">
        <v>1.0</v>
      </c>
      <c r="O24" s="437"/>
      <c r="P24" s="437"/>
      <c r="Q24" s="437"/>
      <c r="R24" s="437"/>
      <c r="S24" s="437"/>
      <c r="T24" s="437"/>
      <c r="U24" s="437"/>
      <c r="V24" s="437"/>
      <c r="W24" s="437"/>
      <c r="X24" s="445"/>
      <c r="Y24" s="445"/>
      <c r="Z24" s="445"/>
      <c r="AA24" s="445"/>
      <c r="AB24" s="445"/>
    </row>
    <row r="25">
      <c r="A25" s="429"/>
      <c r="B25" s="435" t="s">
        <v>1201</v>
      </c>
      <c r="C25" s="95"/>
      <c r="D25" s="435">
        <v>1985.1</v>
      </c>
      <c r="E25" s="435">
        <v>42.0</v>
      </c>
      <c r="F25" s="435">
        <v>460.0</v>
      </c>
      <c r="G25" s="435">
        <v>54.0</v>
      </c>
      <c r="H25" s="435">
        <v>54.0</v>
      </c>
      <c r="I25" s="435">
        <v>203.0</v>
      </c>
      <c r="J25" s="435">
        <v>16.0</v>
      </c>
      <c r="K25" s="435">
        <v>49.0</v>
      </c>
      <c r="L25" s="435" t="s">
        <v>1187</v>
      </c>
      <c r="M25" s="435">
        <v>2.0</v>
      </c>
      <c r="N25" s="435">
        <v>1.0</v>
      </c>
      <c r="O25" s="95"/>
      <c r="P25" s="95"/>
      <c r="Q25" s="95"/>
      <c r="R25" s="95"/>
      <c r="S25" s="95"/>
      <c r="T25" s="95"/>
      <c r="U25" s="95"/>
      <c r="V25" s="95"/>
      <c r="W25" s="95"/>
      <c r="X25" s="438"/>
      <c r="Y25" s="438"/>
      <c r="Z25" s="438"/>
      <c r="AA25" s="438"/>
      <c r="AB25" s="438"/>
    </row>
    <row r="26">
      <c r="A26" s="429"/>
      <c r="B26" s="435" t="s">
        <v>1201</v>
      </c>
      <c r="C26" s="95"/>
      <c r="D26" s="435">
        <v>1985.1</v>
      </c>
      <c r="E26" s="435">
        <v>42.0</v>
      </c>
      <c r="F26" s="435">
        <v>460.0</v>
      </c>
      <c r="G26" s="435">
        <v>63.0</v>
      </c>
      <c r="H26" s="435">
        <v>63.0</v>
      </c>
      <c r="I26" s="435">
        <v>1.0</v>
      </c>
      <c r="J26" s="435">
        <v>19.0</v>
      </c>
      <c r="K26" s="435">
        <v>57.0</v>
      </c>
      <c r="L26" s="435" t="s">
        <v>1187</v>
      </c>
      <c r="M26" s="435">
        <v>2.0</v>
      </c>
      <c r="N26" s="435">
        <v>1.0</v>
      </c>
      <c r="O26" s="95"/>
      <c r="P26" s="95"/>
      <c r="Q26" s="95"/>
      <c r="R26" s="95"/>
      <c r="S26" s="95"/>
      <c r="T26" s="95"/>
      <c r="U26" s="95"/>
      <c r="V26" s="95"/>
      <c r="W26" s="95"/>
      <c r="X26" s="438"/>
      <c r="Y26" s="438"/>
      <c r="Z26" s="438"/>
      <c r="AA26" s="438"/>
      <c r="AB26" s="438"/>
    </row>
    <row r="27">
      <c r="A27" s="429"/>
      <c r="B27" s="435" t="s">
        <v>1201</v>
      </c>
      <c r="C27" s="164"/>
      <c r="D27" s="435">
        <v>1985.1</v>
      </c>
      <c r="E27" s="435">
        <v>42.0</v>
      </c>
      <c r="F27" s="435">
        <v>460.0</v>
      </c>
      <c r="G27" s="435">
        <v>65.0</v>
      </c>
      <c r="H27" s="435">
        <v>65.0</v>
      </c>
      <c r="I27" s="435">
        <v>229.0</v>
      </c>
      <c r="J27" s="435">
        <v>20.0</v>
      </c>
      <c r="K27" s="435">
        <v>59.0</v>
      </c>
      <c r="L27" s="435" t="s">
        <v>1187</v>
      </c>
      <c r="M27" s="435">
        <v>3.0</v>
      </c>
      <c r="N27" s="435">
        <v>1.0</v>
      </c>
      <c r="O27" s="164"/>
      <c r="P27" s="164"/>
      <c r="Q27" s="164"/>
      <c r="R27" s="164"/>
      <c r="S27" s="164"/>
      <c r="T27" s="164"/>
      <c r="U27" s="164"/>
      <c r="V27" s="164"/>
      <c r="W27" s="164"/>
      <c r="X27" s="438"/>
      <c r="Y27" s="438"/>
      <c r="Z27" s="438"/>
      <c r="AA27" s="438"/>
      <c r="AB27" s="438"/>
    </row>
    <row r="28">
      <c r="A28" s="429"/>
      <c r="B28" s="435" t="s">
        <v>1208</v>
      </c>
      <c r="C28" s="436" t="s">
        <v>857</v>
      </c>
      <c r="D28" s="435">
        <v>2007.02</v>
      </c>
      <c r="E28" s="435">
        <v>20.0</v>
      </c>
      <c r="F28" s="435">
        <v>1241.0</v>
      </c>
      <c r="G28" s="435" t="s">
        <v>1209</v>
      </c>
      <c r="H28" s="435">
        <v>118.0</v>
      </c>
      <c r="I28" s="435">
        <v>701.0</v>
      </c>
      <c r="J28" s="435">
        <v>36.0</v>
      </c>
      <c r="K28" s="435">
        <v>84.0</v>
      </c>
      <c r="L28" s="435" t="s">
        <v>1187</v>
      </c>
      <c r="M28" s="435">
        <v>3.0</v>
      </c>
      <c r="N28" s="435">
        <v>2.0</v>
      </c>
      <c r="O28" s="437"/>
      <c r="P28" s="437"/>
      <c r="Q28" s="437"/>
      <c r="R28" s="437"/>
      <c r="S28" s="437"/>
      <c r="T28" s="437"/>
      <c r="U28" s="437"/>
      <c r="V28" s="437" t="s">
        <v>1210</v>
      </c>
      <c r="W28" s="437" t="s">
        <v>1211</v>
      </c>
      <c r="X28" s="438"/>
      <c r="Y28" s="438"/>
      <c r="Z28" s="438"/>
      <c r="AA28" s="438"/>
      <c r="AB28" s="438"/>
    </row>
    <row r="29">
      <c r="A29" s="429"/>
      <c r="B29" s="435" t="s">
        <v>1208</v>
      </c>
      <c r="C29" s="95"/>
      <c r="D29" s="435">
        <v>2007.02</v>
      </c>
      <c r="E29" s="435">
        <v>20.0</v>
      </c>
      <c r="F29" s="435">
        <v>1241.0</v>
      </c>
      <c r="G29" s="435">
        <v>135.0</v>
      </c>
      <c r="H29" s="435">
        <v>135.0</v>
      </c>
      <c r="I29" s="435">
        <v>420.0</v>
      </c>
      <c r="J29" s="435">
        <v>41.0</v>
      </c>
      <c r="K29" s="435">
        <v>102.0</v>
      </c>
      <c r="L29" s="435" t="s">
        <v>1187</v>
      </c>
      <c r="M29" s="435">
        <v>4.0</v>
      </c>
      <c r="N29" s="435">
        <v>2.0</v>
      </c>
      <c r="O29" s="95"/>
      <c r="P29" s="95"/>
      <c r="Q29" s="95"/>
      <c r="R29" s="95"/>
      <c r="S29" s="95"/>
      <c r="T29" s="95"/>
      <c r="U29" s="95"/>
      <c r="V29" s="95"/>
      <c r="W29" s="95"/>
      <c r="X29" s="446"/>
      <c r="Y29" s="446"/>
      <c r="Z29" s="446"/>
      <c r="AA29" s="446"/>
      <c r="AB29" s="446"/>
    </row>
    <row r="30">
      <c r="A30" s="429"/>
      <c r="B30" s="435" t="s">
        <v>1208</v>
      </c>
      <c r="C30" s="164"/>
      <c r="D30" s="435">
        <v>2007.02</v>
      </c>
      <c r="E30" s="435">
        <v>20.0</v>
      </c>
      <c r="F30" s="435">
        <v>1241.0</v>
      </c>
      <c r="G30" s="435">
        <v>155.0</v>
      </c>
      <c r="H30" s="435">
        <v>155.0</v>
      </c>
      <c r="I30" s="435">
        <v>120.0</v>
      </c>
      <c r="J30" s="435">
        <v>47.0</v>
      </c>
      <c r="K30" s="435">
        <v>121.0</v>
      </c>
      <c r="L30" s="435" t="s">
        <v>1187</v>
      </c>
      <c r="M30" s="435">
        <v>4.0</v>
      </c>
      <c r="N30" s="435">
        <v>2.0</v>
      </c>
      <c r="O30" s="164"/>
      <c r="P30" s="164"/>
      <c r="Q30" s="164"/>
      <c r="R30" s="164"/>
      <c r="S30" s="164"/>
      <c r="T30" s="164"/>
      <c r="U30" s="164"/>
      <c r="V30" s="164"/>
      <c r="W30" s="164"/>
      <c r="X30" s="446"/>
      <c r="Y30" s="446"/>
      <c r="Z30" s="446"/>
      <c r="AA30" s="446"/>
      <c r="AB30" s="446"/>
    </row>
    <row r="31">
      <c r="A31" s="429"/>
      <c r="B31" s="435" t="s">
        <v>1208</v>
      </c>
      <c r="C31" s="436" t="s">
        <v>839</v>
      </c>
      <c r="D31" s="435">
        <v>2016.09</v>
      </c>
      <c r="E31" s="435">
        <v>11.0</v>
      </c>
      <c r="F31" s="435">
        <v>408.0</v>
      </c>
      <c r="G31" s="435">
        <v>61.0</v>
      </c>
      <c r="H31" s="435">
        <v>61.0</v>
      </c>
      <c r="I31" s="435">
        <v>36.0</v>
      </c>
      <c r="J31" s="435">
        <v>18.0</v>
      </c>
      <c r="K31" s="435">
        <v>38.0</v>
      </c>
      <c r="L31" s="435" t="s">
        <v>1187</v>
      </c>
      <c r="M31" s="435">
        <v>3.0</v>
      </c>
      <c r="N31" s="435">
        <v>2.0</v>
      </c>
      <c r="O31" s="437"/>
      <c r="P31" s="437"/>
      <c r="Q31" s="437" t="s">
        <v>1212</v>
      </c>
      <c r="R31" s="437"/>
      <c r="S31" s="437"/>
      <c r="T31" s="437" t="s">
        <v>843</v>
      </c>
      <c r="U31" s="437"/>
      <c r="V31" s="437" t="s">
        <v>1213</v>
      </c>
      <c r="W31" s="437"/>
      <c r="X31" s="446"/>
      <c r="Y31" s="446"/>
      <c r="Z31" s="446"/>
      <c r="AA31" s="446"/>
      <c r="AB31" s="446"/>
    </row>
    <row r="32">
      <c r="A32" s="429"/>
      <c r="B32" s="435" t="s">
        <v>1208</v>
      </c>
      <c r="C32" s="95"/>
      <c r="D32" s="435">
        <v>2016.09</v>
      </c>
      <c r="E32" s="435">
        <v>11.0</v>
      </c>
      <c r="F32" s="435">
        <v>408.0</v>
      </c>
      <c r="G32" s="435">
        <v>90.0</v>
      </c>
      <c r="H32" s="435">
        <v>90.0</v>
      </c>
      <c r="I32" s="435">
        <v>68.0</v>
      </c>
      <c r="J32" s="435">
        <v>27.0</v>
      </c>
      <c r="K32" s="435">
        <v>59.0</v>
      </c>
      <c r="L32" s="435" t="s">
        <v>1187</v>
      </c>
      <c r="M32" s="435">
        <v>3.0</v>
      </c>
      <c r="N32" s="435">
        <v>2.0</v>
      </c>
      <c r="O32" s="95"/>
      <c r="P32" s="95"/>
      <c r="Q32" s="95"/>
      <c r="R32" s="95"/>
      <c r="S32" s="95"/>
      <c r="T32" s="95"/>
      <c r="U32" s="95"/>
      <c r="V32" s="95"/>
      <c r="W32" s="95"/>
      <c r="X32" s="446"/>
      <c r="Y32" s="446"/>
      <c r="Z32" s="446"/>
      <c r="AA32" s="446"/>
      <c r="AB32" s="446"/>
    </row>
    <row r="33">
      <c r="A33" s="429"/>
      <c r="B33" s="435" t="s">
        <v>1208</v>
      </c>
      <c r="C33" s="95"/>
      <c r="D33" s="435">
        <v>2016.09</v>
      </c>
      <c r="E33" s="435">
        <v>11.0</v>
      </c>
      <c r="F33" s="435">
        <v>408.0</v>
      </c>
      <c r="G33" s="435" t="s">
        <v>1214</v>
      </c>
      <c r="H33" s="435">
        <v>98.0</v>
      </c>
      <c r="I33" s="435">
        <v>70.0</v>
      </c>
      <c r="J33" s="435">
        <v>30.0</v>
      </c>
      <c r="K33" s="435">
        <v>70.0</v>
      </c>
      <c r="L33" s="435" t="s">
        <v>1187</v>
      </c>
      <c r="M33" s="435">
        <v>3.0</v>
      </c>
      <c r="N33" s="435">
        <v>2.0</v>
      </c>
      <c r="O33" s="95"/>
      <c r="P33" s="95"/>
      <c r="Q33" s="95"/>
      <c r="R33" s="95"/>
      <c r="S33" s="95"/>
      <c r="T33" s="95"/>
      <c r="U33" s="95"/>
      <c r="V33" s="95"/>
      <c r="W33" s="95"/>
      <c r="X33" s="446"/>
      <c r="Y33" s="446"/>
      <c r="Z33" s="446"/>
      <c r="AA33" s="446"/>
      <c r="AB33" s="446"/>
    </row>
    <row r="34">
      <c r="A34" s="429"/>
      <c r="B34" s="435" t="s">
        <v>1208</v>
      </c>
      <c r="C34" s="164"/>
      <c r="D34" s="435">
        <v>2016.09</v>
      </c>
      <c r="E34" s="435">
        <v>11.0</v>
      </c>
      <c r="F34" s="435">
        <v>408.0</v>
      </c>
      <c r="G34" s="435" t="s">
        <v>1215</v>
      </c>
      <c r="H34" s="435">
        <v>115.0</v>
      </c>
      <c r="I34" s="435">
        <v>234.0</v>
      </c>
      <c r="J34" s="435">
        <v>35.0</v>
      </c>
      <c r="K34" s="435">
        <v>84.0</v>
      </c>
      <c r="L34" s="435" t="s">
        <v>1187</v>
      </c>
      <c r="M34" s="435">
        <v>3.0</v>
      </c>
      <c r="N34" s="435">
        <v>2.0</v>
      </c>
      <c r="O34" s="164"/>
      <c r="P34" s="164"/>
      <c r="Q34" s="164"/>
      <c r="R34" s="164"/>
      <c r="S34" s="164"/>
      <c r="T34" s="164"/>
      <c r="U34" s="164"/>
      <c r="V34" s="164"/>
      <c r="W34" s="164"/>
      <c r="X34" s="438"/>
      <c r="Y34" s="438"/>
      <c r="Z34" s="438"/>
      <c r="AA34" s="438"/>
      <c r="AB34" s="438"/>
    </row>
    <row r="35">
      <c r="A35" s="429"/>
      <c r="B35" s="435" t="s">
        <v>1208</v>
      </c>
      <c r="C35" s="436" t="s">
        <v>599</v>
      </c>
      <c r="D35" s="435">
        <v>2024.07</v>
      </c>
      <c r="E35" s="435">
        <v>3.0</v>
      </c>
      <c r="F35" s="435">
        <v>934.0</v>
      </c>
      <c r="G35" s="435" t="s">
        <v>1216</v>
      </c>
      <c r="H35" s="435">
        <v>78.0</v>
      </c>
      <c r="I35" s="435">
        <v>122.0</v>
      </c>
      <c r="J35" s="435">
        <v>24.0</v>
      </c>
      <c r="K35" s="435">
        <v>59.0</v>
      </c>
      <c r="L35" s="435" t="s">
        <v>1187</v>
      </c>
      <c r="M35" s="435">
        <v>3.0</v>
      </c>
      <c r="N35" s="435">
        <v>2.0</v>
      </c>
      <c r="O35" s="437"/>
      <c r="P35" s="437"/>
      <c r="Q35" s="437"/>
      <c r="R35" s="437"/>
      <c r="S35" s="437"/>
      <c r="T35" s="437"/>
      <c r="U35" s="437"/>
      <c r="V35" s="437"/>
      <c r="W35" s="437" t="s">
        <v>1217</v>
      </c>
      <c r="X35" s="438"/>
      <c r="Y35" s="438"/>
      <c r="Z35" s="438"/>
      <c r="AA35" s="438"/>
      <c r="AB35" s="438"/>
    </row>
    <row r="36">
      <c r="A36" s="429"/>
      <c r="B36" s="435" t="s">
        <v>1208</v>
      </c>
      <c r="C36" s="95"/>
      <c r="D36" s="435">
        <v>2024.07</v>
      </c>
      <c r="E36" s="435">
        <v>3.0</v>
      </c>
      <c r="F36" s="435">
        <v>934.0</v>
      </c>
      <c r="G36" s="435" t="s">
        <v>1218</v>
      </c>
      <c r="H36" s="435">
        <v>99.0</v>
      </c>
      <c r="I36" s="435">
        <v>30.0</v>
      </c>
      <c r="J36" s="435">
        <v>30.0</v>
      </c>
      <c r="K36" s="435">
        <v>76.0</v>
      </c>
      <c r="L36" s="435" t="s">
        <v>1187</v>
      </c>
      <c r="M36" s="435">
        <v>3.0</v>
      </c>
      <c r="N36" s="435">
        <v>2.0</v>
      </c>
      <c r="O36" s="95"/>
      <c r="P36" s="95"/>
      <c r="Q36" s="95"/>
      <c r="R36" s="95"/>
      <c r="S36" s="95"/>
      <c r="T36" s="95"/>
      <c r="U36" s="95"/>
      <c r="V36" s="95"/>
      <c r="W36" s="95"/>
      <c r="X36" s="438"/>
      <c r="Y36" s="438"/>
      <c r="Z36" s="438"/>
      <c r="AA36" s="438"/>
      <c r="AB36" s="438"/>
    </row>
    <row r="37">
      <c r="A37" s="429"/>
      <c r="B37" s="435" t="s">
        <v>1208</v>
      </c>
      <c r="C37" s="164"/>
      <c r="D37" s="435">
        <v>2024.07</v>
      </c>
      <c r="E37" s="435">
        <v>3.0</v>
      </c>
      <c r="F37" s="435">
        <v>934.0</v>
      </c>
      <c r="G37" s="435" t="s">
        <v>1219</v>
      </c>
      <c r="H37" s="435">
        <v>109.0</v>
      </c>
      <c r="I37" s="435">
        <v>782.0</v>
      </c>
      <c r="J37" s="435">
        <v>33.0</v>
      </c>
      <c r="K37" s="435">
        <v>84.0</v>
      </c>
      <c r="L37" s="435" t="s">
        <v>1187</v>
      </c>
      <c r="M37" s="435">
        <v>3.0</v>
      </c>
      <c r="N37" s="435">
        <v>2.0</v>
      </c>
      <c r="O37" s="164"/>
      <c r="P37" s="164"/>
      <c r="Q37" s="164"/>
      <c r="R37" s="164"/>
      <c r="S37" s="164"/>
      <c r="T37" s="164"/>
      <c r="U37" s="164"/>
      <c r="V37" s="164"/>
      <c r="W37" s="164"/>
      <c r="X37" s="438"/>
      <c r="Y37" s="438"/>
      <c r="Z37" s="438"/>
      <c r="AA37" s="438"/>
      <c r="AB37" s="438"/>
    </row>
    <row r="38">
      <c r="A38" s="429"/>
      <c r="B38" s="435" t="s">
        <v>1220</v>
      </c>
      <c r="C38" s="436" t="s">
        <v>1221</v>
      </c>
      <c r="D38" s="435">
        <v>2011.09</v>
      </c>
      <c r="E38" s="435">
        <v>16.0</v>
      </c>
      <c r="F38" s="435">
        <v>713.0</v>
      </c>
      <c r="G38" s="435" t="s">
        <v>1222</v>
      </c>
      <c r="H38" s="435">
        <v>111.0</v>
      </c>
      <c r="I38" s="435">
        <v>488.0</v>
      </c>
      <c r="J38" s="435">
        <v>34.0</v>
      </c>
      <c r="K38" s="435">
        <v>84.0</v>
      </c>
      <c r="L38" s="435" t="s">
        <v>1187</v>
      </c>
      <c r="M38" s="435">
        <v>3.0</v>
      </c>
      <c r="N38" s="435">
        <v>2.0</v>
      </c>
      <c r="O38" s="437"/>
      <c r="P38" s="437"/>
      <c r="Q38" s="437"/>
      <c r="R38" s="437"/>
      <c r="S38" s="437"/>
      <c r="T38" s="437"/>
      <c r="U38" s="437"/>
      <c r="V38" s="437"/>
      <c r="W38" s="437"/>
      <c r="X38" s="438"/>
      <c r="Y38" s="438"/>
      <c r="Z38" s="438"/>
      <c r="AA38" s="438"/>
      <c r="AB38" s="438"/>
    </row>
    <row r="39">
      <c r="A39" s="429"/>
      <c r="B39" s="435" t="s">
        <v>1220</v>
      </c>
      <c r="C39" s="95"/>
      <c r="D39" s="435">
        <v>2011.09</v>
      </c>
      <c r="E39" s="435">
        <v>16.0</v>
      </c>
      <c r="F39" s="435">
        <v>713.0</v>
      </c>
      <c r="G39" s="435">
        <v>128.0</v>
      </c>
      <c r="H39" s="435">
        <v>128.0</v>
      </c>
      <c r="I39" s="435">
        <v>140.0</v>
      </c>
      <c r="J39" s="435">
        <v>39.0</v>
      </c>
      <c r="K39" s="435">
        <v>101.0</v>
      </c>
      <c r="L39" s="435" t="s">
        <v>1187</v>
      </c>
      <c r="M39" s="435">
        <v>3.0</v>
      </c>
      <c r="N39" s="435">
        <v>2.0</v>
      </c>
      <c r="O39" s="95"/>
      <c r="P39" s="95"/>
      <c r="Q39" s="95"/>
      <c r="R39" s="95"/>
      <c r="S39" s="95"/>
      <c r="T39" s="95"/>
      <c r="U39" s="95"/>
      <c r="V39" s="95"/>
      <c r="W39" s="95"/>
      <c r="X39" s="438"/>
      <c r="Y39" s="438"/>
      <c r="Z39" s="438"/>
      <c r="AA39" s="438"/>
      <c r="AB39" s="438"/>
    </row>
    <row r="40">
      <c r="A40" s="429"/>
      <c r="B40" s="435" t="s">
        <v>1220</v>
      </c>
      <c r="C40" s="95"/>
      <c r="D40" s="435">
        <v>2011.09</v>
      </c>
      <c r="E40" s="435">
        <v>16.0</v>
      </c>
      <c r="F40" s="435">
        <v>713.0</v>
      </c>
      <c r="G40" s="435">
        <v>139.0</v>
      </c>
      <c r="H40" s="435">
        <v>139.0</v>
      </c>
      <c r="I40" s="435">
        <v>9.0</v>
      </c>
      <c r="J40" s="435">
        <v>42.0</v>
      </c>
      <c r="K40" s="435">
        <v>105.0</v>
      </c>
      <c r="L40" s="435" t="s">
        <v>1187</v>
      </c>
      <c r="M40" s="435">
        <v>4.0</v>
      </c>
      <c r="N40" s="435">
        <v>2.0</v>
      </c>
      <c r="O40" s="95"/>
      <c r="P40" s="95"/>
      <c r="Q40" s="95"/>
      <c r="R40" s="95"/>
      <c r="S40" s="95"/>
      <c r="T40" s="95"/>
      <c r="U40" s="95"/>
      <c r="V40" s="95"/>
      <c r="W40" s="95"/>
      <c r="X40" s="438"/>
      <c r="Y40" s="438"/>
      <c r="Z40" s="438"/>
      <c r="AA40" s="438"/>
      <c r="AB40" s="438"/>
    </row>
    <row r="41">
      <c r="A41" s="429"/>
      <c r="B41" s="435" t="s">
        <v>1220</v>
      </c>
      <c r="C41" s="164"/>
      <c r="D41" s="435">
        <v>2011.09</v>
      </c>
      <c r="E41" s="435">
        <v>16.0</v>
      </c>
      <c r="F41" s="435">
        <v>713.0</v>
      </c>
      <c r="G41" s="435">
        <v>153.0</v>
      </c>
      <c r="H41" s="435">
        <v>153.0</v>
      </c>
      <c r="I41" s="435">
        <v>76.0</v>
      </c>
      <c r="J41" s="435">
        <v>46.0</v>
      </c>
      <c r="K41" s="435">
        <v>122.0</v>
      </c>
      <c r="L41" s="435" t="s">
        <v>1187</v>
      </c>
      <c r="M41" s="435">
        <v>4.0</v>
      </c>
      <c r="N41" s="435">
        <v>2.0</v>
      </c>
      <c r="O41" s="164"/>
      <c r="P41" s="164"/>
      <c r="Q41" s="164"/>
      <c r="R41" s="164"/>
      <c r="S41" s="164"/>
      <c r="T41" s="164"/>
      <c r="U41" s="164"/>
      <c r="V41" s="164"/>
      <c r="W41" s="164"/>
      <c r="X41" s="438"/>
      <c r="Y41" s="438"/>
      <c r="Z41" s="438"/>
      <c r="AA41" s="438"/>
      <c r="AB41" s="438"/>
    </row>
    <row r="42">
      <c r="A42" s="429"/>
      <c r="B42" s="435" t="s">
        <v>1220</v>
      </c>
      <c r="C42" s="436" t="s">
        <v>926</v>
      </c>
      <c r="D42" s="435">
        <v>2008.08</v>
      </c>
      <c r="E42" s="435">
        <v>19.0</v>
      </c>
      <c r="F42" s="435">
        <v>877.0</v>
      </c>
      <c r="G42" s="435" t="s">
        <v>1223</v>
      </c>
      <c r="H42" s="435">
        <v>113.0</v>
      </c>
      <c r="I42" s="435">
        <v>753.0</v>
      </c>
      <c r="J42" s="435">
        <v>34.0</v>
      </c>
      <c r="K42" s="435">
        <v>84.0</v>
      </c>
      <c r="L42" s="435" t="s">
        <v>1187</v>
      </c>
      <c r="M42" s="435">
        <v>3.0</v>
      </c>
      <c r="N42" s="435">
        <v>2.0</v>
      </c>
      <c r="O42" s="437"/>
      <c r="P42" s="437"/>
      <c r="Q42" s="437"/>
      <c r="R42" s="437" t="s">
        <v>1224</v>
      </c>
      <c r="S42" s="437"/>
      <c r="T42" s="437"/>
      <c r="U42" s="437"/>
      <c r="V42" s="437"/>
      <c r="W42" s="437"/>
      <c r="X42" s="438"/>
      <c r="Y42" s="438"/>
      <c r="Z42" s="438"/>
      <c r="AA42" s="438"/>
      <c r="AB42" s="438"/>
    </row>
    <row r="43">
      <c r="A43" s="429"/>
      <c r="B43" s="435" t="s">
        <v>1220</v>
      </c>
      <c r="C43" s="164"/>
      <c r="D43" s="435">
        <v>2008.08</v>
      </c>
      <c r="E43" s="435">
        <v>19.0</v>
      </c>
      <c r="F43" s="435">
        <v>877.0</v>
      </c>
      <c r="G43" s="435">
        <v>143.0</v>
      </c>
      <c r="H43" s="435">
        <v>143.0</v>
      </c>
      <c r="I43" s="435">
        <v>124.0</v>
      </c>
      <c r="J43" s="435">
        <v>43.0</v>
      </c>
      <c r="K43" s="435">
        <v>110.0</v>
      </c>
      <c r="L43" s="435" t="s">
        <v>1187</v>
      </c>
      <c r="M43" s="435">
        <v>4.0</v>
      </c>
      <c r="N43" s="435">
        <v>2.0</v>
      </c>
      <c r="O43" s="164"/>
      <c r="P43" s="164"/>
      <c r="Q43" s="164"/>
      <c r="R43" s="164"/>
      <c r="S43" s="164"/>
      <c r="T43" s="164"/>
      <c r="U43" s="164"/>
      <c r="V43" s="164"/>
      <c r="W43" s="164"/>
      <c r="X43" s="438"/>
      <c r="Y43" s="438"/>
      <c r="Z43" s="438"/>
      <c r="AA43" s="438"/>
      <c r="AB43" s="438"/>
    </row>
    <row r="44">
      <c r="A44" s="429"/>
      <c r="B44" s="435"/>
      <c r="C44" s="435"/>
      <c r="D44" s="435"/>
      <c r="E44" s="435"/>
      <c r="F44" s="435"/>
      <c r="G44" s="435"/>
      <c r="H44" s="435"/>
      <c r="I44" s="435"/>
      <c r="J44" s="435"/>
      <c r="K44" s="435"/>
      <c r="L44" s="435"/>
      <c r="M44" s="435"/>
      <c r="N44" s="435"/>
      <c r="O44" s="442"/>
      <c r="P44" s="442"/>
      <c r="Q44" s="442"/>
      <c r="R44" s="442"/>
      <c r="S44" s="442"/>
      <c r="T44" s="346"/>
      <c r="U44" s="442"/>
      <c r="V44" s="442"/>
      <c r="W44" s="442"/>
      <c r="X44" s="438"/>
      <c r="Y44" s="438"/>
      <c r="Z44" s="438"/>
      <c r="AA44" s="438"/>
      <c r="AB44" s="438"/>
    </row>
    <row r="45">
      <c r="A45" s="429"/>
      <c r="B45" s="435" t="s">
        <v>1225</v>
      </c>
      <c r="C45" s="436" t="s">
        <v>450</v>
      </c>
      <c r="D45" s="435">
        <v>2022.04</v>
      </c>
      <c r="E45" s="435">
        <v>5.0</v>
      </c>
      <c r="F45" s="435">
        <v>1588.0</v>
      </c>
      <c r="G45" s="435">
        <v>53.0</v>
      </c>
      <c r="H45" s="435">
        <v>53.0</v>
      </c>
      <c r="I45" s="435">
        <v>68.0</v>
      </c>
      <c r="J45" s="435">
        <v>16.0</v>
      </c>
      <c r="K45" s="435">
        <v>39.0</v>
      </c>
      <c r="L45" s="435" t="s">
        <v>1187</v>
      </c>
      <c r="M45" s="435">
        <v>2.0</v>
      </c>
      <c r="N45" s="435">
        <v>1.0</v>
      </c>
      <c r="O45" s="437"/>
      <c r="P45" s="437"/>
      <c r="Q45" s="437" t="s">
        <v>1226</v>
      </c>
      <c r="R45" s="437"/>
      <c r="S45" s="437"/>
      <c r="T45" s="437" t="s">
        <v>1227</v>
      </c>
      <c r="U45" s="437"/>
      <c r="V45" s="437"/>
      <c r="W45" s="437"/>
      <c r="X45" s="438"/>
      <c r="Y45" s="438"/>
      <c r="Z45" s="438"/>
      <c r="AA45" s="438"/>
      <c r="AB45" s="438"/>
    </row>
    <row r="46">
      <c r="A46" s="429"/>
      <c r="B46" s="435" t="s">
        <v>1225</v>
      </c>
      <c r="C46" s="95"/>
      <c r="D46" s="435">
        <v>2022.04</v>
      </c>
      <c r="E46" s="435">
        <v>5.0</v>
      </c>
      <c r="F46" s="435">
        <v>1588.0</v>
      </c>
      <c r="G46" s="435">
        <v>68.0</v>
      </c>
      <c r="H46" s="435">
        <v>68.0</v>
      </c>
      <c r="I46" s="435">
        <v>21.0</v>
      </c>
      <c r="J46" s="435">
        <v>21.0</v>
      </c>
      <c r="K46" s="435">
        <v>51.0</v>
      </c>
      <c r="L46" s="435" t="s">
        <v>1187</v>
      </c>
      <c r="M46" s="435">
        <v>2.0</v>
      </c>
      <c r="N46" s="435">
        <v>1.0</v>
      </c>
      <c r="O46" s="95"/>
      <c r="P46" s="95"/>
      <c r="Q46" s="95"/>
      <c r="R46" s="95"/>
      <c r="S46" s="95"/>
      <c r="T46" s="95"/>
      <c r="U46" s="95"/>
      <c r="V46" s="95"/>
      <c r="W46" s="95"/>
      <c r="X46" s="438"/>
      <c r="Y46" s="438"/>
      <c r="Z46" s="438"/>
      <c r="AA46" s="438"/>
      <c r="AB46" s="438"/>
    </row>
    <row r="47">
      <c r="A47" s="429"/>
      <c r="B47" s="435" t="s">
        <v>1225</v>
      </c>
      <c r="C47" s="95"/>
      <c r="D47" s="435">
        <v>2022.04</v>
      </c>
      <c r="E47" s="435">
        <v>5.0</v>
      </c>
      <c r="F47" s="435">
        <v>1588.0</v>
      </c>
      <c r="G47" s="435" t="s">
        <v>1228</v>
      </c>
      <c r="H47" s="435">
        <v>80.0</v>
      </c>
      <c r="I47" s="435">
        <v>808.0</v>
      </c>
      <c r="J47" s="435">
        <v>24.0</v>
      </c>
      <c r="K47" s="435">
        <v>59.0</v>
      </c>
      <c r="L47" s="435" t="s">
        <v>1187</v>
      </c>
      <c r="M47" s="435">
        <v>3.0</v>
      </c>
      <c r="N47" s="435">
        <v>2.0</v>
      </c>
      <c r="O47" s="95"/>
      <c r="P47" s="95"/>
      <c r="Q47" s="95"/>
      <c r="R47" s="95"/>
      <c r="S47" s="95"/>
      <c r="T47" s="95"/>
      <c r="U47" s="95"/>
      <c r="V47" s="95"/>
      <c r="W47" s="95"/>
      <c r="X47" s="438"/>
      <c r="Y47" s="438"/>
      <c r="Z47" s="438"/>
      <c r="AA47" s="438"/>
      <c r="AB47" s="438"/>
    </row>
    <row r="48">
      <c r="A48" s="429"/>
      <c r="B48" s="435" t="s">
        <v>1225</v>
      </c>
      <c r="C48" s="95"/>
      <c r="D48" s="435">
        <v>2022.04</v>
      </c>
      <c r="E48" s="435">
        <v>5.0</v>
      </c>
      <c r="F48" s="435">
        <v>1588.0</v>
      </c>
      <c r="G48" s="435">
        <v>100.0</v>
      </c>
      <c r="H48" s="435">
        <v>100.0</v>
      </c>
      <c r="I48" s="435">
        <v>297.0</v>
      </c>
      <c r="J48" s="435">
        <v>30.0</v>
      </c>
      <c r="K48" s="435">
        <v>74.0</v>
      </c>
      <c r="L48" s="435" t="s">
        <v>1187</v>
      </c>
      <c r="M48" s="435">
        <v>3.0</v>
      </c>
      <c r="N48" s="435">
        <v>2.0</v>
      </c>
      <c r="O48" s="95"/>
      <c r="P48" s="95"/>
      <c r="Q48" s="95"/>
      <c r="R48" s="95"/>
      <c r="S48" s="95"/>
      <c r="T48" s="95"/>
      <c r="U48" s="95"/>
      <c r="V48" s="95"/>
      <c r="W48" s="95"/>
      <c r="X48" s="438"/>
      <c r="Y48" s="438"/>
      <c r="Z48" s="438"/>
      <c r="AA48" s="438"/>
      <c r="AB48" s="438"/>
    </row>
    <row r="49">
      <c r="A49" s="429"/>
      <c r="B49" s="435" t="s">
        <v>1225</v>
      </c>
      <c r="C49" s="164"/>
      <c r="D49" s="435">
        <v>2022.04</v>
      </c>
      <c r="E49" s="435">
        <v>5.0</v>
      </c>
      <c r="F49" s="435">
        <v>1588.0</v>
      </c>
      <c r="G49" s="435">
        <v>113.0</v>
      </c>
      <c r="H49" s="435">
        <v>113.0</v>
      </c>
      <c r="I49" s="435">
        <v>394.0</v>
      </c>
      <c r="J49" s="435">
        <v>34.0</v>
      </c>
      <c r="K49" s="435">
        <v>84.0</v>
      </c>
      <c r="L49" s="435" t="s">
        <v>1187</v>
      </c>
      <c r="M49" s="435">
        <v>3.0</v>
      </c>
      <c r="N49" s="435">
        <v>2.0</v>
      </c>
      <c r="O49" s="164"/>
      <c r="P49" s="164"/>
      <c r="Q49" s="164"/>
      <c r="R49" s="164"/>
      <c r="S49" s="164"/>
      <c r="T49" s="164"/>
      <c r="U49" s="164"/>
      <c r="V49" s="164"/>
      <c r="W49" s="164"/>
      <c r="X49" s="438"/>
      <c r="Y49" s="438"/>
      <c r="Z49" s="438"/>
      <c r="AA49" s="438"/>
      <c r="AB49" s="438"/>
    </row>
    <row r="50">
      <c r="A50" s="429"/>
      <c r="B50" s="435" t="s">
        <v>1229</v>
      </c>
      <c r="C50" s="436" t="s">
        <v>752</v>
      </c>
      <c r="D50" s="435">
        <v>2010.1</v>
      </c>
      <c r="E50" s="435">
        <v>17.0</v>
      </c>
      <c r="F50" s="435">
        <v>897.0</v>
      </c>
      <c r="G50" s="435" t="s">
        <v>1230</v>
      </c>
      <c r="H50" s="435" t="s">
        <v>1231</v>
      </c>
      <c r="I50" s="435">
        <v>25.0</v>
      </c>
      <c r="J50" s="435" t="e">
        <v>#VALUE!</v>
      </c>
      <c r="K50" s="435">
        <v>74.0</v>
      </c>
      <c r="L50" s="435" t="s">
        <v>1187</v>
      </c>
      <c r="M50" s="435">
        <v>3.0</v>
      </c>
      <c r="N50" s="435">
        <v>2.0</v>
      </c>
      <c r="O50" s="447" t="s">
        <v>1232</v>
      </c>
      <c r="P50" s="437"/>
      <c r="Q50" s="437"/>
      <c r="R50" s="437"/>
      <c r="S50" s="437"/>
      <c r="T50" s="448" t="s">
        <v>1233</v>
      </c>
      <c r="U50" s="437" t="s">
        <v>1234</v>
      </c>
      <c r="V50" s="437"/>
      <c r="W50" s="437"/>
      <c r="X50" s="438"/>
      <c r="Y50" s="438"/>
      <c r="Z50" s="438"/>
      <c r="AA50" s="438"/>
      <c r="AB50" s="438"/>
    </row>
    <row r="51">
      <c r="A51" s="429"/>
      <c r="B51" s="435" t="s">
        <v>1229</v>
      </c>
      <c r="C51" s="95"/>
      <c r="D51" s="435">
        <v>2010.1</v>
      </c>
      <c r="E51" s="435">
        <v>17.0</v>
      </c>
      <c r="F51" s="435">
        <v>897.0</v>
      </c>
      <c r="G51" s="435" t="s">
        <v>1235</v>
      </c>
      <c r="H51" s="435">
        <v>112.0</v>
      </c>
      <c r="I51" s="435">
        <v>788.0</v>
      </c>
      <c r="J51" s="435">
        <v>34.0</v>
      </c>
      <c r="K51" s="435">
        <v>84.0</v>
      </c>
      <c r="L51" s="435" t="s">
        <v>1187</v>
      </c>
      <c r="M51" s="449">
        <v>3.0</v>
      </c>
      <c r="N51" s="449">
        <v>2.0</v>
      </c>
      <c r="O51" s="95"/>
      <c r="P51" s="95"/>
      <c r="Q51" s="95"/>
      <c r="R51" s="95"/>
      <c r="S51" s="95"/>
      <c r="T51" s="95"/>
      <c r="U51" s="95"/>
      <c r="V51" s="95"/>
      <c r="W51" s="95"/>
      <c r="X51" s="438"/>
      <c r="Y51" s="438"/>
      <c r="Z51" s="438"/>
      <c r="AA51" s="438"/>
      <c r="AB51" s="438"/>
    </row>
    <row r="52">
      <c r="A52" s="450"/>
      <c r="B52" s="435" t="s">
        <v>1229</v>
      </c>
      <c r="C52" s="164"/>
      <c r="D52" s="435">
        <v>2010.1</v>
      </c>
      <c r="E52" s="435">
        <v>17.0</v>
      </c>
      <c r="F52" s="435">
        <v>897.0</v>
      </c>
      <c r="G52" s="435" t="s">
        <v>1236</v>
      </c>
      <c r="H52" s="435">
        <v>157.0</v>
      </c>
      <c r="I52" s="435">
        <v>84.0</v>
      </c>
      <c r="J52" s="435">
        <v>48.0</v>
      </c>
      <c r="K52" s="435">
        <v>118.0</v>
      </c>
      <c r="L52" s="435" t="s">
        <v>1187</v>
      </c>
      <c r="M52" s="449">
        <v>4.0</v>
      </c>
      <c r="N52" s="449">
        <v>2.0</v>
      </c>
      <c r="O52" s="164"/>
      <c r="P52" s="164"/>
      <c r="Q52" s="164"/>
      <c r="R52" s="164"/>
      <c r="S52" s="164"/>
      <c r="T52" s="164"/>
      <c r="U52" s="164"/>
      <c r="V52" s="164"/>
      <c r="W52" s="164"/>
      <c r="X52" s="438"/>
      <c r="Y52" s="438"/>
      <c r="Z52" s="438"/>
      <c r="AA52" s="438"/>
      <c r="AB52" s="438"/>
    </row>
    <row r="53">
      <c r="A53" s="429"/>
      <c r="B53" s="435" t="s">
        <v>1229</v>
      </c>
      <c r="C53" s="436" t="s">
        <v>910</v>
      </c>
      <c r="D53" s="435">
        <v>2011.1</v>
      </c>
      <c r="E53" s="435">
        <v>16.0</v>
      </c>
      <c r="F53" s="435">
        <v>767.0</v>
      </c>
      <c r="G53" s="435" t="s">
        <v>1237</v>
      </c>
      <c r="H53" s="435">
        <v>84.0</v>
      </c>
      <c r="I53" s="435">
        <v>126.0</v>
      </c>
      <c r="J53" s="435">
        <v>25.0</v>
      </c>
      <c r="K53" s="435">
        <v>59.0</v>
      </c>
      <c r="L53" s="435" t="s">
        <v>1187</v>
      </c>
      <c r="M53" s="435">
        <v>3.0</v>
      </c>
      <c r="N53" s="435">
        <v>2.0</v>
      </c>
      <c r="O53" s="437"/>
      <c r="P53" s="437"/>
      <c r="Q53" s="437"/>
      <c r="R53" s="437" t="s">
        <v>1238</v>
      </c>
      <c r="S53" s="437"/>
      <c r="T53" s="437"/>
      <c r="U53" s="437" t="s">
        <v>1239</v>
      </c>
      <c r="V53" s="437"/>
      <c r="W53" s="437"/>
      <c r="X53" s="445"/>
      <c r="Y53" s="445"/>
      <c r="Z53" s="445"/>
      <c r="AA53" s="445"/>
      <c r="AB53" s="445"/>
    </row>
    <row r="54">
      <c r="A54" s="429"/>
      <c r="B54" s="435" t="s">
        <v>1229</v>
      </c>
      <c r="C54" s="95"/>
      <c r="D54" s="435">
        <v>2011.1</v>
      </c>
      <c r="E54" s="435">
        <v>16.0</v>
      </c>
      <c r="F54" s="435">
        <v>767.0</v>
      </c>
      <c r="G54" s="435" t="s">
        <v>1240</v>
      </c>
      <c r="H54" s="435">
        <v>111.0</v>
      </c>
      <c r="I54" s="435">
        <v>565.0</v>
      </c>
      <c r="J54" s="435">
        <v>34.0</v>
      </c>
      <c r="K54" s="435">
        <v>84.0</v>
      </c>
      <c r="L54" s="435" t="s">
        <v>1187</v>
      </c>
      <c r="M54" s="435">
        <v>3.0</v>
      </c>
      <c r="N54" s="435">
        <v>2.0</v>
      </c>
      <c r="O54" s="95"/>
      <c r="P54" s="95"/>
      <c r="Q54" s="95"/>
      <c r="R54" s="95"/>
      <c r="S54" s="95"/>
      <c r="T54" s="95"/>
      <c r="U54" s="451" t="s">
        <v>1241</v>
      </c>
      <c r="V54" s="95"/>
      <c r="W54" s="95"/>
      <c r="X54" s="438"/>
      <c r="Y54" s="438"/>
      <c r="Z54" s="438"/>
      <c r="AA54" s="438"/>
      <c r="AB54" s="438"/>
    </row>
    <row r="55">
      <c r="A55" s="429"/>
      <c r="B55" s="435" t="s">
        <v>1229</v>
      </c>
      <c r="C55" s="95"/>
      <c r="D55" s="435">
        <v>2011.1</v>
      </c>
      <c r="E55" s="435">
        <v>16.0</v>
      </c>
      <c r="F55" s="435">
        <v>767.0</v>
      </c>
      <c r="G55" s="435" t="s">
        <v>1242</v>
      </c>
      <c r="H55" s="435">
        <v>153.0</v>
      </c>
      <c r="I55" s="435">
        <v>68.0</v>
      </c>
      <c r="J55" s="435">
        <v>46.0</v>
      </c>
      <c r="K55" s="435">
        <v>118.0</v>
      </c>
      <c r="L55" s="435" t="s">
        <v>1187</v>
      </c>
      <c r="M55" s="435">
        <v>4.0</v>
      </c>
      <c r="N55" s="435">
        <v>2.0</v>
      </c>
      <c r="O55" s="95"/>
      <c r="P55" s="95"/>
      <c r="Q55" s="95"/>
      <c r="R55" s="95"/>
      <c r="S55" s="95"/>
      <c r="T55" s="95"/>
      <c r="U55" s="451"/>
      <c r="V55" s="95"/>
      <c r="W55" s="95"/>
      <c r="X55" s="438"/>
      <c r="Y55" s="438"/>
      <c r="Z55" s="438"/>
      <c r="AA55" s="438"/>
      <c r="AB55" s="438"/>
    </row>
    <row r="56">
      <c r="A56" s="429"/>
      <c r="B56" s="435" t="s">
        <v>1229</v>
      </c>
      <c r="C56" s="164"/>
      <c r="D56" s="435">
        <v>2011.1</v>
      </c>
      <c r="E56" s="435">
        <v>16.0</v>
      </c>
      <c r="F56" s="435">
        <v>767.0</v>
      </c>
      <c r="G56" s="435" t="s">
        <v>1243</v>
      </c>
      <c r="H56" s="435">
        <v>153.0</v>
      </c>
      <c r="I56" s="435">
        <v>8.0</v>
      </c>
      <c r="J56" s="435">
        <v>46.0</v>
      </c>
      <c r="K56" s="435">
        <v>118.0</v>
      </c>
      <c r="L56" s="435" t="s">
        <v>1187</v>
      </c>
      <c r="M56" s="435">
        <v>4.0</v>
      </c>
      <c r="N56" s="435">
        <v>3.0</v>
      </c>
      <c r="O56" s="164"/>
      <c r="P56" s="164"/>
      <c r="Q56" s="164"/>
      <c r="R56" s="164"/>
      <c r="S56" s="164"/>
      <c r="T56" s="164"/>
      <c r="U56" s="452"/>
      <c r="V56" s="164"/>
      <c r="W56" s="164"/>
      <c r="X56" s="438"/>
      <c r="Y56" s="438"/>
      <c r="Z56" s="438"/>
      <c r="AA56" s="438"/>
      <c r="AB56" s="438"/>
    </row>
    <row r="57">
      <c r="A57" s="429"/>
      <c r="B57" s="435" t="s">
        <v>1229</v>
      </c>
      <c r="C57" s="436" t="s">
        <v>477</v>
      </c>
      <c r="D57" s="435">
        <v>2018.11</v>
      </c>
      <c r="E57" s="435">
        <v>9.0</v>
      </c>
      <c r="F57" s="435">
        <v>1345.0</v>
      </c>
      <c r="G57" s="435" t="s">
        <v>1244</v>
      </c>
      <c r="H57" s="435">
        <v>86.0</v>
      </c>
      <c r="I57" s="435">
        <v>232.0</v>
      </c>
      <c r="J57" s="435">
        <v>26.0</v>
      </c>
      <c r="K57" s="435">
        <v>59.0</v>
      </c>
      <c r="L57" s="435" t="s">
        <v>1187</v>
      </c>
      <c r="M57" s="435">
        <v>3.0</v>
      </c>
      <c r="N57" s="435">
        <v>2.0</v>
      </c>
      <c r="O57" s="437"/>
      <c r="P57" s="437"/>
      <c r="Q57" s="437"/>
      <c r="R57" s="437"/>
      <c r="S57" s="437"/>
      <c r="T57" s="448" t="s">
        <v>1245</v>
      </c>
      <c r="U57" s="437"/>
      <c r="V57" s="437"/>
      <c r="W57" s="437"/>
      <c r="X57" s="438"/>
      <c r="Y57" s="438"/>
      <c r="Z57" s="438"/>
      <c r="AA57" s="438"/>
      <c r="AB57" s="438"/>
    </row>
    <row r="58">
      <c r="A58" s="429"/>
      <c r="B58" s="435" t="s">
        <v>1229</v>
      </c>
      <c r="C58" s="95"/>
      <c r="D58" s="435">
        <v>2018.11</v>
      </c>
      <c r="E58" s="435">
        <v>9.0</v>
      </c>
      <c r="F58" s="435">
        <v>1345.0</v>
      </c>
      <c r="G58" s="435" t="s">
        <v>1246</v>
      </c>
      <c r="H58" s="435">
        <v>100.0</v>
      </c>
      <c r="I58" s="435">
        <v>336.0</v>
      </c>
      <c r="J58" s="435">
        <v>30.0</v>
      </c>
      <c r="K58" s="435">
        <v>74.0</v>
      </c>
      <c r="L58" s="435" t="s">
        <v>1187</v>
      </c>
      <c r="M58" s="435">
        <v>3.0</v>
      </c>
      <c r="N58" s="435">
        <v>2.0</v>
      </c>
      <c r="O58" s="95"/>
      <c r="P58" s="95"/>
      <c r="Q58" s="95"/>
      <c r="R58" s="95"/>
      <c r="S58" s="95"/>
      <c r="T58" s="95"/>
      <c r="U58" s="95"/>
      <c r="V58" s="95"/>
      <c r="W58" s="95"/>
      <c r="X58" s="438"/>
      <c r="Y58" s="438"/>
      <c r="Z58" s="438"/>
      <c r="AA58" s="438"/>
      <c r="AB58" s="438"/>
    </row>
    <row r="59">
      <c r="A59" s="429"/>
      <c r="B59" s="435" t="s">
        <v>1229</v>
      </c>
      <c r="C59" s="164"/>
      <c r="D59" s="435">
        <v>2018.11</v>
      </c>
      <c r="E59" s="435">
        <v>9.0</v>
      </c>
      <c r="F59" s="435">
        <v>1345.0</v>
      </c>
      <c r="G59" s="435" t="s">
        <v>1247</v>
      </c>
      <c r="H59" s="435">
        <v>113.0</v>
      </c>
      <c r="I59" s="435">
        <v>777.0</v>
      </c>
      <c r="J59" s="435">
        <v>34.0</v>
      </c>
      <c r="K59" s="435">
        <v>84.0</v>
      </c>
      <c r="L59" s="435" t="s">
        <v>1187</v>
      </c>
      <c r="M59" s="435">
        <v>3.0</v>
      </c>
      <c r="N59" s="435">
        <v>2.0</v>
      </c>
      <c r="O59" s="164"/>
      <c r="P59" s="164"/>
      <c r="Q59" s="164"/>
      <c r="R59" s="164"/>
      <c r="S59" s="164"/>
      <c r="T59" s="164"/>
      <c r="U59" s="164"/>
      <c r="V59" s="164"/>
      <c r="W59" s="164"/>
      <c r="X59" s="438"/>
      <c r="Y59" s="438"/>
      <c r="Z59" s="438"/>
      <c r="AA59" s="438"/>
      <c r="AB59" s="438"/>
    </row>
    <row r="60">
      <c r="A60" s="429"/>
      <c r="B60" s="435" t="s">
        <v>1225</v>
      </c>
      <c r="C60" s="436" t="s">
        <v>1248</v>
      </c>
      <c r="D60" s="435">
        <v>2018.1</v>
      </c>
      <c r="E60" s="435">
        <v>9.0</v>
      </c>
      <c r="F60" s="435">
        <v>636.0</v>
      </c>
      <c r="G60" s="435" t="s">
        <v>1249</v>
      </c>
      <c r="H60" s="435">
        <v>64.0</v>
      </c>
      <c r="I60" s="435">
        <v>35.0</v>
      </c>
      <c r="J60" s="435">
        <v>19.0</v>
      </c>
      <c r="K60" s="435">
        <v>39.0</v>
      </c>
      <c r="L60" s="435" t="s">
        <v>1250</v>
      </c>
      <c r="M60" s="435">
        <v>3.0</v>
      </c>
      <c r="N60" s="435">
        <v>2.0</v>
      </c>
      <c r="O60" s="437"/>
      <c r="P60" s="437"/>
      <c r="Q60" s="437"/>
      <c r="R60" s="437"/>
      <c r="S60" s="437"/>
      <c r="T60" s="453" t="s">
        <v>1251</v>
      </c>
      <c r="U60" s="437"/>
      <c r="V60" s="437"/>
      <c r="W60" s="437"/>
      <c r="X60" s="438"/>
      <c r="Y60" s="438"/>
      <c r="Z60" s="438"/>
      <c r="AA60" s="438"/>
      <c r="AB60" s="438"/>
    </row>
    <row r="61">
      <c r="A61" s="429"/>
      <c r="B61" s="435" t="s">
        <v>1225</v>
      </c>
      <c r="C61" s="95"/>
      <c r="D61" s="435">
        <v>2018.1</v>
      </c>
      <c r="E61" s="435">
        <v>9.0</v>
      </c>
      <c r="F61" s="435">
        <v>636.0</v>
      </c>
      <c r="G61" s="435" t="s">
        <v>1252</v>
      </c>
      <c r="H61" s="435">
        <v>73.0</v>
      </c>
      <c r="I61" s="435">
        <v>165.0</v>
      </c>
      <c r="J61" s="435">
        <v>22.0</v>
      </c>
      <c r="K61" s="435">
        <v>46.0</v>
      </c>
      <c r="L61" s="435" t="s">
        <v>1187</v>
      </c>
      <c r="M61" s="435">
        <v>3.0</v>
      </c>
      <c r="N61" s="435">
        <v>2.0</v>
      </c>
      <c r="O61" s="95"/>
      <c r="P61" s="95"/>
      <c r="Q61" s="95"/>
      <c r="R61" s="95"/>
      <c r="S61" s="95"/>
      <c r="T61" s="95"/>
      <c r="U61" s="95"/>
      <c r="V61" s="95"/>
      <c r="W61" s="95"/>
      <c r="X61" s="438"/>
      <c r="Y61" s="438"/>
      <c r="Z61" s="438"/>
      <c r="AA61" s="438"/>
      <c r="AB61" s="438"/>
    </row>
    <row r="62">
      <c r="A62" s="429"/>
      <c r="B62" s="435" t="s">
        <v>1225</v>
      </c>
      <c r="C62" s="95"/>
      <c r="D62" s="435">
        <v>2018.1</v>
      </c>
      <c r="E62" s="435">
        <v>9.0</v>
      </c>
      <c r="F62" s="435">
        <v>636.0</v>
      </c>
      <c r="G62" s="435" t="s">
        <v>1253</v>
      </c>
      <c r="H62" s="435">
        <v>83.0</v>
      </c>
      <c r="I62" s="435">
        <v>31.0</v>
      </c>
      <c r="J62" s="435">
        <v>25.0</v>
      </c>
      <c r="K62" s="435">
        <v>59.0</v>
      </c>
      <c r="L62" s="435" t="s">
        <v>1187</v>
      </c>
      <c r="M62" s="435">
        <v>3.0</v>
      </c>
      <c r="N62" s="435">
        <v>2.0</v>
      </c>
      <c r="O62" s="95"/>
      <c r="P62" s="95"/>
      <c r="Q62" s="95"/>
      <c r="R62" s="95"/>
      <c r="S62" s="95"/>
      <c r="T62" s="95"/>
      <c r="U62" s="95"/>
      <c r="V62" s="95"/>
      <c r="W62" s="95"/>
      <c r="X62" s="438"/>
      <c r="Y62" s="438"/>
      <c r="Z62" s="438"/>
      <c r="AA62" s="438"/>
      <c r="AB62" s="438"/>
    </row>
    <row r="63">
      <c r="A63" s="429"/>
      <c r="B63" s="435" t="s">
        <v>1225</v>
      </c>
      <c r="C63" s="164"/>
      <c r="D63" s="435">
        <v>2018.1</v>
      </c>
      <c r="E63" s="435">
        <v>9.0</v>
      </c>
      <c r="F63" s="435">
        <v>636.0</v>
      </c>
      <c r="G63" s="435" t="s">
        <v>1254</v>
      </c>
      <c r="H63" s="435">
        <v>102.0</v>
      </c>
      <c r="I63" s="435">
        <v>228.0</v>
      </c>
      <c r="J63" s="435">
        <v>31.0</v>
      </c>
      <c r="K63" s="435">
        <v>74.0</v>
      </c>
      <c r="L63" s="435" t="s">
        <v>1187</v>
      </c>
      <c r="M63" s="435">
        <v>3.0</v>
      </c>
      <c r="N63" s="435">
        <v>2.0</v>
      </c>
      <c r="O63" s="164"/>
      <c r="P63" s="164"/>
      <c r="Q63" s="164"/>
      <c r="R63" s="164"/>
      <c r="S63" s="164"/>
      <c r="T63" s="164"/>
      <c r="U63" s="164"/>
      <c r="V63" s="164"/>
      <c r="W63" s="164"/>
      <c r="X63" s="438"/>
      <c r="Y63" s="438"/>
      <c r="Z63" s="438"/>
      <c r="AA63" s="438"/>
      <c r="AB63" s="438"/>
    </row>
    <row r="64">
      <c r="A64" s="429"/>
      <c r="B64" s="435" t="s">
        <v>1208</v>
      </c>
      <c r="C64" s="436" t="s">
        <v>894</v>
      </c>
      <c r="D64" s="435">
        <v>1991.08</v>
      </c>
      <c r="E64" s="435">
        <v>36.0</v>
      </c>
      <c r="F64" s="435">
        <v>633.0</v>
      </c>
      <c r="G64" s="435">
        <v>88.0</v>
      </c>
      <c r="H64" s="435">
        <v>88.0</v>
      </c>
      <c r="I64" s="435">
        <v>191.0</v>
      </c>
      <c r="J64" s="435">
        <v>27.0</v>
      </c>
      <c r="K64" s="435">
        <v>72.0</v>
      </c>
      <c r="L64" s="435" t="s">
        <v>1187</v>
      </c>
      <c r="M64" s="435">
        <v>3.0</v>
      </c>
      <c r="N64" s="435">
        <v>1.0</v>
      </c>
      <c r="O64" s="437"/>
      <c r="P64" s="437"/>
      <c r="Q64" s="437"/>
      <c r="R64" s="437"/>
      <c r="S64" s="437"/>
      <c r="T64" s="437"/>
      <c r="U64" s="437"/>
      <c r="V64" s="437"/>
      <c r="W64" s="437"/>
      <c r="X64" s="445"/>
      <c r="Y64" s="445"/>
      <c r="Z64" s="445"/>
      <c r="AA64" s="445"/>
      <c r="AB64" s="445"/>
    </row>
    <row r="65">
      <c r="A65" s="429"/>
      <c r="B65" s="435" t="s">
        <v>1208</v>
      </c>
      <c r="C65" s="164"/>
      <c r="D65" s="435">
        <v>1991.08</v>
      </c>
      <c r="E65" s="435">
        <v>36.0</v>
      </c>
      <c r="F65" s="435">
        <v>633.0</v>
      </c>
      <c r="G65" s="435">
        <v>102.0</v>
      </c>
      <c r="H65" s="435">
        <v>102.0</v>
      </c>
      <c r="I65" s="435">
        <v>442.0</v>
      </c>
      <c r="J65" s="435">
        <v>31.0</v>
      </c>
      <c r="K65" s="435">
        <v>84.0</v>
      </c>
      <c r="L65" s="435" t="s">
        <v>1187</v>
      </c>
      <c r="M65" s="435">
        <v>3.0</v>
      </c>
      <c r="N65" s="435">
        <v>2.0</v>
      </c>
      <c r="O65" s="164"/>
      <c r="P65" s="164"/>
      <c r="Q65" s="164"/>
      <c r="R65" s="164"/>
      <c r="S65" s="164"/>
      <c r="T65" s="164"/>
      <c r="U65" s="164"/>
      <c r="V65" s="164"/>
      <c r="W65" s="164"/>
      <c r="X65" s="438"/>
      <c r="Y65" s="438"/>
      <c r="Z65" s="438"/>
      <c r="AA65" s="438"/>
      <c r="AB65" s="438"/>
    </row>
    <row r="66">
      <c r="A66" s="429"/>
      <c r="B66" s="435"/>
      <c r="C66" s="435"/>
      <c r="D66" s="435"/>
      <c r="E66" s="435"/>
      <c r="F66" s="435"/>
      <c r="G66" s="435"/>
      <c r="H66" s="435"/>
      <c r="I66" s="435"/>
      <c r="J66" s="435"/>
      <c r="K66" s="435"/>
      <c r="L66" s="435"/>
      <c r="M66" s="435"/>
      <c r="N66" s="435"/>
      <c r="O66" s="442"/>
      <c r="P66" s="442"/>
      <c r="Q66" s="442"/>
      <c r="R66" s="442"/>
      <c r="S66" s="442"/>
      <c r="T66" s="346"/>
      <c r="U66" s="442"/>
      <c r="V66" s="442"/>
      <c r="W66" s="442"/>
      <c r="X66" s="438"/>
      <c r="Y66" s="438"/>
      <c r="Z66" s="438"/>
      <c r="AA66" s="438"/>
      <c r="AB66" s="438"/>
    </row>
    <row r="67">
      <c r="A67" s="429"/>
      <c r="B67" s="435" t="s">
        <v>1255</v>
      </c>
      <c r="C67" s="436" t="s">
        <v>922</v>
      </c>
      <c r="D67" s="435">
        <v>2007.09</v>
      </c>
      <c r="E67" s="435">
        <v>20.0</v>
      </c>
      <c r="F67" s="435">
        <v>613.0</v>
      </c>
      <c r="G67" s="435">
        <v>79.0</v>
      </c>
      <c r="H67" s="435">
        <v>79.0</v>
      </c>
      <c r="I67" s="435">
        <v>87.0</v>
      </c>
      <c r="J67" s="435">
        <v>24.0</v>
      </c>
      <c r="K67" s="435">
        <v>59.0</v>
      </c>
      <c r="L67" s="435" t="s">
        <v>1187</v>
      </c>
      <c r="M67" s="435">
        <v>3.0</v>
      </c>
      <c r="N67" s="435">
        <v>2.0</v>
      </c>
      <c r="O67" s="437"/>
      <c r="P67" s="437"/>
      <c r="Q67" s="437"/>
      <c r="R67" s="437"/>
      <c r="S67" s="437"/>
      <c r="T67" s="437"/>
      <c r="U67" s="437"/>
      <c r="V67" s="437"/>
      <c r="W67" s="437"/>
      <c r="X67" s="438"/>
      <c r="Y67" s="438"/>
      <c r="Z67" s="438"/>
      <c r="AA67" s="438"/>
      <c r="AB67" s="438"/>
    </row>
    <row r="68">
      <c r="A68" s="429"/>
      <c r="B68" s="435" t="s">
        <v>1255</v>
      </c>
      <c r="C68" s="164"/>
      <c r="D68" s="435">
        <v>2007.09</v>
      </c>
      <c r="E68" s="435">
        <v>20.0</v>
      </c>
      <c r="F68" s="435">
        <v>613.0</v>
      </c>
      <c r="G68" s="435">
        <v>114.0</v>
      </c>
      <c r="H68" s="435">
        <v>114.0</v>
      </c>
      <c r="I68" s="435">
        <v>99.0</v>
      </c>
      <c r="J68" s="435">
        <v>35.0</v>
      </c>
      <c r="K68" s="435">
        <v>84.0</v>
      </c>
      <c r="L68" s="435" t="s">
        <v>1187</v>
      </c>
      <c r="M68" s="435">
        <v>3.0</v>
      </c>
      <c r="N68" s="435">
        <v>2.0</v>
      </c>
      <c r="O68" s="164"/>
      <c r="P68" s="164"/>
      <c r="Q68" s="164"/>
      <c r="R68" s="164"/>
      <c r="S68" s="164"/>
      <c r="T68" s="164"/>
      <c r="U68" s="164"/>
      <c r="V68" s="164"/>
      <c r="W68" s="164"/>
      <c r="X68" s="438"/>
      <c r="Y68" s="438"/>
      <c r="Z68" s="438"/>
      <c r="AA68" s="438"/>
      <c r="AB68" s="438"/>
    </row>
    <row r="69">
      <c r="A69" s="429"/>
      <c r="B69" s="435" t="s">
        <v>1255</v>
      </c>
      <c r="C69" s="436" t="s">
        <v>443</v>
      </c>
      <c r="D69" s="435">
        <v>2006.08</v>
      </c>
      <c r="E69" s="435">
        <v>21.0</v>
      </c>
      <c r="F69" s="435">
        <v>1063.0</v>
      </c>
      <c r="G69" s="435">
        <v>88.0</v>
      </c>
      <c r="H69" s="435">
        <v>88.0</v>
      </c>
      <c r="I69" s="435">
        <v>204.0</v>
      </c>
      <c r="J69" s="435">
        <v>27.0</v>
      </c>
      <c r="K69" s="435">
        <v>59.0</v>
      </c>
      <c r="L69" s="435" t="s">
        <v>1187</v>
      </c>
      <c r="M69" s="435">
        <v>3.0</v>
      </c>
      <c r="N69" s="435">
        <v>2.0</v>
      </c>
      <c r="O69" s="437"/>
      <c r="P69" s="437"/>
      <c r="Q69" s="437"/>
      <c r="R69" s="437"/>
      <c r="S69" s="437"/>
      <c r="T69" s="437" t="s">
        <v>1256</v>
      </c>
      <c r="U69" s="437"/>
      <c r="V69" s="437"/>
      <c r="W69" s="437" t="s">
        <v>1257</v>
      </c>
      <c r="X69" s="438"/>
      <c r="Y69" s="438"/>
      <c r="Z69" s="438"/>
      <c r="AA69" s="438"/>
      <c r="AB69" s="438"/>
    </row>
    <row r="70">
      <c r="A70" s="429"/>
      <c r="B70" s="435" t="s">
        <v>1255</v>
      </c>
      <c r="C70" s="95"/>
      <c r="D70" s="435">
        <v>2006.08</v>
      </c>
      <c r="E70" s="435">
        <v>21.0</v>
      </c>
      <c r="F70" s="435">
        <v>1063.0</v>
      </c>
      <c r="G70" s="435" t="s">
        <v>1258</v>
      </c>
      <c r="H70" s="435">
        <v>114.0</v>
      </c>
      <c r="I70" s="435">
        <v>739.0</v>
      </c>
      <c r="J70" s="435">
        <v>35.0</v>
      </c>
      <c r="K70" s="435">
        <v>84.0</v>
      </c>
      <c r="L70" s="435" t="s">
        <v>1187</v>
      </c>
      <c r="M70" s="435">
        <v>3.0</v>
      </c>
      <c r="N70" s="435">
        <v>2.0</v>
      </c>
      <c r="O70" s="95"/>
      <c r="P70" s="95"/>
      <c r="Q70" s="95"/>
      <c r="R70" s="95"/>
      <c r="S70" s="95"/>
      <c r="T70" s="95"/>
      <c r="U70" s="95"/>
      <c r="V70" s="95"/>
      <c r="W70" s="95"/>
      <c r="X70" s="438"/>
      <c r="Y70" s="438"/>
      <c r="Z70" s="438"/>
      <c r="AA70" s="438"/>
      <c r="AB70" s="438"/>
    </row>
    <row r="71">
      <c r="A71" s="429"/>
      <c r="B71" s="435" t="s">
        <v>1255</v>
      </c>
      <c r="C71" s="164"/>
      <c r="D71" s="435">
        <v>2006.08</v>
      </c>
      <c r="E71" s="435">
        <v>21.0</v>
      </c>
      <c r="F71" s="435">
        <v>1063.0</v>
      </c>
      <c r="G71" s="435">
        <v>164.0</v>
      </c>
      <c r="H71" s="435">
        <v>164.0</v>
      </c>
      <c r="I71" s="435">
        <v>120.0</v>
      </c>
      <c r="J71" s="435">
        <v>50.0</v>
      </c>
      <c r="K71" s="435">
        <v>134.0</v>
      </c>
      <c r="L71" s="435" t="s">
        <v>1187</v>
      </c>
      <c r="M71" s="435">
        <v>4.0</v>
      </c>
      <c r="N71" s="435">
        <v>2.0</v>
      </c>
      <c r="O71" s="164"/>
      <c r="P71" s="164"/>
      <c r="Q71" s="164"/>
      <c r="R71" s="164"/>
      <c r="S71" s="164"/>
      <c r="T71" s="164"/>
      <c r="U71" s="164"/>
      <c r="V71" s="164"/>
      <c r="W71" s="164"/>
      <c r="X71" s="438"/>
      <c r="Y71" s="438"/>
      <c r="Z71" s="438"/>
      <c r="AA71" s="438"/>
      <c r="AB71" s="438"/>
    </row>
    <row r="72">
      <c r="A72" s="429"/>
      <c r="B72" s="435" t="s">
        <v>1259</v>
      </c>
      <c r="C72" s="436" t="s">
        <v>1260</v>
      </c>
      <c r="D72" s="435">
        <v>2000.07</v>
      </c>
      <c r="E72" s="435">
        <v>27.0</v>
      </c>
      <c r="F72" s="435">
        <v>451.0</v>
      </c>
      <c r="G72" s="435">
        <v>65.0</v>
      </c>
      <c r="H72" s="435">
        <v>65.0</v>
      </c>
      <c r="I72" s="435">
        <v>94.0</v>
      </c>
      <c r="J72" s="435">
        <v>20.0</v>
      </c>
      <c r="K72" s="435">
        <v>49.0</v>
      </c>
      <c r="L72" s="435" t="s">
        <v>1250</v>
      </c>
      <c r="M72" s="435">
        <v>2.0</v>
      </c>
      <c r="N72" s="435">
        <v>1.0</v>
      </c>
      <c r="O72" s="437"/>
      <c r="P72" s="437"/>
      <c r="Q72" s="437"/>
      <c r="R72" s="437"/>
      <c r="S72" s="437"/>
      <c r="T72" s="437"/>
      <c r="U72" s="437"/>
      <c r="V72" s="437"/>
      <c r="W72" s="437"/>
      <c r="X72" s="438"/>
      <c r="Y72" s="438"/>
      <c r="Z72" s="438"/>
      <c r="AA72" s="438"/>
      <c r="AB72" s="438"/>
    </row>
    <row r="73">
      <c r="A73" s="429"/>
      <c r="B73" s="435" t="s">
        <v>1259</v>
      </c>
      <c r="C73" s="95"/>
      <c r="D73" s="435">
        <v>2000.07</v>
      </c>
      <c r="E73" s="435">
        <v>27.0</v>
      </c>
      <c r="F73" s="435">
        <v>451.0</v>
      </c>
      <c r="G73" s="435">
        <v>65.0</v>
      </c>
      <c r="H73" s="435">
        <v>65.0</v>
      </c>
      <c r="I73" s="435">
        <v>44.0</v>
      </c>
      <c r="J73" s="435">
        <v>20.0</v>
      </c>
      <c r="K73" s="435">
        <v>49.0</v>
      </c>
      <c r="L73" s="435" t="s">
        <v>1187</v>
      </c>
      <c r="M73" s="435">
        <v>2.0</v>
      </c>
      <c r="N73" s="435">
        <v>1.0</v>
      </c>
      <c r="O73" s="95"/>
      <c r="P73" s="95"/>
      <c r="Q73" s="95"/>
      <c r="R73" s="95"/>
      <c r="S73" s="95"/>
      <c r="T73" s="95"/>
      <c r="U73" s="95"/>
      <c r="V73" s="95"/>
      <c r="W73" s="95"/>
      <c r="X73" s="438"/>
      <c r="Y73" s="438"/>
      <c r="Z73" s="438"/>
      <c r="AA73" s="438"/>
      <c r="AB73" s="438"/>
    </row>
    <row r="74">
      <c r="A74" s="429"/>
      <c r="B74" s="435" t="s">
        <v>1259</v>
      </c>
      <c r="C74" s="95"/>
      <c r="D74" s="435">
        <v>2000.07</v>
      </c>
      <c r="E74" s="435">
        <v>27.0</v>
      </c>
      <c r="F74" s="435">
        <v>451.0</v>
      </c>
      <c r="G74" s="435" t="s">
        <v>1261</v>
      </c>
      <c r="H74" s="435">
        <v>78.0</v>
      </c>
      <c r="I74" s="435">
        <v>129.0</v>
      </c>
      <c r="J74" s="435">
        <v>24.0</v>
      </c>
      <c r="K74" s="435">
        <v>59.0</v>
      </c>
      <c r="L74" s="435" t="s">
        <v>1187</v>
      </c>
      <c r="M74" s="435">
        <v>2.0</v>
      </c>
      <c r="N74" s="435">
        <v>1.0</v>
      </c>
      <c r="O74" s="95"/>
      <c r="P74" s="95"/>
      <c r="Q74" s="95"/>
      <c r="R74" s="95"/>
      <c r="S74" s="95"/>
      <c r="T74" s="95"/>
      <c r="U74" s="95"/>
      <c r="V74" s="95"/>
      <c r="W74" s="95"/>
      <c r="X74" s="438"/>
      <c r="Y74" s="438"/>
      <c r="Z74" s="438"/>
      <c r="AA74" s="438"/>
      <c r="AB74" s="438"/>
    </row>
    <row r="75">
      <c r="A75" s="429"/>
      <c r="B75" s="435" t="s">
        <v>1259</v>
      </c>
      <c r="C75" s="95"/>
      <c r="D75" s="435">
        <v>2000.07</v>
      </c>
      <c r="E75" s="435">
        <v>27.0</v>
      </c>
      <c r="F75" s="435">
        <v>451.0</v>
      </c>
      <c r="G75" s="435">
        <v>78.0</v>
      </c>
      <c r="H75" s="435">
        <v>78.0</v>
      </c>
      <c r="I75" s="435">
        <v>59.0</v>
      </c>
      <c r="J75" s="435">
        <v>24.0</v>
      </c>
      <c r="K75" s="435">
        <v>59.0</v>
      </c>
      <c r="L75" s="435" t="s">
        <v>1250</v>
      </c>
      <c r="M75" s="435">
        <v>3.0</v>
      </c>
      <c r="N75" s="435">
        <v>1.0</v>
      </c>
      <c r="O75" s="95"/>
      <c r="P75" s="95"/>
      <c r="Q75" s="95"/>
      <c r="R75" s="95"/>
      <c r="S75" s="95"/>
      <c r="T75" s="95"/>
      <c r="U75" s="95"/>
      <c r="V75" s="95"/>
      <c r="W75" s="95"/>
      <c r="X75" s="438"/>
      <c r="Y75" s="438"/>
      <c r="Z75" s="438"/>
      <c r="AA75" s="438"/>
      <c r="AB75" s="438"/>
    </row>
    <row r="76">
      <c r="A76" s="429"/>
      <c r="B76" s="435" t="s">
        <v>1259</v>
      </c>
      <c r="C76" s="164"/>
      <c r="D76" s="435">
        <v>2000.07</v>
      </c>
      <c r="E76" s="435">
        <v>27.0</v>
      </c>
      <c r="F76" s="435">
        <v>451.0</v>
      </c>
      <c r="G76" s="435">
        <v>110.0</v>
      </c>
      <c r="H76" s="435">
        <v>110.0</v>
      </c>
      <c r="I76" s="435">
        <v>125.0</v>
      </c>
      <c r="J76" s="435">
        <v>33.0</v>
      </c>
      <c r="K76" s="435">
        <v>84.0</v>
      </c>
      <c r="L76" s="435" t="s">
        <v>1250</v>
      </c>
      <c r="M76" s="435">
        <v>3.0</v>
      </c>
      <c r="N76" s="435">
        <v>2.0</v>
      </c>
      <c r="O76" s="164"/>
      <c r="P76" s="164"/>
      <c r="Q76" s="164"/>
      <c r="R76" s="164"/>
      <c r="S76" s="164"/>
      <c r="T76" s="164"/>
      <c r="U76" s="164"/>
      <c r="V76" s="164"/>
      <c r="W76" s="164"/>
      <c r="X76" s="438"/>
      <c r="Y76" s="438"/>
      <c r="Z76" s="438"/>
      <c r="AA76" s="438"/>
      <c r="AB76" s="438"/>
    </row>
    <row r="77">
      <c r="A77" s="429"/>
      <c r="B77" s="435" t="s">
        <v>1259</v>
      </c>
      <c r="C77" s="436" t="s">
        <v>624</v>
      </c>
      <c r="D77" s="435">
        <v>2011.12</v>
      </c>
      <c r="E77" s="435">
        <v>16.0</v>
      </c>
      <c r="F77" s="435">
        <v>1115.0</v>
      </c>
      <c r="G77" s="435" t="s">
        <v>1262</v>
      </c>
      <c r="H77" s="435">
        <v>98.0</v>
      </c>
      <c r="I77" s="435">
        <v>55.0</v>
      </c>
      <c r="J77" s="435">
        <v>30.0</v>
      </c>
      <c r="K77" s="435">
        <v>74.0</v>
      </c>
      <c r="L77" s="435" t="s">
        <v>1187</v>
      </c>
      <c r="M77" s="435">
        <v>3.0</v>
      </c>
      <c r="N77" s="435">
        <v>2.0</v>
      </c>
      <c r="O77" s="437"/>
      <c r="P77" s="437"/>
      <c r="Q77" s="437"/>
      <c r="R77" s="437" t="s">
        <v>1263</v>
      </c>
      <c r="S77" s="437"/>
      <c r="T77" s="454" t="s">
        <v>1264</v>
      </c>
      <c r="U77" s="437"/>
      <c r="V77" s="437"/>
      <c r="W77" s="437" t="s">
        <v>1265</v>
      </c>
      <c r="X77" s="438"/>
      <c r="Y77" s="438"/>
      <c r="Z77" s="438"/>
      <c r="AA77" s="438"/>
      <c r="AB77" s="438"/>
    </row>
    <row r="78">
      <c r="A78" s="429"/>
      <c r="B78" s="435" t="s">
        <v>1259</v>
      </c>
      <c r="C78" s="95"/>
      <c r="D78" s="435">
        <v>2011.12</v>
      </c>
      <c r="E78" s="435">
        <v>16.0</v>
      </c>
      <c r="F78" s="435">
        <v>1115.0</v>
      </c>
      <c r="G78" s="435" t="s">
        <v>1266</v>
      </c>
      <c r="H78" s="435">
        <v>111.0</v>
      </c>
      <c r="I78" s="435">
        <v>964.0</v>
      </c>
      <c r="J78" s="435">
        <v>34.0</v>
      </c>
      <c r="K78" s="435">
        <v>84.0</v>
      </c>
      <c r="L78" s="435" t="s">
        <v>1187</v>
      </c>
      <c r="M78" s="435">
        <v>3.0</v>
      </c>
      <c r="N78" s="435">
        <v>2.0</v>
      </c>
      <c r="O78" s="95"/>
      <c r="P78" s="95"/>
      <c r="Q78" s="95"/>
      <c r="R78" s="95"/>
      <c r="S78" s="95"/>
      <c r="T78" s="95"/>
      <c r="U78" s="95"/>
      <c r="V78" s="95"/>
      <c r="W78" s="95"/>
      <c r="X78" s="438"/>
      <c r="Y78" s="438"/>
      <c r="Z78" s="438"/>
      <c r="AA78" s="438"/>
      <c r="AB78" s="438"/>
    </row>
    <row r="79">
      <c r="A79" s="429"/>
      <c r="B79" s="435" t="s">
        <v>1259</v>
      </c>
      <c r="C79" s="164"/>
      <c r="D79" s="435">
        <v>2011.12</v>
      </c>
      <c r="E79" s="435">
        <v>16.0</v>
      </c>
      <c r="F79" s="435">
        <v>1115.0</v>
      </c>
      <c r="G79" s="435" t="s">
        <v>1267</v>
      </c>
      <c r="H79" s="435">
        <v>148.0</v>
      </c>
      <c r="I79" s="435">
        <v>96.0</v>
      </c>
      <c r="J79" s="435">
        <v>45.0</v>
      </c>
      <c r="K79" s="435">
        <v>118.0</v>
      </c>
      <c r="L79" s="435" t="s">
        <v>1187</v>
      </c>
      <c r="M79" s="435">
        <v>4.0</v>
      </c>
      <c r="N79" s="435">
        <v>2.0</v>
      </c>
      <c r="O79" s="164"/>
      <c r="P79" s="164"/>
      <c r="Q79" s="164"/>
      <c r="R79" s="164"/>
      <c r="S79" s="164"/>
      <c r="T79" s="164"/>
      <c r="U79" s="164"/>
      <c r="V79" s="164"/>
      <c r="W79" s="164"/>
      <c r="X79" s="438"/>
      <c r="Y79" s="438"/>
      <c r="Z79" s="438"/>
      <c r="AA79" s="438"/>
      <c r="AB79" s="438"/>
    </row>
    <row r="80">
      <c r="A80" s="429"/>
      <c r="B80" s="435" t="s">
        <v>1259</v>
      </c>
      <c r="C80" s="436" t="s">
        <v>967</v>
      </c>
      <c r="D80" s="435">
        <v>2003.04</v>
      </c>
      <c r="E80" s="435">
        <v>24.0</v>
      </c>
      <c r="F80" s="435">
        <v>818.0</v>
      </c>
      <c r="G80" s="435">
        <v>69.0</v>
      </c>
      <c r="H80" s="435">
        <v>69.0</v>
      </c>
      <c r="I80" s="435">
        <v>119.0</v>
      </c>
      <c r="J80" s="435">
        <v>21.0</v>
      </c>
      <c r="K80" s="435">
        <v>46.0</v>
      </c>
      <c r="L80" s="435" t="s">
        <v>1250</v>
      </c>
      <c r="M80" s="435">
        <v>2.0</v>
      </c>
      <c r="N80" s="435">
        <v>1.0</v>
      </c>
      <c r="O80" s="437"/>
      <c r="P80" s="437"/>
      <c r="Q80" s="437"/>
      <c r="R80" s="437" t="s">
        <v>1268</v>
      </c>
      <c r="S80" s="437"/>
      <c r="T80" s="437"/>
      <c r="U80" s="437"/>
      <c r="V80" s="437"/>
      <c r="W80" s="437"/>
      <c r="X80" s="438"/>
      <c r="Y80" s="438"/>
      <c r="Z80" s="438"/>
      <c r="AA80" s="438"/>
      <c r="AB80" s="438"/>
    </row>
    <row r="81">
      <c r="A81" s="429"/>
      <c r="B81" s="435" t="s">
        <v>1259</v>
      </c>
      <c r="C81" s="95"/>
      <c r="D81" s="435">
        <v>2003.04</v>
      </c>
      <c r="E81" s="435">
        <v>24.0</v>
      </c>
      <c r="F81" s="435">
        <v>818.0</v>
      </c>
      <c r="G81" s="435" t="s">
        <v>1269</v>
      </c>
      <c r="H81" s="435">
        <v>79.0</v>
      </c>
      <c r="I81" s="435">
        <v>327.0</v>
      </c>
      <c r="J81" s="435">
        <v>24.0</v>
      </c>
      <c r="K81" s="435">
        <v>59.0</v>
      </c>
      <c r="L81" s="435" t="s">
        <v>1187</v>
      </c>
      <c r="M81" s="435">
        <v>3.0</v>
      </c>
      <c r="N81" s="435">
        <v>1.0</v>
      </c>
      <c r="O81" s="95"/>
      <c r="P81" s="95"/>
      <c r="Q81" s="95"/>
      <c r="R81" s="95"/>
      <c r="S81" s="95"/>
      <c r="T81" s="95"/>
      <c r="U81" s="95"/>
      <c r="V81" s="95"/>
      <c r="W81" s="95"/>
      <c r="X81" s="438"/>
      <c r="Y81" s="438"/>
      <c r="Z81" s="438"/>
      <c r="AA81" s="438"/>
      <c r="AB81" s="438"/>
    </row>
    <row r="82">
      <c r="A82" s="429"/>
      <c r="B82" s="435" t="s">
        <v>1259</v>
      </c>
      <c r="C82" s="95"/>
      <c r="D82" s="435">
        <v>2003.04</v>
      </c>
      <c r="E82" s="435">
        <v>24.0</v>
      </c>
      <c r="F82" s="435">
        <v>818.0</v>
      </c>
      <c r="G82" s="435" t="s">
        <v>1270</v>
      </c>
      <c r="H82" s="435">
        <v>108.0</v>
      </c>
      <c r="I82" s="435">
        <v>272.0</v>
      </c>
      <c r="J82" s="435">
        <v>33.0</v>
      </c>
      <c r="K82" s="435">
        <v>84.0</v>
      </c>
      <c r="L82" s="435" t="s">
        <v>1187</v>
      </c>
      <c r="M82" s="435">
        <v>3.0</v>
      </c>
      <c r="N82" s="435">
        <v>2.0</v>
      </c>
      <c r="O82" s="95"/>
      <c r="P82" s="95"/>
      <c r="Q82" s="95"/>
      <c r="R82" s="95"/>
      <c r="S82" s="95"/>
      <c r="T82" s="95"/>
      <c r="U82" s="95"/>
      <c r="V82" s="95"/>
      <c r="W82" s="95"/>
      <c r="X82" s="438"/>
      <c r="Y82" s="438"/>
      <c r="Z82" s="438"/>
      <c r="AA82" s="438"/>
      <c r="AB82" s="438"/>
    </row>
    <row r="83">
      <c r="A83" s="429"/>
      <c r="B83" s="435" t="s">
        <v>1259</v>
      </c>
      <c r="C83" s="164"/>
      <c r="D83" s="435">
        <v>2003.04</v>
      </c>
      <c r="E83" s="435">
        <v>24.0</v>
      </c>
      <c r="F83" s="435">
        <v>818.0</v>
      </c>
      <c r="G83" s="435" t="s">
        <v>1271</v>
      </c>
      <c r="H83" s="435">
        <v>109.0</v>
      </c>
      <c r="I83" s="435">
        <v>100.0</v>
      </c>
      <c r="J83" s="435">
        <v>33.0</v>
      </c>
      <c r="K83" s="435">
        <v>84.0</v>
      </c>
      <c r="L83" s="435" t="s">
        <v>1187</v>
      </c>
      <c r="M83" s="435">
        <v>4.0</v>
      </c>
      <c r="N83" s="435">
        <v>2.0</v>
      </c>
      <c r="O83" s="164"/>
      <c r="P83" s="164"/>
      <c r="Q83" s="164"/>
      <c r="R83" s="164"/>
      <c r="S83" s="164"/>
      <c r="T83" s="164"/>
      <c r="U83" s="164"/>
      <c r="V83" s="164"/>
      <c r="W83" s="164"/>
      <c r="X83" s="438"/>
      <c r="Y83" s="438"/>
      <c r="Z83" s="438"/>
      <c r="AA83" s="438"/>
      <c r="AB83" s="438"/>
    </row>
    <row r="84">
      <c r="A84" s="429"/>
      <c r="B84" s="435"/>
      <c r="C84" s="435"/>
      <c r="D84" s="435"/>
      <c r="E84" s="435"/>
      <c r="F84" s="435"/>
      <c r="G84" s="435"/>
      <c r="H84" s="435"/>
      <c r="I84" s="435"/>
      <c r="J84" s="435"/>
      <c r="K84" s="435"/>
      <c r="L84" s="435"/>
      <c r="M84" s="435"/>
      <c r="N84" s="435"/>
      <c r="O84" s="442"/>
      <c r="P84" s="442"/>
      <c r="Q84" s="442"/>
      <c r="R84" s="442"/>
      <c r="S84" s="442"/>
      <c r="T84" s="346"/>
      <c r="U84" s="442"/>
      <c r="V84" s="442"/>
      <c r="W84" s="442"/>
      <c r="X84" s="438"/>
      <c r="Y84" s="438"/>
      <c r="Z84" s="438"/>
      <c r="AA84" s="438"/>
      <c r="AB84" s="438"/>
    </row>
    <row r="85">
      <c r="A85" s="429"/>
      <c r="B85" s="435" t="s">
        <v>1272</v>
      </c>
      <c r="C85" s="436" t="s">
        <v>825</v>
      </c>
      <c r="D85" s="435">
        <v>2020.11</v>
      </c>
      <c r="E85" s="435">
        <v>7.0</v>
      </c>
      <c r="F85" s="435">
        <v>2267.0</v>
      </c>
      <c r="G85" s="435">
        <v>64.0</v>
      </c>
      <c r="H85" s="435">
        <v>64.0</v>
      </c>
      <c r="I85" s="435">
        <v>100.0</v>
      </c>
      <c r="J85" s="435">
        <v>19.0</v>
      </c>
      <c r="K85" s="435">
        <v>43.0</v>
      </c>
      <c r="L85" s="435" t="s">
        <v>1187</v>
      </c>
      <c r="M85" s="435">
        <v>2.0</v>
      </c>
      <c r="N85" s="435">
        <v>1.0</v>
      </c>
      <c r="O85" s="437"/>
      <c r="P85" s="437"/>
      <c r="Q85" s="437" t="s">
        <v>1273</v>
      </c>
      <c r="R85" s="437"/>
      <c r="S85" s="437"/>
      <c r="T85" s="437" t="s">
        <v>1274</v>
      </c>
      <c r="U85" s="437"/>
      <c r="V85" s="437"/>
      <c r="W85" s="437"/>
      <c r="X85" s="438"/>
      <c r="Y85" s="438"/>
      <c r="Z85" s="438"/>
      <c r="AA85" s="438"/>
      <c r="AB85" s="438"/>
    </row>
    <row r="86">
      <c r="A86" s="429"/>
      <c r="B86" s="435" t="s">
        <v>1272</v>
      </c>
      <c r="C86" s="95"/>
      <c r="D86" s="435">
        <v>2020.11</v>
      </c>
      <c r="E86" s="435">
        <v>7.0</v>
      </c>
      <c r="F86" s="435">
        <v>2267.0</v>
      </c>
      <c r="G86" s="435">
        <v>83.0</v>
      </c>
      <c r="H86" s="435">
        <v>83.0</v>
      </c>
      <c r="I86" s="435">
        <v>879.0</v>
      </c>
      <c r="J86" s="435">
        <v>25.0</v>
      </c>
      <c r="K86" s="435">
        <v>59.0</v>
      </c>
      <c r="L86" s="435" t="s">
        <v>1187</v>
      </c>
      <c r="M86" s="435">
        <v>3.0</v>
      </c>
      <c r="N86" s="435">
        <v>2.0</v>
      </c>
      <c r="O86" s="95"/>
      <c r="P86" s="95"/>
      <c r="Q86" s="95"/>
      <c r="R86" s="95"/>
      <c r="S86" s="95"/>
      <c r="T86" s="95"/>
      <c r="U86" s="95"/>
      <c r="V86" s="95"/>
      <c r="W86" s="95"/>
      <c r="X86" s="438"/>
      <c r="Y86" s="438"/>
      <c r="Z86" s="438"/>
      <c r="AA86" s="438"/>
      <c r="AB86" s="438"/>
    </row>
    <row r="87">
      <c r="A87" s="429"/>
      <c r="B87" s="435" t="s">
        <v>1272</v>
      </c>
      <c r="C87" s="95"/>
      <c r="D87" s="435">
        <v>2020.11</v>
      </c>
      <c r="E87" s="435">
        <v>7.0</v>
      </c>
      <c r="F87" s="435">
        <v>2267.0</v>
      </c>
      <c r="G87" s="435">
        <v>98.0</v>
      </c>
      <c r="H87" s="435">
        <v>98.0</v>
      </c>
      <c r="I87" s="435">
        <v>477.0</v>
      </c>
      <c r="J87" s="435">
        <v>30.0</v>
      </c>
      <c r="K87" s="435">
        <v>72.0</v>
      </c>
      <c r="L87" s="435" t="s">
        <v>1187</v>
      </c>
      <c r="M87" s="435">
        <v>3.0</v>
      </c>
      <c r="N87" s="435">
        <v>2.0</v>
      </c>
      <c r="O87" s="95"/>
      <c r="P87" s="95"/>
      <c r="Q87" s="95"/>
      <c r="R87" s="95"/>
      <c r="S87" s="95"/>
      <c r="T87" s="95"/>
      <c r="U87" s="95"/>
      <c r="V87" s="95"/>
      <c r="W87" s="95"/>
      <c r="X87" s="438"/>
      <c r="Y87" s="438"/>
      <c r="Z87" s="438"/>
      <c r="AA87" s="438"/>
      <c r="AB87" s="438"/>
    </row>
    <row r="88" ht="22.5" customHeight="1">
      <c r="A88" s="429"/>
      <c r="B88" s="435" t="s">
        <v>1272</v>
      </c>
      <c r="C88" s="95"/>
      <c r="D88" s="435">
        <v>2020.11</v>
      </c>
      <c r="E88" s="435">
        <v>7.0</v>
      </c>
      <c r="F88" s="435">
        <v>2267.0</v>
      </c>
      <c r="G88" s="435">
        <v>101.0</v>
      </c>
      <c r="H88" s="435">
        <v>101.0</v>
      </c>
      <c r="I88" s="435">
        <v>363.0</v>
      </c>
      <c r="J88" s="435">
        <v>31.0</v>
      </c>
      <c r="K88" s="435">
        <v>75.0</v>
      </c>
      <c r="L88" s="435" t="s">
        <v>1187</v>
      </c>
      <c r="M88" s="435">
        <v>3.0</v>
      </c>
      <c r="N88" s="435">
        <v>2.0</v>
      </c>
      <c r="O88" s="95"/>
      <c r="P88" s="95"/>
      <c r="Q88" s="95"/>
      <c r="R88" s="95"/>
      <c r="S88" s="95"/>
      <c r="T88" s="95"/>
      <c r="U88" s="95"/>
      <c r="V88" s="95"/>
      <c r="W88" s="95"/>
      <c r="X88" s="438"/>
      <c r="Y88" s="438"/>
      <c r="Z88" s="438"/>
      <c r="AA88" s="438"/>
      <c r="AB88" s="438"/>
    </row>
    <row r="89">
      <c r="A89" s="429"/>
      <c r="B89" s="435" t="s">
        <v>1272</v>
      </c>
      <c r="C89" s="164"/>
      <c r="D89" s="435">
        <v>2020.11</v>
      </c>
      <c r="E89" s="435">
        <v>7.0</v>
      </c>
      <c r="F89" s="435">
        <v>2267.0</v>
      </c>
      <c r="G89" s="435">
        <v>112.0</v>
      </c>
      <c r="H89" s="435">
        <v>112.0</v>
      </c>
      <c r="I89" s="435">
        <v>448.0</v>
      </c>
      <c r="J89" s="435">
        <v>34.0</v>
      </c>
      <c r="K89" s="435">
        <v>84.0</v>
      </c>
      <c r="L89" s="435" t="s">
        <v>1187</v>
      </c>
      <c r="M89" s="435">
        <v>3.0</v>
      </c>
      <c r="N89" s="435">
        <v>2.0</v>
      </c>
      <c r="O89" s="164"/>
      <c r="P89" s="164"/>
      <c r="Q89" s="164"/>
      <c r="R89" s="164"/>
      <c r="S89" s="164"/>
      <c r="T89" s="164"/>
      <c r="U89" s="164"/>
      <c r="V89" s="164"/>
      <c r="W89" s="164"/>
      <c r="X89" s="438"/>
      <c r="Y89" s="438"/>
      <c r="Z89" s="438"/>
      <c r="AA89" s="438"/>
      <c r="AB89" s="438"/>
    </row>
    <row r="90">
      <c r="A90" s="429"/>
      <c r="B90" s="435" t="s">
        <v>1272</v>
      </c>
      <c r="C90" s="436" t="s">
        <v>1275</v>
      </c>
      <c r="D90" s="435">
        <v>1990.07</v>
      </c>
      <c r="E90" s="435">
        <v>37.0</v>
      </c>
      <c r="F90" s="435">
        <v>360.0</v>
      </c>
      <c r="G90" s="435">
        <v>66.0</v>
      </c>
      <c r="H90" s="435">
        <v>66.0</v>
      </c>
      <c r="I90" s="435">
        <v>160.0</v>
      </c>
      <c r="J90" s="435">
        <v>20.0</v>
      </c>
      <c r="K90" s="435">
        <v>55.0</v>
      </c>
      <c r="L90" s="435" t="s">
        <v>1187</v>
      </c>
      <c r="M90" s="435">
        <v>3.0</v>
      </c>
      <c r="N90" s="435">
        <v>1.0</v>
      </c>
      <c r="O90" s="437"/>
      <c r="P90" s="437"/>
      <c r="Q90" s="437"/>
      <c r="R90" s="437"/>
      <c r="S90" s="437"/>
      <c r="T90" s="437"/>
      <c r="U90" s="437"/>
      <c r="V90" s="437"/>
      <c r="W90" s="437"/>
      <c r="X90" s="438"/>
      <c r="Y90" s="438"/>
      <c r="Z90" s="438"/>
      <c r="AA90" s="438"/>
      <c r="AB90" s="438"/>
    </row>
    <row r="91">
      <c r="A91" s="429"/>
      <c r="B91" s="435" t="s">
        <v>1272</v>
      </c>
      <c r="C91" s="95"/>
      <c r="D91" s="435">
        <v>1990.07</v>
      </c>
      <c r="E91" s="435">
        <v>37.0</v>
      </c>
      <c r="F91" s="435">
        <v>360.0</v>
      </c>
      <c r="G91" s="435">
        <v>84.0</v>
      </c>
      <c r="H91" s="435">
        <v>84.0</v>
      </c>
      <c r="I91" s="435">
        <v>120.0</v>
      </c>
      <c r="J91" s="435">
        <v>25.0</v>
      </c>
      <c r="K91" s="435">
        <v>72.0</v>
      </c>
      <c r="L91" s="435" t="s">
        <v>1187</v>
      </c>
      <c r="M91" s="435">
        <v>3.0</v>
      </c>
      <c r="N91" s="435">
        <v>1.0</v>
      </c>
      <c r="O91" s="95"/>
      <c r="P91" s="95"/>
      <c r="Q91" s="95"/>
      <c r="R91" s="95"/>
      <c r="S91" s="95"/>
      <c r="T91" s="95"/>
      <c r="U91" s="95"/>
      <c r="V91" s="95"/>
      <c r="W91" s="95"/>
      <c r="X91" s="438"/>
      <c r="Y91" s="438"/>
      <c r="Z91" s="438"/>
      <c r="AA91" s="438"/>
      <c r="AB91" s="438"/>
    </row>
    <row r="92">
      <c r="A92" s="429"/>
      <c r="B92" s="435" t="s">
        <v>1272</v>
      </c>
      <c r="C92" s="164"/>
      <c r="D92" s="435">
        <v>1990.07</v>
      </c>
      <c r="E92" s="435">
        <v>37.0</v>
      </c>
      <c r="F92" s="435">
        <v>360.0</v>
      </c>
      <c r="G92" s="435">
        <v>97.0</v>
      </c>
      <c r="H92" s="435">
        <v>97.0</v>
      </c>
      <c r="I92" s="435">
        <v>80.0</v>
      </c>
      <c r="J92" s="435">
        <v>29.0</v>
      </c>
      <c r="K92" s="435">
        <v>84.0</v>
      </c>
      <c r="L92" s="435" t="s">
        <v>1187</v>
      </c>
      <c r="M92" s="435">
        <v>3.0</v>
      </c>
      <c r="N92" s="435">
        <v>2.0</v>
      </c>
      <c r="O92" s="164"/>
      <c r="P92" s="164"/>
      <c r="Q92" s="164"/>
      <c r="R92" s="164"/>
      <c r="S92" s="164"/>
      <c r="T92" s="164"/>
      <c r="U92" s="164"/>
      <c r="V92" s="164"/>
      <c r="W92" s="164"/>
      <c r="X92" s="438"/>
      <c r="Y92" s="438"/>
      <c r="Z92" s="438"/>
      <c r="AA92" s="438"/>
      <c r="AB92" s="438"/>
    </row>
    <row r="93">
      <c r="A93" s="429"/>
      <c r="B93" s="435" t="s">
        <v>1272</v>
      </c>
      <c r="C93" s="436" t="s">
        <v>1067</v>
      </c>
      <c r="D93" s="435">
        <v>2003.05</v>
      </c>
      <c r="E93" s="435">
        <v>24.0</v>
      </c>
      <c r="F93" s="435">
        <v>1350.0</v>
      </c>
      <c r="G93" s="435" t="s">
        <v>1276</v>
      </c>
      <c r="H93" s="435">
        <v>74.0</v>
      </c>
      <c r="I93" s="435">
        <v>293.0</v>
      </c>
      <c r="J93" s="435">
        <v>22.0</v>
      </c>
      <c r="K93" s="435">
        <v>49.0</v>
      </c>
      <c r="L93" s="435" t="s">
        <v>1187</v>
      </c>
      <c r="M93" s="435">
        <v>2.0</v>
      </c>
      <c r="N93" s="435">
        <v>1.0</v>
      </c>
      <c r="O93" s="437" t="s">
        <v>1277</v>
      </c>
      <c r="P93" s="437"/>
      <c r="Q93" s="437"/>
      <c r="R93" s="437"/>
      <c r="S93" s="437"/>
      <c r="T93" s="437"/>
      <c r="U93" s="437" t="s">
        <v>1278</v>
      </c>
      <c r="V93" s="437"/>
      <c r="W93" s="437" t="s">
        <v>1279</v>
      </c>
      <c r="X93" s="438"/>
      <c r="Y93" s="438"/>
      <c r="Z93" s="438"/>
      <c r="AA93" s="438"/>
      <c r="AB93" s="438"/>
    </row>
    <row r="94">
      <c r="A94" s="429"/>
      <c r="B94" s="435" t="s">
        <v>1272</v>
      </c>
      <c r="C94" s="95"/>
      <c r="D94" s="435">
        <v>2003.05</v>
      </c>
      <c r="E94" s="435">
        <v>24.0</v>
      </c>
      <c r="F94" s="435">
        <v>1350.0</v>
      </c>
      <c r="G94" s="435" t="s">
        <v>1280</v>
      </c>
      <c r="H94" s="435">
        <v>84.0</v>
      </c>
      <c r="I94" s="435">
        <v>386.0</v>
      </c>
      <c r="J94" s="435">
        <v>25.0</v>
      </c>
      <c r="K94" s="435">
        <v>59.0</v>
      </c>
      <c r="L94" s="435" t="s">
        <v>1187</v>
      </c>
      <c r="M94" s="435">
        <v>3.0</v>
      </c>
      <c r="N94" s="435">
        <v>1.0</v>
      </c>
      <c r="O94" s="95"/>
      <c r="P94" s="95"/>
      <c r="Q94" s="95"/>
      <c r="R94" s="95"/>
      <c r="S94" s="95"/>
      <c r="T94" s="95"/>
      <c r="U94" s="95"/>
      <c r="V94" s="95"/>
      <c r="W94" s="95"/>
      <c r="X94" s="438"/>
      <c r="Y94" s="438"/>
      <c r="Z94" s="438"/>
      <c r="AA94" s="438"/>
      <c r="AB94" s="438"/>
    </row>
    <row r="95">
      <c r="A95" s="429"/>
      <c r="B95" s="435" t="s">
        <v>1272</v>
      </c>
      <c r="C95" s="95"/>
      <c r="D95" s="435">
        <v>2003.05</v>
      </c>
      <c r="E95" s="435">
        <v>24.0</v>
      </c>
      <c r="F95" s="435">
        <v>1350.0</v>
      </c>
      <c r="G95" s="435" t="s">
        <v>1281</v>
      </c>
      <c r="H95" s="435">
        <v>89.0</v>
      </c>
      <c r="I95" s="435">
        <v>18.0</v>
      </c>
      <c r="J95" s="435">
        <v>27.0</v>
      </c>
      <c r="K95" s="435">
        <v>66.0</v>
      </c>
      <c r="L95" s="435" t="s">
        <v>1187</v>
      </c>
      <c r="M95" s="435">
        <v>2.0</v>
      </c>
      <c r="N95" s="435">
        <v>1.0</v>
      </c>
      <c r="O95" s="95"/>
      <c r="P95" s="95"/>
      <c r="Q95" s="95"/>
      <c r="R95" s="95"/>
      <c r="S95" s="95"/>
      <c r="T95" s="95"/>
      <c r="U95" s="95"/>
      <c r="V95" s="95"/>
      <c r="W95" s="95"/>
      <c r="X95" s="438"/>
      <c r="Y95" s="438"/>
      <c r="Z95" s="438"/>
      <c r="AA95" s="438"/>
      <c r="AB95" s="438"/>
    </row>
    <row r="96">
      <c r="A96" s="429"/>
      <c r="B96" s="435" t="s">
        <v>1272</v>
      </c>
      <c r="C96" s="95"/>
      <c r="D96" s="435">
        <v>2003.05</v>
      </c>
      <c r="E96" s="435">
        <v>24.0</v>
      </c>
      <c r="F96" s="435">
        <v>1350.0</v>
      </c>
      <c r="G96" s="435">
        <v>98.0</v>
      </c>
      <c r="H96" s="435">
        <v>98.0</v>
      </c>
      <c r="I96" s="435">
        <v>195.0</v>
      </c>
      <c r="J96" s="435">
        <v>30.0</v>
      </c>
      <c r="K96" s="435">
        <v>72.0</v>
      </c>
      <c r="L96" s="435" t="s">
        <v>1187</v>
      </c>
      <c r="M96" s="435">
        <v>3.0</v>
      </c>
      <c r="N96" s="435">
        <v>2.0</v>
      </c>
      <c r="O96" s="95"/>
      <c r="P96" s="95"/>
      <c r="Q96" s="95"/>
      <c r="R96" s="95"/>
      <c r="S96" s="95"/>
      <c r="T96" s="95"/>
      <c r="U96" s="95"/>
      <c r="V96" s="95"/>
      <c r="W96" s="95"/>
      <c r="X96" s="438"/>
      <c r="Y96" s="438"/>
      <c r="Z96" s="438"/>
      <c r="AA96" s="438"/>
      <c r="AB96" s="438"/>
    </row>
    <row r="97">
      <c r="A97" s="429"/>
      <c r="B97" s="435" t="s">
        <v>1272</v>
      </c>
      <c r="C97" s="164"/>
      <c r="D97" s="435">
        <v>2003.05</v>
      </c>
      <c r="E97" s="435">
        <v>24.0</v>
      </c>
      <c r="F97" s="435">
        <v>1350.0</v>
      </c>
      <c r="G97" s="435" t="s">
        <v>1282</v>
      </c>
      <c r="H97" s="435">
        <v>115.0</v>
      </c>
      <c r="I97" s="435">
        <v>458.0</v>
      </c>
      <c r="J97" s="435">
        <v>35.0</v>
      </c>
      <c r="K97" s="435">
        <v>84.0</v>
      </c>
      <c r="L97" s="435" t="s">
        <v>1187</v>
      </c>
      <c r="M97" s="435">
        <v>3.0</v>
      </c>
      <c r="N97" s="435">
        <v>2.0</v>
      </c>
      <c r="O97" s="164"/>
      <c r="P97" s="164"/>
      <c r="Q97" s="164"/>
      <c r="R97" s="164"/>
      <c r="S97" s="164"/>
      <c r="T97" s="164"/>
      <c r="U97" s="164"/>
      <c r="V97" s="164"/>
      <c r="W97" s="164"/>
      <c r="X97" s="438"/>
      <c r="Y97" s="438"/>
      <c r="Z97" s="438"/>
      <c r="AA97" s="438"/>
      <c r="AB97" s="438"/>
    </row>
    <row r="98">
      <c r="A98" s="429"/>
      <c r="B98" s="435" t="s">
        <v>1272</v>
      </c>
      <c r="C98" s="436" t="s">
        <v>1283</v>
      </c>
      <c r="D98" s="435">
        <v>1987.09</v>
      </c>
      <c r="E98" s="435">
        <v>40.0</v>
      </c>
      <c r="F98" s="435">
        <v>840.0</v>
      </c>
      <c r="G98" s="435">
        <v>50.0</v>
      </c>
      <c r="H98" s="435">
        <v>50.0</v>
      </c>
      <c r="I98" s="435">
        <v>216.0</v>
      </c>
      <c r="J98" s="435">
        <v>15.0</v>
      </c>
      <c r="K98" s="435">
        <v>32.0</v>
      </c>
      <c r="L98" s="435" t="s">
        <v>1250</v>
      </c>
      <c r="M98" s="435">
        <v>1.0</v>
      </c>
      <c r="N98" s="435">
        <v>1.0</v>
      </c>
      <c r="O98" s="437"/>
      <c r="P98" s="437"/>
      <c r="Q98" s="437"/>
      <c r="R98" s="437"/>
      <c r="S98" s="437"/>
      <c r="T98" s="437"/>
      <c r="U98" s="437"/>
      <c r="V98" s="437"/>
      <c r="W98" s="437"/>
      <c r="X98" s="438"/>
      <c r="Y98" s="438"/>
      <c r="Z98" s="438"/>
      <c r="AA98" s="438"/>
      <c r="AB98" s="438"/>
    </row>
    <row r="99">
      <c r="A99" s="429"/>
      <c r="B99" s="435" t="s">
        <v>1272</v>
      </c>
      <c r="C99" s="95"/>
      <c r="D99" s="435">
        <v>1987.09</v>
      </c>
      <c r="E99" s="435">
        <v>40.0</v>
      </c>
      <c r="F99" s="435">
        <v>840.0</v>
      </c>
      <c r="G99" s="435">
        <v>50.0</v>
      </c>
      <c r="H99" s="435">
        <v>50.0</v>
      </c>
      <c r="I99" s="435">
        <v>1.0</v>
      </c>
      <c r="J99" s="435">
        <v>15.0</v>
      </c>
      <c r="K99" s="435">
        <v>32.0</v>
      </c>
      <c r="L99" s="435" t="s">
        <v>1250</v>
      </c>
      <c r="M99" s="435">
        <v>2.0</v>
      </c>
      <c r="N99" s="435">
        <v>1.0</v>
      </c>
      <c r="O99" s="95"/>
      <c r="P99" s="95"/>
      <c r="Q99" s="95"/>
      <c r="R99" s="95"/>
      <c r="S99" s="95"/>
      <c r="T99" s="95"/>
      <c r="U99" s="95"/>
      <c r="V99" s="95"/>
      <c r="W99" s="95"/>
      <c r="X99" s="438"/>
      <c r="Y99" s="438"/>
      <c r="Z99" s="438"/>
      <c r="AA99" s="438"/>
      <c r="AB99" s="438"/>
    </row>
    <row r="100">
      <c r="A100" s="429"/>
      <c r="B100" s="435" t="s">
        <v>1272</v>
      </c>
      <c r="C100" s="95"/>
      <c r="D100" s="435">
        <v>1987.09</v>
      </c>
      <c r="E100" s="435">
        <v>40.0</v>
      </c>
      <c r="F100" s="435">
        <v>840.0</v>
      </c>
      <c r="G100" s="435" t="s">
        <v>1284</v>
      </c>
      <c r="H100" s="435">
        <v>62.0</v>
      </c>
      <c r="I100" s="435">
        <v>358.0</v>
      </c>
      <c r="J100" s="435">
        <v>19.0</v>
      </c>
      <c r="K100" s="435">
        <v>41.0</v>
      </c>
      <c r="L100" s="435" t="s">
        <v>1250</v>
      </c>
      <c r="M100" s="435">
        <v>2.0</v>
      </c>
      <c r="N100" s="435">
        <v>1.0</v>
      </c>
      <c r="O100" s="95"/>
      <c r="P100" s="95"/>
      <c r="Q100" s="95"/>
      <c r="R100" s="95"/>
      <c r="S100" s="95"/>
      <c r="T100" s="95"/>
      <c r="U100" s="95"/>
      <c r="V100" s="95"/>
      <c r="W100" s="95"/>
      <c r="X100" s="438"/>
      <c r="Y100" s="438"/>
      <c r="Z100" s="438"/>
      <c r="AA100" s="438"/>
      <c r="AB100" s="438"/>
    </row>
    <row r="101">
      <c r="A101" s="429"/>
      <c r="B101" s="435" t="s">
        <v>1272</v>
      </c>
      <c r="C101" s="95"/>
      <c r="D101" s="435">
        <v>1987.09</v>
      </c>
      <c r="E101" s="435">
        <v>40.0</v>
      </c>
      <c r="F101" s="435">
        <v>840.0</v>
      </c>
      <c r="G101" s="435">
        <v>75.0</v>
      </c>
      <c r="H101" s="435">
        <v>75.0</v>
      </c>
      <c r="I101" s="435">
        <v>145.0</v>
      </c>
      <c r="J101" s="435">
        <v>23.0</v>
      </c>
      <c r="K101" s="435">
        <v>49.0</v>
      </c>
      <c r="L101" s="435" t="s">
        <v>1250</v>
      </c>
      <c r="M101" s="435">
        <v>2.0</v>
      </c>
      <c r="N101" s="435">
        <v>1.0</v>
      </c>
      <c r="O101" s="95"/>
      <c r="P101" s="95"/>
      <c r="Q101" s="95"/>
      <c r="R101" s="95"/>
      <c r="S101" s="95"/>
      <c r="T101" s="95"/>
      <c r="U101" s="95"/>
      <c r="V101" s="95"/>
      <c r="W101" s="95"/>
      <c r="X101" s="438"/>
      <c r="Y101" s="438"/>
      <c r="Z101" s="438"/>
      <c r="AA101" s="438"/>
      <c r="AB101" s="438"/>
    </row>
    <row r="102">
      <c r="A102" s="429"/>
      <c r="B102" s="435" t="s">
        <v>1272</v>
      </c>
      <c r="C102" s="95"/>
      <c r="D102" s="435">
        <v>1987.09</v>
      </c>
      <c r="E102" s="435">
        <v>40.0</v>
      </c>
      <c r="F102" s="435">
        <v>840.0</v>
      </c>
      <c r="G102" s="435">
        <v>80.0</v>
      </c>
      <c r="H102" s="435">
        <v>80.0</v>
      </c>
      <c r="I102" s="435">
        <v>60.0</v>
      </c>
      <c r="J102" s="435">
        <v>24.0</v>
      </c>
      <c r="K102" s="435">
        <v>54.0</v>
      </c>
      <c r="L102" s="435" t="s">
        <v>1250</v>
      </c>
      <c r="M102" s="435">
        <v>2.0</v>
      </c>
      <c r="N102" s="435">
        <v>1.0</v>
      </c>
      <c r="O102" s="95"/>
      <c r="P102" s="95"/>
      <c r="Q102" s="95"/>
      <c r="R102" s="95"/>
      <c r="S102" s="95"/>
      <c r="T102" s="95"/>
      <c r="U102" s="95"/>
      <c r="V102" s="95"/>
      <c r="W102" s="95"/>
      <c r="X102" s="438"/>
      <c r="Y102" s="438"/>
      <c r="Z102" s="438"/>
      <c r="AA102" s="438"/>
      <c r="AB102" s="438"/>
    </row>
    <row r="103">
      <c r="A103" s="429"/>
      <c r="B103" s="435" t="s">
        <v>1272</v>
      </c>
      <c r="C103" s="164"/>
      <c r="D103" s="435">
        <v>1987.09</v>
      </c>
      <c r="E103" s="435">
        <v>40.0</v>
      </c>
      <c r="F103" s="435">
        <v>840.0</v>
      </c>
      <c r="G103" s="435">
        <v>94.0</v>
      </c>
      <c r="H103" s="435">
        <v>94.0</v>
      </c>
      <c r="I103" s="435">
        <v>60.0</v>
      </c>
      <c r="J103" s="435">
        <v>28.0</v>
      </c>
      <c r="K103" s="435">
        <v>64.0</v>
      </c>
      <c r="L103" s="435" t="s">
        <v>1250</v>
      </c>
      <c r="M103" s="435">
        <v>3.0</v>
      </c>
      <c r="N103" s="435">
        <v>1.0</v>
      </c>
      <c r="O103" s="164"/>
      <c r="P103" s="164"/>
      <c r="Q103" s="164"/>
      <c r="R103" s="164"/>
      <c r="S103" s="164"/>
      <c r="T103" s="164"/>
      <c r="U103" s="164"/>
      <c r="V103" s="164"/>
      <c r="W103" s="164"/>
      <c r="X103" s="438"/>
      <c r="Y103" s="438"/>
      <c r="Z103" s="438"/>
      <c r="AA103" s="438"/>
      <c r="AB103" s="438"/>
    </row>
    <row r="104">
      <c r="A104" s="429"/>
      <c r="B104" s="435" t="s">
        <v>1272</v>
      </c>
      <c r="C104" s="436" t="s">
        <v>1057</v>
      </c>
      <c r="D104" s="435">
        <v>2006.01</v>
      </c>
      <c r="E104" s="435">
        <v>21.0</v>
      </c>
      <c r="F104" s="435">
        <v>641.0</v>
      </c>
      <c r="G104" s="435">
        <v>112.0</v>
      </c>
      <c r="H104" s="435">
        <v>112.0</v>
      </c>
      <c r="I104" s="435">
        <v>435.0</v>
      </c>
      <c r="J104" s="435">
        <v>34.0</v>
      </c>
      <c r="K104" s="435">
        <v>84.0</v>
      </c>
      <c r="L104" s="435" t="s">
        <v>1187</v>
      </c>
      <c r="M104" s="435">
        <v>3.0</v>
      </c>
      <c r="N104" s="435">
        <v>2.0</v>
      </c>
      <c r="O104" s="437"/>
      <c r="P104" s="437"/>
      <c r="Q104" s="437"/>
      <c r="R104" s="437"/>
      <c r="S104" s="437"/>
      <c r="T104" s="437" t="s">
        <v>1091</v>
      </c>
      <c r="U104" s="437"/>
      <c r="V104" s="437"/>
      <c r="W104" s="437"/>
      <c r="X104" s="438"/>
      <c r="Y104" s="438"/>
      <c r="Z104" s="438"/>
      <c r="AA104" s="438"/>
      <c r="AB104" s="438"/>
    </row>
    <row r="105">
      <c r="A105" s="429"/>
      <c r="B105" s="435" t="s">
        <v>1272</v>
      </c>
      <c r="C105" s="95"/>
      <c r="D105" s="435">
        <v>2006.01</v>
      </c>
      <c r="E105" s="435">
        <v>21.0</v>
      </c>
      <c r="F105" s="435">
        <v>641.0</v>
      </c>
      <c r="G105" s="435">
        <v>123.0</v>
      </c>
      <c r="H105" s="435">
        <v>123.0</v>
      </c>
      <c r="I105" s="435">
        <v>30.0</v>
      </c>
      <c r="J105" s="435">
        <v>37.0</v>
      </c>
      <c r="K105" s="435">
        <v>93.0</v>
      </c>
      <c r="L105" s="435" t="s">
        <v>1187</v>
      </c>
      <c r="M105" s="435">
        <v>3.0</v>
      </c>
      <c r="N105" s="435">
        <v>2.0</v>
      </c>
      <c r="O105" s="95"/>
      <c r="P105" s="95"/>
      <c r="Q105" s="95"/>
      <c r="R105" s="95"/>
      <c r="S105" s="95"/>
      <c r="T105" s="95"/>
      <c r="U105" s="95"/>
      <c r="V105" s="95"/>
      <c r="W105" s="95"/>
      <c r="X105" s="438"/>
      <c r="Y105" s="438"/>
      <c r="Z105" s="438"/>
      <c r="AA105" s="438"/>
      <c r="AB105" s="438"/>
    </row>
    <row r="106">
      <c r="A106" s="429"/>
      <c r="B106" s="435" t="s">
        <v>1272</v>
      </c>
      <c r="C106" s="95"/>
      <c r="D106" s="435">
        <v>2006.01</v>
      </c>
      <c r="E106" s="435">
        <v>21.0</v>
      </c>
      <c r="F106" s="435">
        <v>641.0</v>
      </c>
      <c r="G106" s="435">
        <v>151.0</v>
      </c>
      <c r="H106" s="435">
        <v>151.0</v>
      </c>
      <c r="I106" s="435">
        <v>120.0</v>
      </c>
      <c r="J106" s="435">
        <v>46.0</v>
      </c>
      <c r="K106" s="435">
        <v>122.0</v>
      </c>
      <c r="L106" s="435" t="s">
        <v>1187</v>
      </c>
      <c r="M106" s="435">
        <v>4.0</v>
      </c>
      <c r="N106" s="435">
        <v>2.0</v>
      </c>
      <c r="O106" s="95"/>
      <c r="P106" s="95"/>
      <c r="Q106" s="95"/>
      <c r="R106" s="95"/>
      <c r="S106" s="95"/>
      <c r="T106" s="95"/>
      <c r="U106" s="95"/>
      <c r="V106" s="95"/>
      <c r="W106" s="95"/>
      <c r="X106" s="438"/>
      <c r="Y106" s="438"/>
      <c r="Z106" s="438"/>
      <c r="AA106" s="438"/>
      <c r="AB106" s="438"/>
    </row>
    <row r="107">
      <c r="A107" s="429"/>
      <c r="B107" s="435" t="s">
        <v>1272</v>
      </c>
      <c r="C107" s="164"/>
      <c r="D107" s="435">
        <v>2006.01</v>
      </c>
      <c r="E107" s="435">
        <v>21.0</v>
      </c>
      <c r="F107" s="435">
        <v>641.0</v>
      </c>
      <c r="G107" s="435">
        <v>173.0</v>
      </c>
      <c r="H107" s="435">
        <v>173.0</v>
      </c>
      <c r="I107" s="435">
        <v>56.0</v>
      </c>
      <c r="J107" s="435">
        <v>52.0</v>
      </c>
      <c r="K107" s="435">
        <v>140.0</v>
      </c>
      <c r="L107" s="435" t="s">
        <v>1187</v>
      </c>
      <c r="M107" s="435">
        <v>4.0</v>
      </c>
      <c r="N107" s="435">
        <v>2.0</v>
      </c>
      <c r="O107" s="164"/>
      <c r="P107" s="164"/>
      <c r="Q107" s="164"/>
      <c r="R107" s="164"/>
      <c r="S107" s="164"/>
      <c r="T107" s="164"/>
      <c r="U107" s="164"/>
      <c r="V107" s="164"/>
      <c r="W107" s="164"/>
      <c r="X107" s="438"/>
      <c r="Y107" s="438"/>
      <c r="Z107" s="438"/>
      <c r="AA107" s="438"/>
      <c r="AB107" s="438"/>
    </row>
    <row r="108">
      <c r="A108" s="429"/>
      <c r="B108" s="435" t="s">
        <v>1285</v>
      </c>
      <c r="C108" s="436" t="s">
        <v>1286</v>
      </c>
      <c r="D108" s="435">
        <v>1990.09</v>
      </c>
      <c r="E108" s="435">
        <v>37.0</v>
      </c>
      <c r="F108" s="435">
        <v>914.0</v>
      </c>
      <c r="G108" s="435">
        <v>82.0</v>
      </c>
      <c r="H108" s="435">
        <v>82.0</v>
      </c>
      <c r="I108" s="435">
        <v>240.0</v>
      </c>
      <c r="J108" s="435">
        <v>25.0</v>
      </c>
      <c r="K108" s="435">
        <v>67.0</v>
      </c>
      <c r="L108" s="435" t="s">
        <v>1187</v>
      </c>
      <c r="M108" s="435">
        <v>3.0</v>
      </c>
      <c r="N108" s="435">
        <v>1.0</v>
      </c>
      <c r="O108" s="437"/>
      <c r="P108" s="437"/>
      <c r="Q108" s="437"/>
      <c r="R108" s="437"/>
      <c r="S108" s="437"/>
      <c r="T108" s="437"/>
      <c r="U108" s="437"/>
      <c r="V108" s="437"/>
      <c r="W108" s="437"/>
      <c r="X108" s="438"/>
      <c r="Y108" s="438"/>
      <c r="Z108" s="438"/>
      <c r="AA108" s="438"/>
      <c r="AB108" s="438"/>
    </row>
    <row r="109">
      <c r="A109" s="429"/>
      <c r="B109" s="435" t="s">
        <v>1285</v>
      </c>
      <c r="C109" s="95"/>
      <c r="D109" s="435">
        <v>1990.09</v>
      </c>
      <c r="E109" s="435">
        <v>37.0</v>
      </c>
      <c r="F109" s="435">
        <v>914.0</v>
      </c>
      <c r="G109" s="435">
        <v>101.0</v>
      </c>
      <c r="H109" s="435">
        <v>101.0</v>
      </c>
      <c r="I109" s="435">
        <v>524.0</v>
      </c>
      <c r="J109" s="435">
        <v>31.0</v>
      </c>
      <c r="K109" s="435">
        <v>84.0</v>
      </c>
      <c r="L109" s="435" t="s">
        <v>1187</v>
      </c>
      <c r="M109" s="435">
        <v>3.0</v>
      </c>
      <c r="N109" s="435">
        <v>2.0</v>
      </c>
      <c r="O109" s="95"/>
      <c r="P109" s="95"/>
      <c r="Q109" s="95"/>
      <c r="R109" s="95"/>
      <c r="S109" s="95"/>
      <c r="T109" s="95"/>
      <c r="U109" s="95"/>
      <c r="V109" s="95"/>
      <c r="W109" s="95"/>
      <c r="X109" s="438"/>
      <c r="Y109" s="438"/>
      <c r="Z109" s="438"/>
      <c r="AA109" s="438"/>
      <c r="AB109" s="438"/>
    </row>
    <row r="110">
      <c r="A110" s="429"/>
      <c r="B110" s="435" t="s">
        <v>1285</v>
      </c>
      <c r="C110" s="95"/>
      <c r="D110" s="435">
        <v>1990.09</v>
      </c>
      <c r="E110" s="435">
        <v>37.0</v>
      </c>
      <c r="F110" s="435">
        <v>914.0</v>
      </c>
      <c r="G110" s="435">
        <v>130.0</v>
      </c>
      <c r="H110" s="435">
        <v>130.0</v>
      </c>
      <c r="I110" s="435">
        <v>90.0</v>
      </c>
      <c r="J110" s="435">
        <v>39.0</v>
      </c>
      <c r="K110" s="435">
        <v>111.0</v>
      </c>
      <c r="L110" s="435" t="s">
        <v>1187</v>
      </c>
      <c r="M110" s="435">
        <v>4.0</v>
      </c>
      <c r="N110" s="435">
        <v>2.0</v>
      </c>
      <c r="O110" s="95"/>
      <c r="P110" s="95"/>
      <c r="Q110" s="95"/>
      <c r="R110" s="95"/>
      <c r="S110" s="95"/>
      <c r="T110" s="95"/>
      <c r="U110" s="95"/>
      <c r="V110" s="95"/>
      <c r="W110" s="95"/>
      <c r="X110" s="438"/>
      <c r="Y110" s="438"/>
      <c r="Z110" s="438"/>
      <c r="AA110" s="438"/>
      <c r="AB110" s="438"/>
    </row>
    <row r="111">
      <c r="A111" s="429"/>
      <c r="B111" s="435" t="s">
        <v>1285</v>
      </c>
      <c r="C111" s="164"/>
      <c r="D111" s="435">
        <v>1990.09</v>
      </c>
      <c r="E111" s="435">
        <v>37.0</v>
      </c>
      <c r="F111" s="435">
        <v>914.0</v>
      </c>
      <c r="G111" s="435">
        <v>145.0</v>
      </c>
      <c r="H111" s="435">
        <v>145.0</v>
      </c>
      <c r="I111" s="435">
        <v>60.0</v>
      </c>
      <c r="J111" s="435">
        <v>44.0</v>
      </c>
      <c r="K111" s="435">
        <v>126.0</v>
      </c>
      <c r="L111" s="435" t="s">
        <v>1187</v>
      </c>
      <c r="M111" s="435">
        <v>4.0</v>
      </c>
      <c r="N111" s="435">
        <v>2.0</v>
      </c>
      <c r="O111" s="164"/>
      <c r="P111" s="164"/>
      <c r="Q111" s="164"/>
      <c r="R111" s="164"/>
      <c r="S111" s="164"/>
      <c r="T111" s="164"/>
      <c r="U111" s="164"/>
      <c r="V111" s="164"/>
      <c r="W111" s="164"/>
      <c r="X111" s="438"/>
      <c r="Y111" s="438"/>
      <c r="Z111" s="438"/>
      <c r="AA111" s="438"/>
      <c r="AB111" s="438"/>
    </row>
    <row r="112">
      <c r="A112" s="429"/>
      <c r="B112" s="435" t="s">
        <v>1285</v>
      </c>
      <c r="C112" s="436" t="s">
        <v>1103</v>
      </c>
      <c r="D112" s="435">
        <v>1999.08</v>
      </c>
      <c r="E112" s="435">
        <v>28.0</v>
      </c>
      <c r="F112" s="435">
        <v>1036.0</v>
      </c>
      <c r="G112" s="435" t="s">
        <v>1287</v>
      </c>
      <c r="H112" s="435">
        <v>78.0</v>
      </c>
      <c r="I112" s="435">
        <v>276.0</v>
      </c>
      <c r="J112" s="435">
        <v>24.0</v>
      </c>
      <c r="K112" s="435">
        <v>59.0</v>
      </c>
      <c r="L112" s="435" t="s">
        <v>1187</v>
      </c>
      <c r="M112" s="435">
        <v>3.0</v>
      </c>
      <c r="N112" s="435">
        <v>1.0</v>
      </c>
      <c r="O112" s="437"/>
      <c r="P112" s="437"/>
      <c r="Q112" s="437"/>
      <c r="R112" s="437"/>
      <c r="S112" s="437"/>
      <c r="T112" s="437"/>
      <c r="U112" s="437"/>
      <c r="V112" s="437"/>
      <c r="W112" s="437"/>
      <c r="X112" s="438"/>
      <c r="Y112" s="438"/>
      <c r="Z112" s="438"/>
      <c r="AA112" s="438"/>
      <c r="AB112" s="438"/>
    </row>
    <row r="113">
      <c r="A113" s="429"/>
      <c r="B113" s="435" t="s">
        <v>1285</v>
      </c>
      <c r="C113" s="95"/>
      <c r="D113" s="435">
        <v>1999.08</v>
      </c>
      <c r="E113" s="435">
        <v>28.0</v>
      </c>
      <c r="F113" s="435">
        <v>1036.0</v>
      </c>
      <c r="G113" s="435" t="s">
        <v>1288</v>
      </c>
      <c r="H113" s="435">
        <v>104.0</v>
      </c>
      <c r="I113" s="435">
        <v>528.0</v>
      </c>
      <c r="J113" s="435">
        <v>32.0</v>
      </c>
      <c r="K113" s="435">
        <v>84.0</v>
      </c>
      <c r="L113" s="435" t="s">
        <v>1187</v>
      </c>
      <c r="M113" s="435">
        <v>3.0</v>
      </c>
      <c r="N113" s="435">
        <v>2.0</v>
      </c>
      <c r="O113" s="95"/>
      <c r="P113" s="95"/>
      <c r="Q113" s="95"/>
      <c r="R113" s="95"/>
      <c r="S113" s="95"/>
      <c r="T113" s="95"/>
      <c r="U113" s="95"/>
      <c r="V113" s="95"/>
      <c r="W113" s="95"/>
      <c r="X113" s="438"/>
      <c r="Y113" s="438"/>
      <c r="Z113" s="438"/>
      <c r="AA113" s="438"/>
      <c r="AB113" s="438"/>
    </row>
    <row r="114">
      <c r="A114" s="429"/>
      <c r="B114" s="435" t="s">
        <v>1285</v>
      </c>
      <c r="C114" s="95"/>
      <c r="D114" s="435">
        <v>1999.08</v>
      </c>
      <c r="E114" s="435">
        <v>28.0</v>
      </c>
      <c r="F114" s="435">
        <v>1036.0</v>
      </c>
      <c r="G114" s="435">
        <v>123.0</v>
      </c>
      <c r="H114" s="435">
        <v>123.0</v>
      </c>
      <c r="I114" s="435">
        <v>72.0</v>
      </c>
      <c r="J114" s="435">
        <v>37.0</v>
      </c>
      <c r="K114" s="435">
        <v>99.0</v>
      </c>
      <c r="L114" s="435" t="s">
        <v>1187</v>
      </c>
      <c r="M114" s="435">
        <v>3.0</v>
      </c>
      <c r="N114" s="435">
        <v>2.0</v>
      </c>
      <c r="O114" s="95"/>
      <c r="P114" s="95"/>
      <c r="Q114" s="95"/>
      <c r="R114" s="95"/>
      <c r="S114" s="95"/>
      <c r="T114" s="95"/>
      <c r="U114" s="95"/>
      <c r="V114" s="95"/>
      <c r="W114" s="95"/>
      <c r="X114" s="438"/>
      <c r="Y114" s="438"/>
      <c r="Z114" s="438"/>
      <c r="AA114" s="438"/>
      <c r="AB114" s="438"/>
    </row>
    <row r="115">
      <c r="A115" s="429"/>
      <c r="B115" s="435" t="s">
        <v>1285</v>
      </c>
      <c r="C115" s="164"/>
      <c r="D115" s="435">
        <v>1999.08</v>
      </c>
      <c r="E115" s="435">
        <v>28.0</v>
      </c>
      <c r="F115" s="435">
        <v>1036.0</v>
      </c>
      <c r="G115" s="435">
        <v>139.0</v>
      </c>
      <c r="H115" s="435">
        <v>139.0</v>
      </c>
      <c r="I115" s="435">
        <v>160.0</v>
      </c>
      <c r="J115" s="435">
        <v>42.0</v>
      </c>
      <c r="K115" s="435">
        <v>114.0</v>
      </c>
      <c r="L115" s="435" t="s">
        <v>1187</v>
      </c>
      <c r="M115" s="435">
        <v>4.0</v>
      </c>
      <c r="N115" s="435">
        <v>2.0</v>
      </c>
      <c r="O115" s="164"/>
      <c r="P115" s="164"/>
      <c r="Q115" s="164"/>
      <c r="R115" s="164"/>
      <c r="S115" s="164"/>
      <c r="T115" s="164"/>
      <c r="U115" s="164"/>
      <c r="V115" s="164"/>
      <c r="W115" s="164"/>
      <c r="X115" s="438"/>
      <c r="Y115" s="438"/>
      <c r="Z115" s="438"/>
      <c r="AA115" s="438"/>
      <c r="AB115" s="438"/>
    </row>
    <row r="116">
      <c r="A116" s="429"/>
      <c r="B116" s="435" t="s">
        <v>1289</v>
      </c>
      <c r="C116" s="436" t="s">
        <v>845</v>
      </c>
      <c r="D116" s="435">
        <v>2007.04</v>
      </c>
      <c r="E116" s="435">
        <v>20.0</v>
      </c>
      <c r="F116" s="435">
        <v>813.0</v>
      </c>
      <c r="G116" s="435" t="s">
        <v>1290</v>
      </c>
      <c r="H116" s="435">
        <v>78.0</v>
      </c>
      <c r="I116" s="435">
        <v>396.0</v>
      </c>
      <c r="J116" s="435">
        <v>24.0</v>
      </c>
      <c r="K116" s="435">
        <v>59.0</v>
      </c>
      <c r="L116" s="435" t="s">
        <v>1187</v>
      </c>
      <c r="M116" s="435">
        <v>3.0</v>
      </c>
      <c r="N116" s="435">
        <v>2.0</v>
      </c>
      <c r="O116" s="437"/>
      <c r="P116" s="437"/>
      <c r="Q116" s="437"/>
      <c r="R116" s="437"/>
      <c r="S116" s="437"/>
      <c r="T116" s="437"/>
      <c r="U116" s="437"/>
      <c r="V116" s="437"/>
      <c r="W116" s="437"/>
      <c r="X116" s="438"/>
      <c r="Y116" s="438"/>
      <c r="Z116" s="438"/>
      <c r="AA116" s="438"/>
      <c r="AB116" s="438"/>
    </row>
    <row r="117">
      <c r="A117" s="429"/>
      <c r="B117" s="435" t="s">
        <v>1289</v>
      </c>
      <c r="C117" s="95"/>
      <c r="D117" s="435">
        <v>2007.04</v>
      </c>
      <c r="E117" s="435">
        <v>20.0</v>
      </c>
      <c r="F117" s="435">
        <v>813.0</v>
      </c>
      <c r="G117" s="435" t="s">
        <v>1291</v>
      </c>
      <c r="H117" s="435">
        <v>79.0</v>
      </c>
      <c r="I117" s="435">
        <v>58.0</v>
      </c>
      <c r="J117" s="435">
        <v>24.0</v>
      </c>
      <c r="K117" s="435">
        <v>59.0</v>
      </c>
      <c r="L117" s="435" t="s">
        <v>1187</v>
      </c>
      <c r="M117" s="435">
        <v>3.0</v>
      </c>
      <c r="N117" s="435">
        <v>1.0</v>
      </c>
      <c r="O117" s="95"/>
      <c r="P117" s="95"/>
      <c r="Q117" s="95"/>
      <c r="R117" s="95"/>
      <c r="S117" s="95"/>
      <c r="T117" s="95"/>
      <c r="U117" s="95"/>
      <c r="V117" s="95"/>
      <c r="W117" s="95"/>
      <c r="X117" s="438"/>
      <c r="Y117" s="438"/>
      <c r="Z117" s="438"/>
      <c r="AA117" s="438"/>
      <c r="AB117" s="438"/>
    </row>
    <row r="118">
      <c r="A118" s="429"/>
      <c r="B118" s="435" t="s">
        <v>1289</v>
      </c>
      <c r="C118" s="95"/>
      <c r="D118" s="435">
        <v>2007.04</v>
      </c>
      <c r="E118" s="435">
        <v>20.0</v>
      </c>
      <c r="F118" s="435">
        <v>813.0</v>
      </c>
      <c r="G118" s="435">
        <v>100.0</v>
      </c>
      <c r="H118" s="435">
        <v>100.0</v>
      </c>
      <c r="I118" s="435">
        <v>78.0</v>
      </c>
      <c r="J118" s="435">
        <v>30.0</v>
      </c>
      <c r="K118" s="435">
        <v>75.0</v>
      </c>
      <c r="L118" s="435" t="s">
        <v>1187</v>
      </c>
      <c r="M118" s="435">
        <v>3.0</v>
      </c>
      <c r="N118" s="435">
        <v>2.0</v>
      </c>
      <c r="O118" s="95"/>
      <c r="P118" s="95"/>
      <c r="Q118" s="95"/>
      <c r="R118" s="95"/>
      <c r="S118" s="95"/>
      <c r="T118" s="95"/>
      <c r="U118" s="95"/>
      <c r="V118" s="95"/>
      <c r="W118" s="95"/>
      <c r="X118" s="438"/>
      <c r="Y118" s="438"/>
      <c r="Z118" s="438"/>
      <c r="AA118" s="438"/>
      <c r="AB118" s="438"/>
    </row>
    <row r="119">
      <c r="A119" s="429"/>
      <c r="B119" s="435" t="s">
        <v>1289</v>
      </c>
      <c r="C119" s="164"/>
      <c r="D119" s="435">
        <v>2007.04</v>
      </c>
      <c r="E119" s="435">
        <v>20.0</v>
      </c>
      <c r="F119" s="435">
        <v>813.0</v>
      </c>
      <c r="G119" s="435" t="s">
        <v>1292</v>
      </c>
      <c r="H119" s="435">
        <v>111.0</v>
      </c>
      <c r="I119" s="435">
        <v>281.0</v>
      </c>
      <c r="J119" s="435">
        <v>34.0</v>
      </c>
      <c r="K119" s="435">
        <v>84.0</v>
      </c>
      <c r="L119" s="435" t="s">
        <v>1187</v>
      </c>
      <c r="M119" s="435">
        <v>3.0</v>
      </c>
      <c r="N119" s="435">
        <v>2.0</v>
      </c>
      <c r="O119" s="164"/>
      <c r="P119" s="164"/>
      <c r="Q119" s="164"/>
      <c r="R119" s="164"/>
      <c r="S119" s="164"/>
      <c r="T119" s="164"/>
      <c r="U119" s="164"/>
      <c r="V119" s="164"/>
      <c r="W119" s="164"/>
      <c r="X119" s="438"/>
      <c r="Y119" s="438"/>
      <c r="Z119" s="438"/>
      <c r="AA119" s="438"/>
      <c r="AB119" s="438"/>
    </row>
    <row r="120">
      <c r="A120" s="429"/>
      <c r="B120" s="435" t="s">
        <v>1225</v>
      </c>
      <c r="C120" s="436" t="s">
        <v>1293</v>
      </c>
      <c r="D120" s="435">
        <v>2006.05</v>
      </c>
      <c r="E120" s="435">
        <v>21.0</v>
      </c>
      <c r="F120" s="435">
        <v>721.0</v>
      </c>
      <c r="G120" s="435" t="s">
        <v>1294</v>
      </c>
      <c r="H120" s="435">
        <v>79.0</v>
      </c>
      <c r="I120" s="435">
        <v>339.0</v>
      </c>
      <c r="J120" s="435">
        <v>24.0</v>
      </c>
      <c r="K120" s="435">
        <v>59.0</v>
      </c>
      <c r="L120" s="435" t="s">
        <v>1187</v>
      </c>
      <c r="M120" s="435">
        <v>3.0</v>
      </c>
      <c r="N120" s="435">
        <v>2.0</v>
      </c>
      <c r="O120" s="437"/>
      <c r="P120" s="437"/>
      <c r="Q120" s="437"/>
      <c r="R120" s="437"/>
      <c r="S120" s="437"/>
      <c r="T120" s="437"/>
      <c r="U120" s="437"/>
      <c r="V120" s="437"/>
      <c r="W120" s="437"/>
      <c r="X120" s="438"/>
      <c r="Y120" s="438"/>
      <c r="Z120" s="438"/>
      <c r="AA120" s="438"/>
      <c r="AB120" s="438"/>
    </row>
    <row r="121">
      <c r="A121" s="429"/>
      <c r="B121" s="435" t="s">
        <v>1225</v>
      </c>
      <c r="C121" s="95"/>
      <c r="D121" s="435">
        <v>2006.05</v>
      </c>
      <c r="E121" s="435">
        <v>21.0</v>
      </c>
      <c r="F121" s="435">
        <v>721.0</v>
      </c>
      <c r="G121" s="435">
        <v>95.0</v>
      </c>
      <c r="H121" s="435">
        <v>95.0</v>
      </c>
      <c r="I121" s="435">
        <v>178.0</v>
      </c>
      <c r="J121" s="435">
        <v>29.0</v>
      </c>
      <c r="K121" s="435">
        <v>75.0</v>
      </c>
      <c r="L121" s="435" t="s">
        <v>1187</v>
      </c>
      <c r="M121" s="435">
        <v>3.0</v>
      </c>
      <c r="N121" s="435">
        <v>2.0</v>
      </c>
      <c r="O121" s="95"/>
      <c r="P121" s="95"/>
      <c r="Q121" s="95"/>
      <c r="R121" s="95"/>
      <c r="S121" s="95"/>
      <c r="T121" s="95"/>
      <c r="U121" s="95"/>
      <c r="V121" s="95"/>
      <c r="W121" s="95"/>
      <c r="X121" s="438"/>
      <c r="Y121" s="438"/>
      <c r="Z121" s="438"/>
      <c r="AA121" s="438"/>
      <c r="AB121" s="438"/>
    </row>
    <row r="122">
      <c r="A122" s="429"/>
      <c r="B122" s="435" t="s">
        <v>1225</v>
      </c>
      <c r="C122" s="164"/>
      <c r="D122" s="435">
        <v>2006.05</v>
      </c>
      <c r="E122" s="435">
        <v>21.0</v>
      </c>
      <c r="F122" s="435">
        <v>721.0</v>
      </c>
      <c r="G122" s="435">
        <v>109.0</v>
      </c>
      <c r="H122" s="435">
        <v>109.0</v>
      </c>
      <c r="I122" s="435">
        <v>204.0</v>
      </c>
      <c r="J122" s="435">
        <v>33.0</v>
      </c>
      <c r="K122" s="435">
        <v>84.0</v>
      </c>
      <c r="L122" s="435" t="s">
        <v>1187</v>
      </c>
      <c r="M122" s="435">
        <v>3.0</v>
      </c>
      <c r="N122" s="435">
        <v>2.0</v>
      </c>
      <c r="O122" s="164"/>
      <c r="P122" s="164"/>
      <c r="Q122" s="164"/>
      <c r="R122" s="164"/>
      <c r="S122" s="164"/>
      <c r="T122" s="164"/>
      <c r="U122" s="164"/>
      <c r="V122" s="164"/>
      <c r="W122" s="164"/>
      <c r="X122" s="200"/>
      <c r="Y122" s="200"/>
      <c r="Z122" s="200"/>
      <c r="AA122" s="200"/>
      <c r="AB122" s="200"/>
    </row>
    <row r="123">
      <c r="A123" s="429"/>
      <c r="B123" s="435" t="s">
        <v>1289</v>
      </c>
      <c r="C123" s="436" t="s">
        <v>1295</v>
      </c>
      <c r="D123" s="435">
        <v>1987.06</v>
      </c>
      <c r="E123" s="435">
        <v>40.0</v>
      </c>
      <c r="F123" s="435">
        <v>728.0</v>
      </c>
      <c r="G123" s="435">
        <v>70.0</v>
      </c>
      <c r="H123" s="435">
        <v>70.0</v>
      </c>
      <c r="I123" s="435">
        <v>52.0</v>
      </c>
      <c r="J123" s="435">
        <v>21.0</v>
      </c>
      <c r="K123" s="435">
        <v>52.0</v>
      </c>
      <c r="L123" s="435" t="s">
        <v>1187</v>
      </c>
      <c r="M123" s="435">
        <v>3.0</v>
      </c>
      <c r="N123" s="435">
        <v>1.0</v>
      </c>
      <c r="O123" s="437"/>
      <c r="P123" s="437"/>
      <c r="Q123" s="437"/>
      <c r="R123" s="437"/>
      <c r="S123" s="437"/>
      <c r="T123" s="437"/>
      <c r="U123" s="437"/>
      <c r="V123" s="437"/>
      <c r="W123" s="437"/>
      <c r="X123" s="438"/>
      <c r="Y123" s="438"/>
      <c r="Z123" s="438"/>
      <c r="AA123" s="438"/>
      <c r="AB123" s="438"/>
    </row>
    <row r="124">
      <c r="A124" s="429"/>
      <c r="B124" s="435" t="s">
        <v>1289</v>
      </c>
      <c r="C124" s="95"/>
      <c r="D124" s="435">
        <v>1987.06</v>
      </c>
      <c r="E124" s="435">
        <v>40.0</v>
      </c>
      <c r="F124" s="435">
        <v>728.0</v>
      </c>
      <c r="G124" s="435">
        <v>81.0</v>
      </c>
      <c r="H124" s="435">
        <v>81.0</v>
      </c>
      <c r="I124" s="435">
        <v>130.0</v>
      </c>
      <c r="J124" s="435">
        <v>25.0</v>
      </c>
      <c r="K124" s="435">
        <v>63.0</v>
      </c>
      <c r="L124" s="435" t="s">
        <v>1187</v>
      </c>
      <c r="M124" s="435">
        <v>3.0</v>
      </c>
      <c r="N124" s="435">
        <v>1.0</v>
      </c>
      <c r="O124" s="95"/>
      <c r="P124" s="95"/>
      <c r="Q124" s="95"/>
      <c r="R124" s="95"/>
      <c r="S124" s="95"/>
      <c r="T124" s="95"/>
      <c r="U124" s="95"/>
      <c r="V124" s="95"/>
      <c r="W124" s="95"/>
      <c r="X124" s="438"/>
      <c r="Y124" s="438"/>
      <c r="Z124" s="438"/>
      <c r="AA124" s="438"/>
      <c r="AB124" s="438"/>
    </row>
    <row r="125">
      <c r="A125" s="429"/>
      <c r="B125" s="435" t="s">
        <v>1289</v>
      </c>
      <c r="C125" s="95"/>
      <c r="D125" s="435">
        <v>1987.06</v>
      </c>
      <c r="E125" s="435">
        <v>40.0</v>
      </c>
      <c r="F125" s="435">
        <v>728.0</v>
      </c>
      <c r="G125" s="435">
        <v>86.0</v>
      </c>
      <c r="H125" s="435">
        <v>86.0</v>
      </c>
      <c r="I125" s="435">
        <v>182.0</v>
      </c>
      <c r="J125" s="435">
        <v>26.0</v>
      </c>
      <c r="K125" s="435">
        <v>70.0</v>
      </c>
      <c r="L125" s="435" t="s">
        <v>1187</v>
      </c>
      <c r="M125" s="435">
        <v>3.0</v>
      </c>
      <c r="N125" s="435">
        <v>1.0</v>
      </c>
      <c r="O125" s="95"/>
      <c r="P125" s="95"/>
      <c r="Q125" s="95"/>
      <c r="R125" s="95"/>
      <c r="S125" s="95"/>
      <c r="T125" s="95"/>
      <c r="U125" s="95"/>
      <c r="V125" s="95"/>
      <c r="W125" s="95"/>
      <c r="X125" s="438"/>
      <c r="Y125" s="438"/>
      <c r="Z125" s="438"/>
      <c r="AA125" s="438"/>
      <c r="AB125" s="438"/>
    </row>
    <row r="126">
      <c r="A126" s="429"/>
      <c r="B126" s="435" t="s">
        <v>1289</v>
      </c>
      <c r="C126" s="95"/>
      <c r="D126" s="435">
        <v>1987.06</v>
      </c>
      <c r="E126" s="435">
        <v>40.0</v>
      </c>
      <c r="F126" s="435">
        <v>728.0</v>
      </c>
      <c r="G126" s="435">
        <v>97.0</v>
      </c>
      <c r="H126" s="435">
        <v>97.0</v>
      </c>
      <c r="I126" s="435">
        <v>52.0</v>
      </c>
      <c r="J126" s="435">
        <v>29.0</v>
      </c>
      <c r="K126" s="435">
        <v>79.0</v>
      </c>
      <c r="L126" s="435" t="s">
        <v>1187</v>
      </c>
      <c r="M126" s="435">
        <v>3.0</v>
      </c>
      <c r="N126" s="435">
        <v>1.0</v>
      </c>
      <c r="O126" s="95"/>
      <c r="P126" s="95"/>
      <c r="Q126" s="95"/>
      <c r="R126" s="95"/>
      <c r="S126" s="95"/>
      <c r="T126" s="95"/>
      <c r="U126" s="95"/>
      <c r="V126" s="95"/>
      <c r="W126" s="95"/>
      <c r="X126" s="438"/>
      <c r="Y126" s="438"/>
      <c r="Z126" s="438"/>
      <c r="AA126" s="438"/>
      <c r="AB126" s="438"/>
    </row>
    <row r="127">
      <c r="A127" s="429"/>
      <c r="B127" s="435" t="s">
        <v>1289</v>
      </c>
      <c r="C127" s="164"/>
      <c r="D127" s="435">
        <v>1987.06</v>
      </c>
      <c r="E127" s="435">
        <v>40.0</v>
      </c>
      <c r="F127" s="435">
        <v>728.0</v>
      </c>
      <c r="G127" s="435">
        <v>104.0</v>
      </c>
      <c r="H127" s="435">
        <v>104.0</v>
      </c>
      <c r="I127" s="435">
        <v>312.0</v>
      </c>
      <c r="J127" s="435">
        <v>32.0</v>
      </c>
      <c r="K127" s="435">
        <v>84.0</v>
      </c>
      <c r="L127" s="435" t="s">
        <v>1187</v>
      </c>
      <c r="M127" s="435">
        <v>3.0</v>
      </c>
      <c r="N127" s="435">
        <v>1.0</v>
      </c>
      <c r="O127" s="164"/>
      <c r="P127" s="164"/>
      <c r="Q127" s="164"/>
      <c r="R127" s="164"/>
      <c r="S127" s="164"/>
      <c r="T127" s="164"/>
      <c r="U127" s="164"/>
      <c r="V127" s="164"/>
      <c r="W127" s="164"/>
      <c r="X127" s="438"/>
      <c r="Y127" s="438"/>
      <c r="Z127" s="438"/>
      <c r="AA127" s="438"/>
      <c r="AB127" s="438"/>
    </row>
    <row r="128">
      <c r="A128" s="429"/>
      <c r="B128" s="435" t="s">
        <v>1296</v>
      </c>
      <c r="C128" s="436" t="s">
        <v>1297</v>
      </c>
      <c r="D128" s="435">
        <v>1990.1</v>
      </c>
      <c r="E128" s="435">
        <v>37.0</v>
      </c>
      <c r="F128" s="435">
        <v>590.0</v>
      </c>
      <c r="G128" s="435">
        <v>102.0</v>
      </c>
      <c r="H128" s="435">
        <v>102.0</v>
      </c>
      <c r="I128" s="435">
        <v>410.0</v>
      </c>
      <c r="J128" s="435">
        <v>31.0</v>
      </c>
      <c r="K128" s="435">
        <v>84.0</v>
      </c>
      <c r="L128" s="435" t="s">
        <v>1187</v>
      </c>
      <c r="M128" s="435">
        <v>3.0</v>
      </c>
      <c r="N128" s="435">
        <v>2.0</v>
      </c>
      <c r="O128" s="437"/>
      <c r="P128" s="437"/>
      <c r="Q128" s="437"/>
      <c r="R128" s="437"/>
      <c r="S128" s="437"/>
      <c r="T128" s="437"/>
      <c r="U128" s="437"/>
      <c r="V128" s="437"/>
      <c r="W128" s="437"/>
      <c r="X128" s="438"/>
      <c r="Y128" s="438"/>
      <c r="Z128" s="438"/>
      <c r="AA128" s="438"/>
      <c r="AB128" s="438"/>
    </row>
    <row r="129">
      <c r="A129" s="429"/>
      <c r="B129" s="435" t="s">
        <v>1296</v>
      </c>
      <c r="C129" s="164"/>
      <c r="D129" s="435">
        <v>1990.1</v>
      </c>
      <c r="E129" s="435">
        <v>37.0</v>
      </c>
      <c r="F129" s="435">
        <v>590.0</v>
      </c>
      <c r="G129" s="435">
        <v>155.0</v>
      </c>
      <c r="H129" s="435">
        <v>155.0</v>
      </c>
      <c r="I129" s="435">
        <v>180.0</v>
      </c>
      <c r="J129" s="435">
        <v>47.0</v>
      </c>
      <c r="K129" s="435">
        <v>134.0</v>
      </c>
      <c r="L129" s="435" t="s">
        <v>1187</v>
      </c>
      <c r="M129" s="435">
        <v>4.0</v>
      </c>
      <c r="N129" s="435">
        <v>2.0</v>
      </c>
      <c r="O129" s="164"/>
      <c r="P129" s="164"/>
      <c r="Q129" s="164"/>
      <c r="R129" s="164"/>
      <c r="S129" s="164"/>
      <c r="T129" s="164"/>
      <c r="U129" s="164"/>
      <c r="V129" s="164"/>
      <c r="W129" s="164"/>
      <c r="X129" s="438"/>
      <c r="Y129" s="438"/>
      <c r="Z129" s="438"/>
      <c r="AA129" s="438"/>
      <c r="AB129" s="438"/>
    </row>
    <row r="130">
      <c r="A130" s="429"/>
      <c r="B130" s="435" t="s">
        <v>1298</v>
      </c>
      <c r="C130" s="436" t="s">
        <v>719</v>
      </c>
      <c r="D130" s="435">
        <v>2024.07</v>
      </c>
      <c r="E130" s="435">
        <v>3.0</v>
      </c>
      <c r="F130" s="435">
        <v>1328.0</v>
      </c>
      <c r="G130" s="435" t="s">
        <v>1299</v>
      </c>
      <c r="H130" s="435">
        <v>79.0</v>
      </c>
      <c r="I130" s="435">
        <v>456.0</v>
      </c>
      <c r="J130" s="435">
        <v>24.0</v>
      </c>
      <c r="K130" s="435">
        <v>59.0</v>
      </c>
      <c r="L130" s="435" t="s">
        <v>1187</v>
      </c>
      <c r="M130" s="435">
        <v>3.0</v>
      </c>
      <c r="N130" s="435">
        <v>2.0</v>
      </c>
      <c r="O130" s="455" t="s">
        <v>1300</v>
      </c>
      <c r="P130" s="437"/>
      <c r="Q130" s="437"/>
      <c r="R130" s="437"/>
      <c r="S130" s="437" t="s">
        <v>1301</v>
      </c>
      <c r="T130" s="437"/>
      <c r="U130" s="437"/>
      <c r="V130" s="437"/>
      <c r="W130" s="437"/>
      <c r="X130" s="438"/>
      <c r="Y130" s="438"/>
      <c r="Z130" s="438"/>
      <c r="AA130" s="438"/>
      <c r="AB130" s="438"/>
    </row>
    <row r="131">
      <c r="A131" s="429"/>
      <c r="B131" s="435" t="s">
        <v>1298</v>
      </c>
      <c r="C131" s="95"/>
      <c r="D131" s="435">
        <v>2024.07</v>
      </c>
      <c r="E131" s="435">
        <v>3.0</v>
      </c>
      <c r="F131" s="435">
        <v>1328.0</v>
      </c>
      <c r="G131" s="435" t="s">
        <v>1302</v>
      </c>
      <c r="H131" s="435">
        <v>98.0</v>
      </c>
      <c r="I131" s="435">
        <v>516.0</v>
      </c>
      <c r="J131" s="435">
        <v>30.0</v>
      </c>
      <c r="K131" s="435">
        <v>74.0</v>
      </c>
      <c r="L131" s="435" t="s">
        <v>1187</v>
      </c>
      <c r="M131" s="435">
        <v>3.0</v>
      </c>
      <c r="N131" s="435">
        <v>2.0</v>
      </c>
      <c r="O131" s="95"/>
      <c r="P131" s="95"/>
      <c r="Q131" s="95"/>
      <c r="R131" s="95"/>
      <c r="S131" s="95"/>
      <c r="T131" s="95"/>
      <c r="U131" s="95"/>
      <c r="V131" s="95"/>
      <c r="W131" s="95"/>
      <c r="X131" s="438"/>
      <c r="Y131" s="438"/>
      <c r="Z131" s="438"/>
      <c r="AA131" s="438"/>
      <c r="AB131" s="438"/>
    </row>
    <row r="132">
      <c r="A132" s="429"/>
      <c r="B132" s="435" t="s">
        <v>1298</v>
      </c>
      <c r="C132" s="95"/>
      <c r="D132" s="435">
        <v>2024.07</v>
      </c>
      <c r="E132" s="435">
        <v>3.0</v>
      </c>
      <c r="F132" s="435">
        <v>1328.0</v>
      </c>
      <c r="G132" s="435" t="s">
        <v>1303</v>
      </c>
      <c r="H132" s="435">
        <v>111.0</v>
      </c>
      <c r="I132" s="435">
        <v>234.0</v>
      </c>
      <c r="J132" s="435">
        <v>34.0</v>
      </c>
      <c r="K132" s="435">
        <v>84.0</v>
      </c>
      <c r="L132" s="435" t="s">
        <v>1187</v>
      </c>
      <c r="M132" s="435">
        <v>4.0</v>
      </c>
      <c r="N132" s="435">
        <v>2.0</v>
      </c>
      <c r="O132" s="95"/>
      <c r="P132" s="95"/>
      <c r="Q132" s="95"/>
      <c r="R132" s="95"/>
      <c r="S132" s="95"/>
      <c r="T132" s="95"/>
      <c r="U132" s="95"/>
      <c r="V132" s="95"/>
      <c r="W132" s="95"/>
      <c r="X132" s="438"/>
      <c r="Y132" s="438"/>
      <c r="Z132" s="438"/>
      <c r="AA132" s="438"/>
      <c r="AB132" s="438"/>
    </row>
    <row r="133">
      <c r="A133" s="429"/>
      <c r="B133" s="435" t="s">
        <v>1298</v>
      </c>
      <c r="C133" s="164"/>
      <c r="D133" s="435">
        <v>2024.07</v>
      </c>
      <c r="E133" s="435">
        <v>3.0</v>
      </c>
      <c r="F133" s="435">
        <v>1328.0</v>
      </c>
      <c r="G133" s="435" t="s">
        <v>1304</v>
      </c>
      <c r="H133" s="435">
        <v>111.0</v>
      </c>
      <c r="I133" s="435">
        <v>122.0</v>
      </c>
      <c r="J133" s="435">
        <v>34.0</v>
      </c>
      <c r="K133" s="435">
        <v>84.0</v>
      </c>
      <c r="L133" s="435" t="s">
        <v>1187</v>
      </c>
      <c r="M133" s="435">
        <v>3.0</v>
      </c>
      <c r="N133" s="435">
        <v>2.0</v>
      </c>
      <c r="O133" s="164"/>
      <c r="P133" s="164"/>
      <c r="Q133" s="164"/>
      <c r="R133" s="164"/>
      <c r="S133" s="164"/>
      <c r="T133" s="164"/>
      <c r="U133" s="164"/>
      <c r="V133" s="164"/>
      <c r="W133" s="164"/>
      <c r="X133" s="438"/>
      <c r="Y133" s="438"/>
      <c r="Z133" s="438"/>
      <c r="AA133" s="438"/>
      <c r="AB133" s="438"/>
    </row>
    <row r="134">
      <c r="A134" s="429"/>
      <c r="B134" s="435" t="s">
        <v>1298</v>
      </c>
      <c r="C134" s="436" t="s">
        <v>687</v>
      </c>
      <c r="D134" s="435">
        <v>2024.12</v>
      </c>
      <c r="E134" s="435">
        <v>3.0</v>
      </c>
      <c r="F134" s="435">
        <v>2135.0</v>
      </c>
      <c r="G134" s="435" t="s">
        <v>1305</v>
      </c>
      <c r="H134" s="435">
        <v>81.0</v>
      </c>
      <c r="I134" s="435">
        <v>551.0</v>
      </c>
      <c r="J134" s="435">
        <v>25.0</v>
      </c>
      <c r="K134" s="435">
        <v>59.0</v>
      </c>
      <c r="L134" s="435" t="s">
        <v>1187</v>
      </c>
      <c r="M134" s="435">
        <v>3.0</v>
      </c>
      <c r="N134" s="435">
        <v>2.0</v>
      </c>
      <c r="O134" s="455" t="s">
        <v>1306</v>
      </c>
      <c r="P134" s="437"/>
      <c r="Q134" s="437"/>
      <c r="R134" s="437"/>
      <c r="S134" s="437" t="s">
        <v>1307</v>
      </c>
      <c r="T134" s="437"/>
      <c r="U134" s="437"/>
      <c r="V134" s="437"/>
      <c r="W134" s="437"/>
      <c r="X134" s="438"/>
      <c r="Y134" s="438"/>
      <c r="Z134" s="438"/>
      <c r="AA134" s="438"/>
      <c r="AB134" s="438"/>
    </row>
    <row r="135">
      <c r="A135" s="450"/>
      <c r="B135" s="435" t="s">
        <v>1298</v>
      </c>
      <c r="C135" s="95"/>
      <c r="D135" s="435">
        <v>2024.12</v>
      </c>
      <c r="E135" s="435">
        <v>3.0</v>
      </c>
      <c r="F135" s="435">
        <v>2135.0</v>
      </c>
      <c r="G135" s="435" t="s">
        <v>1308</v>
      </c>
      <c r="H135" s="435">
        <v>100.0</v>
      </c>
      <c r="I135" s="435">
        <v>536.0</v>
      </c>
      <c r="J135" s="435">
        <v>30.0</v>
      </c>
      <c r="K135" s="435">
        <v>74.0</v>
      </c>
      <c r="L135" s="435" t="s">
        <v>1187</v>
      </c>
      <c r="M135" s="435">
        <v>3.0</v>
      </c>
      <c r="N135" s="435">
        <v>2.0</v>
      </c>
      <c r="O135" s="95"/>
      <c r="P135" s="95"/>
      <c r="Q135" s="95"/>
      <c r="R135" s="95"/>
      <c r="S135" s="95"/>
      <c r="T135" s="95"/>
      <c r="U135" s="95"/>
      <c r="V135" s="95"/>
      <c r="W135" s="95"/>
      <c r="X135" s="438"/>
      <c r="Y135" s="438"/>
      <c r="Z135" s="438"/>
      <c r="AA135" s="438"/>
      <c r="AB135" s="438"/>
    </row>
    <row r="136">
      <c r="A136" s="429"/>
      <c r="B136" s="435" t="s">
        <v>1298</v>
      </c>
      <c r="C136" s="95"/>
      <c r="D136" s="435">
        <v>2024.12</v>
      </c>
      <c r="E136" s="435">
        <v>3.0</v>
      </c>
      <c r="F136" s="435">
        <v>2135.0</v>
      </c>
      <c r="G136" s="435" t="s">
        <v>1309</v>
      </c>
      <c r="H136" s="435">
        <v>113.0</v>
      </c>
      <c r="I136" s="435">
        <v>228.0</v>
      </c>
      <c r="J136" s="435">
        <v>34.0</v>
      </c>
      <c r="K136" s="435">
        <v>84.0</v>
      </c>
      <c r="L136" s="435" t="s">
        <v>1187</v>
      </c>
      <c r="M136" s="435">
        <v>4.0</v>
      </c>
      <c r="N136" s="435">
        <v>2.0</v>
      </c>
      <c r="O136" s="95"/>
      <c r="P136" s="95"/>
      <c r="Q136" s="95"/>
      <c r="R136" s="95"/>
      <c r="S136" s="95"/>
      <c r="T136" s="95"/>
      <c r="U136" s="95"/>
      <c r="V136" s="95"/>
      <c r="W136" s="95"/>
      <c r="X136" s="438"/>
      <c r="Y136" s="438"/>
      <c r="Z136" s="438"/>
      <c r="AA136" s="438"/>
      <c r="AB136" s="438"/>
    </row>
    <row r="137">
      <c r="A137" s="429"/>
      <c r="B137" s="435" t="s">
        <v>1298</v>
      </c>
      <c r="C137" s="164"/>
      <c r="D137" s="435">
        <v>2024.12</v>
      </c>
      <c r="E137" s="435">
        <v>3.0</v>
      </c>
      <c r="F137" s="435">
        <v>2135.0</v>
      </c>
      <c r="G137" s="435" t="s">
        <v>1310</v>
      </c>
      <c r="H137" s="435">
        <v>113.0</v>
      </c>
      <c r="I137" s="435">
        <v>108.0</v>
      </c>
      <c r="J137" s="435">
        <v>34.0</v>
      </c>
      <c r="K137" s="435">
        <v>84.0</v>
      </c>
      <c r="L137" s="435" t="s">
        <v>1187</v>
      </c>
      <c r="M137" s="435">
        <v>3.0</v>
      </c>
      <c r="N137" s="435">
        <v>2.0</v>
      </c>
      <c r="O137" s="164"/>
      <c r="P137" s="164"/>
      <c r="Q137" s="164"/>
      <c r="R137" s="164"/>
      <c r="S137" s="164"/>
      <c r="T137" s="164"/>
      <c r="U137" s="164"/>
      <c r="V137" s="164"/>
      <c r="W137" s="164"/>
      <c r="X137" s="438"/>
      <c r="Y137" s="438"/>
      <c r="Z137" s="438"/>
      <c r="AA137" s="438"/>
      <c r="AB137" s="438"/>
    </row>
    <row r="138">
      <c r="A138" s="429"/>
      <c r="B138" s="435" t="s">
        <v>1298</v>
      </c>
      <c r="C138" s="436" t="s">
        <v>539</v>
      </c>
      <c r="D138" s="435">
        <v>2013.06</v>
      </c>
      <c r="E138" s="435">
        <v>14.0</v>
      </c>
      <c r="F138" s="435">
        <v>960.0</v>
      </c>
      <c r="G138" s="435" t="s">
        <v>1311</v>
      </c>
      <c r="H138" s="435">
        <v>82.0</v>
      </c>
      <c r="I138" s="435">
        <v>72.0</v>
      </c>
      <c r="J138" s="435">
        <v>25.0</v>
      </c>
      <c r="K138" s="435">
        <v>59.0</v>
      </c>
      <c r="L138" s="435" t="s">
        <v>1187</v>
      </c>
      <c r="M138" s="435">
        <v>3.0</v>
      </c>
      <c r="N138" s="435">
        <v>2.0</v>
      </c>
      <c r="O138" s="437"/>
      <c r="P138" s="437"/>
      <c r="Q138" s="437"/>
      <c r="R138" s="437"/>
      <c r="S138" s="437"/>
      <c r="T138" s="437"/>
      <c r="U138" s="437"/>
      <c r="V138" s="437"/>
      <c r="W138" s="437"/>
      <c r="X138" s="438"/>
      <c r="Y138" s="438"/>
      <c r="Z138" s="438"/>
      <c r="AA138" s="438"/>
      <c r="AB138" s="438"/>
    </row>
    <row r="139">
      <c r="A139" s="429"/>
      <c r="B139" s="435" t="s">
        <v>1298</v>
      </c>
      <c r="C139" s="95"/>
      <c r="D139" s="435">
        <v>2013.06</v>
      </c>
      <c r="E139" s="435">
        <v>14.0</v>
      </c>
      <c r="F139" s="435">
        <v>960.0</v>
      </c>
      <c r="G139" s="435" t="s">
        <v>1312</v>
      </c>
      <c r="H139" s="435">
        <v>110.0</v>
      </c>
      <c r="I139" s="435">
        <v>799.0</v>
      </c>
      <c r="J139" s="435">
        <v>33.0</v>
      </c>
      <c r="K139" s="435">
        <v>84.0</v>
      </c>
      <c r="L139" s="435" t="s">
        <v>1187</v>
      </c>
      <c r="M139" s="435">
        <v>3.0</v>
      </c>
      <c r="N139" s="435">
        <v>2.0</v>
      </c>
      <c r="O139" s="95"/>
      <c r="P139" s="95"/>
      <c r="Q139" s="95"/>
      <c r="R139" s="95"/>
      <c r="S139" s="95"/>
      <c r="T139" s="95"/>
      <c r="U139" s="95"/>
      <c r="V139" s="95"/>
      <c r="W139" s="95"/>
      <c r="X139" s="438"/>
      <c r="Y139" s="438"/>
      <c r="Z139" s="438"/>
      <c r="AA139" s="438"/>
      <c r="AB139" s="438"/>
    </row>
    <row r="140">
      <c r="A140" s="429"/>
      <c r="B140" s="435" t="s">
        <v>1298</v>
      </c>
      <c r="C140" s="164"/>
      <c r="D140" s="435">
        <v>2013.06</v>
      </c>
      <c r="E140" s="435">
        <v>14.0</v>
      </c>
      <c r="F140" s="435">
        <v>960.0</v>
      </c>
      <c r="G140" s="435" t="s">
        <v>1313</v>
      </c>
      <c r="H140" s="435">
        <v>147.0</v>
      </c>
      <c r="I140" s="435">
        <v>89.0</v>
      </c>
      <c r="J140" s="435">
        <v>45.0</v>
      </c>
      <c r="K140" s="435">
        <v>118.0</v>
      </c>
      <c r="L140" s="435" t="s">
        <v>1187</v>
      </c>
      <c r="M140" s="435">
        <v>4.0</v>
      </c>
      <c r="N140" s="435">
        <v>2.0</v>
      </c>
      <c r="O140" s="164"/>
      <c r="P140" s="164"/>
      <c r="Q140" s="164"/>
      <c r="R140" s="164"/>
      <c r="S140" s="164"/>
      <c r="T140" s="164"/>
      <c r="U140" s="164"/>
      <c r="V140" s="164"/>
      <c r="W140" s="164"/>
      <c r="X140" s="438"/>
      <c r="Y140" s="438"/>
      <c r="Z140" s="438"/>
      <c r="AA140" s="438"/>
      <c r="AB140" s="438"/>
    </row>
    <row r="141">
      <c r="A141" s="429"/>
      <c r="B141" s="435" t="s">
        <v>1298</v>
      </c>
      <c r="C141" s="436" t="s">
        <v>1314</v>
      </c>
      <c r="D141" s="435">
        <v>2008.11</v>
      </c>
      <c r="E141" s="435">
        <v>19.0</v>
      </c>
      <c r="F141" s="435">
        <v>763.0</v>
      </c>
      <c r="G141" s="435">
        <v>99.0</v>
      </c>
      <c r="H141" s="435">
        <v>99.0</v>
      </c>
      <c r="I141" s="435">
        <v>72.0</v>
      </c>
      <c r="J141" s="435">
        <v>30.0</v>
      </c>
      <c r="K141" s="435">
        <v>75.0</v>
      </c>
      <c r="L141" s="435" t="s">
        <v>1187</v>
      </c>
      <c r="M141" s="435">
        <v>3.0</v>
      </c>
      <c r="N141" s="435">
        <v>2.0</v>
      </c>
      <c r="O141" s="437"/>
      <c r="P141" s="437"/>
      <c r="Q141" s="437"/>
      <c r="R141" s="437"/>
      <c r="S141" s="437"/>
      <c r="T141" s="437"/>
      <c r="U141" s="437"/>
      <c r="V141" s="437"/>
      <c r="W141" s="437"/>
      <c r="X141" s="438"/>
      <c r="Y141" s="438"/>
      <c r="Z141" s="438"/>
      <c r="AA141" s="438"/>
      <c r="AB141" s="438"/>
    </row>
    <row r="142">
      <c r="A142" s="429"/>
      <c r="B142" s="435" t="s">
        <v>1298</v>
      </c>
      <c r="C142" s="95"/>
      <c r="D142" s="435">
        <v>2008.11</v>
      </c>
      <c r="E142" s="435">
        <v>19.0</v>
      </c>
      <c r="F142" s="435">
        <v>763.0</v>
      </c>
      <c r="G142" s="435" t="s">
        <v>1315</v>
      </c>
      <c r="H142" s="435">
        <v>111.0</v>
      </c>
      <c r="I142" s="435">
        <v>597.0</v>
      </c>
      <c r="J142" s="435">
        <v>34.0</v>
      </c>
      <c r="K142" s="435">
        <v>84.0</v>
      </c>
      <c r="L142" s="435" t="s">
        <v>1187</v>
      </c>
      <c r="M142" s="435">
        <v>3.0</v>
      </c>
      <c r="N142" s="435">
        <v>2.0</v>
      </c>
      <c r="O142" s="95"/>
      <c r="P142" s="95"/>
      <c r="Q142" s="95"/>
      <c r="R142" s="95"/>
      <c r="S142" s="95"/>
      <c r="T142" s="95"/>
      <c r="U142" s="95"/>
      <c r="V142" s="95"/>
      <c r="W142" s="95"/>
      <c r="X142" s="438"/>
      <c r="Y142" s="438"/>
      <c r="Z142" s="438"/>
      <c r="AA142" s="438"/>
      <c r="AB142" s="438"/>
    </row>
    <row r="143">
      <c r="A143" s="429"/>
      <c r="B143" s="435" t="s">
        <v>1298</v>
      </c>
      <c r="C143" s="164"/>
      <c r="D143" s="435">
        <v>2008.11</v>
      </c>
      <c r="E143" s="435">
        <v>19.0</v>
      </c>
      <c r="F143" s="435">
        <v>763.0</v>
      </c>
      <c r="G143" s="435">
        <v>142.0</v>
      </c>
      <c r="H143" s="435">
        <v>142.0</v>
      </c>
      <c r="I143" s="435">
        <v>94.0</v>
      </c>
      <c r="J143" s="435">
        <v>43.0</v>
      </c>
      <c r="K143" s="435">
        <v>108.0</v>
      </c>
      <c r="L143" s="435" t="s">
        <v>1187</v>
      </c>
      <c r="M143" s="435">
        <v>4.0</v>
      </c>
      <c r="N143" s="435">
        <v>2.0</v>
      </c>
      <c r="O143" s="164"/>
      <c r="P143" s="164"/>
      <c r="Q143" s="164"/>
      <c r="R143" s="164"/>
      <c r="S143" s="164"/>
      <c r="T143" s="164"/>
      <c r="U143" s="164"/>
      <c r="V143" s="164"/>
      <c r="W143" s="164"/>
      <c r="X143" s="438"/>
      <c r="Y143" s="438"/>
      <c r="Z143" s="438"/>
      <c r="AA143" s="438"/>
      <c r="AB143" s="438"/>
    </row>
    <row r="144">
      <c r="A144" s="429"/>
      <c r="B144" s="435"/>
      <c r="C144" s="435"/>
      <c r="D144" s="435"/>
      <c r="E144" s="435"/>
      <c r="F144" s="435"/>
      <c r="G144" s="435"/>
      <c r="H144" s="435"/>
      <c r="I144" s="435"/>
      <c r="J144" s="435"/>
      <c r="K144" s="435"/>
      <c r="L144" s="435"/>
      <c r="M144" s="435"/>
      <c r="N144" s="435"/>
      <c r="O144" s="442"/>
      <c r="P144" s="442"/>
      <c r="Q144" s="442"/>
      <c r="R144" s="442"/>
      <c r="S144" s="442"/>
      <c r="T144" s="346"/>
      <c r="U144" s="442"/>
      <c r="V144" s="442"/>
      <c r="W144" s="442"/>
      <c r="X144" s="438"/>
      <c r="Y144" s="438"/>
      <c r="Z144" s="438"/>
      <c r="AA144" s="438"/>
      <c r="AB144" s="438"/>
    </row>
    <row r="145">
      <c r="A145" s="429"/>
      <c r="B145" s="435" t="s">
        <v>1316</v>
      </c>
      <c r="C145" s="436" t="s">
        <v>883</v>
      </c>
      <c r="D145" s="435">
        <v>2018.07</v>
      </c>
      <c r="E145" s="435">
        <v>9.0</v>
      </c>
      <c r="F145" s="435">
        <v>1245.0</v>
      </c>
      <c r="G145" s="435" t="s">
        <v>1317</v>
      </c>
      <c r="H145" s="435">
        <v>81.0</v>
      </c>
      <c r="I145" s="435">
        <v>397.0</v>
      </c>
      <c r="J145" s="435">
        <v>25.0</v>
      </c>
      <c r="K145" s="435">
        <v>59.0</v>
      </c>
      <c r="L145" s="435" t="s">
        <v>1187</v>
      </c>
      <c r="M145" s="435">
        <v>3.0</v>
      </c>
      <c r="N145" s="435">
        <v>2.0</v>
      </c>
      <c r="O145" s="437"/>
      <c r="P145" s="437"/>
      <c r="Q145" s="437" t="s">
        <v>1318</v>
      </c>
      <c r="R145" s="437" t="s">
        <v>1319</v>
      </c>
      <c r="S145" s="437"/>
      <c r="T145" s="448" t="s">
        <v>728</v>
      </c>
      <c r="U145" s="437"/>
      <c r="V145" s="437"/>
      <c r="W145" s="437" t="s">
        <v>1320</v>
      </c>
      <c r="X145" s="438"/>
      <c r="Y145" s="438"/>
      <c r="Z145" s="438"/>
      <c r="AA145" s="438"/>
      <c r="AB145" s="438"/>
    </row>
    <row r="146">
      <c r="A146" s="429"/>
      <c r="B146" s="435" t="s">
        <v>1316</v>
      </c>
      <c r="C146" s="95"/>
      <c r="D146" s="435">
        <v>2018.07</v>
      </c>
      <c r="E146" s="435">
        <v>9.0</v>
      </c>
      <c r="F146" s="435">
        <v>1245.0</v>
      </c>
      <c r="G146" s="435" t="s">
        <v>1321</v>
      </c>
      <c r="H146" s="435">
        <v>94.0</v>
      </c>
      <c r="I146" s="435">
        <v>156.0</v>
      </c>
      <c r="J146" s="435">
        <v>28.0</v>
      </c>
      <c r="K146" s="435">
        <v>69.0</v>
      </c>
      <c r="L146" s="435" t="s">
        <v>1187</v>
      </c>
      <c r="M146" s="435">
        <v>3.0</v>
      </c>
      <c r="N146" s="435">
        <v>2.0</v>
      </c>
      <c r="O146" s="95"/>
      <c r="P146" s="95"/>
      <c r="Q146" s="95"/>
      <c r="R146" s="95"/>
      <c r="S146" s="95"/>
      <c r="T146" s="95"/>
      <c r="U146" s="95"/>
      <c r="V146" s="95"/>
      <c r="W146" s="95"/>
      <c r="X146" s="438"/>
      <c r="Y146" s="438"/>
      <c r="Z146" s="438"/>
      <c r="AA146" s="438"/>
      <c r="AB146" s="438"/>
    </row>
    <row r="147">
      <c r="A147" s="429"/>
      <c r="B147" s="435" t="s">
        <v>1316</v>
      </c>
      <c r="C147" s="95"/>
      <c r="D147" s="435">
        <v>2018.07</v>
      </c>
      <c r="E147" s="435">
        <v>9.0</v>
      </c>
      <c r="F147" s="435">
        <v>1245.0</v>
      </c>
      <c r="G147" s="435">
        <v>97.0</v>
      </c>
      <c r="H147" s="435">
        <v>97.0</v>
      </c>
      <c r="I147" s="435">
        <v>523.0</v>
      </c>
      <c r="J147" s="435">
        <v>29.0</v>
      </c>
      <c r="K147" s="435">
        <v>72.0</v>
      </c>
      <c r="L147" s="435" t="s">
        <v>1187</v>
      </c>
      <c r="M147" s="435">
        <v>3.0</v>
      </c>
      <c r="N147" s="435">
        <v>2.0</v>
      </c>
      <c r="O147" s="95"/>
      <c r="P147" s="95"/>
      <c r="Q147" s="95"/>
      <c r="R147" s="95"/>
      <c r="S147" s="95"/>
      <c r="T147" s="95"/>
      <c r="U147" s="95"/>
      <c r="V147" s="95"/>
      <c r="W147" s="95"/>
      <c r="X147" s="438"/>
      <c r="Y147" s="438"/>
      <c r="Z147" s="438"/>
      <c r="AA147" s="438"/>
      <c r="AB147" s="438"/>
    </row>
    <row r="148">
      <c r="A148" s="429"/>
      <c r="B148" s="435" t="s">
        <v>1316</v>
      </c>
      <c r="C148" s="95"/>
      <c r="D148" s="435">
        <v>2018.07</v>
      </c>
      <c r="E148" s="435">
        <v>9.0</v>
      </c>
      <c r="F148" s="435">
        <v>1245.0</v>
      </c>
      <c r="G148" s="435">
        <v>103.0</v>
      </c>
      <c r="H148" s="435">
        <v>103.0</v>
      </c>
      <c r="I148" s="435">
        <v>163.0</v>
      </c>
      <c r="J148" s="435">
        <v>31.0</v>
      </c>
      <c r="K148" s="435">
        <v>76.0</v>
      </c>
      <c r="L148" s="435" t="s">
        <v>1187</v>
      </c>
      <c r="M148" s="435">
        <v>3.0</v>
      </c>
      <c r="N148" s="435">
        <v>2.0</v>
      </c>
      <c r="O148" s="95"/>
      <c r="P148" s="95"/>
      <c r="Q148" s="95"/>
      <c r="R148" s="95"/>
      <c r="S148" s="95"/>
      <c r="T148" s="95"/>
      <c r="U148" s="95"/>
      <c r="V148" s="95"/>
      <c r="W148" s="95"/>
      <c r="X148" s="438"/>
      <c r="Y148" s="438"/>
      <c r="Z148" s="438"/>
      <c r="AA148" s="438"/>
      <c r="AB148" s="438"/>
    </row>
    <row r="149">
      <c r="A149" s="429"/>
      <c r="B149" s="435" t="s">
        <v>1316</v>
      </c>
      <c r="C149" s="164"/>
      <c r="D149" s="435">
        <v>2018.07</v>
      </c>
      <c r="E149" s="435">
        <v>9.0</v>
      </c>
      <c r="F149" s="435">
        <v>1245.0</v>
      </c>
      <c r="G149" s="435">
        <v>118.0</v>
      </c>
      <c r="H149" s="435">
        <v>118.0</v>
      </c>
      <c r="I149" s="435">
        <v>6.0</v>
      </c>
      <c r="J149" s="435">
        <v>36.0</v>
      </c>
      <c r="K149" s="435">
        <v>84.0</v>
      </c>
      <c r="L149" s="435" t="s">
        <v>1187</v>
      </c>
      <c r="M149" s="435">
        <v>3.0</v>
      </c>
      <c r="N149" s="435">
        <v>3.0</v>
      </c>
      <c r="O149" s="164"/>
      <c r="P149" s="164"/>
      <c r="Q149" s="164"/>
      <c r="R149" s="164"/>
      <c r="S149" s="164"/>
      <c r="T149" s="164"/>
      <c r="U149" s="164"/>
      <c r="V149" s="164"/>
      <c r="W149" s="164"/>
      <c r="X149" s="438"/>
      <c r="Y149" s="438"/>
      <c r="Z149" s="438"/>
      <c r="AA149" s="438"/>
      <c r="AB149" s="438"/>
    </row>
    <row r="150">
      <c r="A150" s="429"/>
      <c r="B150" s="435" t="s">
        <v>1316</v>
      </c>
      <c r="C150" s="436" t="s">
        <v>1322</v>
      </c>
      <c r="D150" s="435">
        <v>2018.07</v>
      </c>
      <c r="E150" s="435">
        <v>9.0</v>
      </c>
      <c r="F150" s="435">
        <v>320.0</v>
      </c>
      <c r="G150" s="435" t="s">
        <v>1323</v>
      </c>
      <c r="H150" s="435">
        <v>82.0</v>
      </c>
      <c r="I150" s="435">
        <v>129.0</v>
      </c>
      <c r="J150" s="435">
        <v>25.0</v>
      </c>
      <c r="K150" s="435">
        <v>59.0</v>
      </c>
      <c r="L150" s="435" t="s">
        <v>1187</v>
      </c>
      <c r="M150" s="435">
        <v>3.0</v>
      </c>
      <c r="N150" s="435">
        <v>2.0</v>
      </c>
      <c r="O150" s="437"/>
      <c r="P150" s="437"/>
      <c r="Q150" s="437"/>
      <c r="R150" s="437"/>
      <c r="S150" s="437"/>
      <c r="T150" s="437"/>
      <c r="U150" s="437"/>
      <c r="V150" s="437"/>
      <c r="W150" s="437"/>
      <c r="X150" s="438"/>
      <c r="Y150" s="438"/>
      <c r="Z150" s="438"/>
      <c r="AA150" s="438"/>
      <c r="AB150" s="438"/>
    </row>
    <row r="151">
      <c r="A151" s="429"/>
      <c r="B151" s="435" t="s">
        <v>1316</v>
      </c>
      <c r="C151" s="95"/>
      <c r="D151" s="435">
        <v>2018.07</v>
      </c>
      <c r="E151" s="435">
        <v>9.0</v>
      </c>
      <c r="F151" s="435">
        <v>320.0</v>
      </c>
      <c r="G151" s="435" t="s">
        <v>1324</v>
      </c>
      <c r="H151" s="435">
        <v>95.0</v>
      </c>
      <c r="I151" s="435">
        <v>89.0</v>
      </c>
      <c r="J151" s="435">
        <v>29.0</v>
      </c>
      <c r="K151" s="435">
        <v>69.0</v>
      </c>
      <c r="L151" s="435" t="s">
        <v>1187</v>
      </c>
      <c r="M151" s="435">
        <v>3.0</v>
      </c>
      <c r="N151" s="435">
        <v>2.0</v>
      </c>
      <c r="O151" s="95"/>
      <c r="P151" s="95"/>
      <c r="Q151" s="95"/>
      <c r="R151" s="95"/>
      <c r="S151" s="95"/>
      <c r="T151" s="95"/>
      <c r="U151" s="95"/>
      <c r="V151" s="95"/>
      <c r="W151" s="95"/>
      <c r="X151" s="438"/>
      <c r="Y151" s="438"/>
      <c r="Z151" s="438"/>
      <c r="AA151" s="438"/>
      <c r="AB151" s="438"/>
    </row>
    <row r="152">
      <c r="A152" s="429"/>
      <c r="B152" s="435" t="s">
        <v>1316</v>
      </c>
      <c r="C152" s="95"/>
      <c r="D152" s="435">
        <v>2018.07</v>
      </c>
      <c r="E152" s="435">
        <v>9.0</v>
      </c>
      <c r="F152" s="435">
        <v>320.0</v>
      </c>
      <c r="G152" s="435">
        <v>98.0</v>
      </c>
      <c r="H152" s="435">
        <v>98.0</v>
      </c>
      <c r="I152" s="435">
        <v>64.0</v>
      </c>
      <c r="J152" s="435">
        <v>30.0</v>
      </c>
      <c r="K152" s="435">
        <v>72.0</v>
      </c>
      <c r="L152" s="435" t="s">
        <v>1187</v>
      </c>
      <c r="M152" s="435">
        <v>3.0</v>
      </c>
      <c r="N152" s="435">
        <v>2.0</v>
      </c>
      <c r="O152" s="95"/>
      <c r="P152" s="95"/>
      <c r="Q152" s="95"/>
      <c r="R152" s="95"/>
      <c r="S152" s="95"/>
      <c r="T152" s="95"/>
      <c r="U152" s="95"/>
      <c r="V152" s="95"/>
      <c r="W152" s="95"/>
      <c r="X152" s="438"/>
      <c r="Y152" s="438"/>
      <c r="Z152" s="438"/>
      <c r="AA152" s="438"/>
      <c r="AB152" s="438"/>
    </row>
    <row r="153" ht="15.75" customHeight="1">
      <c r="A153" s="429"/>
      <c r="B153" s="435" t="s">
        <v>1316</v>
      </c>
      <c r="C153" s="164"/>
      <c r="D153" s="435">
        <v>2018.07</v>
      </c>
      <c r="E153" s="435">
        <v>9.0</v>
      </c>
      <c r="F153" s="435">
        <v>320.0</v>
      </c>
      <c r="G153" s="435">
        <v>104.0</v>
      </c>
      <c r="H153" s="435">
        <v>104.0</v>
      </c>
      <c r="I153" s="435">
        <v>38.0</v>
      </c>
      <c r="J153" s="435">
        <v>32.0</v>
      </c>
      <c r="K153" s="435">
        <v>76.0</v>
      </c>
      <c r="L153" s="435" t="s">
        <v>1187</v>
      </c>
      <c r="M153" s="435">
        <v>3.0</v>
      </c>
      <c r="N153" s="435">
        <v>2.0</v>
      </c>
      <c r="O153" s="164"/>
      <c r="P153" s="164"/>
      <c r="Q153" s="164"/>
      <c r="R153" s="164"/>
      <c r="S153" s="164"/>
      <c r="T153" s="164"/>
      <c r="U153" s="164"/>
      <c r="V153" s="164"/>
      <c r="W153" s="164"/>
      <c r="X153" s="438"/>
      <c r="Y153" s="438"/>
      <c r="Z153" s="438"/>
      <c r="AA153" s="438"/>
      <c r="AB153" s="438"/>
    </row>
    <row r="154" ht="15.75" customHeight="1">
      <c r="A154" s="429"/>
      <c r="B154" s="435" t="s">
        <v>1316</v>
      </c>
      <c r="C154" s="436" t="s">
        <v>1325</v>
      </c>
      <c r="D154" s="435">
        <v>1990.03</v>
      </c>
      <c r="E154" s="435">
        <v>37.0</v>
      </c>
      <c r="F154" s="435">
        <v>1016.0</v>
      </c>
      <c r="G154" s="435">
        <v>63.0</v>
      </c>
      <c r="H154" s="435">
        <v>63.0</v>
      </c>
      <c r="I154" s="435">
        <v>240.0</v>
      </c>
      <c r="J154" s="435">
        <v>19.0</v>
      </c>
      <c r="K154" s="435">
        <v>45.0</v>
      </c>
      <c r="L154" s="435" t="s">
        <v>1187</v>
      </c>
      <c r="M154" s="435">
        <v>1.0</v>
      </c>
      <c r="N154" s="435">
        <v>1.0</v>
      </c>
      <c r="O154" s="437"/>
      <c r="P154" s="437"/>
      <c r="Q154" s="437"/>
      <c r="R154" s="437"/>
      <c r="S154" s="437"/>
      <c r="T154" s="437"/>
      <c r="U154" s="437"/>
      <c r="V154" s="437"/>
      <c r="W154" s="437"/>
      <c r="X154" s="438"/>
      <c r="Y154" s="438"/>
      <c r="Z154" s="438"/>
      <c r="AA154" s="438"/>
      <c r="AB154" s="438"/>
    </row>
    <row r="155">
      <c r="A155" s="429"/>
      <c r="B155" s="435" t="s">
        <v>1316</v>
      </c>
      <c r="C155" s="95"/>
      <c r="D155" s="435">
        <v>1990.03</v>
      </c>
      <c r="E155" s="435">
        <v>37.0</v>
      </c>
      <c r="F155" s="435">
        <v>1016.0</v>
      </c>
      <c r="G155" s="435">
        <v>80.0</v>
      </c>
      <c r="H155" s="435">
        <v>80.0</v>
      </c>
      <c r="I155" s="435">
        <v>176.0</v>
      </c>
      <c r="J155" s="435">
        <v>24.0</v>
      </c>
      <c r="K155" s="435">
        <v>58.0</v>
      </c>
      <c r="L155" s="435" t="s">
        <v>1187</v>
      </c>
      <c r="M155" s="435">
        <v>2.0</v>
      </c>
      <c r="N155" s="435">
        <v>1.0</v>
      </c>
      <c r="O155" s="95"/>
      <c r="P155" s="95"/>
      <c r="Q155" s="95"/>
      <c r="R155" s="95"/>
      <c r="S155" s="95"/>
      <c r="T155" s="95"/>
      <c r="U155" s="95"/>
      <c r="V155" s="95"/>
      <c r="W155" s="95"/>
      <c r="X155" s="438"/>
      <c r="Y155" s="438"/>
      <c r="Z155" s="438"/>
      <c r="AA155" s="438"/>
      <c r="AB155" s="438"/>
    </row>
    <row r="156">
      <c r="A156" s="429"/>
      <c r="B156" s="435" t="s">
        <v>1316</v>
      </c>
      <c r="C156" s="95"/>
      <c r="D156" s="435">
        <v>1990.03</v>
      </c>
      <c r="E156" s="435">
        <v>37.0</v>
      </c>
      <c r="F156" s="435">
        <v>1016.0</v>
      </c>
      <c r="G156" s="435">
        <v>82.0</v>
      </c>
      <c r="H156" s="435">
        <v>82.0</v>
      </c>
      <c r="I156" s="435">
        <v>360.0</v>
      </c>
      <c r="J156" s="435">
        <v>25.0</v>
      </c>
      <c r="K156" s="435">
        <v>59.0</v>
      </c>
      <c r="L156" s="435" t="s">
        <v>1187</v>
      </c>
      <c r="M156" s="435">
        <v>2.0</v>
      </c>
      <c r="N156" s="435">
        <v>1.0</v>
      </c>
      <c r="O156" s="95"/>
      <c r="P156" s="95"/>
      <c r="Q156" s="95"/>
      <c r="R156" s="95"/>
      <c r="S156" s="95"/>
      <c r="T156" s="95"/>
      <c r="U156" s="95"/>
      <c r="V156" s="95"/>
      <c r="W156" s="95"/>
      <c r="X156" s="438"/>
      <c r="Y156" s="438"/>
      <c r="Z156" s="438"/>
      <c r="AA156" s="438"/>
      <c r="AB156" s="438"/>
    </row>
    <row r="157">
      <c r="A157" s="429"/>
      <c r="B157" s="435" t="s">
        <v>1316</v>
      </c>
      <c r="C157" s="164"/>
      <c r="D157" s="435">
        <v>1990.03</v>
      </c>
      <c r="E157" s="435">
        <v>37.0</v>
      </c>
      <c r="F157" s="435">
        <v>1016.0</v>
      </c>
      <c r="G157" s="435">
        <v>105.0</v>
      </c>
      <c r="H157" s="435">
        <v>105.0</v>
      </c>
      <c r="I157" s="435">
        <v>240.0</v>
      </c>
      <c r="J157" s="435">
        <v>32.0</v>
      </c>
      <c r="K157" s="435">
        <v>79.0</v>
      </c>
      <c r="L157" s="435" t="s">
        <v>1187</v>
      </c>
      <c r="M157" s="435">
        <v>3.0</v>
      </c>
      <c r="N157" s="435">
        <v>1.0</v>
      </c>
      <c r="O157" s="164"/>
      <c r="P157" s="164"/>
      <c r="Q157" s="164"/>
      <c r="R157" s="164"/>
      <c r="S157" s="164"/>
      <c r="T157" s="164"/>
      <c r="U157" s="164"/>
      <c r="V157" s="164"/>
      <c r="W157" s="164"/>
      <c r="X157" s="438"/>
      <c r="Y157" s="438"/>
      <c r="Z157" s="438"/>
      <c r="AA157" s="438"/>
      <c r="AB157" s="438"/>
    </row>
    <row r="158">
      <c r="A158" s="429"/>
      <c r="B158" s="435" t="s">
        <v>1316</v>
      </c>
      <c r="C158" s="436" t="s">
        <v>1326</v>
      </c>
      <c r="D158" s="435">
        <v>1990.1</v>
      </c>
      <c r="E158" s="435">
        <v>37.0</v>
      </c>
      <c r="F158" s="435">
        <v>1130.0</v>
      </c>
      <c r="G158" s="435">
        <v>63.0</v>
      </c>
      <c r="H158" s="435">
        <v>63.0</v>
      </c>
      <c r="I158" s="435">
        <v>216.0</v>
      </c>
      <c r="J158" s="435">
        <v>19.0</v>
      </c>
      <c r="K158" s="435">
        <v>45.0</v>
      </c>
      <c r="L158" s="435" t="s">
        <v>1250</v>
      </c>
      <c r="M158" s="435">
        <v>2.0</v>
      </c>
      <c r="N158" s="435">
        <v>1.0</v>
      </c>
      <c r="O158" s="437"/>
      <c r="P158" s="437"/>
      <c r="Q158" s="437"/>
      <c r="R158" s="437"/>
      <c r="S158" s="437"/>
      <c r="T158" s="437"/>
      <c r="U158" s="437"/>
      <c r="V158" s="437"/>
      <c r="W158" s="437"/>
      <c r="X158" s="438"/>
      <c r="Y158" s="438"/>
      <c r="Z158" s="438"/>
      <c r="AA158" s="438"/>
      <c r="AB158" s="438"/>
    </row>
    <row r="159">
      <c r="A159" s="429"/>
      <c r="B159" s="435" t="s">
        <v>1316</v>
      </c>
      <c r="C159" s="95"/>
      <c r="D159" s="435">
        <v>1990.1</v>
      </c>
      <c r="E159" s="435">
        <v>37.0</v>
      </c>
      <c r="F159" s="435">
        <v>1130.0</v>
      </c>
      <c r="G159" s="435">
        <v>81.0</v>
      </c>
      <c r="H159" s="435">
        <v>81.0</v>
      </c>
      <c r="I159" s="435">
        <v>350.0</v>
      </c>
      <c r="J159" s="435">
        <v>25.0</v>
      </c>
      <c r="K159" s="435">
        <v>58.0</v>
      </c>
      <c r="L159" s="435" t="s">
        <v>1250</v>
      </c>
      <c r="M159" s="435">
        <v>2.0</v>
      </c>
      <c r="N159" s="435">
        <v>1.0</v>
      </c>
      <c r="O159" s="95"/>
      <c r="P159" s="95"/>
      <c r="Q159" s="95"/>
      <c r="R159" s="95"/>
      <c r="S159" s="95"/>
      <c r="T159" s="95"/>
      <c r="U159" s="95"/>
      <c r="V159" s="95"/>
      <c r="W159" s="95"/>
      <c r="X159" s="438"/>
      <c r="Y159" s="438"/>
      <c r="Z159" s="438"/>
      <c r="AA159" s="438"/>
      <c r="AB159" s="438"/>
    </row>
    <row r="160">
      <c r="A160" s="429"/>
      <c r="B160" s="435" t="s">
        <v>1316</v>
      </c>
      <c r="C160" s="95"/>
      <c r="D160" s="435">
        <v>1990.1</v>
      </c>
      <c r="E160" s="435">
        <v>37.0</v>
      </c>
      <c r="F160" s="435">
        <v>1130.0</v>
      </c>
      <c r="G160" s="435">
        <v>82.0</v>
      </c>
      <c r="H160" s="435">
        <v>82.0</v>
      </c>
      <c r="I160" s="435">
        <v>324.0</v>
      </c>
      <c r="J160" s="435">
        <v>25.0</v>
      </c>
      <c r="K160" s="435">
        <v>59.0</v>
      </c>
      <c r="L160" s="435" t="s">
        <v>1250</v>
      </c>
      <c r="M160" s="435">
        <v>2.0</v>
      </c>
      <c r="N160" s="435">
        <v>1.0</v>
      </c>
      <c r="O160" s="95"/>
      <c r="P160" s="95"/>
      <c r="Q160" s="95"/>
      <c r="R160" s="95"/>
      <c r="S160" s="95"/>
      <c r="T160" s="95"/>
      <c r="U160" s="95"/>
      <c r="V160" s="95"/>
      <c r="W160" s="95"/>
      <c r="X160" s="438"/>
      <c r="Y160" s="438"/>
      <c r="Z160" s="438"/>
      <c r="AA160" s="438"/>
      <c r="AB160" s="438"/>
    </row>
    <row r="161">
      <c r="A161" s="429"/>
      <c r="B161" s="435" t="s">
        <v>1316</v>
      </c>
      <c r="C161" s="164"/>
      <c r="D161" s="435">
        <v>1990.1</v>
      </c>
      <c r="E161" s="435">
        <v>37.0</v>
      </c>
      <c r="F161" s="435">
        <v>1130.0</v>
      </c>
      <c r="G161" s="435">
        <v>105.0</v>
      </c>
      <c r="H161" s="435">
        <v>105.0</v>
      </c>
      <c r="I161" s="435">
        <v>240.0</v>
      </c>
      <c r="J161" s="435">
        <v>32.0</v>
      </c>
      <c r="K161" s="435">
        <v>79.0</v>
      </c>
      <c r="L161" s="435" t="s">
        <v>1250</v>
      </c>
      <c r="M161" s="435">
        <v>3.0</v>
      </c>
      <c r="N161" s="435">
        <v>1.0</v>
      </c>
      <c r="O161" s="164"/>
      <c r="P161" s="164"/>
      <c r="Q161" s="164"/>
      <c r="R161" s="164"/>
      <c r="S161" s="164"/>
      <c r="T161" s="164"/>
      <c r="U161" s="164"/>
      <c r="V161" s="164"/>
      <c r="W161" s="164"/>
      <c r="X161" s="438"/>
      <c r="Y161" s="438"/>
      <c r="Z161" s="438"/>
      <c r="AA161" s="438"/>
      <c r="AB161" s="438"/>
    </row>
    <row r="162">
      <c r="A162" s="429"/>
      <c r="B162" s="435" t="s">
        <v>1316</v>
      </c>
      <c r="C162" s="436" t="s">
        <v>1327</v>
      </c>
      <c r="D162" s="435">
        <v>1992.08</v>
      </c>
      <c r="E162" s="435">
        <v>35.0</v>
      </c>
      <c r="F162" s="435">
        <v>1436.0</v>
      </c>
      <c r="G162" s="435">
        <v>50.0</v>
      </c>
      <c r="H162" s="435">
        <v>50.0</v>
      </c>
      <c r="I162" s="435">
        <v>480.0</v>
      </c>
      <c r="J162" s="435">
        <v>15.0</v>
      </c>
      <c r="K162" s="435">
        <v>38.0</v>
      </c>
      <c r="L162" s="435" t="s">
        <v>1250</v>
      </c>
      <c r="M162" s="435">
        <v>2.0</v>
      </c>
      <c r="N162" s="435">
        <v>1.0</v>
      </c>
      <c r="O162" s="437"/>
      <c r="P162" s="437"/>
      <c r="Q162" s="437"/>
      <c r="R162" s="437"/>
      <c r="S162" s="437"/>
      <c r="T162" s="437"/>
      <c r="U162" s="437"/>
      <c r="V162" s="437"/>
      <c r="W162" s="437"/>
      <c r="X162" s="438"/>
      <c r="Y162" s="438"/>
      <c r="Z162" s="438"/>
      <c r="AA162" s="438"/>
      <c r="AB162" s="438"/>
    </row>
    <row r="163">
      <c r="A163" s="429"/>
      <c r="B163" s="435" t="s">
        <v>1316</v>
      </c>
      <c r="C163" s="95"/>
      <c r="D163" s="435">
        <v>1992.08</v>
      </c>
      <c r="E163" s="435">
        <v>35.0</v>
      </c>
      <c r="F163" s="435">
        <v>1436.0</v>
      </c>
      <c r="G163" s="435">
        <v>55.0</v>
      </c>
      <c r="H163" s="435">
        <v>55.0</v>
      </c>
      <c r="I163" s="435">
        <v>6.0</v>
      </c>
      <c r="J163" s="435">
        <v>17.0</v>
      </c>
      <c r="K163" s="435">
        <v>43.0</v>
      </c>
      <c r="L163" s="435" t="s">
        <v>1250</v>
      </c>
      <c r="M163" s="435">
        <v>2.0</v>
      </c>
      <c r="N163" s="435">
        <v>1.0</v>
      </c>
      <c r="O163" s="95"/>
      <c r="P163" s="95"/>
      <c r="Q163" s="95"/>
      <c r="R163" s="95"/>
      <c r="S163" s="95"/>
      <c r="T163" s="95"/>
      <c r="U163" s="95"/>
      <c r="V163" s="95"/>
      <c r="W163" s="95"/>
      <c r="X163" s="438"/>
      <c r="Y163" s="438"/>
      <c r="Z163" s="438"/>
      <c r="AA163" s="438"/>
      <c r="AB163" s="438"/>
    </row>
    <row r="164">
      <c r="A164" s="429"/>
      <c r="B164" s="435" t="s">
        <v>1316</v>
      </c>
      <c r="C164" s="95"/>
      <c r="D164" s="435">
        <v>1992.08</v>
      </c>
      <c r="E164" s="435">
        <v>35.0</v>
      </c>
      <c r="F164" s="435">
        <v>1436.0</v>
      </c>
      <c r="G164" s="435" t="s">
        <v>1328</v>
      </c>
      <c r="H164" s="435">
        <v>57.0</v>
      </c>
      <c r="I164" s="435">
        <v>180.0</v>
      </c>
      <c r="J164" s="435">
        <v>17.0</v>
      </c>
      <c r="K164" s="435">
        <v>45.0</v>
      </c>
      <c r="L164" s="435" t="s">
        <v>1187</v>
      </c>
      <c r="M164" s="435">
        <v>2.0</v>
      </c>
      <c r="N164" s="435">
        <v>1.0</v>
      </c>
      <c r="O164" s="95"/>
      <c r="P164" s="95"/>
      <c r="Q164" s="95"/>
      <c r="R164" s="95"/>
      <c r="S164" s="95"/>
      <c r="T164" s="95"/>
      <c r="U164" s="95"/>
      <c r="V164" s="95"/>
      <c r="W164" s="95"/>
      <c r="X164" s="438"/>
      <c r="Y164" s="438"/>
      <c r="Z164" s="438"/>
      <c r="AA164" s="438"/>
      <c r="AB164" s="438"/>
    </row>
    <row r="165">
      <c r="A165" s="429"/>
      <c r="B165" s="435" t="s">
        <v>1316</v>
      </c>
      <c r="C165" s="95"/>
      <c r="D165" s="435">
        <v>1992.08</v>
      </c>
      <c r="E165" s="435">
        <v>35.0</v>
      </c>
      <c r="F165" s="435">
        <v>1436.0</v>
      </c>
      <c r="G165" s="435" t="s">
        <v>1329</v>
      </c>
      <c r="H165" s="435">
        <v>58.0</v>
      </c>
      <c r="I165" s="435">
        <v>240.0</v>
      </c>
      <c r="J165" s="435">
        <v>18.0</v>
      </c>
      <c r="K165" s="435">
        <v>44.0</v>
      </c>
      <c r="L165" s="435" t="s">
        <v>1250</v>
      </c>
      <c r="M165" s="435">
        <v>2.0</v>
      </c>
      <c r="N165" s="435">
        <v>1.0</v>
      </c>
      <c r="O165" s="95"/>
      <c r="P165" s="95"/>
      <c r="Q165" s="95"/>
      <c r="R165" s="95"/>
      <c r="S165" s="95"/>
      <c r="T165" s="95"/>
      <c r="U165" s="95"/>
      <c r="V165" s="95"/>
      <c r="W165" s="95"/>
      <c r="X165" s="438"/>
      <c r="Y165" s="438"/>
      <c r="Z165" s="438"/>
      <c r="AA165" s="438"/>
      <c r="AB165" s="438"/>
    </row>
    <row r="166">
      <c r="A166" s="429"/>
      <c r="B166" s="435" t="s">
        <v>1316</v>
      </c>
      <c r="C166" s="95"/>
      <c r="D166" s="435">
        <v>1992.08</v>
      </c>
      <c r="E166" s="435">
        <v>35.0</v>
      </c>
      <c r="F166" s="435">
        <v>1436.0</v>
      </c>
      <c r="G166" s="435" t="s">
        <v>1330</v>
      </c>
      <c r="H166" s="435">
        <v>66.0</v>
      </c>
      <c r="I166" s="435">
        <v>353.0</v>
      </c>
      <c r="J166" s="435">
        <v>20.0</v>
      </c>
      <c r="K166" s="435">
        <v>52.0</v>
      </c>
      <c r="L166" s="435" t="s">
        <v>1250</v>
      </c>
      <c r="M166" s="435">
        <v>2.0</v>
      </c>
      <c r="N166" s="435">
        <v>1.0</v>
      </c>
      <c r="O166" s="95"/>
      <c r="P166" s="95"/>
      <c r="Q166" s="95"/>
      <c r="R166" s="95"/>
      <c r="S166" s="95"/>
      <c r="T166" s="95"/>
      <c r="U166" s="95"/>
      <c r="V166" s="95"/>
      <c r="W166" s="95"/>
      <c r="X166" s="438"/>
      <c r="Y166" s="438"/>
      <c r="Z166" s="438"/>
      <c r="AA166" s="438"/>
      <c r="AB166" s="438"/>
    </row>
    <row r="167">
      <c r="A167" s="429"/>
      <c r="B167" s="435" t="s">
        <v>1316</v>
      </c>
      <c r="C167" s="95"/>
      <c r="D167" s="435">
        <v>1992.08</v>
      </c>
      <c r="E167" s="435">
        <v>35.0</v>
      </c>
      <c r="F167" s="435">
        <v>1436.0</v>
      </c>
      <c r="G167" s="435" t="s">
        <v>1331</v>
      </c>
      <c r="H167" s="435">
        <v>67.0</v>
      </c>
      <c r="I167" s="435">
        <v>1.0</v>
      </c>
      <c r="J167" s="435">
        <v>20.0</v>
      </c>
      <c r="K167" s="435">
        <v>52.0</v>
      </c>
      <c r="L167" s="435" t="s">
        <v>1187</v>
      </c>
      <c r="M167" s="435">
        <v>2.0</v>
      </c>
      <c r="N167" s="435">
        <v>1.0</v>
      </c>
      <c r="O167" s="95"/>
      <c r="P167" s="95"/>
      <c r="Q167" s="95"/>
      <c r="R167" s="95"/>
      <c r="S167" s="95"/>
      <c r="T167" s="95"/>
      <c r="U167" s="95"/>
      <c r="V167" s="95"/>
      <c r="W167" s="95"/>
      <c r="X167" s="438"/>
      <c r="Y167" s="438"/>
      <c r="Z167" s="438"/>
      <c r="AA167" s="438"/>
      <c r="AB167" s="438"/>
    </row>
    <row r="168">
      <c r="A168" s="429"/>
      <c r="B168" s="435" t="s">
        <v>1316</v>
      </c>
      <c r="C168" s="164"/>
      <c r="D168" s="435">
        <v>1992.08</v>
      </c>
      <c r="E168" s="435">
        <v>35.0</v>
      </c>
      <c r="F168" s="435">
        <v>1436.0</v>
      </c>
      <c r="G168" s="435">
        <v>78.0</v>
      </c>
      <c r="H168" s="435">
        <v>78.0</v>
      </c>
      <c r="I168" s="435">
        <v>176.0</v>
      </c>
      <c r="J168" s="435">
        <v>24.0</v>
      </c>
      <c r="K168" s="435">
        <v>58.0</v>
      </c>
      <c r="L168" s="435" t="s">
        <v>1250</v>
      </c>
      <c r="M168" s="435">
        <v>2.0</v>
      </c>
      <c r="N168" s="435">
        <v>1.0</v>
      </c>
      <c r="O168" s="164"/>
      <c r="P168" s="164"/>
      <c r="Q168" s="164"/>
      <c r="R168" s="164"/>
      <c r="S168" s="164"/>
      <c r="T168" s="164"/>
      <c r="U168" s="164"/>
      <c r="V168" s="164"/>
      <c r="W168" s="164"/>
      <c r="X168" s="438"/>
      <c r="Y168" s="438"/>
      <c r="Z168" s="438"/>
      <c r="AA168" s="438"/>
      <c r="AB168" s="438"/>
    </row>
    <row r="169">
      <c r="A169" s="429"/>
      <c r="B169" s="435" t="s">
        <v>1316</v>
      </c>
      <c r="C169" s="436" t="s">
        <v>1332</v>
      </c>
      <c r="D169" s="435">
        <v>1992.08</v>
      </c>
      <c r="E169" s="435">
        <v>35.0</v>
      </c>
      <c r="F169" s="435">
        <v>720.0</v>
      </c>
      <c r="G169" s="435">
        <v>50.0</v>
      </c>
      <c r="H169" s="435">
        <v>50.0</v>
      </c>
      <c r="I169" s="435">
        <v>480.0</v>
      </c>
      <c r="J169" s="435">
        <v>15.0</v>
      </c>
      <c r="K169" s="435">
        <v>38.0</v>
      </c>
      <c r="L169" s="435" t="s">
        <v>1250</v>
      </c>
      <c r="M169" s="435">
        <v>2.0</v>
      </c>
      <c r="N169" s="435">
        <v>1.0</v>
      </c>
      <c r="O169" s="437"/>
      <c r="P169" s="437"/>
      <c r="Q169" s="437"/>
      <c r="R169" s="437"/>
      <c r="S169" s="437"/>
      <c r="T169" s="437"/>
      <c r="U169" s="437"/>
      <c r="V169" s="437"/>
      <c r="W169" s="437"/>
      <c r="X169" s="438"/>
      <c r="Y169" s="438"/>
      <c r="Z169" s="438"/>
      <c r="AA169" s="438"/>
      <c r="AB169" s="438"/>
    </row>
    <row r="170">
      <c r="A170" s="429"/>
      <c r="B170" s="435" t="s">
        <v>1316</v>
      </c>
      <c r="C170" s="164"/>
      <c r="D170" s="435">
        <v>1992.08</v>
      </c>
      <c r="E170" s="435">
        <v>35.0</v>
      </c>
      <c r="F170" s="435">
        <v>720.0</v>
      </c>
      <c r="G170" s="435">
        <v>58.0</v>
      </c>
      <c r="H170" s="435">
        <v>58.0</v>
      </c>
      <c r="I170" s="435">
        <v>240.0</v>
      </c>
      <c r="J170" s="435">
        <v>18.0</v>
      </c>
      <c r="K170" s="435">
        <v>44.0</v>
      </c>
      <c r="L170" s="435" t="s">
        <v>1250</v>
      </c>
      <c r="M170" s="435">
        <v>2.0</v>
      </c>
      <c r="N170" s="435">
        <v>1.0</v>
      </c>
      <c r="O170" s="164"/>
      <c r="P170" s="164"/>
      <c r="Q170" s="164"/>
      <c r="R170" s="164"/>
      <c r="S170" s="164"/>
      <c r="T170" s="164"/>
      <c r="U170" s="164"/>
      <c r="V170" s="164"/>
      <c r="W170" s="164"/>
      <c r="X170" s="438"/>
      <c r="Y170" s="438"/>
      <c r="Z170" s="438"/>
      <c r="AA170" s="438"/>
      <c r="AB170" s="438"/>
    </row>
    <row r="171">
      <c r="A171" s="429"/>
      <c r="B171" s="435" t="s">
        <v>1333</v>
      </c>
      <c r="C171" s="436" t="s">
        <v>1334</v>
      </c>
      <c r="D171" s="435">
        <v>2007.07</v>
      </c>
      <c r="E171" s="435">
        <v>20.0</v>
      </c>
      <c r="F171" s="435">
        <v>349.0</v>
      </c>
      <c r="G171" s="435">
        <v>95.0</v>
      </c>
      <c r="H171" s="435">
        <v>95.0</v>
      </c>
      <c r="I171" s="435">
        <v>51.0</v>
      </c>
      <c r="J171" s="435">
        <v>29.0</v>
      </c>
      <c r="K171" s="435">
        <v>74.0</v>
      </c>
      <c r="L171" s="435" t="s">
        <v>1187</v>
      </c>
      <c r="M171" s="435">
        <v>3.0</v>
      </c>
      <c r="N171" s="435">
        <v>2.0</v>
      </c>
      <c r="O171" s="437"/>
      <c r="P171" s="437"/>
      <c r="Q171" s="437"/>
      <c r="R171" s="437"/>
      <c r="S171" s="437"/>
      <c r="T171" s="437"/>
      <c r="U171" s="437"/>
      <c r="V171" s="437"/>
      <c r="W171" s="437"/>
      <c r="X171" s="438"/>
      <c r="Y171" s="438"/>
      <c r="Z171" s="438"/>
      <c r="AA171" s="438"/>
      <c r="AB171" s="438"/>
    </row>
    <row r="172">
      <c r="A172" s="429"/>
      <c r="B172" s="435" t="s">
        <v>1333</v>
      </c>
      <c r="C172" s="164"/>
      <c r="D172" s="435">
        <v>2007.07</v>
      </c>
      <c r="E172" s="435">
        <v>20.0</v>
      </c>
      <c r="F172" s="435">
        <v>349.0</v>
      </c>
      <c r="G172" s="435" t="s">
        <v>1335</v>
      </c>
      <c r="H172" s="435">
        <v>109.0</v>
      </c>
      <c r="I172" s="435">
        <v>298.0</v>
      </c>
      <c r="J172" s="435">
        <v>33.0</v>
      </c>
      <c r="K172" s="435">
        <v>84.0</v>
      </c>
      <c r="L172" s="435" t="s">
        <v>1187</v>
      </c>
      <c r="M172" s="435">
        <v>3.0</v>
      </c>
      <c r="N172" s="435">
        <v>2.0</v>
      </c>
      <c r="O172" s="164"/>
      <c r="P172" s="164"/>
      <c r="Q172" s="164"/>
      <c r="R172" s="164"/>
      <c r="S172" s="164"/>
      <c r="T172" s="164"/>
      <c r="U172" s="164"/>
      <c r="V172" s="164"/>
      <c r="W172" s="164"/>
      <c r="X172" s="438"/>
      <c r="Y172" s="438"/>
      <c r="Z172" s="438"/>
      <c r="AA172" s="438"/>
      <c r="AB172" s="438"/>
    </row>
    <row r="173">
      <c r="A173" s="429"/>
      <c r="B173" s="435" t="s">
        <v>1333</v>
      </c>
      <c r="C173" s="436" t="s">
        <v>1125</v>
      </c>
      <c r="D173" s="435">
        <v>1979.04</v>
      </c>
      <c r="E173" s="435">
        <v>48.0</v>
      </c>
      <c r="F173" s="435">
        <v>425.0</v>
      </c>
      <c r="G173" s="435" t="s">
        <v>1336</v>
      </c>
      <c r="H173" s="435">
        <v>55.0</v>
      </c>
      <c r="I173" s="435">
        <v>160.0</v>
      </c>
      <c r="J173" s="435">
        <v>17.0</v>
      </c>
      <c r="K173" s="435">
        <v>55.0</v>
      </c>
      <c r="L173" s="435" t="s">
        <v>1187</v>
      </c>
      <c r="M173" s="435">
        <v>2.0</v>
      </c>
      <c r="N173" s="435">
        <v>1.0</v>
      </c>
      <c r="O173" s="437"/>
      <c r="P173" s="437"/>
      <c r="Q173" s="437"/>
      <c r="R173" s="437"/>
      <c r="S173" s="437"/>
      <c r="T173" s="437"/>
      <c r="U173" s="437"/>
      <c r="V173" s="437"/>
      <c r="W173" s="437"/>
      <c r="X173" s="438"/>
      <c r="Y173" s="438"/>
      <c r="Z173" s="438"/>
      <c r="AA173" s="438"/>
      <c r="AB173" s="438"/>
    </row>
    <row r="174">
      <c r="A174" s="429"/>
      <c r="B174" s="435" t="s">
        <v>1333</v>
      </c>
      <c r="C174" s="95"/>
      <c r="D174" s="435">
        <v>1979.04</v>
      </c>
      <c r="E174" s="435">
        <v>48.0</v>
      </c>
      <c r="F174" s="435">
        <v>425.0</v>
      </c>
      <c r="G174" s="435" t="s">
        <v>1337</v>
      </c>
      <c r="H174" s="435">
        <v>55.0</v>
      </c>
      <c r="I174" s="435">
        <v>60.0</v>
      </c>
      <c r="J174" s="435">
        <v>17.0</v>
      </c>
      <c r="K174" s="435">
        <v>54.0</v>
      </c>
      <c r="L174" s="435" t="s">
        <v>1187</v>
      </c>
      <c r="M174" s="435">
        <v>2.0</v>
      </c>
      <c r="N174" s="435">
        <v>1.0</v>
      </c>
      <c r="O174" s="95"/>
      <c r="P174" s="95"/>
      <c r="Q174" s="95"/>
      <c r="R174" s="95"/>
      <c r="S174" s="95"/>
      <c r="T174" s="95"/>
      <c r="U174" s="95"/>
      <c r="V174" s="95"/>
      <c r="W174" s="95"/>
      <c r="X174" s="438"/>
      <c r="Y174" s="438"/>
      <c r="Z174" s="438"/>
      <c r="AA174" s="438"/>
      <c r="AB174" s="438"/>
    </row>
    <row r="175">
      <c r="A175" s="429"/>
      <c r="B175" s="435" t="s">
        <v>1333</v>
      </c>
      <c r="C175" s="95"/>
      <c r="D175" s="435">
        <v>1979.04</v>
      </c>
      <c r="E175" s="435">
        <v>48.0</v>
      </c>
      <c r="F175" s="435">
        <v>425.0</v>
      </c>
      <c r="G175" s="435" t="s">
        <v>1338</v>
      </c>
      <c r="H175" s="435">
        <v>61.0</v>
      </c>
      <c r="I175" s="435">
        <v>5.0</v>
      </c>
      <c r="J175" s="435">
        <v>18.0</v>
      </c>
      <c r="K175" s="435">
        <v>61.0</v>
      </c>
      <c r="L175" s="435" t="s">
        <v>1187</v>
      </c>
      <c r="M175" s="435">
        <v>3.0</v>
      </c>
      <c r="N175" s="435">
        <v>1.0</v>
      </c>
      <c r="O175" s="95"/>
      <c r="P175" s="95"/>
      <c r="Q175" s="95"/>
      <c r="R175" s="95"/>
      <c r="S175" s="95"/>
      <c r="T175" s="95"/>
      <c r="U175" s="95"/>
      <c r="V175" s="95"/>
      <c r="W175" s="95"/>
      <c r="X175" s="438"/>
      <c r="Y175" s="438"/>
      <c r="Z175" s="438"/>
      <c r="AA175" s="438"/>
      <c r="AB175" s="438"/>
    </row>
    <row r="176">
      <c r="A176" s="429"/>
      <c r="B176" s="435" t="s">
        <v>1333</v>
      </c>
      <c r="C176" s="95"/>
      <c r="D176" s="435">
        <v>1979.04</v>
      </c>
      <c r="E176" s="435">
        <v>48.0</v>
      </c>
      <c r="F176" s="435">
        <v>425.0</v>
      </c>
      <c r="G176" s="435" t="s">
        <v>1339</v>
      </c>
      <c r="H176" s="435">
        <v>62.0</v>
      </c>
      <c r="I176" s="435">
        <v>5.0</v>
      </c>
      <c r="J176" s="435">
        <v>19.0</v>
      </c>
      <c r="K176" s="435">
        <v>60.0</v>
      </c>
      <c r="L176" s="435" t="s">
        <v>1187</v>
      </c>
      <c r="M176" s="435">
        <v>3.0</v>
      </c>
      <c r="N176" s="435">
        <v>1.0</v>
      </c>
      <c r="O176" s="95"/>
      <c r="P176" s="95"/>
      <c r="Q176" s="95"/>
      <c r="R176" s="95"/>
      <c r="S176" s="95"/>
      <c r="T176" s="95"/>
      <c r="U176" s="95"/>
      <c r="V176" s="95"/>
      <c r="W176" s="95"/>
      <c r="X176" s="438"/>
      <c r="Y176" s="438"/>
      <c r="Z176" s="438"/>
      <c r="AA176" s="438"/>
      <c r="AB176" s="438"/>
    </row>
    <row r="177">
      <c r="A177" s="429"/>
      <c r="B177" s="435" t="s">
        <v>1333</v>
      </c>
      <c r="C177" s="95"/>
      <c r="D177" s="435">
        <v>1979.04</v>
      </c>
      <c r="E177" s="435">
        <v>48.0</v>
      </c>
      <c r="F177" s="435">
        <v>425.0</v>
      </c>
      <c r="G177" s="435">
        <v>67.0</v>
      </c>
      <c r="H177" s="435">
        <v>67.0</v>
      </c>
      <c r="I177" s="435">
        <v>90.0</v>
      </c>
      <c r="J177" s="435">
        <v>20.0</v>
      </c>
      <c r="K177" s="435">
        <v>65.0</v>
      </c>
      <c r="L177" s="435" t="s">
        <v>1187</v>
      </c>
      <c r="M177" s="435">
        <v>3.0</v>
      </c>
      <c r="N177" s="435">
        <v>1.0</v>
      </c>
      <c r="O177" s="95"/>
      <c r="P177" s="95"/>
      <c r="Q177" s="95"/>
      <c r="R177" s="95"/>
      <c r="S177" s="95"/>
      <c r="T177" s="95"/>
      <c r="U177" s="95"/>
      <c r="V177" s="95"/>
      <c r="W177" s="95"/>
      <c r="X177" s="438"/>
      <c r="Y177" s="438"/>
      <c r="Z177" s="438"/>
      <c r="AA177" s="438"/>
      <c r="AB177" s="438"/>
    </row>
    <row r="178">
      <c r="A178" s="429"/>
      <c r="B178" s="435" t="s">
        <v>1333</v>
      </c>
      <c r="C178" s="95"/>
      <c r="D178" s="435">
        <v>1979.04</v>
      </c>
      <c r="E178" s="435">
        <v>48.0</v>
      </c>
      <c r="F178" s="435">
        <v>425.0</v>
      </c>
      <c r="G178" s="435">
        <v>68.0</v>
      </c>
      <c r="H178" s="435">
        <v>68.0</v>
      </c>
      <c r="I178" s="435">
        <v>100.0</v>
      </c>
      <c r="J178" s="435">
        <v>21.0</v>
      </c>
      <c r="K178" s="435">
        <v>68.0</v>
      </c>
      <c r="L178" s="435" t="s">
        <v>1187</v>
      </c>
      <c r="M178" s="435">
        <v>3.0</v>
      </c>
      <c r="N178" s="435">
        <v>1.0</v>
      </c>
      <c r="O178" s="95"/>
      <c r="P178" s="95"/>
      <c r="Q178" s="95"/>
      <c r="R178" s="95"/>
      <c r="S178" s="95"/>
      <c r="T178" s="95"/>
      <c r="U178" s="95"/>
      <c r="V178" s="95"/>
      <c r="W178" s="95"/>
      <c r="X178" s="438"/>
      <c r="Y178" s="438"/>
      <c r="Z178" s="438"/>
      <c r="AA178" s="438"/>
      <c r="AB178" s="438"/>
    </row>
    <row r="179">
      <c r="A179" s="429"/>
      <c r="B179" s="435" t="s">
        <v>1333</v>
      </c>
      <c r="C179" s="164"/>
      <c r="D179" s="435">
        <v>1979.04</v>
      </c>
      <c r="E179" s="435">
        <v>48.0</v>
      </c>
      <c r="F179" s="435">
        <v>425.0</v>
      </c>
      <c r="G179" s="435">
        <v>74.0</v>
      </c>
      <c r="H179" s="435">
        <v>74.0</v>
      </c>
      <c r="I179" s="435">
        <v>5.0</v>
      </c>
      <c r="J179" s="435">
        <v>22.0</v>
      </c>
      <c r="K179" s="435">
        <v>72.0</v>
      </c>
      <c r="L179" s="435" t="s">
        <v>1187</v>
      </c>
      <c r="M179" s="435">
        <v>3.0</v>
      </c>
      <c r="N179" s="435">
        <v>1.0</v>
      </c>
      <c r="O179" s="164"/>
      <c r="P179" s="164"/>
      <c r="Q179" s="164"/>
      <c r="R179" s="164"/>
      <c r="S179" s="164"/>
      <c r="T179" s="164"/>
      <c r="U179" s="164"/>
      <c r="V179" s="164"/>
      <c r="W179" s="164"/>
      <c r="X179" s="438"/>
      <c r="Y179" s="438"/>
      <c r="Z179" s="438"/>
      <c r="AA179" s="438"/>
      <c r="AB179" s="438"/>
    </row>
    <row r="180">
      <c r="A180" s="429"/>
      <c r="B180" s="435" t="s">
        <v>1333</v>
      </c>
      <c r="C180" s="436" t="s">
        <v>1340</v>
      </c>
      <c r="D180" s="435">
        <v>2023.02</v>
      </c>
      <c r="E180" s="435">
        <v>4.0</v>
      </c>
      <c r="F180" s="435">
        <v>419.0</v>
      </c>
      <c r="G180" s="435" t="s">
        <v>1341</v>
      </c>
      <c r="H180" s="435">
        <v>71.0</v>
      </c>
      <c r="I180" s="435">
        <v>128.0</v>
      </c>
      <c r="J180" s="435">
        <v>22.0</v>
      </c>
      <c r="K180" s="435">
        <v>49.0</v>
      </c>
      <c r="L180" s="435" t="s">
        <v>1187</v>
      </c>
      <c r="M180" s="435">
        <v>2.0</v>
      </c>
      <c r="N180" s="435">
        <v>2.0</v>
      </c>
      <c r="O180" s="437"/>
      <c r="P180" s="437"/>
      <c r="Q180" s="437"/>
      <c r="R180" s="437"/>
      <c r="S180" s="437"/>
      <c r="T180" s="437"/>
      <c r="U180" s="437"/>
      <c r="V180" s="437"/>
      <c r="W180" s="437"/>
      <c r="X180" s="438"/>
      <c r="Y180" s="438"/>
      <c r="Z180" s="438"/>
      <c r="AA180" s="438"/>
      <c r="AB180" s="438"/>
    </row>
    <row r="181">
      <c r="A181" s="429"/>
      <c r="B181" s="435" t="s">
        <v>1333</v>
      </c>
      <c r="C181" s="95"/>
      <c r="D181" s="435">
        <v>2023.02</v>
      </c>
      <c r="E181" s="435">
        <v>4.0</v>
      </c>
      <c r="F181" s="435">
        <v>419.0</v>
      </c>
      <c r="G181" s="435" t="s">
        <v>1342</v>
      </c>
      <c r="H181" s="435">
        <v>80.0</v>
      </c>
      <c r="I181" s="435">
        <v>206.0</v>
      </c>
      <c r="J181" s="435">
        <v>24.0</v>
      </c>
      <c r="K181" s="435">
        <v>59.0</v>
      </c>
      <c r="L181" s="435" t="s">
        <v>1187</v>
      </c>
      <c r="M181" s="435">
        <v>3.0</v>
      </c>
      <c r="N181" s="435">
        <v>2.0</v>
      </c>
      <c r="O181" s="95"/>
      <c r="P181" s="95"/>
      <c r="Q181" s="95"/>
      <c r="R181" s="95"/>
      <c r="S181" s="95"/>
      <c r="T181" s="95"/>
      <c r="U181" s="95"/>
      <c r="V181" s="95"/>
      <c r="W181" s="95"/>
      <c r="X181" s="438"/>
      <c r="Y181" s="438"/>
      <c r="Z181" s="438"/>
      <c r="AA181" s="438"/>
      <c r="AB181" s="438"/>
    </row>
    <row r="182">
      <c r="A182" s="429"/>
      <c r="B182" s="435" t="s">
        <v>1333</v>
      </c>
      <c r="C182" s="164"/>
      <c r="D182" s="435">
        <v>2023.02</v>
      </c>
      <c r="E182" s="435">
        <v>4.0</v>
      </c>
      <c r="F182" s="435">
        <v>419.0</v>
      </c>
      <c r="G182" s="435">
        <v>98.0</v>
      </c>
      <c r="H182" s="435">
        <v>98.0</v>
      </c>
      <c r="I182" s="435">
        <v>85.0</v>
      </c>
      <c r="J182" s="435">
        <v>30.0</v>
      </c>
      <c r="K182" s="435">
        <v>74.0</v>
      </c>
      <c r="L182" s="435" t="s">
        <v>1187</v>
      </c>
      <c r="M182" s="435">
        <v>3.0</v>
      </c>
      <c r="N182" s="435">
        <v>2.0</v>
      </c>
      <c r="O182" s="164"/>
      <c r="P182" s="164"/>
      <c r="Q182" s="164"/>
      <c r="R182" s="164"/>
      <c r="S182" s="164"/>
      <c r="T182" s="164"/>
      <c r="U182" s="164"/>
      <c r="V182" s="164"/>
      <c r="W182" s="164"/>
      <c r="X182" s="438"/>
      <c r="Y182" s="438"/>
      <c r="Z182" s="438"/>
      <c r="AA182" s="438"/>
      <c r="AB182" s="438"/>
    </row>
    <row r="183">
      <c r="A183" s="429"/>
      <c r="B183" s="435" t="s">
        <v>1333</v>
      </c>
      <c r="C183" s="436" t="s">
        <v>1343</v>
      </c>
      <c r="D183" s="435">
        <v>1996.1</v>
      </c>
      <c r="E183" s="435">
        <v>31.0</v>
      </c>
      <c r="F183" s="435">
        <v>571.0</v>
      </c>
      <c r="G183" s="435">
        <v>56.0</v>
      </c>
      <c r="H183" s="435">
        <v>56.0</v>
      </c>
      <c r="I183" s="435">
        <v>275.0</v>
      </c>
      <c r="J183" s="435">
        <v>17.0</v>
      </c>
      <c r="K183" s="435">
        <v>42.0</v>
      </c>
      <c r="L183" s="435" t="s">
        <v>1250</v>
      </c>
      <c r="M183" s="435">
        <v>2.0</v>
      </c>
      <c r="N183" s="435">
        <v>1.0</v>
      </c>
      <c r="O183" s="437"/>
      <c r="P183" s="437"/>
      <c r="Q183" s="437"/>
      <c r="R183" s="437"/>
      <c r="S183" s="437"/>
      <c r="T183" s="437"/>
      <c r="U183" s="437"/>
      <c r="V183" s="437"/>
      <c r="W183" s="437"/>
      <c r="X183" s="438"/>
      <c r="Y183" s="438"/>
      <c r="Z183" s="438"/>
      <c r="AA183" s="438"/>
      <c r="AB183" s="438"/>
    </row>
    <row r="184">
      <c r="A184" s="429"/>
      <c r="B184" s="435" t="s">
        <v>1333</v>
      </c>
      <c r="C184" s="95"/>
      <c r="D184" s="435">
        <v>1996.1</v>
      </c>
      <c r="E184" s="435">
        <v>31.0</v>
      </c>
      <c r="F184" s="435">
        <v>571.0</v>
      </c>
      <c r="G184" s="435">
        <v>61.0</v>
      </c>
      <c r="H184" s="435">
        <v>61.0</v>
      </c>
      <c r="I184" s="435">
        <v>124.0</v>
      </c>
      <c r="J184" s="435">
        <v>18.0</v>
      </c>
      <c r="K184" s="435">
        <v>45.0</v>
      </c>
      <c r="L184" s="435" t="s">
        <v>1250</v>
      </c>
      <c r="M184" s="435">
        <v>2.0</v>
      </c>
      <c r="N184" s="435">
        <v>1.0</v>
      </c>
      <c r="O184" s="95"/>
      <c r="P184" s="95"/>
      <c r="Q184" s="95"/>
      <c r="R184" s="95"/>
      <c r="S184" s="95"/>
      <c r="T184" s="95"/>
      <c r="U184" s="95"/>
      <c r="V184" s="95"/>
      <c r="W184" s="95"/>
      <c r="X184" s="438"/>
      <c r="Y184" s="438"/>
      <c r="Z184" s="438"/>
      <c r="AA184" s="438"/>
      <c r="AB184" s="438"/>
    </row>
    <row r="185">
      <c r="A185" s="429"/>
      <c r="B185" s="435" t="s">
        <v>1333</v>
      </c>
      <c r="C185" s="95"/>
      <c r="D185" s="435">
        <v>1996.1</v>
      </c>
      <c r="E185" s="435">
        <v>31.0</v>
      </c>
      <c r="F185" s="435">
        <v>571.0</v>
      </c>
      <c r="G185" s="435">
        <v>80.0</v>
      </c>
      <c r="H185" s="435">
        <v>80.0</v>
      </c>
      <c r="I185" s="435">
        <v>139.0</v>
      </c>
      <c r="J185" s="435">
        <v>24.0</v>
      </c>
      <c r="K185" s="435">
        <v>59.0</v>
      </c>
      <c r="L185" s="435" t="s">
        <v>1250</v>
      </c>
      <c r="M185" s="435">
        <v>3.0</v>
      </c>
      <c r="N185" s="435">
        <v>1.0</v>
      </c>
      <c r="O185" s="95"/>
      <c r="P185" s="95"/>
      <c r="Q185" s="95"/>
      <c r="R185" s="95"/>
      <c r="S185" s="95"/>
      <c r="T185" s="95"/>
      <c r="U185" s="95"/>
      <c r="V185" s="95"/>
      <c r="W185" s="95"/>
      <c r="X185" s="438"/>
      <c r="Y185" s="438"/>
      <c r="Z185" s="438"/>
      <c r="AA185" s="438"/>
      <c r="AB185" s="438"/>
    </row>
    <row r="186">
      <c r="A186" s="429"/>
      <c r="B186" s="435" t="s">
        <v>1333</v>
      </c>
      <c r="C186" s="164"/>
      <c r="D186" s="435">
        <v>1996.1</v>
      </c>
      <c r="E186" s="435">
        <v>31.0</v>
      </c>
      <c r="F186" s="435">
        <v>571.0</v>
      </c>
      <c r="G186" s="435">
        <v>114.0</v>
      </c>
      <c r="H186" s="435">
        <v>114.0</v>
      </c>
      <c r="I186" s="435">
        <v>33.0</v>
      </c>
      <c r="J186" s="435">
        <v>35.0</v>
      </c>
      <c r="K186" s="435">
        <v>84.0</v>
      </c>
      <c r="L186" s="435" t="s">
        <v>1250</v>
      </c>
      <c r="M186" s="435">
        <v>3.0</v>
      </c>
      <c r="N186" s="435">
        <v>2.0</v>
      </c>
      <c r="O186" s="164"/>
      <c r="P186" s="164"/>
      <c r="Q186" s="164"/>
      <c r="R186" s="164"/>
      <c r="S186" s="164"/>
      <c r="T186" s="164"/>
      <c r="U186" s="164"/>
      <c r="V186" s="164"/>
      <c r="W186" s="164"/>
      <c r="X186" s="438"/>
      <c r="Y186" s="438"/>
      <c r="Z186" s="438"/>
      <c r="AA186" s="438"/>
      <c r="AB186" s="438"/>
    </row>
    <row r="187">
      <c r="A187" s="429"/>
      <c r="B187" s="435" t="s">
        <v>1344</v>
      </c>
      <c r="C187" s="436" t="s">
        <v>1118</v>
      </c>
      <c r="D187" s="435">
        <v>1998.09</v>
      </c>
      <c r="E187" s="435">
        <v>29.0</v>
      </c>
      <c r="F187" s="435">
        <v>1056.0</v>
      </c>
      <c r="G187" s="435" t="s">
        <v>1345</v>
      </c>
      <c r="H187" s="435">
        <v>77.0</v>
      </c>
      <c r="I187" s="435">
        <v>231.0</v>
      </c>
      <c r="J187" s="435">
        <v>23.0</v>
      </c>
      <c r="K187" s="435">
        <v>59.0</v>
      </c>
      <c r="L187" s="435" t="s">
        <v>1187</v>
      </c>
      <c r="M187" s="435">
        <v>3.0</v>
      </c>
      <c r="N187" s="435">
        <v>1.0</v>
      </c>
      <c r="O187" s="437"/>
      <c r="P187" s="437"/>
      <c r="Q187" s="437"/>
      <c r="R187" s="437"/>
      <c r="S187" s="437"/>
      <c r="T187" s="437"/>
      <c r="U187" s="437"/>
      <c r="V187" s="437"/>
      <c r="W187" s="437"/>
      <c r="X187" s="438"/>
      <c r="Y187" s="438"/>
      <c r="Z187" s="438"/>
      <c r="AA187" s="438"/>
      <c r="AB187" s="438"/>
    </row>
    <row r="188">
      <c r="A188" s="429"/>
      <c r="B188" s="435" t="s">
        <v>1344</v>
      </c>
      <c r="C188" s="95"/>
      <c r="D188" s="435">
        <v>1998.09</v>
      </c>
      <c r="E188" s="435">
        <v>29.0</v>
      </c>
      <c r="F188" s="435">
        <v>1056.0</v>
      </c>
      <c r="G188" s="435">
        <v>99.0</v>
      </c>
      <c r="H188" s="435">
        <v>99.0</v>
      </c>
      <c r="I188" s="435">
        <v>102.0</v>
      </c>
      <c r="J188" s="435">
        <v>30.0</v>
      </c>
      <c r="K188" s="435">
        <v>76.0</v>
      </c>
      <c r="L188" s="435" t="s">
        <v>1187</v>
      </c>
      <c r="M188" s="435">
        <v>3.0</v>
      </c>
      <c r="N188" s="435">
        <v>2.0</v>
      </c>
      <c r="O188" s="95"/>
      <c r="P188" s="95"/>
      <c r="Q188" s="95"/>
      <c r="R188" s="95"/>
      <c r="S188" s="95"/>
      <c r="T188" s="95"/>
      <c r="U188" s="95"/>
      <c r="V188" s="95"/>
      <c r="W188" s="95"/>
      <c r="X188" s="438"/>
      <c r="Y188" s="438"/>
      <c r="Z188" s="438"/>
      <c r="AA188" s="438"/>
      <c r="AB188" s="438"/>
    </row>
    <row r="189">
      <c r="A189" s="429"/>
      <c r="B189" s="435" t="s">
        <v>1344</v>
      </c>
      <c r="C189" s="95"/>
      <c r="D189" s="435">
        <v>1998.09</v>
      </c>
      <c r="E189" s="435">
        <v>29.0</v>
      </c>
      <c r="F189" s="435">
        <v>1056.0</v>
      </c>
      <c r="G189" s="435" t="s">
        <v>1346</v>
      </c>
      <c r="H189" s="435">
        <v>103.0</v>
      </c>
      <c r="I189" s="435">
        <v>561.0</v>
      </c>
      <c r="J189" s="435">
        <v>31.0</v>
      </c>
      <c r="K189" s="435">
        <v>84.0</v>
      </c>
      <c r="L189" s="435" t="s">
        <v>1187</v>
      </c>
      <c r="M189" s="435">
        <v>3.0</v>
      </c>
      <c r="N189" s="435">
        <v>2.0</v>
      </c>
      <c r="O189" s="95"/>
      <c r="P189" s="95"/>
      <c r="Q189" s="95"/>
      <c r="R189" s="95"/>
      <c r="S189" s="95"/>
      <c r="T189" s="95"/>
      <c r="U189" s="95"/>
      <c r="V189" s="95"/>
      <c r="W189" s="95"/>
      <c r="X189" s="438"/>
      <c r="Y189" s="438"/>
      <c r="Z189" s="438"/>
      <c r="AA189" s="438"/>
      <c r="AB189" s="438"/>
    </row>
    <row r="190">
      <c r="A190" s="429"/>
      <c r="B190" s="435" t="s">
        <v>1344</v>
      </c>
      <c r="C190" s="95"/>
      <c r="D190" s="435">
        <v>1998.09</v>
      </c>
      <c r="E190" s="435">
        <v>29.0</v>
      </c>
      <c r="F190" s="435">
        <v>1056.0</v>
      </c>
      <c r="G190" s="435" t="s">
        <v>1347</v>
      </c>
      <c r="H190" s="435">
        <v>107.0</v>
      </c>
      <c r="I190" s="435">
        <v>6.0</v>
      </c>
      <c r="J190" s="435">
        <v>32.0</v>
      </c>
      <c r="K190" s="435">
        <v>86.0</v>
      </c>
      <c r="L190" s="435" t="s">
        <v>1187</v>
      </c>
      <c r="M190" s="435">
        <v>3.0</v>
      </c>
      <c r="N190" s="435">
        <v>2.0</v>
      </c>
      <c r="O190" s="95"/>
      <c r="P190" s="95"/>
      <c r="Q190" s="95"/>
      <c r="R190" s="95"/>
      <c r="S190" s="95"/>
      <c r="T190" s="95"/>
      <c r="U190" s="95"/>
      <c r="V190" s="95"/>
      <c r="W190" s="95"/>
      <c r="X190" s="438"/>
      <c r="Y190" s="438"/>
      <c r="Z190" s="438"/>
      <c r="AA190" s="438"/>
      <c r="AB190" s="438"/>
    </row>
    <row r="191">
      <c r="A191" s="429"/>
      <c r="B191" s="435" t="s">
        <v>1344</v>
      </c>
      <c r="C191" s="95"/>
      <c r="D191" s="435">
        <v>1998.09</v>
      </c>
      <c r="E191" s="435">
        <v>29.0</v>
      </c>
      <c r="F191" s="435">
        <v>1056.0</v>
      </c>
      <c r="G191" s="435" t="s">
        <v>1348</v>
      </c>
      <c r="H191" s="435">
        <v>123.0</v>
      </c>
      <c r="I191" s="435">
        <v>126.0</v>
      </c>
      <c r="J191" s="435">
        <v>37.0</v>
      </c>
      <c r="K191" s="435">
        <v>99.0</v>
      </c>
      <c r="L191" s="435" t="s">
        <v>1187</v>
      </c>
      <c r="M191" s="435">
        <v>3.0</v>
      </c>
      <c r="N191" s="435">
        <v>2.0</v>
      </c>
      <c r="O191" s="95"/>
      <c r="P191" s="95"/>
      <c r="Q191" s="95"/>
      <c r="R191" s="95"/>
      <c r="S191" s="95"/>
      <c r="T191" s="95"/>
      <c r="U191" s="95"/>
      <c r="V191" s="95"/>
      <c r="W191" s="95"/>
      <c r="X191" s="438"/>
      <c r="Y191" s="438"/>
      <c r="Z191" s="438"/>
      <c r="AA191" s="438"/>
      <c r="AB191" s="438"/>
    </row>
    <row r="192">
      <c r="A192" s="429"/>
      <c r="B192" s="435" t="s">
        <v>1344</v>
      </c>
      <c r="C192" s="164"/>
      <c r="D192" s="435">
        <v>1998.09</v>
      </c>
      <c r="E192" s="435">
        <v>29.0</v>
      </c>
      <c r="F192" s="435">
        <v>1056.0</v>
      </c>
      <c r="G192" s="435">
        <v>161.0</v>
      </c>
      <c r="H192" s="435">
        <v>161.0</v>
      </c>
      <c r="I192" s="435">
        <v>30.0</v>
      </c>
      <c r="J192" s="435">
        <v>49.0</v>
      </c>
      <c r="K192" s="435">
        <v>134.0</v>
      </c>
      <c r="L192" s="435" t="s">
        <v>1187</v>
      </c>
      <c r="M192" s="435">
        <v>4.0</v>
      </c>
      <c r="N192" s="435">
        <v>2.0</v>
      </c>
      <c r="O192" s="164"/>
      <c r="P192" s="164"/>
      <c r="Q192" s="164"/>
      <c r="R192" s="164"/>
      <c r="S192" s="164"/>
      <c r="T192" s="164"/>
      <c r="U192" s="164"/>
      <c r="V192" s="164"/>
      <c r="W192" s="164"/>
      <c r="X192" s="438"/>
      <c r="Y192" s="438"/>
      <c r="Z192" s="438"/>
      <c r="AA192" s="438"/>
      <c r="AB192" s="438"/>
    </row>
  </sheetData>
  <mergeCells count="484">
    <mergeCell ref="P3:P7"/>
    <mergeCell ref="Q3:Q7"/>
    <mergeCell ref="R3:R7"/>
    <mergeCell ref="S3:S7"/>
    <mergeCell ref="V3:V7"/>
    <mergeCell ref="W3:W7"/>
    <mergeCell ref="O3:O7"/>
    <mergeCell ref="O8:O10"/>
    <mergeCell ref="P8:P10"/>
    <mergeCell ref="Q8:Q10"/>
    <mergeCell ref="R8:R10"/>
    <mergeCell ref="S8:S10"/>
    <mergeCell ref="T8:T10"/>
    <mergeCell ref="U8:U10"/>
    <mergeCell ref="W8:W10"/>
    <mergeCell ref="V19:V21"/>
    <mergeCell ref="W19:W21"/>
    <mergeCell ref="O19:O21"/>
    <mergeCell ref="P19:P21"/>
    <mergeCell ref="Q19:Q21"/>
    <mergeCell ref="R19:R21"/>
    <mergeCell ref="S19:S21"/>
    <mergeCell ref="T19:T21"/>
    <mergeCell ref="U19:U21"/>
    <mergeCell ref="V24:V27"/>
    <mergeCell ref="W24:W27"/>
    <mergeCell ref="O24:O27"/>
    <mergeCell ref="P24:P27"/>
    <mergeCell ref="Q24:Q27"/>
    <mergeCell ref="R24:R27"/>
    <mergeCell ref="S24:S27"/>
    <mergeCell ref="T24:T27"/>
    <mergeCell ref="U24:U27"/>
    <mergeCell ref="V28:V30"/>
    <mergeCell ref="W28:W30"/>
    <mergeCell ref="O28:O30"/>
    <mergeCell ref="P28:P30"/>
    <mergeCell ref="Q28:Q30"/>
    <mergeCell ref="R28:R30"/>
    <mergeCell ref="S28:S30"/>
    <mergeCell ref="T28:T30"/>
    <mergeCell ref="U28:U30"/>
    <mergeCell ref="V31:V34"/>
    <mergeCell ref="W31:W34"/>
    <mergeCell ref="O31:O34"/>
    <mergeCell ref="P31:P34"/>
    <mergeCell ref="Q31:Q34"/>
    <mergeCell ref="R31:R34"/>
    <mergeCell ref="S31:S34"/>
    <mergeCell ref="T31:T34"/>
    <mergeCell ref="U31:U34"/>
    <mergeCell ref="V35:V37"/>
    <mergeCell ref="W35:W37"/>
    <mergeCell ref="O35:O37"/>
    <mergeCell ref="P35:P37"/>
    <mergeCell ref="Q35:Q37"/>
    <mergeCell ref="R35:R37"/>
    <mergeCell ref="S35:S37"/>
    <mergeCell ref="T35:T37"/>
    <mergeCell ref="U35:U37"/>
    <mergeCell ref="T3:T7"/>
    <mergeCell ref="U3:U7"/>
    <mergeCell ref="B1:C1"/>
    <mergeCell ref="J1:K1"/>
    <mergeCell ref="L1:M1"/>
    <mergeCell ref="O1:R1"/>
    <mergeCell ref="S1:V1"/>
    <mergeCell ref="C3:C7"/>
    <mergeCell ref="V8:V10"/>
    <mergeCell ref="V11:V13"/>
    <mergeCell ref="W11:W13"/>
    <mergeCell ref="O11:O13"/>
    <mergeCell ref="P11:P13"/>
    <mergeCell ref="Q11:Q13"/>
    <mergeCell ref="R11:R13"/>
    <mergeCell ref="S11:S13"/>
    <mergeCell ref="T11:T13"/>
    <mergeCell ref="U11:U13"/>
    <mergeCell ref="V14:V17"/>
    <mergeCell ref="W14:W17"/>
    <mergeCell ref="O14:O17"/>
    <mergeCell ref="P14:P17"/>
    <mergeCell ref="Q14:Q17"/>
    <mergeCell ref="R14:R17"/>
    <mergeCell ref="S14:S17"/>
    <mergeCell ref="T14:T17"/>
    <mergeCell ref="U14:U17"/>
    <mergeCell ref="C8:C10"/>
    <mergeCell ref="C11:C13"/>
    <mergeCell ref="C14:C17"/>
    <mergeCell ref="C19:C21"/>
    <mergeCell ref="C24:C27"/>
    <mergeCell ref="C28:C30"/>
    <mergeCell ref="C31:C34"/>
    <mergeCell ref="V93:V97"/>
    <mergeCell ref="W93:W97"/>
    <mergeCell ref="O93:O97"/>
    <mergeCell ref="P93:P97"/>
    <mergeCell ref="Q93:Q97"/>
    <mergeCell ref="R93:R97"/>
    <mergeCell ref="S93:S97"/>
    <mergeCell ref="T93:T97"/>
    <mergeCell ref="U93:U97"/>
    <mergeCell ref="V77:V79"/>
    <mergeCell ref="W77:W79"/>
    <mergeCell ref="O77:O79"/>
    <mergeCell ref="P77:P79"/>
    <mergeCell ref="Q77:Q79"/>
    <mergeCell ref="R77:R79"/>
    <mergeCell ref="S77:S79"/>
    <mergeCell ref="T77:T79"/>
    <mergeCell ref="U77:U79"/>
    <mergeCell ref="V85:V89"/>
    <mergeCell ref="W85:W89"/>
    <mergeCell ref="O85:O89"/>
    <mergeCell ref="P85:P89"/>
    <mergeCell ref="Q85:Q89"/>
    <mergeCell ref="R85:R89"/>
    <mergeCell ref="S85:S89"/>
    <mergeCell ref="T85:T89"/>
    <mergeCell ref="U85:U89"/>
    <mergeCell ref="V90:V92"/>
    <mergeCell ref="W90:W92"/>
    <mergeCell ref="O90:O92"/>
    <mergeCell ref="P90:P92"/>
    <mergeCell ref="Q90:Q92"/>
    <mergeCell ref="R90:R92"/>
    <mergeCell ref="S90:S92"/>
    <mergeCell ref="T90:T92"/>
    <mergeCell ref="U90:U92"/>
    <mergeCell ref="V98:V103"/>
    <mergeCell ref="W98:W103"/>
    <mergeCell ref="O98:O103"/>
    <mergeCell ref="P98:P103"/>
    <mergeCell ref="Q98:Q103"/>
    <mergeCell ref="R98:R103"/>
    <mergeCell ref="S98:S103"/>
    <mergeCell ref="T98:T103"/>
    <mergeCell ref="U98:U103"/>
    <mergeCell ref="T72:T76"/>
    <mergeCell ref="U72:U76"/>
    <mergeCell ref="V72:V76"/>
    <mergeCell ref="W72:W76"/>
    <mergeCell ref="S69:S71"/>
    <mergeCell ref="T69:T71"/>
    <mergeCell ref="O72:O76"/>
    <mergeCell ref="P72:P76"/>
    <mergeCell ref="Q72:Q76"/>
    <mergeCell ref="R72:R76"/>
    <mergeCell ref="S72:S76"/>
    <mergeCell ref="O64:O65"/>
    <mergeCell ref="O67:O68"/>
    <mergeCell ref="P67:P68"/>
    <mergeCell ref="Q67:Q68"/>
    <mergeCell ref="R67:R68"/>
    <mergeCell ref="S67:S68"/>
    <mergeCell ref="T67:T68"/>
    <mergeCell ref="O53:O56"/>
    <mergeCell ref="O57:O59"/>
    <mergeCell ref="O60:O63"/>
    <mergeCell ref="P64:P65"/>
    <mergeCell ref="Q64:Q65"/>
    <mergeCell ref="R64:R65"/>
    <mergeCell ref="S64:S65"/>
    <mergeCell ref="V104:V107"/>
    <mergeCell ref="W104:W107"/>
    <mergeCell ref="O104:O107"/>
    <mergeCell ref="P104:P107"/>
    <mergeCell ref="Q104:Q107"/>
    <mergeCell ref="R104:R107"/>
    <mergeCell ref="S104:S107"/>
    <mergeCell ref="T104:T107"/>
    <mergeCell ref="U104:U107"/>
    <mergeCell ref="V108:V111"/>
    <mergeCell ref="W108:W111"/>
    <mergeCell ref="O108:O111"/>
    <mergeCell ref="P108:P111"/>
    <mergeCell ref="Q108:Q111"/>
    <mergeCell ref="R108:R111"/>
    <mergeCell ref="S108:S111"/>
    <mergeCell ref="T108:T111"/>
    <mergeCell ref="U108:U111"/>
    <mergeCell ref="V120:V122"/>
    <mergeCell ref="W120:W122"/>
    <mergeCell ref="O120:O122"/>
    <mergeCell ref="P120:P122"/>
    <mergeCell ref="Q120:Q122"/>
    <mergeCell ref="R120:R122"/>
    <mergeCell ref="S120:S122"/>
    <mergeCell ref="T120:T122"/>
    <mergeCell ref="U120:U122"/>
    <mergeCell ref="V134:V137"/>
    <mergeCell ref="W134:W137"/>
    <mergeCell ref="O134:O137"/>
    <mergeCell ref="P134:P137"/>
    <mergeCell ref="Q134:Q137"/>
    <mergeCell ref="R134:R137"/>
    <mergeCell ref="S134:S137"/>
    <mergeCell ref="T134:T137"/>
    <mergeCell ref="U134:U137"/>
    <mergeCell ref="V116:V119"/>
    <mergeCell ref="W116:W119"/>
    <mergeCell ref="O116:O119"/>
    <mergeCell ref="P116:P119"/>
    <mergeCell ref="Q116:Q119"/>
    <mergeCell ref="R116:R119"/>
    <mergeCell ref="S116:S119"/>
    <mergeCell ref="T116:T119"/>
    <mergeCell ref="U116:U119"/>
    <mergeCell ref="V123:V127"/>
    <mergeCell ref="W123:W127"/>
    <mergeCell ref="O123:O127"/>
    <mergeCell ref="P123:P127"/>
    <mergeCell ref="Q123:Q127"/>
    <mergeCell ref="R123:R127"/>
    <mergeCell ref="S123:S127"/>
    <mergeCell ref="T123:T127"/>
    <mergeCell ref="U123:U127"/>
    <mergeCell ref="V128:V129"/>
    <mergeCell ref="W128:W129"/>
    <mergeCell ref="O128:O129"/>
    <mergeCell ref="P128:P129"/>
    <mergeCell ref="Q128:Q129"/>
    <mergeCell ref="R128:R129"/>
    <mergeCell ref="S128:S129"/>
    <mergeCell ref="T128:T129"/>
    <mergeCell ref="U128:U129"/>
    <mergeCell ref="V138:V140"/>
    <mergeCell ref="W138:W140"/>
    <mergeCell ref="O138:O140"/>
    <mergeCell ref="P138:P140"/>
    <mergeCell ref="Q138:Q140"/>
    <mergeCell ref="R138:R140"/>
    <mergeCell ref="S138:S140"/>
    <mergeCell ref="T138:T140"/>
    <mergeCell ref="U138:U140"/>
    <mergeCell ref="V154:V157"/>
    <mergeCell ref="W154:W157"/>
    <mergeCell ref="O154:O157"/>
    <mergeCell ref="P154:P157"/>
    <mergeCell ref="Q154:Q157"/>
    <mergeCell ref="R154:R157"/>
    <mergeCell ref="S154:S157"/>
    <mergeCell ref="T154:T157"/>
    <mergeCell ref="U154:U157"/>
    <mergeCell ref="V130:V133"/>
    <mergeCell ref="W130:W133"/>
    <mergeCell ref="O130:O133"/>
    <mergeCell ref="P130:P133"/>
    <mergeCell ref="Q130:Q133"/>
    <mergeCell ref="R130:R133"/>
    <mergeCell ref="S130:S133"/>
    <mergeCell ref="T130:T133"/>
    <mergeCell ref="U130:U133"/>
    <mergeCell ref="V141:V143"/>
    <mergeCell ref="W141:W143"/>
    <mergeCell ref="O141:O143"/>
    <mergeCell ref="P141:P143"/>
    <mergeCell ref="Q141:Q143"/>
    <mergeCell ref="R141:R143"/>
    <mergeCell ref="S141:S143"/>
    <mergeCell ref="T141:T143"/>
    <mergeCell ref="U141:U143"/>
    <mergeCell ref="V145:V149"/>
    <mergeCell ref="W145:W149"/>
    <mergeCell ref="O145:O149"/>
    <mergeCell ref="P145:P149"/>
    <mergeCell ref="Q145:Q149"/>
    <mergeCell ref="R145:R149"/>
    <mergeCell ref="S145:S149"/>
    <mergeCell ref="T145:T149"/>
    <mergeCell ref="U145:U149"/>
    <mergeCell ref="V158:V161"/>
    <mergeCell ref="W158:W161"/>
    <mergeCell ref="O158:O161"/>
    <mergeCell ref="P158:P161"/>
    <mergeCell ref="Q158:Q161"/>
    <mergeCell ref="R158:R161"/>
    <mergeCell ref="S158:S161"/>
    <mergeCell ref="T158:T161"/>
    <mergeCell ref="U158:U161"/>
    <mergeCell ref="V173:V179"/>
    <mergeCell ref="W173:W179"/>
    <mergeCell ref="O173:O179"/>
    <mergeCell ref="P173:P179"/>
    <mergeCell ref="Q173:Q179"/>
    <mergeCell ref="R173:R179"/>
    <mergeCell ref="S173:S179"/>
    <mergeCell ref="T173:T179"/>
    <mergeCell ref="U173:U179"/>
    <mergeCell ref="V150:V153"/>
    <mergeCell ref="W150:W153"/>
    <mergeCell ref="O150:O153"/>
    <mergeCell ref="P150:P153"/>
    <mergeCell ref="Q150:Q153"/>
    <mergeCell ref="R150:R153"/>
    <mergeCell ref="S150:S153"/>
    <mergeCell ref="T150:T153"/>
    <mergeCell ref="U150:U153"/>
    <mergeCell ref="V162:V168"/>
    <mergeCell ref="W162:W168"/>
    <mergeCell ref="O162:O168"/>
    <mergeCell ref="P162:P168"/>
    <mergeCell ref="Q162:Q168"/>
    <mergeCell ref="R162:R168"/>
    <mergeCell ref="S162:S168"/>
    <mergeCell ref="T162:T168"/>
    <mergeCell ref="U162:U168"/>
    <mergeCell ref="V169:V170"/>
    <mergeCell ref="W169:W170"/>
    <mergeCell ref="O169:O170"/>
    <mergeCell ref="P169:P170"/>
    <mergeCell ref="Q169:Q170"/>
    <mergeCell ref="R169:R170"/>
    <mergeCell ref="S169:S170"/>
    <mergeCell ref="T169:T170"/>
    <mergeCell ref="U169:U170"/>
    <mergeCell ref="V180:V182"/>
    <mergeCell ref="W180:W182"/>
    <mergeCell ref="O180:O182"/>
    <mergeCell ref="P180:P182"/>
    <mergeCell ref="Q180:Q182"/>
    <mergeCell ref="R180:R182"/>
    <mergeCell ref="S180:S182"/>
    <mergeCell ref="T180:T182"/>
    <mergeCell ref="U180:U182"/>
    <mergeCell ref="T38:T41"/>
    <mergeCell ref="U38:U41"/>
    <mergeCell ref="V38:V41"/>
    <mergeCell ref="W38:W41"/>
    <mergeCell ref="O38:O41"/>
    <mergeCell ref="O42:O43"/>
    <mergeCell ref="P42:P43"/>
    <mergeCell ref="Q42:Q43"/>
    <mergeCell ref="R42:R43"/>
    <mergeCell ref="S42:S43"/>
    <mergeCell ref="T42:T43"/>
    <mergeCell ref="U42:U43"/>
    <mergeCell ref="V42:V43"/>
    <mergeCell ref="W42:W43"/>
    <mergeCell ref="Q45:Q49"/>
    <mergeCell ref="R45:R49"/>
    <mergeCell ref="T45:T49"/>
    <mergeCell ref="U45:U49"/>
    <mergeCell ref="V45:V49"/>
    <mergeCell ref="W45:W49"/>
    <mergeCell ref="C45:C49"/>
    <mergeCell ref="C50:C52"/>
    <mergeCell ref="S50:S52"/>
    <mergeCell ref="T50:T52"/>
    <mergeCell ref="U50:U52"/>
    <mergeCell ref="V50:V52"/>
    <mergeCell ref="W50:W52"/>
    <mergeCell ref="R57:R59"/>
    <mergeCell ref="S57:S59"/>
    <mergeCell ref="U57:U59"/>
    <mergeCell ref="V57:V59"/>
    <mergeCell ref="W57:W59"/>
    <mergeCell ref="P57:P59"/>
    <mergeCell ref="Q57:Q59"/>
    <mergeCell ref="P60:P63"/>
    <mergeCell ref="Q60:Q63"/>
    <mergeCell ref="R60:R63"/>
    <mergeCell ref="S60:S63"/>
    <mergeCell ref="T60:T63"/>
    <mergeCell ref="W60:W63"/>
    <mergeCell ref="U69:U71"/>
    <mergeCell ref="V69:V71"/>
    <mergeCell ref="U67:U68"/>
    <mergeCell ref="V67:V68"/>
    <mergeCell ref="W67:W68"/>
    <mergeCell ref="O69:O71"/>
    <mergeCell ref="P69:P71"/>
    <mergeCell ref="Q69:Q71"/>
    <mergeCell ref="R69:R71"/>
    <mergeCell ref="W69:W71"/>
    <mergeCell ref="C57:C59"/>
    <mergeCell ref="C60:C63"/>
    <mergeCell ref="C64:C65"/>
    <mergeCell ref="C67:C68"/>
    <mergeCell ref="C69:C71"/>
    <mergeCell ref="C72:C76"/>
    <mergeCell ref="C77:C79"/>
    <mergeCell ref="C80:C83"/>
    <mergeCell ref="C85:C89"/>
    <mergeCell ref="C90:C92"/>
    <mergeCell ref="C93:C97"/>
    <mergeCell ref="C98:C103"/>
    <mergeCell ref="C104:C107"/>
    <mergeCell ref="C108:C111"/>
    <mergeCell ref="C112:C115"/>
    <mergeCell ref="C116:C119"/>
    <mergeCell ref="C120:C122"/>
    <mergeCell ref="C123:C127"/>
    <mergeCell ref="C128:C129"/>
    <mergeCell ref="C130:C133"/>
    <mergeCell ref="C134:C137"/>
    <mergeCell ref="C169:C170"/>
    <mergeCell ref="C171:C172"/>
    <mergeCell ref="C173:C179"/>
    <mergeCell ref="C180:C182"/>
    <mergeCell ref="C183:C186"/>
    <mergeCell ref="C187:C192"/>
    <mergeCell ref="C138:C140"/>
    <mergeCell ref="C141:C143"/>
    <mergeCell ref="C145:C149"/>
    <mergeCell ref="C150:C153"/>
    <mergeCell ref="C154:C157"/>
    <mergeCell ref="C158:C161"/>
    <mergeCell ref="C162:C168"/>
    <mergeCell ref="P38:P41"/>
    <mergeCell ref="O45:O49"/>
    <mergeCell ref="P45:P49"/>
    <mergeCell ref="O50:O52"/>
    <mergeCell ref="P50:P52"/>
    <mergeCell ref="Q50:Q52"/>
    <mergeCell ref="R50:R52"/>
    <mergeCell ref="C35:C37"/>
    <mergeCell ref="C38:C41"/>
    <mergeCell ref="Q38:Q41"/>
    <mergeCell ref="R38:R41"/>
    <mergeCell ref="S38:S41"/>
    <mergeCell ref="C42:C43"/>
    <mergeCell ref="S45:S49"/>
    <mergeCell ref="V53:V56"/>
    <mergeCell ref="W53:W56"/>
    <mergeCell ref="C53:C56"/>
    <mergeCell ref="P53:P56"/>
    <mergeCell ref="Q53:Q56"/>
    <mergeCell ref="R53:R56"/>
    <mergeCell ref="S53:S56"/>
    <mergeCell ref="T53:T56"/>
    <mergeCell ref="T57:T59"/>
    <mergeCell ref="U60:U63"/>
    <mergeCell ref="V60:V63"/>
    <mergeCell ref="T64:T65"/>
    <mergeCell ref="U64:U65"/>
    <mergeCell ref="V64:V65"/>
    <mergeCell ref="W64:W65"/>
    <mergeCell ref="V80:V83"/>
    <mergeCell ref="W80:W83"/>
    <mergeCell ref="O80:O83"/>
    <mergeCell ref="P80:P83"/>
    <mergeCell ref="Q80:Q83"/>
    <mergeCell ref="R80:R83"/>
    <mergeCell ref="S80:S83"/>
    <mergeCell ref="T80:T83"/>
    <mergeCell ref="U80:U83"/>
    <mergeCell ref="V112:V115"/>
    <mergeCell ref="W112:W115"/>
    <mergeCell ref="O112:O115"/>
    <mergeCell ref="P112:P115"/>
    <mergeCell ref="Q112:Q115"/>
    <mergeCell ref="R112:R115"/>
    <mergeCell ref="S112:S115"/>
    <mergeCell ref="T112:T115"/>
    <mergeCell ref="U112:U115"/>
    <mergeCell ref="V171:V172"/>
    <mergeCell ref="W171:W172"/>
    <mergeCell ref="O171:O172"/>
    <mergeCell ref="P171:P172"/>
    <mergeCell ref="Q171:Q172"/>
    <mergeCell ref="R171:R172"/>
    <mergeCell ref="S171:S172"/>
    <mergeCell ref="T171:T172"/>
    <mergeCell ref="U171:U172"/>
    <mergeCell ref="V183:V186"/>
    <mergeCell ref="W183:W186"/>
    <mergeCell ref="O183:O186"/>
    <mergeCell ref="P183:P186"/>
    <mergeCell ref="Q183:Q186"/>
    <mergeCell ref="R183:R186"/>
    <mergeCell ref="S183:S186"/>
    <mergeCell ref="T183:T186"/>
    <mergeCell ref="U183:U186"/>
    <mergeCell ref="V187:V192"/>
    <mergeCell ref="W187:W192"/>
    <mergeCell ref="O187:O192"/>
    <mergeCell ref="P187:P192"/>
    <mergeCell ref="Q187:Q192"/>
    <mergeCell ref="R187:R192"/>
    <mergeCell ref="S187:S192"/>
    <mergeCell ref="T187:T192"/>
    <mergeCell ref="U187:U19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0.88"/>
  </cols>
  <sheetData>
    <row r="1">
      <c r="A1" s="162" t="s">
        <v>271</v>
      </c>
      <c r="B1" s="162" t="s">
        <v>1349</v>
      </c>
      <c r="C1" s="162" t="s">
        <v>1350</v>
      </c>
      <c r="D1" s="456" t="s">
        <v>275</v>
      </c>
    </row>
    <row r="2">
      <c r="A2" s="457" t="str">
        <f>'Step1-1. 서로를 알아보아요'!D$2</f>
        <v>가히dasikeum</v>
      </c>
      <c r="B2" s="173"/>
      <c r="C2" s="173"/>
      <c r="D2" s="173"/>
    </row>
    <row r="3">
      <c r="A3" s="457" t="str">
        <f>'Step1-1. 서로를 알아보아요'!E$2</f>
        <v>라니</v>
      </c>
      <c r="B3" s="173"/>
      <c r="C3" s="173"/>
      <c r="D3" s="173"/>
    </row>
    <row r="4">
      <c r="A4" s="457" t="str">
        <f>'Step1-1. 서로를 알아보아요'!F$2</f>
        <v>야자수그늘</v>
      </c>
      <c r="B4" s="173"/>
      <c r="C4" s="173"/>
      <c r="D4" s="173"/>
    </row>
    <row r="5">
      <c r="A5" s="457" t="str">
        <f>'Step1-1. 서로를 알아보아요'!G$2</f>
        <v>케빈D</v>
      </c>
      <c r="B5" s="173"/>
      <c r="C5" s="173"/>
      <c r="D5" s="173"/>
    </row>
    <row r="6">
      <c r="A6" s="457" t="str">
        <f>'Step1-1. 서로를 알아보아요'!H$2</f>
        <v>굿데이3</v>
      </c>
      <c r="B6" s="173"/>
      <c r="C6" s="173"/>
      <c r="D6" s="173"/>
    </row>
    <row r="7">
      <c r="A7" s="457" t="str">
        <f>'Step1-1. 서로를 알아보아요'!I$2</f>
        <v>아르떼</v>
      </c>
      <c r="B7" s="173"/>
      <c r="C7" s="173"/>
      <c r="D7" s="173"/>
    </row>
    <row r="8">
      <c r="A8" s="457" t="str">
        <f>'Step1-1. 서로를 알아보아요'!J$2</f>
        <v>MZ</v>
      </c>
      <c r="B8" s="173"/>
      <c r="C8" s="173"/>
      <c r="D8" s="173"/>
    </row>
    <row r="9">
      <c r="A9" s="457" t="str">
        <f>'Step1-1. 서로를 알아보아요'!K$2</f>
        <v>학생</v>
      </c>
      <c r="B9" s="173"/>
      <c r="C9" s="173"/>
      <c r="D9" s="173"/>
    </row>
    <row r="10">
      <c r="A10" s="457" t="str">
        <f>'Step1-1. 서로를 알아보아요'!L$2</f>
        <v>로에</v>
      </c>
      <c r="B10" s="173"/>
      <c r="C10" s="173"/>
      <c r="D10" s="17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xSplit="3.0" topLeftCell="D1" activePane="topRight" state="frozen"/>
      <selection activeCell="E2" sqref="E2" pane="topRight"/>
    </sheetView>
  </sheetViews>
  <sheetFormatPr customHeight="1" defaultColWidth="12.63" defaultRowHeight="15.75" outlineLevelRow="1"/>
  <cols>
    <col customWidth="1" min="1" max="1" width="3.5"/>
    <col customWidth="1" min="2" max="2" width="9.75"/>
    <col customWidth="1" min="3" max="3" width="21.0"/>
    <col customWidth="1" min="4" max="4" width="21.25"/>
    <col customWidth="1" min="5" max="102" width="18.88"/>
  </cols>
  <sheetData>
    <row r="1">
      <c r="A1" s="458"/>
      <c r="B1" s="459" t="s">
        <v>134</v>
      </c>
      <c r="C1" s="460"/>
      <c r="D1" s="459"/>
      <c r="E1" s="461"/>
      <c r="F1" s="461"/>
      <c r="G1" s="461"/>
      <c r="H1" s="461"/>
      <c r="I1" s="461"/>
      <c r="J1" s="461"/>
      <c r="K1" s="462"/>
      <c r="L1" s="461"/>
      <c r="M1" s="461"/>
      <c r="N1" s="461"/>
      <c r="O1" s="461"/>
      <c r="P1" s="462"/>
      <c r="Q1" s="461"/>
      <c r="R1" s="461"/>
      <c r="S1" s="461"/>
      <c r="T1" s="461"/>
      <c r="U1" s="461"/>
      <c r="V1" s="463"/>
      <c r="W1" s="463"/>
      <c r="X1" s="463"/>
      <c r="Y1" s="463"/>
      <c r="Z1" s="463"/>
      <c r="AA1" s="463"/>
      <c r="AB1" s="463"/>
      <c r="AC1" s="464"/>
      <c r="AD1" s="465"/>
      <c r="AE1" s="465"/>
      <c r="AF1" s="465"/>
      <c r="AG1" s="465"/>
      <c r="AH1" s="465"/>
      <c r="AI1" s="465"/>
      <c r="AJ1" s="466"/>
      <c r="AK1" s="466"/>
      <c r="AL1" s="466"/>
      <c r="AM1" s="466"/>
      <c r="AN1" s="466"/>
      <c r="AO1" s="466"/>
      <c r="AP1" s="466"/>
      <c r="AQ1" s="466"/>
      <c r="AR1" s="466"/>
      <c r="AS1" s="466"/>
      <c r="AT1" s="466"/>
      <c r="AU1" s="466"/>
      <c r="AV1" s="466"/>
      <c r="AW1" s="464"/>
      <c r="AX1" s="466"/>
      <c r="AY1" s="466"/>
      <c r="AZ1" s="466"/>
      <c r="BA1" s="466"/>
      <c r="BB1" s="466"/>
      <c r="BC1" s="466"/>
      <c r="BD1" s="466"/>
      <c r="BE1" s="464"/>
      <c r="BF1" s="466"/>
      <c r="BG1" s="466"/>
      <c r="BH1" s="466"/>
      <c r="BI1" s="466"/>
      <c r="BJ1" s="466"/>
      <c r="BK1" s="466"/>
      <c r="BL1" s="466"/>
      <c r="BM1" s="466"/>
      <c r="BN1" s="466"/>
      <c r="BO1" s="466"/>
      <c r="BP1" s="466"/>
      <c r="BQ1" s="466"/>
      <c r="BR1" s="466"/>
      <c r="BS1" s="466"/>
      <c r="BT1" s="466"/>
      <c r="BU1" s="466"/>
      <c r="BV1" s="466"/>
      <c r="BW1" s="466"/>
      <c r="BX1" s="466"/>
      <c r="BY1" s="466"/>
      <c r="BZ1" s="466"/>
      <c r="CA1" s="466"/>
      <c r="CB1" s="466"/>
      <c r="CC1" s="466"/>
      <c r="CD1" s="466"/>
      <c r="CE1" s="466"/>
      <c r="CF1" s="466"/>
      <c r="CG1" s="466"/>
      <c r="CH1" s="466"/>
      <c r="CI1" s="466"/>
      <c r="CJ1" s="466"/>
      <c r="CK1" s="466"/>
      <c r="CL1" s="466"/>
      <c r="CM1" s="466"/>
      <c r="CN1" s="466"/>
      <c r="CO1" s="466"/>
      <c r="CP1" s="466"/>
      <c r="CQ1" s="466"/>
      <c r="CR1" s="466"/>
      <c r="CS1" s="466"/>
      <c r="CT1" s="466"/>
      <c r="CU1" s="466"/>
      <c r="CV1" s="466"/>
      <c r="CW1" s="466"/>
      <c r="CX1" s="466"/>
    </row>
    <row r="2">
      <c r="A2" s="458"/>
      <c r="B2" s="459" t="s">
        <v>1351</v>
      </c>
      <c r="C2" s="467"/>
      <c r="D2" s="460" t="s">
        <v>1352</v>
      </c>
      <c r="E2" s="461"/>
      <c r="F2" s="461"/>
      <c r="G2" s="461"/>
      <c r="H2" s="461"/>
      <c r="I2" s="461"/>
      <c r="J2" s="461"/>
      <c r="K2" s="462"/>
      <c r="L2" s="461"/>
      <c r="M2" s="461"/>
      <c r="N2" s="461"/>
      <c r="O2" s="461"/>
      <c r="P2" s="462"/>
      <c r="Q2" s="461"/>
      <c r="R2" s="461"/>
      <c r="S2" s="461"/>
      <c r="T2" s="461"/>
      <c r="U2" s="461"/>
      <c r="V2" s="463"/>
      <c r="W2" s="463"/>
      <c r="X2" s="463"/>
      <c r="Y2" s="463"/>
      <c r="Z2" s="463"/>
      <c r="AA2" s="463"/>
      <c r="AB2" s="463"/>
      <c r="AC2" s="464"/>
      <c r="AD2" s="465"/>
      <c r="AE2" s="465"/>
      <c r="AF2" s="465"/>
      <c r="AG2" s="465"/>
      <c r="AH2" s="465"/>
      <c r="AI2" s="465"/>
      <c r="AJ2" s="466"/>
      <c r="AK2" s="466"/>
      <c r="AL2" s="466"/>
      <c r="AM2" s="466"/>
      <c r="AN2" s="466"/>
      <c r="AO2" s="466"/>
      <c r="AP2" s="466"/>
      <c r="AQ2" s="466"/>
      <c r="AR2" s="466"/>
      <c r="AS2" s="466"/>
      <c r="AT2" s="466"/>
      <c r="AU2" s="466"/>
      <c r="AV2" s="466"/>
      <c r="AW2" s="464"/>
      <c r="AX2" s="466"/>
      <c r="AY2" s="466"/>
      <c r="AZ2" s="466"/>
      <c r="BA2" s="466"/>
      <c r="BB2" s="466"/>
      <c r="BC2" s="466"/>
      <c r="BD2" s="466"/>
      <c r="BE2" s="464"/>
      <c r="BF2" s="466"/>
      <c r="BG2" s="466"/>
      <c r="BH2" s="466"/>
      <c r="BI2" s="466"/>
      <c r="BJ2" s="466"/>
      <c r="BK2" s="466"/>
      <c r="BL2" s="466"/>
      <c r="BM2" s="466"/>
      <c r="BN2" s="466"/>
      <c r="BO2" s="466"/>
      <c r="BP2" s="466"/>
      <c r="BQ2" s="466"/>
      <c r="BR2" s="466"/>
      <c r="BS2" s="466"/>
      <c r="BT2" s="466"/>
      <c r="BU2" s="466"/>
      <c r="BV2" s="466"/>
      <c r="BW2" s="466"/>
      <c r="BX2" s="466"/>
      <c r="BY2" s="466"/>
      <c r="BZ2" s="466"/>
      <c r="CA2" s="466"/>
      <c r="CB2" s="466"/>
      <c r="CC2" s="466"/>
      <c r="CD2" s="466"/>
      <c r="CE2" s="466"/>
      <c r="CF2" s="466"/>
      <c r="CG2" s="466"/>
      <c r="CH2" s="466"/>
      <c r="CI2" s="466"/>
      <c r="CJ2" s="466"/>
      <c r="CK2" s="466"/>
      <c r="CL2" s="466"/>
      <c r="CM2" s="466"/>
      <c r="CN2" s="466"/>
      <c r="CO2" s="466"/>
      <c r="CP2" s="466"/>
      <c r="CQ2" s="466"/>
      <c r="CR2" s="466"/>
      <c r="CS2" s="466"/>
      <c r="CT2" s="466"/>
      <c r="CU2" s="466"/>
      <c r="CV2" s="466"/>
      <c r="CW2" s="466"/>
      <c r="CX2" s="466"/>
    </row>
    <row r="3" ht="17.25" customHeight="1">
      <c r="A3" s="468"/>
      <c r="B3" s="469"/>
      <c r="C3" s="469"/>
      <c r="D3" s="469"/>
      <c r="E3" s="470"/>
      <c r="F3" s="470"/>
      <c r="G3" s="470"/>
      <c r="H3" s="470"/>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c r="BM3" s="470"/>
      <c r="BN3" s="470"/>
      <c r="BO3" s="470"/>
      <c r="BP3" s="470"/>
      <c r="BQ3" s="470"/>
      <c r="BR3" s="470"/>
      <c r="BS3" s="470"/>
      <c r="BT3" s="470"/>
      <c r="BU3" s="470"/>
      <c r="BV3" s="470"/>
      <c r="BW3" s="470"/>
      <c r="BX3" s="470"/>
      <c r="BY3" s="470"/>
      <c r="BZ3" s="470"/>
      <c r="CA3" s="470"/>
      <c r="CB3" s="470"/>
      <c r="CC3" s="470"/>
      <c r="CD3" s="470"/>
      <c r="CE3" s="470"/>
      <c r="CF3" s="470"/>
      <c r="CG3" s="470"/>
      <c r="CH3" s="470"/>
      <c r="CI3" s="470"/>
      <c r="CJ3" s="470"/>
      <c r="CK3" s="470"/>
      <c r="CL3" s="470"/>
      <c r="CM3" s="470"/>
      <c r="CN3" s="470"/>
      <c r="CO3" s="470"/>
      <c r="CP3" s="470"/>
      <c r="CQ3" s="470"/>
      <c r="CR3" s="470"/>
      <c r="CS3" s="470"/>
      <c r="CT3" s="470"/>
      <c r="CU3" s="470"/>
      <c r="CV3" s="470"/>
      <c r="CW3" s="470"/>
      <c r="CX3" s="470"/>
    </row>
    <row r="4" ht="18.0" customHeight="1">
      <c r="A4" s="469"/>
      <c r="B4" s="471"/>
      <c r="C4" s="472" t="s">
        <v>1353</v>
      </c>
      <c r="D4" s="473" t="s">
        <v>1354</v>
      </c>
      <c r="E4" s="474"/>
      <c r="F4" s="474"/>
      <c r="G4" s="474"/>
      <c r="H4" s="474"/>
      <c r="I4" s="474"/>
      <c r="J4" s="474"/>
      <c r="K4" s="474"/>
      <c r="L4" s="474"/>
      <c r="M4" s="474"/>
      <c r="N4" s="474"/>
      <c r="O4" s="474"/>
      <c r="P4" s="474"/>
      <c r="Q4" s="474"/>
      <c r="R4" s="474"/>
      <c r="S4" s="474"/>
      <c r="T4" s="474"/>
      <c r="U4" s="474"/>
      <c r="V4" s="474"/>
      <c r="W4" s="474"/>
      <c r="X4" s="474"/>
      <c r="Y4" s="474"/>
      <c r="Z4" s="474"/>
      <c r="AA4" s="474"/>
      <c r="AB4" s="474"/>
      <c r="AC4" s="474"/>
      <c r="AD4" s="474"/>
      <c r="AE4" s="474"/>
      <c r="AF4" s="474"/>
      <c r="AG4" s="474"/>
      <c r="AH4" s="474"/>
      <c r="AI4" s="474"/>
      <c r="AJ4" s="474"/>
      <c r="AK4" s="474"/>
      <c r="AL4" s="474"/>
      <c r="AM4" s="474"/>
      <c r="AN4" s="474"/>
      <c r="AO4" s="474"/>
      <c r="AP4" s="474"/>
      <c r="AQ4" s="474"/>
      <c r="AR4" s="474"/>
      <c r="AS4" s="474"/>
      <c r="AT4" s="474"/>
      <c r="AU4" s="474"/>
      <c r="AV4" s="474"/>
      <c r="AW4" s="474"/>
      <c r="AX4" s="474"/>
      <c r="AY4" s="474"/>
      <c r="AZ4" s="474"/>
      <c r="BA4" s="474"/>
      <c r="BB4" s="474"/>
      <c r="BC4" s="474"/>
      <c r="BD4" s="474"/>
      <c r="BE4" s="474"/>
      <c r="BF4" s="474"/>
      <c r="BG4" s="474"/>
      <c r="BH4" s="474"/>
      <c r="BI4" s="474"/>
      <c r="BJ4" s="474"/>
      <c r="BK4" s="474"/>
      <c r="BL4" s="474"/>
      <c r="BM4" s="474"/>
      <c r="BN4" s="474"/>
      <c r="BO4" s="474"/>
      <c r="BP4" s="474"/>
      <c r="BQ4" s="474"/>
      <c r="BR4" s="474"/>
      <c r="BS4" s="474"/>
      <c r="BT4" s="474"/>
      <c r="BU4" s="474"/>
      <c r="BV4" s="474"/>
      <c r="BW4" s="474"/>
      <c r="BX4" s="474"/>
      <c r="BY4" s="474"/>
      <c r="BZ4" s="474"/>
      <c r="CA4" s="474"/>
      <c r="CB4" s="474"/>
      <c r="CC4" s="474"/>
      <c r="CD4" s="474"/>
      <c r="CE4" s="474"/>
      <c r="CF4" s="474"/>
      <c r="CG4" s="474"/>
      <c r="CH4" s="474"/>
      <c r="CI4" s="474"/>
      <c r="CJ4" s="474"/>
      <c r="CK4" s="474"/>
      <c r="CL4" s="474"/>
      <c r="CM4" s="474"/>
      <c r="CN4" s="474"/>
      <c r="CO4" s="474"/>
      <c r="CP4" s="474"/>
      <c r="CQ4" s="474"/>
      <c r="CR4" s="474"/>
      <c r="CS4" s="474"/>
      <c r="CT4" s="474"/>
      <c r="CU4" s="474"/>
      <c r="CV4" s="474"/>
      <c r="CW4" s="474"/>
      <c r="CX4" s="474"/>
    </row>
    <row r="5" ht="17.25" customHeight="1">
      <c r="A5" s="469"/>
      <c r="B5" s="475"/>
      <c r="C5" s="476" t="s">
        <v>1355</v>
      </c>
      <c r="D5" s="477" t="s">
        <v>1356</v>
      </c>
      <c r="E5" s="478"/>
      <c r="F5" s="478"/>
      <c r="G5" s="478"/>
      <c r="H5" s="478"/>
      <c r="I5" s="478"/>
      <c r="J5" s="478"/>
      <c r="K5" s="478"/>
      <c r="L5" s="478"/>
      <c r="M5" s="478"/>
      <c r="N5" s="478"/>
      <c r="O5" s="478"/>
      <c r="P5" s="478"/>
      <c r="Q5" s="478"/>
      <c r="R5" s="478"/>
      <c r="S5" s="478"/>
      <c r="T5" s="478"/>
      <c r="U5" s="478"/>
      <c r="V5" s="478"/>
      <c r="W5" s="478"/>
      <c r="X5" s="478"/>
      <c r="Y5" s="478"/>
      <c r="Z5" s="478"/>
      <c r="AA5" s="478"/>
      <c r="AB5" s="478"/>
      <c r="AC5" s="478"/>
      <c r="AD5" s="478"/>
      <c r="AE5" s="478"/>
      <c r="AF5" s="478"/>
      <c r="AG5" s="478"/>
      <c r="AH5" s="478"/>
      <c r="AI5" s="478"/>
      <c r="AJ5" s="478"/>
      <c r="AK5" s="478"/>
      <c r="AL5" s="478"/>
      <c r="AM5" s="478"/>
      <c r="AN5" s="478"/>
      <c r="AO5" s="478"/>
      <c r="AP5" s="478"/>
      <c r="AQ5" s="478"/>
      <c r="AR5" s="478"/>
      <c r="AS5" s="478"/>
      <c r="AT5" s="478"/>
      <c r="AU5" s="478"/>
      <c r="AV5" s="478"/>
      <c r="AW5" s="478"/>
      <c r="AX5" s="478"/>
      <c r="AY5" s="478"/>
      <c r="AZ5" s="478"/>
      <c r="BA5" s="478"/>
      <c r="BB5" s="478"/>
      <c r="BC5" s="478"/>
      <c r="BD5" s="478"/>
      <c r="BE5" s="478"/>
      <c r="BF5" s="478"/>
      <c r="BG5" s="478"/>
      <c r="BH5" s="478"/>
      <c r="BI5" s="478"/>
      <c r="BJ5" s="478"/>
      <c r="BK5" s="478"/>
      <c r="BL5" s="478"/>
      <c r="BM5" s="478"/>
      <c r="BN5" s="478"/>
      <c r="BO5" s="478"/>
      <c r="BP5" s="478"/>
      <c r="BQ5" s="478"/>
      <c r="BR5" s="478"/>
      <c r="BS5" s="478"/>
      <c r="BT5" s="478"/>
      <c r="BU5" s="478"/>
      <c r="BV5" s="478"/>
      <c r="BW5" s="478"/>
      <c r="BX5" s="478"/>
      <c r="BY5" s="478"/>
      <c r="BZ5" s="478"/>
      <c r="CA5" s="478"/>
      <c r="CB5" s="478"/>
      <c r="CC5" s="478"/>
      <c r="CD5" s="478"/>
      <c r="CE5" s="478"/>
      <c r="CF5" s="478"/>
      <c r="CG5" s="478"/>
      <c r="CH5" s="478"/>
      <c r="CI5" s="478"/>
      <c r="CJ5" s="478"/>
      <c r="CK5" s="478"/>
      <c r="CL5" s="478"/>
      <c r="CM5" s="478"/>
      <c r="CN5" s="478"/>
      <c r="CO5" s="478"/>
      <c r="CP5" s="478"/>
      <c r="CQ5" s="478"/>
      <c r="CR5" s="478"/>
      <c r="CS5" s="478"/>
      <c r="CT5" s="478"/>
      <c r="CU5" s="478"/>
      <c r="CV5" s="478"/>
      <c r="CW5" s="478"/>
      <c r="CX5" s="478"/>
    </row>
    <row r="6" ht="17.25" customHeight="1">
      <c r="A6" s="469"/>
      <c r="B6" s="475" t="s">
        <v>390</v>
      </c>
      <c r="C6" s="479" t="s">
        <v>634</v>
      </c>
      <c r="D6" s="480" t="s">
        <v>1357</v>
      </c>
      <c r="E6" s="481"/>
      <c r="F6" s="481"/>
      <c r="G6" s="481"/>
      <c r="H6" s="481"/>
      <c r="I6" s="481"/>
      <c r="J6" s="481"/>
      <c r="K6" s="481"/>
      <c r="L6" s="481"/>
      <c r="M6" s="481"/>
      <c r="N6" s="481"/>
      <c r="O6" s="481"/>
      <c r="P6" s="481"/>
      <c r="Q6" s="481"/>
      <c r="R6" s="481"/>
      <c r="S6" s="481"/>
      <c r="T6" s="481"/>
      <c r="U6" s="481"/>
      <c r="V6" s="481"/>
      <c r="W6" s="481"/>
      <c r="X6" s="481"/>
      <c r="Y6" s="481"/>
      <c r="Z6" s="481"/>
      <c r="AA6" s="481"/>
      <c r="AB6" s="481"/>
      <c r="AC6" s="481"/>
      <c r="AD6" s="481"/>
      <c r="AE6" s="481"/>
      <c r="AF6" s="481"/>
      <c r="AG6" s="481"/>
      <c r="AH6" s="481"/>
      <c r="AI6" s="481"/>
      <c r="AJ6" s="481"/>
      <c r="AK6" s="481"/>
      <c r="AL6" s="481"/>
      <c r="AM6" s="481"/>
      <c r="AN6" s="481"/>
      <c r="AO6" s="481"/>
      <c r="AP6" s="481"/>
      <c r="AQ6" s="481"/>
      <c r="AR6" s="481"/>
      <c r="AS6" s="481"/>
      <c r="AT6" s="481"/>
      <c r="AU6" s="481"/>
      <c r="AV6" s="481"/>
      <c r="AW6" s="481"/>
      <c r="AX6" s="481"/>
      <c r="AY6" s="481"/>
      <c r="AZ6" s="481"/>
      <c r="BA6" s="481"/>
      <c r="BB6" s="481"/>
      <c r="BC6" s="481"/>
      <c r="BD6" s="481"/>
      <c r="BE6" s="481"/>
      <c r="BF6" s="481"/>
      <c r="BG6" s="481"/>
      <c r="BH6" s="481"/>
      <c r="BI6" s="481"/>
      <c r="BJ6" s="481"/>
      <c r="BK6" s="481"/>
      <c r="BL6" s="481"/>
      <c r="BM6" s="481"/>
      <c r="BN6" s="481"/>
      <c r="BO6" s="481"/>
      <c r="BP6" s="481"/>
      <c r="BQ6" s="481"/>
      <c r="BR6" s="481"/>
      <c r="BS6" s="481"/>
      <c r="BT6" s="481"/>
      <c r="BU6" s="481"/>
      <c r="BV6" s="481"/>
      <c r="BW6" s="481"/>
      <c r="BX6" s="481"/>
      <c r="BY6" s="481"/>
      <c r="BZ6" s="481"/>
      <c r="CA6" s="481"/>
      <c r="CB6" s="481"/>
      <c r="CC6" s="481"/>
      <c r="CD6" s="481"/>
      <c r="CE6" s="481"/>
      <c r="CF6" s="481"/>
      <c r="CG6" s="481"/>
      <c r="CH6" s="481"/>
      <c r="CI6" s="481"/>
      <c r="CJ6" s="481"/>
      <c r="CK6" s="481"/>
      <c r="CL6" s="481"/>
      <c r="CM6" s="481"/>
      <c r="CN6" s="481"/>
      <c r="CO6" s="481"/>
      <c r="CP6" s="481"/>
      <c r="CQ6" s="481"/>
      <c r="CR6" s="481"/>
      <c r="CS6" s="481"/>
      <c r="CT6" s="481"/>
      <c r="CU6" s="481"/>
      <c r="CV6" s="481"/>
      <c r="CW6" s="481"/>
      <c r="CX6" s="481"/>
    </row>
    <row r="7" ht="17.25" customHeight="1">
      <c r="A7" s="469"/>
      <c r="B7" s="475"/>
      <c r="C7" s="482" t="s">
        <v>1358</v>
      </c>
      <c r="D7" s="480"/>
      <c r="E7" s="483"/>
      <c r="F7" s="483"/>
      <c r="G7" s="483"/>
      <c r="H7" s="483"/>
      <c r="I7" s="483"/>
      <c r="J7" s="483"/>
      <c r="K7" s="483"/>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3"/>
      <c r="CH7" s="483"/>
      <c r="CI7" s="483"/>
      <c r="CJ7" s="483"/>
      <c r="CK7" s="483"/>
      <c r="CL7" s="483"/>
      <c r="CM7" s="483"/>
      <c r="CN7" s="483"/>
      <c r="CO7" s="483"/>
      <c r="CP7" s="483"/>
      <c r="CQ7" s="483"/>
      <c r="CR7" s="483"/>
      <c r="CS7" s="483"/>
      <c r="CT7" s="483"/>
      <c r="CU7" s="483"/>
      <c r="CV7" s="483"/>
      <c r="CW7" s="483"/>
      <c r="CX7" s="483"/>
    </row>
    <row r="8" ht="17.25" customHeight="1">
      <c r="A8" s="469"/>
      <c r="B8" s="475"/>
      <c r="C8" s="479" t="s">
        <v>635</v>
      </c>
      <c r="D8" s="480" t="s">
        <v>1359</v>
      </c>
      <c r="E8" s="483"/>
      <c r="F8" s="483"/>
      <c r="G8" s="483"/>
      <c r="H8" s="483"/>
      <c r="I8" s="483"/>
      <c r="J8" s="483"/>
      <c r="K8" s="483"/>
      <c r="L8" s="483"/>
      <c r="M8" s="483"/>
      <c r="N8" s="483"/>
      <c r="O8" s="483"/>
      <c r="P8" s="483"/>
      <c r="Q8" s="483"/>
      <c r="R8" s="483"/>
      <c r="S8" s="483"/>
      <c r="T8" s="483"/>
      <c r="U8" s="483"/>
      <c r="V8" s="483"/>
      <c r="W8" s="483"/>
      <c r="X8" s="483"/>
      <c r="Y8" s="483"/>
      <c r="Z8" s="483"/>
      <c r="AA8" s="483"/>
      <c r="AB8" s="483"/>
      <c r="AC8" s="483"/>
      <c r="AD8" s="483"/>
      <c r="AE8" s="483"/>
      <c r="AF8" s="483"/>
      <c r="AG8" s="483"/>
      <c r="AH8" s="483"/>
      <c r="AI8" s="483"/>
      <c r="AJ8" s="483"/>
      <c r="AK8" s="483"/>
      <c r="AL8" s="483"/>
      <c r="AM8" s="483"/>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3"/>
      <c r="BT8" s="483"/>
      <c r="BU8" s="483"/>
      <c r="BV8" s="483"/>
      <c r="BW8" s="483"/>
      <c r="BX8" s="483"/>
      <c r="BY8" s="483"/>
      <c r="BZ8" s="483"/>
      <c r="CA8" s="483"/>
      <c r="CB8" s="483"/>
      <c r="CC8" s="483"/>
      <c r="CD8" s="483"/>
      <c r="CE8" s="483"/>
      <c r="CF8" s="483"/>
      <c r="CG8" s="483"/>
      <c r="CH8" s="483"/>
      <c r="CI8" s="483"/>
      <c r="CJ8" s="483"/>
      <c r="CK8" s="483"/>
      <c r="CL8" s="483"/>
      <c r="CM8" s="483"/>
      <c r="CN8" s="483"/>
      <c r="CO8" s="483"/>
      <c r="CP8" s="483"/>
      <c r="CQ8" s="483"/>
      <c r="CR8" s="483"/>
      <c r="CS8" s="483"/>
      <c r="CT8" s="483"/>
      <c r="CU8" s="483"/>
      <c r="CV8" s="483"/>
      <c r="CW8" s="483"/>
      <c r="CX8" s="483"/>
    </row>
    <row r="9" ht="17.25" customHeight="1">
      <c r="A9" s="484"/>
      <c r="B9" s="485"/>
      <c r="C9" s="486" t="s">
        <v>1360</v>
      </c>
      <c r="D9" s="487">
        <v>81.55</v>
      </c>
      <c r="E9" s="488"/>
      <c r="F9" s="488"/>
      <c r="G9" s="488"/>
      <c r="H9" s="488"/>
      <c r="I9" s="488"/>
      <c r="J9" s="488"/>
      <c r="K9" s="488"/>
      <c r="L9" s="488"/>
      <c r="M9" s="488"/>
      <c r="N9" s="488"/>
      <c r="O9" s="488"/>
      <c r="P9" s="488"/>
      <c r="Q9" s="488"/>
      <c r="R9" s="488"/>
      <c r="S9" s="488"/>
      <c r="T9" s="488"/>
      <c r="U9" s="488"/>
      <c r="V9" s="488"/>
      <c r="W9" s="488"/>
      <c r="X9" s="488"/>
      <c r="Y9" s="488"/>
      <c r="Z9" s="488"/>
      <c r="AA9" s="488"/>
      <c r="AB9" s="488"/>
      <c r="AC9" s="488"/>
      <c r="AD9" s="488"/>
      <c r="AE9" s="488"/>
      <c r="AF9" s="488"/>
      <c r="AG9" s="488"/>
      <c r="AH9" s="488"/>
      <c r="AI9" s="488"/>
      <c r="AJ9" s="488"/>
      <c r="AK9" s="488"/>
      <c r="AL9" s="488"/>
      <c r="AM9" s="488"/>
      <c r="AN9" s="488"/>
      <c r="AO9" s="488"/>
      <c r="AP9" s="488"/>
      <c r="AQ9" s="488"/>
      <c r="AR9" s="488"/>
      <c r="AS9" s="488"/>
      <c r="AT9" s="488"/>
      <c r="AU9" s="488"/>
      <c r="AV9" s="488"/>
      <c r="AW9" s="488"/>
      <c r="AX9" s="488"/>
      <c r="AY9" s="488"/>
      <c r="AZ9" s="488"/>
      <c r="BA9" s="488"/>
      <c r="BB9" s="488"/>
      <c r="BC9" s="488"/>
      <c r="BD9" s="488"/>
      <c r="BE9" s="488"/>
      <c r="BF9" s="488"/>
      <c r="BG9" s="488"/>
      <c r="BH9" s="488"/>
      <c r="BI9" s="488"/>
      <c r="BJ9" s="488"/>
      <c r="BK9" s="488"/>
      <c r="BL9" s="488"/>
      <c r="BM9" s="488"/>
      <c r="BN9" s="488"/>
      <c r="BO9" s="488"/>
      <c r="BP9" s="488"/>
      <c r="BQ9" s="488"/>
      <c r="BR9" s="488"/>
      <c r="BS9" s="488"/>
      <c r="BT9" s="488"/>
      <c r="BU9" s="488"/>
      <c r="BV9" s="488"/>
      <c r="BW9" s="488"/>
      <c r="BX9" s="488"/>
      <c r="BY9" s="488"/>
      <c r="BZ9" s="488"/>
      <c r="CA9" s="488"/>
      <c r="CB9" s="488"/>
      <c r="CC9" s="488"/>
      <c r="CD9" s="488"/>
      <c r="CE9" s="488"/>
      <c r="CF9" s="488"/>
      <c r="CG9" s="488"/>
      <c r="CH9" s="488"/>
      <c r="CI9" s="488"/>
      <c r="CJ9" s="488"/>
      <c r="CK9" s="488"/>
      <c r="CL9" s="488"/>
      <c r="CM9" s="488"/>
      <c r="CN9" s="488"/>
      <c r="CO9" s="488"/>
      <c r="CP9" s="488"/>
      <c r="CQ9" s="488"/>
      <c r="CR9" s="488"/>
      <c r="CS9" s="488"/>
      <c r="CT9" s="488"/>
      <c r="CU9" s="488"/>
      <c r="CV9" s="488"/>
      <c r="CW9" s="488"/>
      <c r="CX9" s="488"/>
    </row>
    <row r="10" ht="17.25" customHeight="1">
      <c r="A10" s="484"/>
      <c r="B10" s="485"/>
      <c r="C10" s="489" t="s">
        <v>1361</v>
      </c>
      <c r="D10" s="490">
        <v>59.12</v>
      </c>
      <c r="E10" s="491"/>
      <c r="F10" s="491"/>
      <c r="G10" s="491"/>
      <c r="H10" s="491"/>
      <c r="I10" s="491"/>
      <c r="J10" s="491"/>
      <c r="K10" s="491"/>
      <c r="L10" s="491"/>
      <c r="M10" s="491"/>
      <c r="N10" s="491"/>
      <c r="O10" s="491"/>
      <c r="P10" s="491"/>
      <c r="Q10" s="491"/>
      <c r="R10" s="491"/>
      <c r="S10" s="491"/>
      <c r="T10" s="491"/>
      <c r="U10" s="491"/>
      <c r="V10" s="491"/>
      <c r="W10" s="491"/>
      <c r="X10" s="491"/>
      <c r="Y10" s="491"/>
      <c r="Z10" s="491"/>
      <c r="AA10" s="491"/>
      <c r="AB10" s="491"/>
      <c r="AC10" s="491"/>
      <c r="AD10" s="491"/>
      <c r="AE10" s="491"/>
      <c r="AF10" s="491"/>
      <c r="AG10" s="491"/>
      <c r="AH10" s="491"/>
      <c r="AI10" s="491"/>
      <c r="AJ10" s="491"/>
      <c r="AK10" s="491"/>
      <c r="AL10" s="491"/>
      <c r="AM10" s="491"/>
      <c r="AN10" s="491"/>
      <c r="AO10" s="491"/>
      <c r="AP10" s="491"/>
      <c r="AQ10" s="491"/>
      <c r="AR10" s="491"/>
      <c r="AS10" s="491"/>
      <c r="AT10" s="491"/>
      <c r="AU10" s="491"/>
      <c r="AV10" s="491"/>
      <c r="AW10" s="491"/>
      <c r="AX10" s="491"/>
      <c r="AY10" s="491"/>
      <c r="AZ10" s="491"/>
      <c r="BA10" s="491"/>
      <c r="BB10" s="491"/>
      <c r="BC10" s="491"/>
      <c r="BD10" s="491"/>
      <c r="BE10" s="491"/>
      <c r="BF10" s="491"/>
      <c r="BG10" s="491"/>
      <c r="BH10" s="491"/>
      <c r="BI10" s="491"/>
      <c r="BJ10" s="491"/>
      <c r="BK10" s="491"/>
      <c r="BL10" s="491"/>
      <c r="BM10" s="491"/>
      <c r="BN10" s="491"/>
      <c r="BO10" s="491"/>
      <c r="BP10" s="491"/>
      <c r="BQ10" s="491"/>
      <c r="BR10" s="491"/>
      <c r="BS10" s="491"/>
      <c r="BT10" s="491"/>
      <c r="BU10" s="491"/>
      <c r="BV10" s="491"/>
      <c r="BW10" s="491"/>
      <c r="BX10" s="491"/>
      <c r="BY10" s="491"/>
      <c r="BZ10" s="491"/>
      <c r="CA10" s="491"/>
      <c r="CB10" s="491"/>
      <c r="CC10" s="491"/>
      <c r="CD10" s="491"/>
      <c r="CE10" s="491"/>
      <c r="CF10" s="491"/>
      <c r="CG10" s="491"/>
      <c r="CH10" s="491"/>
      <c r="CI10" s="491"/>
      <c r="CJ10" s="491"/>
      <c r="CK10" s="491"/>
      <c r="CL10" s="491"/>
      <c r="CM10" s="491"/>
      <c r="CN10" s="491"/>
      <c r="CO10" s="491"/>
      <c r="CP10" s="491"/>
      <c r="CQ10" s="491"/>
      <c r="CR10" s="491"/>
      <c r="CS10" s="491"/>
      <c r="CT10" s="491"/>
      <c r="CU10" s="491"/>
      <c r="CV10" s="491"/>
      <c r="CW10" s="491"/>
      <c r="CX10" s="491"/>
    </row>
    <row r="11" ht="17.25" customHeight="1">
      <c r="A11" s="492"/>
      <c r="B11" s="475"/>
      <c r="C11" s="489" t="s">
        <v>1362</v>
      </c>
      <c r="D11" s="493">
        <f t="shared" ref="D11:CX11" si="1">D9/3.305795</f>
        <v>24.6688013</v>
      </c>
      <c r="E11" s="494">
        <f t="shared" si="1"/>
        <v>0</v>
      </c>
      <c r="F11" s="494">
        <f t="shared" si="1"/>
        <v>0</v>
      </c>
      <c r="G11" s="494">
        <f t="shared" si="1"/>
        <v>0</v>
      </c>
      <c r="H11" s="494">
        <f t="shared" si="1"/>
        <v>0</v>
      </c>
      <c r="I11" s="494">
        <f t="shared" si="1"/>
        <v>0</v>
      </c>
      <c r="J11" s="494">
        <f t="shared" si="1"/>
        <v>0</v>
      </c>
      <c r="K11" s="494">
        <f t="shared" si="1"/>
        <v>0</v>
      </c>
      <c r="L11" s="494">
        <f t="shared" si="1"/>
        <v>0</v>
      </c>
      <c r="M11" s="494">
        <f t="shared" si="1"/>
        <v>0</v>
      </c>
      <c r="N11" s="494">
        <f t="shared" si="1"/>
        <v>0</v>
      </c>
      <c r="O11" s="494">
        <f t="shared" si="1"/>
        <v>0</v>
      </c>
      <c r="P11" s="494">
        <f t="shared" si="1"/>
        <v>0</v>
      </c>
      <c r="Q11" s="494">
        <f t="shared" si="1"/>
        <v>0</v>
      </c>
      <c r="R11" s="494">
        <f t="shared" si="1"/>
        <v>0</v>
      </c>
      <c r="S11" s="494">
        <f t="shared" si="1"/>
        <v>0</v>
      </c>
      <c r="T11" s="494">
        <f t="shared" si="1"/>
        <v>0</v>
      </c>
      <c r="U11" s="494">
        <f t="shared" si="1"/>
        <v>0</v>
      </c>
      <c r="V11" s="494">
        <f t="shared" si="1"/>
        <v>0</v>
      </c>
      <c r="W11" s="494">
        <f t="shared" si="1"/>
        <v>0</v>
      </c>
      <c r="X11" s="494">
        <f t="shared" si="1"/>
        <v>0</v>
      </c>
      <c r="Y11" s="494">
        <f t="shared" si="1"/>
        <v>0</v>
      </c>
      <c r="Z11" s="494">
        <f t="shared" si="1"/>
        <v>0</v>
      </c>
      <c r="AA11" s="494">
        <f t="shared" si="1"/>
        <v>0</v>
      </c>
      <c r="AB11" s="494">
        <f t="shared" si="1"/>
        <v>0</v>
      </c>
      <c r="AC11" s="494">
        <f t="shared" si="1"/>
        <v>0</v>
      </c>
      <c r="AD11" s="494">
        <f t="shared" si="1"/>
        <v>0</v>
      </c>
      <c r="AE11" s="494">
        <f t="shared" si="1"/>
        <v>0</v>
      </c>
      <c r="AF11" s="494">
        <f t="shared" si="1"/>
        <v>0</v>
      </c>
      <c r="AG11" s="494">
        <f t="shared" si="1"/>
        <v>0</v>
      </c>
      <c r="AH11" s="494">
        <f t="shared" si="1"/>
        <v>0</v>
      </c>
      <c r="AI11" s="494">
        <f t="shared" si="1"/>
        <v>0</v>
      </c>
      <c r="AJ11" s="494">
        <f t="shared" si="1"/>
        <v>0</v>
      </c>
      <c r="AK11" s="494">
        <f t="shared" si="1"/>
        <v>0</v>
      </c>
      <c r="AL11" s="494">
        <f t="shared" si="1"/>
        <v>0</v>
      </c>
      <c r="AM11" s="494">
        <f t="shared" si="1"/>
        <v>0</v>
      </c>
      <c r="AN11" s="494">
        <f t="shared" si="1"/>
        <v>0</v>
      </c>
      <c r="AO11" s="494">
        <f t="shared" si="1"/>
        <v>0</v>
      </c>
      <c r="AP11" s="494">
        <f t="shared" si="1"/>
        <v>0</v>
      </c>
      <c r="AQ11" s="494">
        <f t="shared" si="1"/>
        <v>0</v>
      </c>
      <c r="AR11" s="494">
        <f t="shared" si="1"/>
        <v>0</v>
      </c>
      <c r="AS11" s="494">
        <f t="shared" si="1"/>
        <v>0</v>
      </c>
      <c r="AT11" s="494">
        <f t="shared" si="1"/>
        <v>0</v>
      </c>
      <c r="AU11" s="494">
        <f t="shared" si="1"/>
        <v>0</v>
      </c>
      <c r="AV11" s="494">
        <f t="shared" si="1"/>
        <v>0</v>
      </c>
      <c r="AW11" s="494">
        <f t="shared" si="1"/>
        <v>0</v>
      </c>
      <c r="AX11" s="494">
        <f t="shared" si="1"/>
        <v>0</v>
      </c>
      <c r="AY11" s="494">
        <f t="shared" si="1"/>
        <v>0</v>
      </c>
      <c r="AZ11" s="494">
        <f t="shared" si="1"/>
        <v>0</v>
      </c>
      <c r="BA11" s="494">
        <f t="shared" si="1"/>
        <v>0</v>
      </c>
      <c r="BB11" s="494">
        <f t="shared" si="1"/>
        <v>0</v>
      </c>
      <c r="BC11" s="494">
        <f t="shared" si="1"/>
        <v>0</v>
      </c>
      <c r="BD11" s="494">
        <f t="shared" si="1"/>
        <v>0</v>
      </c>
      <c r="BE11" s="494">
        <f t="shared" si="1"/>
        <v>0</v>
      </c>
      <c r="BF11" s="494">
        <f t="shared" si="1"/>
        <v>0</v>
      </c>
      <c r="BG11" s="494">
        <f t="shared" si="1"/>
        <v>0</v>
      </c>
      <c r="BH11" s="494">
        <f t="shared" si="1"/>
        <v>0</v>
      </c>
      <c r="BI11" s="494">
        <f t="shared" si="1"/>
        <v>0</v>
      </c>
      <c r="BJ11" s="494">
        <f t="shared" si="1"/>
        <v>0</v>
      </c>
      <c r="BK11" s="494">
        <f t="shared" si="1"/>
        <v>0</v>
      </c>
      <c r="BL11" s="494">
        <f t="shared" si="1"/>
        <v>0</v>
      </c>
      <c r="BM11" s="494">
        <f t="shared" si="1"/>
        <v>0</v>
      </c>
      <c r="BN11" s="494">
        <f t="shared" si="1"/>
        <v>0</v>
      </c>
      <c r="BO11" s="494">
        <f t="shared" si="1"/>
        <v>0</v>
      </c>
      <c r="BP11" s="494">
        <f t="shared" si="1"/>
        <v>0</v>
      </c>
      <c r="BQ11" s="494">
        <f t="shared" si="1"/>
        <v>0</v>
      </c>
      <c r="BR11" s="494">
        <f t="shared" si="1"/>
        <v>0</v>
      </c>
      <c r="BS11" s="494">
        <f t="shared" si="1"/>
        <v>0</v>
      </c>
      <c r="BT11" s="494">
        <f t="shared" si="1"/>
        <v>0</v>
      </c>
      <c r="BU11" s="494">
        <f t="shared" si="1"/>
        <v>0</v>
      </c>
      <c r="BV11" s="494">
        <f t="shared" si="1"/>
        <v>0</v>
      </c>
      <c r="BW11" s="494">
        <f t="shared" si="1"/>
        <v>0</v>
      </c>
      <c r="BX11" s="494">
        <f t="shared" si="1"/>
        <v>0</v>
      </c>
      <c r="BY11" s="494">
        <f t="shared" si="1"/>
        <v>0</v>
      </c>
      <c r="BZ11" s="494">
        <f t="shared" si="1"/>
        <v>0</v>
      </c>
      <c r="CA11" s="494">
        <f t="shared" si="1"/>
        <v>0</v>
      </c>
      <c r="CB11" s="494">
        <f t="shared" si="1"/>
        <v>0</v>
      </c>
      <c r="CC11" s="494">
        <f t="shared" si="1"/>
        <v>0</v>
      </c>
      <c r="CD11" s="494">
        <f t="shared" si="1"/>
        <v>0</v>
      </c>
      <c r="CE11" s="494">
        <f t="shared" si="1"/>
        <v>0</v>
      </c>
      <c r="CF11" s="494">
        <f t="shared" si="1"/>
        <v>0</v>
      </c>
      <c r="CG11" s="494">
        <f t="shared" si="1"/>
        <v>0</v>
      </c>
      <c r="CH11" s="494">
        <f t="shared" si="1"/>
        <v>0</v>
      </c>
      <c r="CI11" s="494">
        <f t="shared" si="1"/>
        <v>0</v>
      </c>
      <c r="CJ11" s="494">
        <f t="shared" si="1"/>
        <v>0</v>
      </c>
      <c r="CK11" s="494">
        <f t="shared" si="1"/>
        <v>0</v>
      </c>
      <c r="CL11" s="494">
        <f t="shared" si="1"/>
        <v>0</v>
      </c>
      <c r="CM11" s="494">
        <f t="shared" si="1"/>
        <v>0</v>
      </c>
      <c r="CN11" s="494">
        <f t="shared" si="1"/>
        <v>0</v>
      </c>
      <c r="CO11" s="494">
        <f t="shared" si="1"/>
        <v>0</v>
      </c>
      <c r="CP11" s="494">
        <f t="shared" si="1"/>
        <v>0</v>
      </c>
      <c r="CQ11" s="494">
        <f t="shared" si="1"/>
        <v>0</v>
      </c>
      <c r="CR11" s="494">
        <f t="shared" si="1"/>
        <v>0</v>
      </c>
      <c r="CS11" s="494">
        <f t="shared" si="1"/>
        <v>0</v>
      </c>
      <c r="CT11" s="494">
        <f t="shared" si="1"/>
        <v>0</v>
      </c>
      <c r="CU11" s="494">
        <f t="shared" si="1"/>
        <v>0</v>
      </c>
      <c r="CV11" s="494">
        <f t="shared" si="1"/>
        <v>0</v>
      </c>
      <c r="CW11" s="494">
        <f t="shared" si="1"/>
        <v>0</v>
      </c>
      <c r="CX11" s="494">
        <f t="shared" si="1"/>
        <v>0</v>
      </c>
    </row>
    <row r="12" ht="17.25" customHeight="1">
      <c r="A12" s="492"/>
      <c r="B12" s="495"/>
      <c r="C12" s="496" t="s">
        <v>1363</v>
      </c>
      <c r="D12" s="497">
        <f t="shared" ref="D12:CX12" si="2">D10/3.305785</f>
        <v>17.88380067</v>
      </c>
      <c r="E12" s="498">
        <f t="shared" si="2"/>
        <v>0</v>
      </c>
      <c r="F12" s="498">
        <f t="shared" si="2"/>
        <v>0</v>
      </c>
      <c r="G12" s="498">
        <f t="shared" si="2"/>
        <v>0</v>
      </c>
      <c r="H12" s="498">
        <f t="shared" si="2"/>
        <v>0</v>
      </c>
      <c r="I12" s="498">
        <f t="shared" si="2"/>
        <v>0</v>
      </c>
      <c r="J12" s="498">
        <f t="shared" si="2"/>
        <v>0</v>
      </c>
      <c r="K12" s="498">
        <f t="shared" si="2"/>
        <v>0</v>
      </c>
      <c r="L12" s="498">
        <f t="shared" si="2"/>
        <v>0</v>
      </c>
      <c r="M12" s="498">
        <f t="shared" si="2"/>
        <v>0</v>
      </c>
      <c r="N12" s="498">
        <f t="shared" si="2"/>
        <v>0</v>
      </c>
      <c r="O12" s="498">
        <f t="shared" si="2"/>
        <v>0</v>
      </c>
      <c r="P12" s="498">
        <f t="shared" si="2"/>
        <v>0</v>
      </c>
      <c r="Q12" s="498">
        <f t="shared" si="2"/>
        <v>0</v>
      </c>
      <c r="R12" s="498">
        <f t="shared" si="2"/>
        <v>0</v>
      </c>
      <c r="S12" s="498">
        <f t="shared" si="2"/>
        <v>0</v>
      </c>
      <c r="T12" s="498">
        <f t="shared" si="2"/>
        <v>0</v>
      </c>
      <c r="U12" s="498">
        <f t="shared" si="2"/>
        <v>0</v>
      </c>
      <c r="V12" s="498">
        <f t="shared" si="2"/>
        <v>0</v>
      </c>
      <c r="W12" s="498">
        <f t="shared" si="2"/>
        <v>0</v>
      </c>
      <c r="X12" s="498">
        <f t="shared" si="2"/>
        <v>0</v>
      </c>
      <c r="Y12" s="498">
        <f t="shared" si="2"/>
        <v>0</v>
      </c>
      <c r="Z12" s="498">
        <f t="shared" si="2"/>
        <v>0</v>
      </c>
      <c r="AA12" s="498">
        <f t="shared" si="2"/>
        <v>0</v>
      </c>
      <c r="AB12" s="498">
        <f t="shared" si="2"/>
        <v>0</v>
      </c>
      <c r="AC12" s="498">
        <f t="shared" si="2"/>
        <v>0</v>
      </c>
      <c r="AD12" s="498">
        <f t="shared" si="2"/>
        <v>0</v>
      </c>
      <c r="AE12" s="498">
        <f t="shared" si="2"/>
        <v>0</v>
      </c>
      <c r="AF12" s="498">
        <f t="shared" si="2"/>
        <v>0</v>
      </c>
      <c r="AG12" s="498">
        <f t="shared" si="2"/>
        <v>0</v>
      </c>
      <c r="AH12" s="498">
        <f t="shared" si="2"/>
        <v>0</v>
      </c>
      <c r="AI12" s="498">
        <f t="shared" si="2"/>
        <v>0</v>
      </c>
      <c r="AJ12" s="498">
        <f t="shared" si="2"/>
        <v>0</v>
      </c>
      <c r="AK12" s="498">
        <f t="shared" si="2"/>
        <v>0</v>
      </c>
      <c r="AL12" s="498">
        <f t="shared" si="2"/>
        <v>0</v>
      </c>
      <c r="AM12" s="498">
        <f t="shared" si="2"/>
        <v>0</v>
      </c>
      <c r="AN12" s="498">
        <f t="shared" si="2"/>
        <v>0</v>
      </c>
      <c r="AO12" s="498">
        <f t="shared" si="2"/>
        <v>0</v>
      </c>
      <c r="AP12" s="498">
        <f t="shared" si="2"/>
        <v>0</v>
      </c>
      <c r="AQ12" s="498">
        <f t="shared" si="2"/>
        <v>0</v>
      </c>
      <c r="AR12" s="498">
        <f t="shared" si="2"/>
        <v>0</v>
      </c>
      <c r="AS12" s="498">
        <f t="shared" si="2"/>
        <v>0</v>
      </c>
      <c r="AT12" s="498">
        <f t="shared" si="2"/>
        <v>0</v>
      </c>
      <c r="AU12" s="498">
        <f t="shared" si="2"/>
        <v>0</v>
      </c>
      <c r="AV12" s="498">
        <f t="shared" si="2"/>
        <v>0</v>
      </c>
      <c r="AW12" s="498">
        <f t="shared" si="2"/>
        <v>0</v>
      </c>
      <c r="AX12" s="498">
        <f t="shared" si="2"/>
        <v>0</v>
      </c>
      <c r="AY12" s="498">
        <f t="shared" si="2"/>
        <v>0</v>
      </c>
      <c r="AZ12" s="498">
        <f t="shared" si="2"/>
        <v>0</v>
      </c>
      <c r="BA12" s="498">
        <f t="shared" si="2"/>
        <v>0</v>
      </c>
      <c r="BB12" s="498">
        <f t="shared" si="2"/>
        <v>0</v>
      </c>
      <c r="BC12" s="498">
        <f t="shared" si="2"/>
        <v>0</v>
      </c>
      <c r="BD12" s="498">
        <f t="shared" si="2"/>
        <v>0</v>
      </c>
      <c r="BE12" s="498">
        <f t="shared" si="2"/>
        <v>0</v>
      </c>
      <c r="BF12" s="498">
        <f t="shared" si="2"/>
        <v>0</v>
      </c>
      <c r="BG12" s="498">
        <f t="shared" si="2"/>
        <v>0</v>
      </c>
      <c r="BH12" s="498">
        <f t="shared" si="2"/>
        <v>0</v>
      </c>
      <c r="BI12" s="498">
        <f t="shared" si="2"/>
        <v>0</v>
      </c>
      <c r="BJ12" s="498">
        <f t="shared" si="2"/>
        <v>0</v>
      </c>
      <c r="BK12" s="498">
        <f t="shared" si="2"/>
        <v>0</v>
      </c>
      <c r="BL12" s="498">
        <f t="shared" si="2"/>
        <v>0</v>
      </c>
      <c r="BM12" s="498">
        <f t="shared" si="2"/>
        <v>0</v>
      </c>
      <c r="BN12" s="498">
        <f t="shared" si="2"/>
        <v>0</v>
      </c>
      <c r="BO12" s="498">
        <f t="shared" si="2"/>
        <v>0</v>
      </c>
      <c r="BP12" s="498">
        <f t="shared" si="2"/>
        <v>0</v>
      </c>
      <c r="BQ12" s="498">
        <f t="shared" si="2"/>
        <v>0</v>
      </c>
      <c r="BR12" s="498">
        <f t="shared" si="2"/>
        <v>0</v>
      </c>
      <c r="BS12" s="498">
        <f t="shared" si="2"/>
        <v>0</v>
      </c>
      <c r="BT12" s="498">
        <f t="shared" si="2"/>
        <v>0</v>
      </c>
      <c r="BU12" s="498">
        <f t="shared" si="2"/>
        <v>0</v>
      </c>
      <c r="BV12" s="498">
        <f t="shared" si="2"/>
        <v>0</v>
      </c>
      <c r="BW12" s="498">
        <f t="shared" si="2"/>
        <v>0</v>
      </c>
      <c r="BX12" s="498">
        <f t="shared" si="2"/>
        <v>0</v>
      </c>
      <c r="BY12" s="498">
        <f t="shared" si="2"/>
        <v>0</v>
      </c>
      <c r="BZ12" s="498">
        <f t="shared" si="2"/>
        <v>0</v>
      </c>
      <c r="CA12" s="498">
        <f t="shared" si="2"/>
        <v>0</v>
      </c>
      <c r="CB12" s="498">
        <f t="shared" si="2"/>
        <v>0</v>
      </c>
      <c r="CC12" s="498">
        <f t="shared" si="2"/>
        <v>0</v>
      </c>
      <c r="CD12" s="498">
        <f t="shared" si="2"/>
        <v>0</v>
      </c>
      <c r="CE12" s="498">
        <f t="shared" si="2"/>
        <v>0</v>
      </c>
      <c r="CF12" s="498">
        <f t="shared" si="2"/>
        <v>0</v>
      </c>
      <c r="CG12" s="498">
        <f t="shared" si="2"/>
        <v>0</v>
      </c>
      <c r="CH12" s="498">
        <f t="shared" si="2"/>
        <v>0</v>
      </c>
      <c r="CI12" s="498">
        <f t="shared" si="2"/>
        <v>0</v>
      </c>
      <c r="CJ12" s="498">
        <f t="shared" si="2"/>
        <v>0</v>
      </c>
      <c r="CK12" s="498">
        <f t="shared" si="2"/>
        <v>0</v>
      </c>
      <c r="CL12" s="498">
        <f t="shared" si="2"/>
        <v>0</v>
      </c>
      <c r="CM12" s="498">
        <f t="shared" si="2"/>
        <v>0</v>
      </c>
      <c r="CN12" s="498">
        <f t="shared" si="2"/>
        <v>0</v>
      </c>
      <c r="CO12" s="498">
        <f t="shared" si="2"/>
        <v>0</v>
      </c>
      <c r="CP12" s="498">
        <f t="shared" si="2"/>
        <v>0</v>
      </c>
      <c r="CQ12" s="498">
        <f t="shared" si="2"/>
        <v>0</v>
      </c>
      <c r="CR12" s="498">
        <f t="shared" si="2"/>
        <v>0</v>
      </c>
      <c r="CS12" s="498">
        <f t="shared" si="2"/>
        <v>0</v>
      </c>
      <c r="CT12" s="498">
        <f t="shared" si="2"/>
        <v>0</v>
      </c>
      <c r="CU12" s="498">
        <f t="shared" si="2"/>
        <v>0</v>
      </c>
      <c r="CV12" s="498">
        <f t="shared" si="2"/>
        <v>0</v>
      </c>
      <c r="CW12" s="498">
        <f t="shared" si="2"/>
        <v>0</v>
      </c>
      <c r="CX12" s="498">
        <f t="shared" si="2"/>
        <v>0</v>
      </c>
    </row>
    <row r="13">
      <c r="A13" s="469"/>
      <c r="B13" s="499" t="s">
        <v>1364</v>
      </c>
      <c r="C13" s="500" t="s">
        <v>1365</v>
      </c>
      <c r="D13" s="501" t="s">
        <v>1366</v>
      </c>
      <c r="E13" s="502"/>
      <c r="F13" s="502"/>
      <c r="G13" s="502"/>
      <c r="H13" s="502"/>
      <c r="I13" s="502"/>
      <c r="J13" s="502"/>
      <c r="K13" s="502"/>
      <c r="L13" s="502"/>
      <c r="M13" s="502"/>
      <c r="N13" s="502"/>
      <c r="O13" s="502"/>
      <c r="P13" s="502"/>
      <c r="Q13" s="502"/>
      <c r="R13" s="502"/>
      <c r="S13" s="502"/>
      <c r="T13" s="502"/>
      <c r="U13" s="502"/>
      <c r="V13" s="502"/>
      <c r="W13" s="502"/>
      <c r="X13" s="502"/>
      <c r="Y13" s="502"/>
      <c r="Z13" s="502"/>
      <c r="AA13" s="502"/>
      <c r="AB13" s="502"/>
      <c r="AC13" s="502"/>
      <c r="AD13" s="502"/>
      <c r="AE13" s="502"/>
      <c r="AF13" s="502"/>
      <c r="AG13" s="502"/>
      <c r="AH13" s="502"/>
      <c r="AI13" s="502"/>
      <c r="AJ13" s="502"/>
      <c r="AK13" s="502"/>
      <c r="AL13" s="502"/>
      <c r="AM13" s="502"/>
      <c r="AN13" s="502"/>
      <c r="AO13" s="502"/>
      <c r="AP13" s="502"/>
      <c r="AQ13" s="502"/>
      <c r="AR13" s="502"/>
      <c r="AS13" s="502"/>
      <c r="AT13" s="502"/>
      <c r="AU13" s="502"/>
      <c r="AV13" s="502"/>
      <c r="AW13" s="502"/>
      <c r="AX13" s="502"/>
      <c r="AY13" s="502"/>
      <c r="AZ13" s="502"/>
      <c r="BA13" s="502"/>
      <c r="BB13" s="502"/>
      <c r="BC13" s="502"/>
      <c r="BD13" s="502"/>
      <c r="BE13" s="502"/>
      <c r="BF13" s="502"/>
      <c r="BG13" s="502"/>
      <c r="BH13" s="502"/>
      <c r="BI13" s="502"/>
      <c r="BJ13" s="502"/>
      <c r="BK13" s="502"/>
      <c r="BL13" s="502"/>
      <c r="BM13" s="502"/>
      <c r="BN13" s="502"/>
      <c r="BO13" s="502"/>
      <c r="BP13" s="502"/>
      <c r="BQ13" s="502"/>
      <c r="BR13" s="502"/>
      <c r="BS13" s="502"/>
      <c r="BT13" s="502"/>
      <c r="BU13" s="502"/>
      <c r="BV13" s="502"/>
      <c r="BW13" s="502"/>
      <c r="BX13" s="502"/>
      <c r="BY13" s="502"/>
      <c r="BZ13" s="502"/>
      <c r="CA13" s="502"/>
      <c r="CB13" s="502"/>
      <c r="CC13" s="502"/>
      <c r="CD13" s="502"/>
      <c r="CE13" s="502"/>
      <c r="CF13" s="502"/>
      <c r="CG13" s="502"/>
      <c r="CH13" s="502"/>
      <c r="CI13" s="502"/>
      <c r="CJ13" s="502"/>
      <c r="CK13" s="502"/>
      <c r="CL13" s="502"/>
      <c r="CM13" s="502"/>
      <c r="CN13" s="502"/>
      <c r="CO13" s="502"/>
      <c r="CP13" s="502"/>
      <c r="CQ13" s="502"/>
      <c r="CR13" s="502"/>
      <c r="CS13" s="502"/>
      <c r="CT13" s="502"/>
      <c r="CU13" s="502"/>
      <c r="CV13" s="502"/>
      <c r="CW13" s="502"/>
      <c r="CX13" s="502"/>
    </row>
    <row r="14" ht="17.25" customHeight="1">
      <c r="A14" s="503"/>
      <c r="B14" s="95"/>
      <c r="C14" s="504" t="s">
        <v>1367</v>
      </c>
      <c r="D14" s="505" t="s">
        <v>1368</v>
      </c>
      <c r="E14" s="506"/>
      <c r="F14" s="506"/>
      <c r="G14" s="506"/>
      <c r="H14" s="506"/>
      <c r="I14" s="506"/>
      <c r="J14" s="506"/>
      <c r="K14" s="506"/>
      <c r="L14" s="506"/>
      <c r="M14" s="506"/>
      <c r="N14" s="506"/>
      <c r="O14" s="506"/>
      <c r="P14" s="506"/>
      <c r="Q14" s="506"/>
      <c r="R14" s="506"/>
      <c r="S14" s="506"/>
      <c r="T14" s="506"/>
      <c r="U14" s="506"/>
      <c r="V14" s="506"/>
      <c r="W14" s="506"/>
      <c r="X14" s="506"/>
      <c r="Y14" s="506"/>
      <c r="Z14" s="506"/>
      <c r="AA14" s="506"/>
      <c r="AB14" s="506"/>
      <c r="AC14" s="506"/>
      <c r="AD14" s="506"/>
      <c r="AE14" s="506"/>
      <c r="AF14" s="506"/>
      <c r="AG14" s="506"/>
      <c r="AH14" s="506"/>
      <c r="AI14" s="506"/>
      <c r="AJ14" s="506"/>
      <c r="AK14" s="506"/>
      <c r="AL14" s="506"/>
      <c r="AM14" s="506"/>
      <c r="AN14" s="506"/>
      <c r="AO14" s="506"/>
      <c r="AP14" s="506"/>
      <c r="AQ14" s="506"/>
      <c r="AR14" s="506"/>
      <c r="AS14" s="506"/>
      <c r="AT14" s="506"/>
      <c r="AU14" s="506"/>
      <c r="AV14" s="506"/>
      <c r="AW14" s="506"/>
      <c r="AX14" s="506"/>
      <c r="AY14" s="506"/>
      <c r="AZ14" s="506"/>
      <c r="BA14" s="506"/>
      <c r="BB14" s="506"/>
      <c r="BC14" s="506"/>
      <c r="BD14" s="506"/>
      <c r="BE14" s="506"/>
      <c r="BF14" s="506"/>
      <c r="BG14" s="506"/>
      <c r="BH14" s="506"/>
      <c r="BI14" s="506"/>
      <c r="BJ14" s="506"/>
      <c r="BK14" s="506"/>
      <c r="BL14" s="506"/>
      <c r="BM14" s="506"/>
      <c r="BN14" s="506"/>
      <c r="BO14" s="506"/>
      <c r="BP14" s="506"/>
      <c r="BQ14" s="506"/>
      <c r="BR14" s="506"/>
      <c r="BS14" s="506"/>
      <c r="BT14" s="506"/>
      <c r="BU14" s="506"/>
      <c r="BV14" s="506"/>
      <c r="BW14" s="506"/>
      <c r="BX14" s="506"/>
      <c r="BY14" s="506"/>
      <c r="BZ14" s="506"/>
      <c r="CA14" s="506"/>
      <c r="CB14" s="506"/>
      <c r="CC14" s="506"/>
      <c r="CD14" s="506"/>
      <c r="CE14" s="506"/>
      <c r="CF14" s="506"/>
      <c r="CG14" s="506"/>
      <c r="CH14" s="506"/>
      <c r="CI14" s="506"/>
      <c r="CJ14" s="506"/>
      <c r="CK14" s="506"/>
      <c r="CL14" s="506"/>
      <c r="CM14" s="506"/>
      <c r="CN14" s="506"/>
      <c r="CO14" s="506"/>
      <c r="CP14" s="506"/>
      <c r="CQ14" s="506"/>
      <c r="CR14" s="506"/>
      <c r="CS14" s="506"/>
      <c r="CT14" s="506"/>
      <c r="CU14" s="506"/>
      <c r="CV14" s="506"/>
      <c r="CW14" s="506"/>
      <c r="CX14" s="506"/>
    </row>
    <row r="15" ht="17.25" customHeight="1">
      <c r="A15" s="469"/>
      <c r="B15" s="164"/>
      <c r="C15" s="507" t="s">
        <v>1369</v>
      </c>
      <c r="D15" s="508" t="s">
        <v>1370</v>
      </c>
      <c r="E15" s="509"/>
      <c r="F15" s="509"/>
      <c r="G15" s="509"/>
      <c r="H15" s="509"/>
      <c r="I15" s="509"/>
      <c r="J15" s="509"/>
      <c r="K15" s="509"/>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09"/>
      <c r="AS15" s="509"/>
      <c r="AT15" s="509"/>
      <c r="AU15" s="509"/>
      <c r="AV15" s="509"/>
      <c r="AW15" s="509"/>
      <c r="AX15" s="509"/>
      <c r="AY15" s="509"/>
      <c r="AZ15" s="509"/>
      <c r="BA15" s="509"/>
      <c r="BB15" s="509"/>
      <c r="BC15" s="509"/>
      <c r="BD15" s="509"/>
      <c r="BE15" s="509"/>
      <c r="BF15" s="509"/>
      <c r="BG15" s="509"/>
      <c r="BH15" s="509"/>
      <c r="BI15" s="509"/>
      <c r="BJ15" s="509"/>
      <c r="BK15" s="509"/>
      <c r="BL15" s="509"/>
      <c r="BM15" s="509"/>
      <c r="BN15" s="509"/>
      <c r="BO15" s="509"/>
      <c r="BP15" s="509"/>
      <c r="BQ15" s="509"/>
      <c r="BR15" s="509"/>
      <c r="BS15" s="509"/>
      <c r="BT15" s="509"/>
      <c r="BU15" s="509"/>
      <c r="BV15" s="509"/>
      <c r="BW15" s="509"/>
      <c r="BX15" s="509"/>
      <c r="BY15" s="509"/>
      <c r="BZ15" s="509"/>
      <c r="CA15" s="509"/>
      <c r="CB15" s="509"/>
      <c r="CC15" s="509"/>
      <c r="CD15" s="509"/>
      <c r="CE15" s="509"/>
      <c r="CF15" s="509"/>
      <c r="CG15" s="509"/>
      <c r="CH15" s="509"/>
      <c r="CI15" s="509"/>
      <c r="CJ15" s="509"/>
      <c r="CK15" s="509"/>
      <c r="CL15" s="509"/>
      <c r="CM15" s="509"/>
      <c r="CN15" s="509"/>
      <c r="CO15" s="509"/>
      <c r="CP15" s="509"/>
      <c r="CQ15" s="509"/>
      <c r="CR15" s="509"/>
      <c r="CS15" s="509"/>
      <c r="CT15" s="509"/>
      <c r="CU15" s="509"/>
      <c r="CV15" s="509"/>
      <c r="CW15" s="509"/>
      <c r="CX15" s="509"/>
    </row>
    <row r="16">
      <c r="A16" s="510"/>
      <c r="B16" s="511" t="s">
        <v>1371</v>
      </c>
      <c r="C16" s="512" t="s">
        <v>1372</v>
      </c>
      <c r="D16" s="513"/>
      <c r="E16" s="514"/>
      <c r="F16" s="514"/>
      <c r="G16" s="515"/>
      <c r="H16" s="514"/>
      <c r="I16" s="515"/>
      <c r="J16" s="515"/>
      <c r="K16" s="515"/>
      <c r="L16" s="515"/>
      <c r="M16" s="515"/>
      <c r="N16" s="515"/>
      <c r="O16" s="514"/>
      <c r="P16" s="514"/>
      <c r="Q16" s="514"/>
      <c r="R16" s="515"/>
      <c r="S16" s="514"/>
      <c r="T16" s="514"/>
      <c r="U16" s="514"/>
      <c r="V16" s="514"/>
      <c r="W16" s="514"/>
      <c r="X16" s="515"/>
      <c r="Y16" s="515"/>
      <c r="Z16" s="515"/>
      <c r="AA16" s="515"/>
      <c r="AB16" s="515"/>
      <c r="AC16" s="515"/>
      <c r="AD16" s="515"/>
      <c r="AE16" s="515"/>
      <c r="AF16" s="515"/>
      <c r="AG16" s="515"/>
      <c r="AH16" s="515"/>
      <c r="AI16" s="515"/>
      <c r="AJ16" s="515"/>
      <c r="AK16" s="515"/>
      <c r="AL16" s="515"/>
      <c r="AM16" s="515"/>
      <c r="AN16" s="515"/>
      <c r="AO16" s="515"/>
      <c r="AP16" s="515"/>
      <c r="AQ16" s="515"/>
      <c r="AR16" s="515"/>
      <c r="AS16" s="515"/>
      <c r="AT16" s="515"/>
      <c r="AU16" s="515"/>
      <c r="AV16" s="515"/>
      <c r="AW16" s="515"/>
      <c r="AX16" s="515"/>
      <c r="AY16" s="515"/>
      <c r="AZ16" s="515"/>
      <c r="BA16" s="515"/>
      <c r="BB16" s="515"/>
      <c r="BC16" s="515"/>
      <c r="BD16" s="515"/>
      <c r="BE16" s="515"/>
      <c r="BF16" s="515"/>
      <c r="BG16" s="515"/>
      <c r="BH16" s="515"/>
      <c r="BI16" s="515"/>
      <c r="BJ16" s="515"/>
      <c r="BK16" s="515"/>
      <c r="BL16" s="515"/>
      <c r="BM16" s="515"/>
      <c r="BN16" s="515"/>
      <c r="BO16" s="515"/>
      <c r="BP16" s="515"/>
      <c r="BQ16" s="515"/>
      <c r="BR16" s="515"/>
      <c r="BS16" s="515"/>
      <c r="BT16" s="515"/>
      <c r="BU16" s="515"/>
      <c r="BV16" s="515"/>
      <c r="BW16" s="515"/>
      <c r="BX16" s="515"/>
      <c r="BY16" s="515"/>
      <c r="BZ16" s="515"/>
      <c r="CA16" s="515"/>
      <c r="CB16" s="515"/>
      <c r="CC16" s="515"/>
      <c r="CD16" s="515"/>
      <c r="CE16" s="515"/>
      <c r="CF16" s="515"/>
      <c r="CG16" s="515"/>
      <c r="CH16" s="515"/>
      <c r="CI16" s="515"/>
      <c r="CJ16" s="515"/>
      <c r="CK16" s="515"/>
      <c r="CL16" s="515"/>
      <c r="CM16" s="515"/>
      <c r="CN16" s="515"/>
      <c r="CO16" s="515"/>
      <c r="CP16" s="515"/>
      <c r="CQ16" s="515"/>
      <c r="CR16" s="515"/>
      <c r="CS16" s="515"/>
      <c r="CT16" s="515"/>
      <c r="CU16" s="515"/>
      <c r="CV16" s="515"/>
      <c r="CW16" s="515"/>
      <c r="CX16" s="515"/>
    </row>
    <row r="17">
      <c r="A17" s="510"/>
      <c r="B17" s="511" t="s">
        <v>1373</v>
      </c>
      <c r="C17" s="514" t="s">
        <v>1373</v>
      </c>
      <c r="D17" s="513"/>
      <c r="E17" s="514"/>
      <c r="F17" s="514"/>
      <c r="G17" s="514"/>
      <c r="H17" s="514"/>
      <c r="I17" s="515"/>
      <c r="J17" s="514"/>
      <c r="K17" s="515"/>
      <c r="L17" s="514"/>
      <c r="M17" s="515"/>
      <c r="N17" s="515"/>
      <c r="O17" s="514"/>
      <c r="P17" s="514"/>
      <c r="Q17" s="514"/>
      <c r="R17" s="515"/>
      <c r="S17" s="514"/>
      <c r="T17" s="514"/>
      <c r="U17" s="514"/>
      <c r="V17" s="514"/>
      <c r="W17" s="514"/>
      <c r="X17" s="515"/>
      <c r="Y17" s="515"/>
      <c r="Z17" s="515"/>
      <c r="AA17" s="515"/>
      <c r="AB17" s="515"/>
      <c r="AC17" s="515"/>
      <c r="AD17" s="515"/>
      <c r="AE17" s="515"/>
      <c r="AF17" s="515"/>
      <c r="AG17" s="515"/>
      <c r="AH17" s="515"/>
      <c r="AI17" s="515"/>
      <c r="AJ17" s="515"/>
      <c r="AK17" s="515"/>
      <c r="AL17" s="515"/>
      <c r="AM17" s="515"/>
      <c r="AN17" s="515"/>
      <c r="AO17" s="515"/>
      <c r="AP17" s="515"/>
      <c r="AQ17" s="515"/>
      <c r="AR17" s="515"/>
      <c r="AS17" s="515"/>
      <c r="AT17" s="515"/>
      <c r="AU17" s="515"/>
      <c r="AV17" s="515"/>
      <c r="AW17" s="515"/>
      <c r="AX17" s="515"/>
      <c r="AY17" s="515"/>
      <c r="AZ17" s="515"/>
      <c r="BA17" s="515"/>
      <c r="BB17" s="515"/>
      <c r="BC17" s="515"/>
      <c r="BD17" s="515"/>
      <c r="BE17" s="515"/>
      <c r="BF17" s="515"/>
      <c r="BG17" s="515"/>
      <c r="BH17" s="515"/>
      <c r="BI17" s="515"/>
      <c r="BJ17" s="515"/>
      <c r="BK17" s="515"/>
      <c r="BL17" s="515"/>
      <c r="BM17" s="515"/>
      <c r="BN17" s="515"/>
      <c r="BO17" s="515"/>
      <c r="BP17" s="515"/>
      <c r="BQ17" s="515"/>
      <c r="BR17" s="515"/>
      <c r="BS17" s="515"/>
      <c r="BT17" s="515"/>
      <c r="BU17" s="515"/>
      <c r="BV17" s="515"/>
      <c r="BW17" s="515"/>
      <c r="BX17" s="515"/>
      <c r="BY17" s="515"/>
      <c r="BZ17" s="515"/>
      <c r="CA17" s="515"/>
      <c r="CB17" s="515"/>
      <c r="CC17" s="515"/>
      <c r="CD17" s="515"/>
      <c r="CE17" s="515"/>
      <c r="CF17" s="515"/>
      <c r="CG17" s="515"/>
      <c r="CH17" s="515"/>
      <c r="CI17" s="515"/>
      <c r="CJ17" s="515"/>
      <c r="CK17" s="515"/>
      <c r="CL17" s="515"/>
      <c r="CM17" s="515"/>
      <c r="CN17" s="515"/>
      <c r="CO17" s="515"/>
      <c r="CP17" s="515"/>
      <c r="CQ17" s="515"/>
      <c r="CR17" s="515"/>
      <c r="CS17" s="515"/>
      <c r="CT17" s="515"/>
      <c r="CU17" s="515"/>
      <c r="CV17" s="515"/>
      <c r="CW17" s="515"/>
      <c r="CX17" s="515"/>
    </row>
    <row r="18" ht="17.25" customHeight="1">
      <c r="A18" s="510"/>
      <c r="B18" s="499" t="s">
        <v>1374</v>
      </c>
      <c r="C18" s="516" t="s">
        <v>1375</v>
      </c>
      <c r="D18" s="517">
        <v>250.0</v>
      </c>
      <c r="E18" s="518" t="b">
        <v>0</v>
      </c>
      <c r="F18" s="518" t="b">
        <v>0</v>
      </c>
      <c r="G18" s="518" t="b">
        <v>0</v>
      </c>
      <c r="H18" s="518" t="b">
        <v>0</v>
      </c>
      <c r="I18" s="518" t="b">
        <v>0</v>
      </c>
      <c r="J18" s="518" t="b">
        <v>0</v>
      </c>
      <c r="K18" s="518" t="b">
        <v>0</v>
      </c>
      <c r="L18" s="518" t="b">
        <v>0</v>
      </c>
      <c r="M18" s="518" t="b">
        <v>0</v>
      </c>
      <c r="N18" s="518" t="b">
        <v>0</v>
      </c>
      <c r="O18" s="518" t="b">
        <v>0</v>
      </c>
      <c r="P18" s="518" t="b">
        <v>0</v>
      </c>
      <c r="Q18" s="518" t="b">
        <v>0</v>
      </c>
      <c r="R18" s="518" t="b">
        <v>0</v>
      </c>
      <c r="S18" s="518" t="b">
        <v>0</v>
      </c>
      <c r="T18" s="518" t="b">
        <v>0</v>
      </c>
      <c r="U18" s="518" t="b">
        <v>0</v>
      </c>
      <c r="V18" s="518" t="b">
        <v>0</v>
      </c>
      <c r="W18" s="518" t="b">
        <v>0</v>
      </c>
      <c r="X18" s="518" t="b">
        <v>0</v>
      </c>
      <c r="Y18" s="518" t="b">
        <v>0</v>
      </c>
      <c r="Z18" s="518" t="b">
        <v>0</v>
      </c>
      <c r="AA18" s="518" t="b">
        <v>0</v>
      </c>
      <c r="AB18" s="518" t="b">
        <v>0</v>
      </c>
      <c r="AC18" s="518" t="b">
        <v>0</v>
      </c>
      <c r="AD18" s="518" t="b">
        <v>0</v>
      </c>
      <c r="AE18" s="518" t="b">
        <v>0</v>
      </c>
      <c r="AF18" s="518" t="b">
        <v>0</v>
      </c>
      <c r="AG18" s="518" t="b">
        <v>0</v>
      </c>
      <c r="AH18" s="518" t="b">
        <v>0</v>
      </c>
      <c r="AI18" s="518" t="b">
        <v>0</v>
      </c>
      <c r="AJ18" s="518" t="b">
        <v>0</v>
      </c>
      <c r="AK18" s="518" t="b">
        <v>0</v>
      </c>
      <c r="AL18" s="518" t="b">
        <v>0</v>
      </c>
      <c r="AM18" s="518" t="b">
        <v>0</v>
      </c>
      <c r="AN18" s="518" t="b">
        <v>0</v>
      </c>
      <c r="AO18" s="518" t="b">
        <v>0</v>
      </c>
      <c r="AP18" s="518" t="b">
        <v>0</v>
      </c>
      <c r="AQ18" s="518" t="b">
        <v>0</v>
      </c>
      <c r="AR18" s="518" t="b">
        <v>0</v>
      </c>
      <c r="AS18" s="518" t="b">
        <v>0</v>
      </c>
      <c r="AT18" s="518" t="b">
        <v>0</v>
      </c>
      <c r="AU18" s="518" t="b">
        <v>0</v>
      </c>
      <c r="AV18" s="518" t="b">
        <v>0</v>
      </c>
      <c r="AW18" s="518" t="b">
        <v>0</v>
      </c>
      <c r="AX18" s="518" t="b">
        <v>0</v>
      </c>
      <c r="AY18" s="518" t="b">
        <v>0</v>
      </c>
      <c r="AZ18" s="518" t="b">
        <v>0</v>
      </c>
      <c r="BA18" s="518" t="b">
        <v>0</v>
      </c>
      <c r="BB18" s="518" t="b">
        <v>0</v>
      </c>
      <c r="BC18" s="518" t="b">
        <v>0</v>
      </c>
      <c r="BD18" s="518" t="b">
        <v>0</v>
      </c>
      <c r="BE18" s="518" t="b">
        <v>0</v>
      </c>
      <c r="BF18" s="518" t="b">
        <v>0</v>
      </c>
      <c r="BG18" s="518" t="b">
        <v>0</v>
      </c>
      <c r="BH18" s="518" t="b">
        <v>0</v>
      </c>
      <c r="BI18" s="518" t="b">
        <v>0</v>
      </c>
      <c r="BJ18" s="518" t="b">
        <v>0</v>
      </c>
      <c r="BK18" s="518" t="b">
        <v>0</v>
      </c>
      <c r="BL18" s="518" t="b">
        <v>0</v>
      </c>
      <c r="BM18" s="518" t="b">
        <v>0</v>
      </c>
      <c r="BN18" s="518" t="b">
        <v>0</v>
      </c>
      <c r="BO18" s="518" t="b">
        <v>0</v>
      </c>
      <c r="BP18" s="518" t="b">
        <v>0</v>
      </c>
      <c r="BQ18" s="518" t="b">
        <v>0</v>
      </c>
      <c r="BR18" s="518" t="b">
        <v>0</v>
      </c>
      <c r="BS18" s="518" t="b">
        <v>0</v>
      </c>
      <c r="BT18" s="518" t="b">
        <v>0</v>
      </c>
      <c r="BU18" s="518" t="b">
        <v>0</v>
      </c>
      <c r="BV18" s="518" t="b">
        <v>0</v>
      </c>
      <c r="BW18" s="518" t="b">
        <v>0</v>
      </c>
      <c r="BX18" s="518" t="b">
        <v>0</v>
      </c>
      <c r="BY18" s="518" t="b">
        <v>0</v>
      </c>
      <c r="BZ18" s="518" t="b">
        <v>0</v>
      </c>
      <c r="CA18" s="518" t="b">
        <v>0</v>
      </c>
      <c r="CB18" s="518" t="b">
        <v>0</v>
      </c>
      <c r="CC18" s="518" t="b">
        <v>0</v>
      </c>
      <c r="CD18" s="518" t="b">
        <v>0</v>
      </c>
      <c r="CE18" s="518" t="b">
        <v>0</v>
      </c>
      <c r="CF18" s="518" t="b">
        <v>0</v>
      </c>
      <c r="CG18" s="518" t="b">
        <v>0</v>
      </c>
      <c r="CH18" s="518" t="b">
        <v>0</v>
      </c>
      <c r="CI18" s="518" t="b">
        <v>0</v>
      </c>
      <c r="CJ18" s="518" t="b">
        <v>0</v>
      </c>
      <c r="CK18" s="518" t="b">
        <v>0</v>
      </c>
      <c r="CL18" s="518" t="b">
        <v>0</v>
      </c>
      <c r="CM18" s="518" t="b">
        <v>0</v>
      </c>
      <c r="CN18" s="518" t="b">
        <v>0</v>
      </c>
      <c r="CO18" s="518" t="b">
        <v>0</v>
      </c>
      <c r="CP18" s="518" t="b">
        <v>0</v>
      </c>
      <c r="CQ18" s="518" t="b">
        <v>0</v>
      </c>
      <c r="CR18" s="518" t="b">
        <v>0</v>
      </c>
      <c r="CS18" s="518" t="b">
        <v>0</v>
      </c>
      <c r="CT18" s="518" t="b">
        <v>0</v>
      </c>
      <c r="CU18" s="518" t="b">
        <v>0</v>
      </c>
      <c r="CV18" s="518" t="b">
        <v>0</v>
      </c>
      <c r="CW18" s="518" t="b">
        <v>0</v>
      </c>
      <c r="CX18" s="518" t="b">
        <v>0</v>
      </c>
    </row>
    <row r="19" ht="17.25" customHeight="1">
      <c r="A19" s="510"/>
      <c r="B19" s="95"/>
      <c r="C19" s="519" t="s">
        <v>1376</v>
      </c>
      <c r="D19" s="518">
        <v>250.0</v>
      </c>
      <c r="E19" s="518" t="b">
        <v>0</v>
      </c>
      <c r="F19" s="518" t="b">
        <v>0</v>
      </c>
      <c r="G19" s="518" t="b">
        <v>0</v>
      </c>
      <c r="H19" s="518" t="b">
        <v>0</v>
      </c>
      <c r="I19" s="517" t="b">
        <v>0</v>
      </c>
      <c r="J19" s="518" t="b">
        <v>0</v>
      </c>
      <c r="K19" s="518" t="b">
        <v>0</v>
      </c>
      <c r="L19" s="518" t="b">
        <v>0</v>
      </c>
      <c r="M19" s="517" t="b">
        <v>0</v>
      </c>
      <c r="N19" s="518" t="b">
        <v>0</v>
      </c>
      <c r="O19" s="518" t="b">
        <v>0</v>
      </c>
      <c r="P19" s="518" t="b">
        <v>0</v>
      </c>
      <c r="Q19" s="518" t="b">
        <v>0</v>
      </c>
      <c r="R19" s="518" t="b">
        <v>0</v>
      </c>
      <c r="S19" s="518" t="b">
        <v>0</v>
      </c>
      <c r="T19" s="518" t="b">
        <v>0</v>
      </c>
      <c r="U19" s="518" t="b">
        <v>0</v>
      </c>
      <c r="V19" s="518" t="b">
        <v>0</v>
      </c>
      <c r="W19" s="518" t="b">
        <v>0</v>
      </c>
      <c r="X19" s="518" t="b">
        <v>0</v>
      </c>
      <c r="Y19" s="518" t="b">
        <v>0</v>
      </c>
      <c r="Z19" s="518" t="b">
        <v>0</v>
      </c>
      <c r="AA19" s="518" t="b">
        <v>0</v>
      </c>
      <c r="AB19" s="518" t="b">
        <v>0</v>
      </c>
      <c r="AC19" s="518" t="b">
        <v>0</v>
      </c>
      <c r="AD19" s="518" t="b">
        <v>0</v>
      </c>
      <c r="AE19" s="518" t="b">
        <v>0</v>
      </c>
      <c r="AF19" s="518" t="b">
        <v>0</v>
      </c>
      <c r="AG19" s="518" t="b">
        <v>0</v>
      </c>
      <c r="AH19" s="518" t="b">
        <v>0</v>
      </c>
      <c r="AI19" s="518" t="b">
        <v>0</v>
      </c>
      <c r="AJ19" s="518" t="b">
        <v>0</v>
      </c>
      <c r="AK19" s="518" t="b">
        <v>0</v>
      </c>
      <c r="AL19" s="518" t="b">
        <v>0</v>
      </c>
      <c r="AM19" s="518" t="b">
        <v>0</v>
      </c>
      <c r="AN19" s="518" t="b">
        <v>0</v>
      </c>
      <c r="AO19" s="518" t="b">
        <v>0</v>
      </c>
      <c r="AP19" s="518" t="b">
        <v>0</v>
      </c>
      <c r="AQ19" s="518" t="b">
        <v>0</v>
      </c>
      <c r="AR19" s="518" t="b">
        <v>0</v>
      </c>
      <c r="AS19" s="518" t="b">
        <v>0</v>
      </c>
      <c r="AT19" s="518" t="b">
        <v>0</v>
      </c>
      <c r="AU19" s="518" t="b">
        <v>0</v>
      </c>
      <c r="AV19" s="518" t="b">
        <v>0</v>
      </c>
      <c r="AW19" s="518" t="b">
        <v>0</v>
      </c>
      <c r="AX19" s="518" t="b">
        <v>0</v>
      </c>
      <c r="AY19" s="518" t="b">
        <v>0</v>
      </c>
      <c r="AZ19" s="518" t="b">
        <v>0</v>
      </c>
      <c r="BA19" s="518" t="b">
        <v>0</v>
      </c>
      <c r="BB19" s="518" t="b">
        <v>0</v>
      </c>
      <c r="BC19" s="518" t="b">
        <v>0</v>
      </c>
      <c r="BD19" s="518" t="b">
        <v>0</v>
      </c>
      <c r="BE19" s="518" t="b">
        <v>0</v>
      </c>
      <c r="BF19" s="518" t="b">
        <v>0</v>
      </c>
      <c r="BG19" s="518" t="b">
        <v>0</v>
      </c>
      <c r="BH19" s="518" t="b">
        <v>0</v>
      </c>
      <c r="BI19" s="518" t="b">
        <v>0</v>
      </c>
      <c r="BJ19" s="518" t="b">
        <v>0</v>
      </c>
      <c r="BK19" s="518" t="b">
        <v>0</v>
      </c>
      <c r="BL19" s="518" t="b">
        <v>0</v>
      </c>
      <c r="BM19" s="518" t="b">
        <v>0</v>
      </c>
      <c r="BN19" s="518" t="b">
        <v>0</v>
      </c>
      <c r="BO19" s="518" t="b">
        <v>0</v>
      </c>
      <c r="BP19" s="518" t="b">
        <v>0</v>
      </c>
      <c r="BQ19" s="518" t="b">
        <v>0</v>
      </c>
      <c r="BR19" s="518" t="b">
        <v>0</v>
      </c>
      <c r="BS19" s="518" t="b">
        <v>0</v>
      </c>
      <c r="BT19" s="518" t="b">
        <v>0</v>
      </c>
      <c r="BU19" s="518" t="b">
        <v>0</v>
      </c>
      <c r="BV19" s="518" t="b">
        <v>0</v>
      </c>
      <c r="BW19" s="518" t="b">
        <v>0</v>
      </c>
      <c r="BX19" s="518" t="b">
        <v>0</v>
      </c>
      <c r="BY19" s="518" t="b">
        <v>0</v>
      </c>
      <c r="BZ19" s="518" t="b">
        <v>0</v>
      </c>
      <c r="CA19" s="518" t="b">
        <v>0</v>
      </c>
      <c r="CB19" s="518" t="b">
        <v>0</v>
      </c>
      <c r="CC19" s="518" t="b">
        <v>0</v>
      </c>
      <c r="CD19" s="518" t="b">
        <v>0</v>
      </c>
      <c r="CE19" s="518" t="b">
        <v>0</v>
      </c>
      <c r="CF19" s="518" t="b">
        <v>0</v>
      </c>
      <c r="CG19" s="518" t="b">
        <v>0</v>
      </c>
      <c r="CH19" s="518" t="b">
        <v>0</v>
      </c>
      <c r="CI19" s="518" t="b">
        <v>0</v>
      </c>
      <c r="CJ19" s="518" t="b">
        <v>0</v>
      </c>
      <c r="CK19" s="518" t="b">
        <v>0</v>
      </c>
      <c r="CL19" s="518" t="b">
        <v>0</v>
      </c>
      <c r="CM19" s="518" t="b">
        <v>0</v>
      </c>
      <c r="CN19" s="518" t="b">
        <v>0</v>
      </c>
      <c r="CO19" s="518" t="b">
        <v>0</v>
      </c>
      <c r="CP19" s="518" t="b">
        <v>0</v>
      </c>
      <c r="CQ19" s="518" t="b">
        <v>0</v>
      </c>
      <c r="CR19" s="518" t="b">
        <v>0</v>
      </c>
      <c r="CS19" s="518" t="b">
        <v>0</v>
      </c>
      <c r="CT19" s="518" t="b">
        <v>0</v>
      </c>
      <c r="CU19" s="518" t="b">
        <v>0</v>
      </c>
      <c r="CV19" s="518" t="b">
        <v>0</v>
      </c>
      <c r="CW19" s="518" t="b">
        <v>0</v>
      </c>
      <c r="CX19" s="518" t="b">
        <v>0</v>
      </c>
    </row>
    <row r="20" ht="17.25" customHeight="1">
      <c r="A20" s="510"/>
      <c r="B20" s="95"/>
      <c r="C20" s="519" t="s">
        <v>1377</v>
      </c>
      <c r="D20" s="518">
        <v>50.0</v>
      </c>
      <c r="E20" s="518" t="b">
        <v>0</v>
      </c>
      <c r="F20" s="518" t="b">
        <v>0</v>
      </c>
      <c r="G20" s="518" t="b">
        <v>0</v>
      </c>
      <c r="H20" s="518" t="b">
        <v>0</v>
      </c>
      <c r="I20" s="518" t="b">
        <v>0</v>
      </c>
      <c r="J20" s="518" t="b">
        <v>0</v>
      </c>
      <c r="K20" s="518" t="b">
        <v>0</v>
      </c>
      <c r="L20" s="518" t="b">
        <v>0</v>
      </c>
      <c r="M20" s="518" t="b">
        <v>0</v>
      </c>
      <c r="N20" s="518" t="b">
        <v>0</v>
      </c>
      <c r="O20" s="518" t="b">
        <v>0</v>
      </c>
      <c r="P20" s="518" t="b">
        <v>0</v>
      </c>
      <c r="Q20" s="518" t="b">
        <v>0</v>
      </c>
      <c r="R20" s="518" t="b">
        <v>0</v>
      </c>
      <c r="S20" s="518" t="b">
        <v>0</v>
      </c>
      <c r="T20" s="518" t="b">
        <v>0</v>
      </c>
      <c r="U20" s="518" t="b">
        <v>0</v>
      </c>
      <c r="V20" s="518" t="b">
        <v>0</v>
      </c>
      <c r="W20" s="518" t="b">
        <v>0</v>
      </c>
      <c r="X20" s="518" t="b">
        <v>0</v>
      </c>
      <c r="Y20" s="518" t="b">
        <v>0</v>
      </c>
      <c r="Z20" s="518" t="b">
        <v>0</v>
      </c>
      <c r="AA20" s="518" t="b">
        <v>0</v>
      </c>
      <c r="AB20" s="518" t="b">
        <v>0</v>
      </c>
      <c r="AC20" s="518" t="b">
        <v>0</v>
      </c>
      <c r="AD20" s="518" t="b">
        <v>0</v>
      </c>
      <c r="AE20" s="518" t="b">
        <v>0</v>
      </c>
      <c r="AF20" s="518" t="b">
        <v>0</v>
      </c>
      <c r="AG20" s="518" t="b">
        <v>0</v>
      </c>
      <c r="AH20" s="518" t="b">
        <v>0</v>
      </c>
      <c r="AI20" s="518" t="b">
        <v>0</v>
      </c>
      <c r="AJ20" s="518" t="b">
        <v>0</v>
      </c>
      <c r="AK20" s="518" t="b">
        <v>0</v>
      </c>
      <c r="AL20" s="518" t="b">
        <v>0</v>
      </c>
      <c r="AM20" s="518" t="b">
        <v>0</v>
      </c>
      <c r="AN20" s="518" t="b">
        <v>0</v>
      </c>
      <c r="AO20" s="518" t="b">
        <v>0</v>
      </c>
      <c r="AP20" s="518" t="b">
        <v>0</v>
      </c>
      <c r="AQ20" s="518" t="b">
        <v>0</v>
      </c>
      <c r="AR20" s="518" t="b">
        <v>0</v>
      </c>
      <c r="AS20" s="518" t="b">
        <v>0</v>
      </c>
      <c r="AT20" s="518" t="b">
        <v>0</v>
      </c>
      <c r="AU20" s="518" t="b">
        <v>0</v>
      </c>
      <c r="AV20" s="518" t="b">
        <v>0</v>
      </c>
      <c r="AW20" s="518" t="b">
        <v>0</v>
      </c>
      <c r="AX20" s="518" t="b">
        <v>0</v>
      </c>
      <c r="AY20" s="518" t="b">
        <v>0</v>
      </c>
      <c r="AZ20" s="518" t="b">
        <v>0</v>
      </c>
      <c r="BA20" s="518" t="b">
        <v>0</v>
      </c>
      <c r="BB20" s="518" t="b">
        <v>0</v>
      </c>
      <c r="BC20" s="518" t="b">
        <v>0</v>
      </c>
      <c r="BD20" s="518" t="b">
        <v>0</v>
      </c>
      <c r="BE20" s="518" t="b">
        <v>0</v>
      </c>
      <c r="BF20" s="518" t="b">
        <v>0</v>
      </c>
      <c r="BG20" s="518" t="b">
        <v>0</v>
      </c>
      <c r="BH20" s="518" t="b">
        <v>0</v>
      </c>
      <c r="BI20" s="518" t="b">
        <v>0</v>
      </c>
      <c r="BJ20" s="518" t="b">
        <v>0</v>
      </c>
      <c r="BK20" s="518" t="b">
        <v>0</v>
      </c>
      <c r="BL20" s="518" t="b">
        <v>0</v>
      </c>
      <c r="BM20" s="518" t="b">
        <v>0</v>
      </c>
      <c r="BN20" s="518" t="b">
        <v>0</v>
      </c>
      <c r="BO20" s="518" t="b">
        <v>0</v>
      </c>
      <c r="BP20" s="518" t="b">
        <v>0</v>
      </c>
      <c r="BQ20" s="518" t="b">
        <v>0</v>
      </c>
      <c r="BR20" s="518" t="b">
        <v>0</v>
      </c>
      <c r="BS20" s="518" t="b">
        <v>0</v>
      </c>
      <c r="BT20" s="518" t="b">
        <v>0</v>
      </c>
      <c r="BU20" s="518" t="b">
        <v>0</v>
      </c>
      <c r="BV20" s="518" t="b">
        <v>0</v>
      </c>
      <c r="BW20" s="518" t="b">
        <v>0</v>
      </c>
      <c r="BX20" s="518" t="b">
        <v>0</v>
      </c>
      <c r="BY20" s="518" t="b">
        <v>0</v>
      </c>
      <c r="BZ20" s="518" t="b">
        <v>0</v>
      </c>
      <c r="CA20" s="518" t="b">
        <v>0</v>
      </c>
      <c r="CB20" s="518" t="b">
        <v>0</v>
      </c>
      <c r="CC20" s="518" t="b">
        <v>0</v>
      </c>
      <c r="CD20" s="518" t="b">
        <v>0</v>
      </c>
      <c r="CE20" s="518" t="b">
        <v>0</v>
      </c>
      <c r="CF20" s="518" t="b">
        <v>0</v>
      </c>
      <c r="CG20" s="518" t="b">
        <v>0</v>
      </c>
      <c r="CH20" s="518" t="b">
        <v>0</v>
      </c>
      <c r="CI20" s="518" t="b">
        <v>0</v>
      </c>
      <c r="CJ20" s="518" t="b">
        <v>0</v>
      </c>
      <c r="CK20" s="518" t="b">
        <v>0</v>
      </c>
      <c r="CL20" s="518" t="b">
        <v>0</v>
      </c>
      <c r="CM20" s="518" t="b">
        <v>0</v>
      </c>
      <c r="CN20" s="518" t="b">
        <v>0</v>
      </c>
      <c r="CO20" s="518" t="b">
        <v>0</v>
      </c>
      <c r="CP20" s="518" t="b">
        <v>0</v>
      </c>
      <c r="CQ20" s="518" t="b">
        <v>0</v>
      </c>
      <c r="CR20" s="518" t="b">
        <v>0</v>
      </c>
      <c r="CS20" s="518" t="b">
        <v>0</v>
      </c>
      <c r="CT20" s="518" t="b">
        <v>0</v>
      </c>
      <c r="CU20" s="518" t="b">
        <v>0</v>
      </c>
      <c r="CV20" s="518" t="b">
        <v>0</v>
      </c>
      <c r="CW20" s="518" t="b">
        <v>0</v>
      </c>
      <c r="CX20" s="518" t="b">
        <v>0</v>
      </c>
    </row>
    <row r="21" ht="17.25" customHeight="1">
      <c r="A21" s="510"/>
      <c r="B21" s="95"/>
      <c r="C21" s="519" t="s">
        <v>1378</v>
      </c>
      <c r="D21" s="517">
        <v>120.0</v>
      </c>
      <c r="E21" s="518" t="b">
        <v>0</v>
      </c>
      <c r="F21" s="518" t="b">
        <v>0</v>
      </c>
      <c r="G21" s="518" t="b">
        <v>0</v>
      </c>
      <c r="H21" s="517" t="b">
        <v>0</v>
      </c>
      <c r="I21" s="517" t="b">
        <v>0</v>
      </c>
      <c r="J21" s="518" t="b">
        <v>0</v>
      </c>
      <c r="K21" s="518" t="b">
        <v>0</v>
      </c>
      <c r="L21" s="518" t="b">
        <v>0</v>
      </c>
      <c r="M21" s="517" t="b">
        <v>0</v>
      </c>
      <c r="N21" s="518" t="b">
        <v>0</v>
      </c>
      <c r="O21" s="518" t="b">
        <v>0</v>
      </c>
      <c r="P21" s="518" t="b">
        <v>0</v>
      </c>
      <c r="Q21" s="518" t="b">
        <v>0</v>
      </c>
      <c r="R21" s="518" t="b">
        <v>0</v>
      </c>
      <c r="S21" s="518" t="b">
        <v>0</v>
      </c>
      <c r="T21" s="518" t="b">
        <v>0</v>
      </c>
      <c r="U21" s="518" t="b">
        <v>0</v>
      </c>
      <c r="V21" s="518" t="b">
        <v>0</v>
      </c>
      <c r="W21" s="518" t="b">
        <v>0</v>
      </c>
      <c r="X21" s="518" t="b">
        <v>0</v>
      </c>
      <c r="Y21" s="518" t="b">
        <v>0</v>
      </c>
      <c r="Z21" s="518" t="b">
        <v>0</v>
      </c>
      <c r="AA21" s="518" t="b">
        <v>0</v>
      </c>
      <c r="AB21" s="518" t="b">
        <v>0</v>
      </c>
      <c r="AC21" s="518" t="b">
        <v>0</v>
      </c>
      <c r="AD21" s="518" t="b">
        <v>0</v>
      </c>
      <c r="AE21" s="518" t="b">
        <v>0</v>
      </c>
      <c r="AF21" s="518" t="b">
        <v>0</v>
      </c>
      <c r="AG21" s="518" t="b">
        <v>0</v>
      </c>
      <c r="AH21" s="518" t="b">
        <v>0</v>
      </c>
      <c r="AI21" s="518" t="b">
        <v>0</v>
      </c>
      <c r="AJ21" s="518" t="b">
        <v>0</v>
      </c>
      <c r="AK21" s="518" t="b">
        <v>0</v>
      </c>
      <c r="AL21" s="518" t="b">
        <v>0</v>
      </c>
      <c r="AM21" s="518" t="b">
        <v>0</v>
      </c>
      <c r="AN21" s="518" t="b">
        <v>0</v>
      </c>
      <c r="AO21" s="518" t="b">
        <v>0</v>
      </c>
      <c r="AP21" s="518" t="b">
        <v>0</v>
      </c>
      <c r="AQ21" s="518" t="b">
        <v>0</v>
      </c>
      <c r="AR21" s="518" t="b">
        <v>0</v>
      </c>
      <c r="AS21" s="518" t="b">
        <v>0</v>
      </c>
      <c r="AT21" s="518" t="b">
        <v>0</v>
      </c>
      <c r="AU21" s="518" t="b">
        <v>0</v>
      </c>
      <c r="AV21" s="518" t="b">
        <v>0</v>
      </c>
      <c r="AW21" s="518" t="b">
        <v>0</v>
      </c>
      <c r="AX21" s="518" t="b">
        <v>0</v>
      </c>
      <c r="AY21" s="518" t="b">
        <v>0</v>
      </c>
      <c r="AZ21" s="518" t="b">
        <v>0</v>
      </c>
      <c r="BA21" s="518" t="b">
        <v>0</v>
      </c>
      <c r="BB21" s="518" t="b">
        <v>0</v>
      </c>
      <c r="BC21" s="518" t="b">
        <v>0</v>
      </c>
      <c r="BD21" s="518" t="b">
        <v>0</v>
      </c>
      <c r="BE21" s="518" t="b">
        <v>0</v>
      </c>
      <c r="BF21" s="518" t="b">
        <v>0</v>
      </c>
      <c r="BG21" s="518" t="b">
        <v>0</v>
      </c>
      <c r="BH21" s="518" t="b">
        <v>0</v>
      </c>
      <c r="BI21" s="518" t="b">
        <v>0</v>
      </c>
      <c r="BJ21" s="518" t="b">
        <v>0</v>
      </c>
      <c r="BK21" s="518" t="b">
        <v>0</v>
      </c>
      <c r="BL21" s="518" t="b">
        <v>0</v>
      </c>
      <c r="BM21" s="518" t="b">
        <v>0</v>
      </c>
      <c r="BN21" s="518" t="b">
        <v>0</v>
      </c>
      <c r="BO21" s="518" t="b">
        <v>0</v>
      </c>
      <c r="BP21" s="518" t="b">
        <v>0</v>
      </c>
      <c r="BQ21" s="518" t="b">
        <v>0</v>
      </c>
      <c r="BR21" s="518" t="b">
        <v>0</v>
      </c>
      <c r="BS21" s="518" t="b">
        <v>0</v>
      </c>
      <c r="BT21" s="518" t="b">
        <v>0</v>
      </c>
      <c r="BU21" s="518" t="b">
        <v>0</v>
      </c>
      <c r="BV21" s="518" t="b">
        <v>0</v>
      </c>
      <c r="BW21" s="518" t="b">
        <v>0</v>
      </c>
      <c r="BX21" s="518" t="b">
        <v>0</v>
      </c>
      <c r="BY21" s="518" t="b">
        <v>0</v>
      </c>
      <c r="BZ21" s="518" t="b">
        <v>0</v>
      </c>
      <c r="CA21" s="518" t="b">
        <v>0</v>
      </c>
      <c r="CB21" s="518" t="b">
        <v>0</v>
      </c>
      <c r="CC21" s="518" t="b">
        <v>0</v>
      </c>
      <c r="CD21" s="518" t="b">
        <v>0</v>
      </c>
      <c r="CE21" s="518" t="b">
        <v>0</v>
      </c>
      <c r="CF21" s="518" t="b">
        <v>0</v>
      </c>
      <c r="CG21" s="518" t="b">
        <v>0</v>
      </c>
      <c r="CH21" s="518" t="b">
        <v>0</v>
      </c>
      <c r="CI21" s="518" t="b">
        <v>0</v>
      </c>
      <c r="CJ21" s="518" t="b">
        <v>0</v>
      </c>
      <c r="CK21" s="518" t="b">
        <v>0</v>
      </c>
      <c r="CL21" s="518" t="b">
        <v>0</v>
      </c>
      <c r="CM21" s="518" t="b">
        <v>0</v>
      </c>
      <c r="CN21" s="518" t="b">
        <v>0</v>
      </c>
      <c r="CO21" s="518" t="b">
        <v>0</v>
      </c>
      <c r="CP21" s="518" t="b">
        <v>0</v>
      </c>
      <c r="CQ21" s="518" t="b">
        <v>0</v>
      </c>
      <c r="CR21" s="518" t="b">
        <v>0</v>
      </c>
      <c r="CS21" s="518" t="b">
        <v>0</v>
      </c>
      <c r="CT21" s="518" t="b">
        <v>0</v>
      </c>
      <c r="CU21" s="518" t="b">
        <v>0</v>
      </c>
      <c r="CV21" s="518" t="b">
        <v>0</v>
      </c>
      <c r="CW21" s="518" t="b">
        <v>0</v>
      </c>
      <c r="CX21" s="518" t="b">
        <v>0</v>
      </c>
    </row>
    <row r="22" ht="17.25" customHeight="1">
      <c r="A22" s="510"/>
      <c r="B22" s="95"/>
      <c r="C22" s="519" t="s">
        <v>1379</v>
      </c>
      <c r="D22" s="518">
        <v>80.0</v>
      </c>
      <c r="E22" s="518" t="b">
        <v>0</v>
      </c>
      <c r="F22" s="518" t="b">
        <v>0</v>
      </c>
      <c r="G22" s="518" t="b">
        <v>0</v>
      </c>
      <c r="H22" s="518" t="b">
        <v>0</v>
      </c>
      <c r="I22" s="518" t="b">
        <v>0</v>
      </c>
      <c r="J22" s="518" t="b">
        <v>0</v>
      </c>
      <c r="K22" s="518" t="b">
        <v>0</v>
      </c>
      <c r="L22" s="518" t="b">
        <v>0</v>
      </c>
      <c r="M22" s="517" t="b">
        <v>0</v>
      </c>
      <c r="N22" s="518" t="b">
        <v>0</v>
      </c>
      <c r="O22" s="518" t="b">
        <v>0</v>
      </c>
      <c r="P22" s="518" t="b">
        <v>0</v>
      </c>
      <c r="Q22" s="518" t="b">
        <v>0</v>
      </c>
      <c r="R22" s="518" t="b">
        <v>0</v>
      </c>
      <c r="S22" s="518" t="b">
        <v>0</v>
      </c>
      <c r="T22" s="518" t="b">
        <v>0</v>
      </c>
      <c r="U22" s="518" t="b">
        <v>0</v>
      </c>
      <c r="V22" s="518" t="b">
        <v>0</v>
      </c>
      <c r="W22" s="518" t="b">
        <v>0</v>
      </c>
      <c r="X22" s="518" t="b">
        <v>0</v>
      </c>
      <c r="Y22" s="518" t="b">
        <v>0</v>
      </c>
      <c r="Z22" s="518" t="b">
        <v>0</v>
      </c>
      <c r="AA22" s="518" t="b">
        <v>0</v>
      </c>
      <c r="AB22" s="518" t="b">
        <v>0</v>
      </c>
      <c r="AC22" s="518" t="b">
        <v>0</v>
      </c>
      <c r="AD22" s="518" t="b">
        <v>0</v>
      </c>
      <c r="AE22" s="518" t="b">
        <v>0</v>
      </c>
      <c r="AF22" s="518" t="b">
        <v>0</v>
      </c>
      <c r="AG22" s="518" t="b">
        <v>0</v>
      </c>
      <c r="AH22" s="518" t="b">
        <v>0</v>
      </c>
      <c r="AI22" s="518" t="b">
        <v>0</v>
      </c>
      <c r="AJ22" s="518" t="b">
        <v>0</v>
      </c>
      <c r="AK22" s="518" t="b">
        <v>0</v>
      </c>
      <c r="AL22" s="518" t="b">
        <v>0</v>
      </c>
      <c r="AM22" s="518" t="b">
        <v>0</v>
      </c>
      <c r="AN22" s="518" t="b">
        <v>0</v>
      </c>
      <c r="AO22" s="518" t="b">
        <v>0</v>
      </c>
      <c r="AP22" s="518" t="b">
        <v>0</v>
      </c>
      <c r="AQ22" s="518" t="b">
        <v>0</v>
      </c>
      <c r="AR22" s="518" t="b">
        <v>0</v>
      </c>
      <c r="AS22" s="518" t="b">
        <v>0</v>
      </c>
      <c r="AT22" s="518" t="b">
        <v>0</v>
      </c>
      <c r="AU22" s="518" t="b">
        <v>0</v>
      </c>
      <c r="AV22" s="518" t="b">
        <v>0</v>
      </c>
      <c r="AW22" s="518" t="b">
        <v>0</v>
      </c>
      <c r="AX22" s="518" t="b">
        <v>0</v>
      </c>
      <c r="AY22" s="518" t="b">
        <v>0</v>
      </c>
      <c r="AZ22" s="518" t="b">
        <v>0</v>
      </c>
      <c r="BA22" s="518" t="b">
        <v>0</v>
      </c>
      <c r="BB22" s="518" t="b">
        <v>0</v>
      </c>
      <c r="BC22" s="518" t="b">
        <v>0</v>
      </c>
      <c r="BD22" s="518" t="b">
        <v>0</v>
      </c>
      <c r="BE22" s="518" t="b">
        <v>0</v>
      </c>
      <c r="BF22" s="518" t="b">
        <v>0</v>
      </c>
      <c r="BG22" s="518" t="b">
        <v>0</v>
      </c>
      <c r="BH22" s="518" t="b">
        <v>0</v>
      </c>
      <c r="BI22" s="518" t="b">
        <v>0</v>
      </c>
      <c r="BJ22" s="518" t="b">
        <v>0</v>
      </c>
      <c r="BK22" s="518" t="b">
        <v>0</v>
      </c>
      <c r="BL22" s="518" t="b">
        <v>0</v>
      </c>
      <c r="BM22" s="518" t="b">
        <v>0</v>
      </c>
      <c r="BN22" s="518" t="b">
        <v>0</v>
      </c>
      <c r="BO22" s="518" t="b">
        <v>0</v>
      </c>
      <c r="BP22" s="518" t="b">
        <v>0</v>
      </c>
      <c r="BQ22" s="518" t="b">
        <v>0</v>
      </c>
      <c r="BR22" s="518" t="b">
        <v>0</v>
      </c>
      <c r="BS22" s="518" t="b">
        <v>0</v>
      </c>
      <c r="BT22" s="518" t="b">
        <v>0</v>
      </c>
      <c r="BU22" s="518" t="b">
        <v>0</v>
      </c>
      <c r="BV22" s="518" t="b">
        <v>0</v>
      </c>
      <c r="BW22" s="518" t="b">
        <v>0</v>
      </c>
      <c r="BX22" s="518" t="b">
        <v>0</v>
      </c>
      <c r="BY22" s="518" t="b">
        <v>0</v>
      </c>
      <c r="BZ22" s="518" t="b">
        <v>0</v>
      </c>
      <c r="CA22" s="518" t="b">
        <v>0</v>
      </c>
      <c r="CB22" s="518" t="b">
        <v>0</v>
      </c>
      <c r="CC22" s="518" t="b">
        <v>0</v>
      </c>
      <c r="CD22" s="518" t="b">
        <v>0</v>
      </c>
      <c r="CE22" s="518" t="b">
        <v>0</v>
      </c>
      <c r="CF22" s="518" t="b">
        <v>0</v>
      </c>
      <c r="CG22" s="518" t="b">
        <v>0</v>
      </c>
      <c r="CH22" s="518" t="b">
        <v>0</v>
      </c>
      <c r="CI22" s="518" t="b">
        <v>0</v>
      </c>
      <c r="CJ22" s="518" t="b">
        <v>0</v>
      </c>
      <c r="CK22" s="518" t="b">
        <v>0</v>
      </c>
      <c r="CL22" s="518" t="b">
        <v>0</v>
      </c>
      <c r="CM22" s="518" t="b">
        <v>0</v>
      </c>
      <c r="CN22" s="518" t="b">
        <v>0</v>
      </c>
      <c r="CO22" s="518" t="b">
        <v>0</v>
      </c>
      <c r="CP22" s="518" t="b">
        <v>0</v>
      </c>
      <c r="CQ22" s="518" t="b">
        <v>0</v>
      </c>
      <c r="CR22" s="518" t="b">
        <v>0</v>
      </c>
      <c r="CS22" s="518" t="b">
        <v>0</v>
      </c>
      <c r="CT22" s="518" t="b">
        <v>0</v>
      </c>
      <c r="CU22" s="518" t="b">
        <v>0</v>
      </c>
      <c r="CV22" s="518" t="b">
        <v>0</v>
      </c>
      <c r="CW22" s="518" t="b">
        <v>0</v>
      </c>
      <c r="CX22" s="518" t="b">
        <v>0</v>
      </c>
    </row>
    <row r="23" ht="17.25" customHeight="1">
      <c r="A23" s="510"/>
      <c r="B23" s="95"/>
      <c r="C23" s="519" t="s">
        <v>1380</v>
      </c>
      <c r="D23" s="517">
        <v>1000.0</v>
      </c>
      <c r="E23" s="518" t="b">
        <v>0</v>
      </c>
      <c r="F23" s="518" t="b">
        <v>0</v>
      </c>
      <c r="G23" s="518" t="b">
        <v>0</v>
      </c>
      <c r="H23" s="518" t="b">
        <v>0</v>
      </c>
      <c r="I23" s="518" t="b">
        <v>0</v>
      </c>
      <c r="J23" s="518" t="b">
        <v>0</v>
      </c>
      <c r="K23" s="518" t="b">
        <v>0</v>
      </c>
      <c r="L23" s="518" t="b">
        <v>0</v>
      </c>
      <c r="M23" s="518" t="b">
        <v>0</v>
      </c>
      <c r="N23" s="518" t="b">
        <v>0</v>
      </c>
      <c r="O23" s="518" t="b">
        <v>0</v>
      </c>
      <c r="P23" s="518" t="b">
        <v>0</v>
      </c>
      <c r="Q23" s="518" t="b">
        <v>0</v>
      </c>
      <c r="R23" s="518" t="b">
        <v>0</v>
      </c>
      <c r="S23" s="518" t="b">
        <v>0</v>
      </c>
      <c r="T23" s="518" t="b">
        <v>0</v>
      </c>
      <c r="U23" s="518" t="b">
        <v>0</v>
      </c>
      <c r="V23" s="518" t="b">
        <v>0</v>
      </c>
      <c r="W23" s="518" t="b">
        <v>0</v>
      </c>
      <c r="X23" s="518" t="b">
        <v>0</v>
      </c>
      <c r="Y23" s="518" t="b">
        <v>0</v>
      </c>
      <c r="Z23" s="518" t="b">
        <v>0</v>
      </c>
      <c r="AA23" s="518" t="b">
        <v>0</v>
      </c>
      <c r="AB23" s="518" t="b">
        <v>0</v>
      </c>
      <c r="AC23" s="518" t="b">
        <v>0</v>
      </c>
      <c r="AD23" s="518" t="b">
        <v>0</v>
      </c>
      <c r="AE23" s="518" t="b">
        <v>0</v>
      </c>
      <c r="AF23" s="518" t="b">
        <v>0</v>
      </c>
      <c r="AG23" s="518" t="b">
        <v>0</v>
      </c>
      <c r="AH23" s="518" t="b">
        <v>0</v>
      </c>
      <c r="AI23" s="518" t="b">
        <v>0</v>
      </c>
      <c r="AJ23" s="518" t="b">
        <v>0</v>
      </c>
      <c r="AK23" s="518" t="b">
        <v>0</v>
      </c>
      <c r="AL23" s="518" t="b">
        <v>0</v>
      </c>
      <c r="AM23" s="518" t="b">
        <v>0</v>
      </c>
      <c r="AN23" s="518" t="b">
        <v>0</v>
      </c>
      <c r="AO23" s="518" t="b">
        <v>0</v>
      </c>
      <c r="AP23" s="518" t="b">
        <v>0</v>
      </c>
      <c r="AQ23" s="518" t="b">
        <v>0</v>
      </c>
      <c r="AR23" s="518" t="b">
        <v>0</v>
      </c>
      <c r="AS23" s="518" t="b">
        <v>0</v>
      </c>
      <c r="AT23" s="518" t="b">
        <v>0</v>
      </c>
      <c r="AU23" s="518" t="b">
        <v>0</v>
      </c>
      <c r="AV23" s="518" t="b">
        <v>0</v>
      </c>
      <c r="AW23" s="518" t="b">
        <v>0</v>
      </c>
      <c r="AX23" s="518" t="b">
        <v>0</v>
      </c>
      <c r="AY23" s="518" t="b">
        <v>0</v>
      </c>
      <c r="AZ23" s="518" t="b">
        <v>0</v>
      </c>
      <c r="BA23" s="518" t="b">
        <v>0</v>
      </c>
      <c r="BB23" s="518" t="b">
        <v>0</v>
      </c>
      <c r="BC23" s="518" t="b">
        <v>0</v>
      </c>
      <c r="BD23" s="518" t="b">
        <v>0</v>
      </c>
      <c r="BE23" s="518" t="b">
        <v>0</v>
      </c>
      <c r="BF23" s="518" t="b">
        <v>0</v>
      </c>
      <c r="BG23" s="518" t="b">
        <v>0</v>
      </c>
      <c r="BH23" s="518" t="b">
        <v>0</v>
      </c>
      <c r="BI23" s="518" t="b">
        <v>0</v>
      </c>
      <c r="BJ23" s="518" t="b">
        <v>0</v>
      </c>
      <c r="BK23" s="518" t="b">
        <v>0</v>
      </c>
      <c r="BL23" s="518" t="b">
        <v>0</v>
      </c>
      <c r="BM23" s="518" t="b">
        <v>0</v>
      </c>
      <c r="BN23" s="518" t="b">
        <v>0</v>
      </c>
      <c r="BO23" s="518" t="b">
        <v>0</v>
      </c>
      <c r="BP23" s="518" t="b">
        <v>0</v>
      </c>
      <c r="BQ23" s="518" t="b">
        <v>0</v>
      </c>
      <c r="BR23" s="518" t="b">
        <v>0</v>
      </c>
      <c r="BS23" s="518" t="b">
        <v>0</v>
      </c>
      <c r="BT23" s="518" t="b">
        <v>0</v>
      </c>
      <c r="BU23" s="518" t="b">
        <v>0</v>
      </c>
      <c r="BV23" s="518" t="b">
        <v>0</v>
      </c>
      <c r="BW23" s="518" t="b">
        <v>0</v>
      </c>
      <c r="BX23" s="518" t="b">
        <v>0</v>
      </c>
      <c r="BY23" s="518" t="b">
        <v>0</v>
      </c>
      <c r="BZ23" s="518" t="b">
        <v>0</v>
      </c>
      <c r="CA23" s="518" t="b">
        <v>0</v>
      </c>
      <c r="CB23" s="518" t="b">
        <v>0</v>
      </c>
      <c r="CC23" s="518" t="b">
        <v>0</v>
      </c>
      <c r="CD23" s="518" t="b">
        <v>0</v>
      </c>
      <c r="CE23" s="518" t="b">
        <v>0</v>
      </c>
      <c r="CF23" s="518" t="b">
        <v>0</v>
      </c>
      <c r="CG23" s="518" t="b">
        <v>0</v>
      </c>
      <c r="CH23" s="518" t="b">
        <v>0</v>
      </c>
      <c r="CI23" s="518" t="b">
        <v>0</v>
      </c>
      <c r="CJ23" s="518" t="b">
        <v>0</v>
      </c>
      <c r="CK23" s="518" t="b">
        <v>0</v>
      </c>
      <c r="CL23" s="518" t="b">
        <v>0</v>
      </c>
      <c r="CM23" s="518" t="b">
        <v>0</v>
      </c>
      <c r="CN23" s="518" t="b">
        <v>0</v>
      </c>
      <c r="CO23" s="518" t="b">
        <v>0</v>
      </c>
      <c r="CP23" s="518" t="b">
        <v>0</v>
      </c>
      <c r="CQ23" s="518" t="b">
        <v>0</v>
      </c>
      <c r="CR23" s="518" t="b">
        <v>0</v>
      </c>
      <c r="CS23" s="518" t="b">
        <v>0</v>
      </c>
      <c r="CT23" s="518" t="b">
        <v>0</v>
      </c>
      <c r="CU23" s="518" t="b">
        <v>0</v>
      </c>
      <c r="CV23" s="518" t="b">
        <v>0</v>
      </c>
      <c r="CW23" s="518" t="b">
        <v>0</v>
      </c>
      <c r="CX23" s="518" t="b">
        <v>0</v>
      </c>
    </row>
    <row r="24" ht="17.25" customHeight="1">
      <c r="A24" s="510"/>
      <c r="B24" s="95"/>
      <c r="C24" s="520" t="s">
        <v>1381</v>
      </c>
      <c r="D24" s="513">
        <v>100.0</v>
      </c>
      <c r="E24" s="517" t="b">
        <v>0</v>
      </c>
      <c r="F24" s="517" t="b">
        <v>0</v>
      </c>
      <c r="G24" s="517" t="b">
        <v>0</v>
      </c>
      <c r="H24" s="517" t="b">
        <v>0</v>
      </c>
      <c r="I24" s="517" t="b">
        <v>0</v>
      </c>
      <c r="J24" s="517" t="b">
        <v>0</v>
      </c>
      <c r="K24" s="517" t="b">
        <v>0</v>
      </c>
      <c r="L24" s="517" t="b">
        <v>0</v>
      </c>
      <c r="M24" s="517" t="b">
        <v>0</v>
      </c>
      <c r="N24" s="517" t="b">
        <v>0</v>
      </c>
      <c r="O24" s="517" t="b">
        <v>0</v>
      </c>
      <c r="P24" s="517" t="b">
        <v>0</v>
      </c>
      <c r="Q24" s="517" t="b">
        <v>0</v>
      </c>
      <c r="R24" s="517" t="b">
        <v>0</v>
      </c>
      <c r="S24" s="517" t="b">
        <v>0</v>
      </c>
      <c r="T24" s="517" t="b">
        <v>0</v>
      </c>
      <c r="U24" s="517" t="b">
        <v>0</v>
      </c>
      <c r="V24" s="517" t="b">
        <v>0</v>
      </c>
      <c r="W24" s="517" t="b">
        <v>0</v>
      </c>
      <c r="X24" s="517" t="b">
        <v>0</v>
      </c>
      <c r="Y24" s="517" t="b">
        <v>0</v>
      </c>
      <c r="Z24" s="517" t="b">
        <v>0</v>
      </c>
      <c r="AA24" s="517" t="b">
        <v>0</v>
      </c>
      <c r="AB24" s="517" t="b">
        <v>0</v>
      </c>
      <c r="AC24" s="517" t="b">
        <v>0</v>
      </c>
      <c r="AD24" s="517" t="b">
        <v>0</v>
      </c>
      <c r="AE24" s="517" t="b">
        <v>0</v>
      </c>
      <c r="AF24" s="517" t="b">
        <v>0</v>
      </c>
      <c r="AG24" s="517" t="b">
        <v>0</v>
      </c>
      <c r="AH24" s="517" t="b">
        <v>0</v>
      </c>
      <c r="AI24" s="517" t="b">
        <v>0</v>
      </c>
      <c r="AJ24" s="517" t="b">
        <v>0</v>
      </c>
      <c r="AK24" s="517" t="b">
        <v>0</v>
      </c>
      <c r="AL24" s="517" t="b">
        <v>0</v>
      </c>
      <c r="AM24" s="517" t="b">
        <v>0</v>
      </c>
      <c r="AN24" s="517" t="b">
        <v>0</v>
      </c>
      <c r="AO24" s="517" t="b">
        <v>0</v>
      </c>
      <c r="AP24" s="517" t="b">
        <v>0</v>
      </c>
      <c r="AQ24" s="517" t="b">
        <v>0</v>
      </c>
      <c r="AR24" s="517" t="b">
        <v>0</v>
      </c>
      <c r="AS24" s="517" t="b">
        <v>0</v>
      </c>
      <c r="AT24" s="517" t="b">
        <v>0</v>
      </c>
      <c r="AU24" s="517" t="b">
        <v>0</v>
      </c>
      <c r="AV24" s="517" t="b">
        <v>0</v>
      </c>
      <c r="AW24" s="517" t="b">
        <v>0</v>
      </c>
      <c r="AX24" s="517" t="b">
        <v>0</v>
      </c>
      <c r="AY24" s="517" t="b">
        <v>0</v>
      </c>
      <c r="AZ24" s="517" t="b">
        <v>0</v>
      </c>
      <c r="BA24" s="517" t="b">
        <v>0</v>
      </c>
      <c r="BB24" s="517" t="b">
        <v>0</v>
      </c>
      <c r="BC24" s="517" t="b">
        <v>0</v>
      </c>
      <c r="BD24" s="517" t="b">
        <v>0</v>
      </c>
      <c r="BE24" s="517" t="b">
        <v>0</v>
      </c>
      <c r="BF24" s="517" t="b">
        <v>0</v>
      </c>
      <c r="BG24" s="517" t="b">
        <v>0</v>
      </c>
      <c r="BH24" s="517" t="b">
        <v>0</v>
      </c>
      <c r="BI24" s="517" t="b">
        <v>0</v>
      </c>
      <c r="BJ24" s="517" t="b">
        <v>0</v>
      </c>
      <c r="BK24" s="517" t="b">
        <v>0</v>
      </c>
      <c r="BL24" s="517" t="b">
        <v>0</v>
      </c>
      <c r="BM24" s="517" t="b">
        <v>0</v>
      </c>
      <c r="BN24" s="517" t="b">
        <v>0</v>
      </c>
      <c r="BO24" s="517" t="b">
        <v>0</v>
      </c>
      <c r="BP24" s="517" t="b">
        <v>0</v>
      </c>
      <c r="BQ24" s="517" t="b">
        <v>0</v>
      </c>
      <c r="BR24" s="517" t="b">
        <v>0</v>
      </c>
      <c r="BS24" s="517" t="b">
        <v>0</v>
      </c>
      <c r="BT24" s="517" t="b">
        <v>0</v>
      </c>
      <c r="BU24" s="517" t="b">
        <v>0</v>
      </c>
      <c r="BV24" s="517" t="b">
        <v>0</v>
      </c>
      <c r="BW24" s="517" t="b">
        <v>0</v>
      </c>
      <c r="BX24" s="517" t="b">
        <v>0</v>
      </c>
      <c r="BY24" s="517" t="b">
        <v>0</v>
      </c>
      <c r="BZ24" s="517" t="b">
        <v>0</v>
      </c>
      <c r="CA24" s="517" t="b">
        <v>0</v>
      </c>
      <c r="CB24" s="517" t="b">
        <v>0</v>
      </c>
      <c r="CC24" s="517" t="b">
        <v>0</v>
      </c>
      <c r="CD24" s="517" t="b">
        <v>0</v>
      </c>
      <c r="CE24" s="517" t="b">
        <v>0</v>
      </c>
      <c r="CF24" s="517" t="b">
        <v>0</v>
      </c>
      <c r="CG24" s="517" t="b">
        <v>0</v>
      </c>
      <c r="CH24" s="517" t="b">
        <v>0</v>
      </c>
      <c r="CI24" s="517" t="b">
        <v>0</v>
      </c>
      <c r="CJ24" s="517" t="b">
        <v>0</v>
      </c>
      <c r="CK24" s="517" t="b">
        <v>0</v>
      </c>
      <c r="CL24" s="517" t="b">
        <v>0</v>
      </c>
      <c r="CM24" s="517" t="b">
        <v>0</v>
      </c>
      <c r="CN24" s="517" t="b">
        <v>0</v>
      </c>
      <c r="CO24" s="517" t="b">
        <v>0</v>
      </c>
      <c r="CP24" s="517" t="b">
        <v>0</v>
      </c>
      <c r="CQ24" s="517" t="b">
        <v>0</v>
      </c>
      <c r="CR24" s="517" t="b">
        <v>0</v>
      </c>
      <c r="CS24" s="517" t="b">
        <v>0</v>
      </c>
      <c r="CT24" s="517" t="b">
        <v>0</v>
      </c>
      <c r="CU24" s="517" t="b">
        <v>0</v>
      </c>
      <c r="CV24" s="517" t="b">
        <v>0</v>
      </c>
      <c r="CW24" s="517" t="b">
        <v>0</v>
      </c>
      <c r="CX24" s="517" t="b">
        <v>0</v>
      </c>
    </row>
    <row r="25" ht="17.25" customHeight="1">
      <c r="A25" s="510"/>
      <c r="B25" s="95"/>
      <c r="C25" s="520" t="s">
        <v>1382</v>
      </c>
      <c r="D25" s="521">
        <v>80.0</v>
      </c>
      <c r="E25" s="518" t="b">
        <v>0</v>
      </c>
      <c r="F25" s="518" t="b">
        <v>0</v>
      </c>
      <c r="G25" s="518" t="b">
        <v>0</v>
      </c>
      <c r="H25" s="517" t="b">
        <v>0</v>
      </c>
      <c r="I25" s="517" t="b">
        <v>0</v>
      </c>
      <c r="J25" s="518" t="b">
        <v>0</v>
      </c>
      <c r="K25" s="518" t="b">
        <v>0</v>
      </c>
      <c r="L25" s="518" t="b">
        <v>0</v>
      </c>
      <c r="M25" s="517" t="b">
        <v>0</v>
      </c>
      <c r="N25" s="518" t="b">
        <v>0</v>
      </c>
      <c r="O25" s="518" t="b">
        <v>0</v>
      </c>
      <c r="P25" s="518" t="b">
        <v>0</v>
      </c>
      <c r="Q25" s="518" t="b">
        <v>0</v>
      </c>
      <c r="R25" s="518" t="b">
        <v>0</v>
      </c>
      <c r="S25" s="518" t="b">
        <v>0</v>
      </c>
      <c r="T25" s="518" t="b">
        <v>0</v>
      </c>
      <c r="U25" s="518" t="b">
        <v>0</v>
      </c>
      <c r="V25" s="518" t="b">
        <v>0</v>
      </c>
      <c r="W25" s="518" t="b">
        <v>0</v>
      </c>
      <c r="X25" s="518" t="b">
        <v>0</v>
      </c>
      <c r="Y25" s="518" t="b">
        <v>0</v>
      </c>
      <c r="Z25" s="518" t="b">
        <v>0</v>
      </c>
      <c r="AA25" s="518" t="b">
        <v>0</v>
      </c>
      <c r="AB25" s="518" t="b">
        <v>0</v>
      </c>
      <c r="AC25" s="518" t="b">
        <v>0</v>
      </c>
      <c r="AD25" s="518" t="b">
        <v>0</v>
      </c>
      <c r="AE25" s="518" t="b">
        <v>0</v>
      </c>
      <c r="AF25" s="518" t="b">
        <v>0</v>
      </c>
      <c r="AG25" s="518" t="b">
        <v>0</v>
      </c>
      <c r="AH25" s="518" t="b">
        <v>0</v>
      </c>
      <c r="AI25" s="518" t="b">
        <v>0</v>
      </c>
      <c r="AJ25" s="518" t="b">
        <v>0</v>
      </c>
      <c r="AK25" s="518" t="b">
        <v>0</v>
      </c>
      <c r="AL25" s="518" t="b">
        <v>0</v>
      </c>
      <c r="AM25" s="518" t="b">
        <v>0</v>
      </c>
      <c r="AN25" s="518" t="b">
        <v>0</v>
      </c>
      <c r="AO25" s="518" t="b">
        <v>0</v>
      </c>
      <c r="AP25" s="518" t="b">
        <v>0</v>
      </c>
      <c r="AQ25" s="518" t="b">
        <v>0</v>
      </c>
      <c r="AR25" s="518" t="b">
        <v>0</v>
      </c>
      <c r="AS25" s="518" t="b">
        <v>0</v>
      </c>
      <c r="AT25" s="518" t="b">
        <v>0</v>
      </c>
      <c r="AU25" s="518" t="b">
        <v>0</v>
      </c>
      <c r="AV25" s="518" t="b">
        <v>0</v>
      </c>
      <c r="AW25" s="518" t="b">
        <v>0</v>
      </c>
      <c r="AX25" s="518" t="b">
        <v>0</v>
      </c>
      <c r="AY25" s="518" t="b">
        <v>0</v>
      </c>
      <c r="AZ25" s="518" t="b">
        <v>0</v>
      </c>
      <c r="BA25" s="518" t="b">
        <v>0</v>
      </c>
      <c r="BB25" s="518" t="b">
        <v>0</v>
      </c>
      <c r="BC25" s="518" t="b">
        <v>0</v>
      </c>
      <c r="BD25" s="518" t="b">
        <v>0</v>
      </c>
      <c r="BE25" s="518" t="b">
        <v>0</v>
      </c>
      <c r="BF25" s="518" t="b">
        <v>0</v>
      </c>
      <c r="BG25" s="518" t="b">
        <v>0</v>
      </c>
      <c r="BH25" s="518" t="b">
        <v>0</v>
      </c>
      <c r="BI25" s="518" t="b">
        <v>0</v>
      </c>
      <c r="BJ25" s="518" t="b">
        <v>0</v>
      </c>
      <c r="BK25" s="518" t="b">
        <v>0</v>
      </c>
      <c r="BL25" s="518" t="b">
        <v>0</v>
      </c>
      <c r="BM25" s="518" t="b">
        <v>0</v>
      </c>
      <c r="BN25" s="518" t="b">
        <v>0</v>
      </c>
      <c r="BO25" s="518" t="b">
        <v>0</v>
      </c>
      <c r="BP25" s="518" t="b">
        <v>0</v>
      </c>
      <c r="BQ25" s="518" t="b">
        <v>0</v>
      </c>
      <c r="BR25" s="518" t="b">
        <v>0</v>
      </c>
      <c r="BS25" s="518" t="b">
        <v>0</v>
      </c>
      <c r="BT25" s="518" t="b">
        <v>0</v>
      </c>
      <c r="BU25" s="518" t="b">
        <v>0</v>
      </c>
      <c r="BV25" s="518" t="b">
        <v>0</v>
      </c>
      <c r="BW25" s="518" t="b">
        <v>0</v>
      </c>
      <c r="BX25" s="518" t="b">
        <v>0</v>
      </c>
      <c r="BY25" s="518" t="b">
        <v>0</v>
      </c>
      <c r="BZ25" s="518" t="b">
        <v>0</v>
      </c>
      <c r="CA25" s="518" t="b">
        <v>0</v>
      </c>
      <c r="CB25" s="518" t="b">
        <v>0</v>
      </c>
      <c r="CC25" s="518" t="b">
        <v>0</v>
      </c>
      <c r="CD25" s="518" t="b">
        <v>0</v>
      </c>
      <c r="CE25" s="518" t="b">
        <v>0</v>
      </c>
      <c r="CF25" s="518" t="b">
        <v>0</v>
      </c>
      <c r="CG25" s="518" t="b">
        <v>0</v>
      </c>
      <c r="CH25" s="518" t="b">
        <v>0</v>
      </c>
      <c r="CI25" s="518" t="b">
        <v>0</v>
      </c>
      <c r="CJ25" s="518" t="b">
        <v>0</v>
      </c>
      <c r="CK25" s="518" t="b">
        <v>0</v>
      </c>
      <c r="CL25" s="518" t="b">
        <v>0</v>
      </c>
      <c r="CM25" s="518" t="b">
        <v>0</v>
      </c>
      <c r="CN25" s="518" t="b">
        <v>0</v>
      </c>
      <c r="CO25" s="518" t="b">
        <v>0</v>
      </c>
      <c r="CP25" s="518" t="b">
        <v>0</v>
      </c>
      <c r="CQ25" s="518" t="b">
        <v>0</v>
      </c>
      <c r="CR25" s="518" t="b">
        <v>0</v>
      </c>
      <c r="CS25" s="518" t="b">
        <v>0</v>
      </c>
      <c r="CT25" s="518" t="b">
        <v>0</v>
      </c>
      <c r="CU25" s="518" t="b">
        <v>0</v>
      </c>
      <c r="CV25" s="518" t="b">
        <v>0</v>
      </c>
      <c r="CW25" s="518" t="b">
        <v>0</v>
      </c>
      <c r="CX25" s="518" t="b">
        <v>0</v>
      </c>
    </row>
    <row r="26" ht="17.25" customHeight="1">
      <c r="A26" s="510"/>
      <c r="B26" s="95"/>
      <c r="C26" s="520" t="s">
        <v>1383</v>
      </c>
      <c r="D26" s="513">
        <v>80.0</v>
      </c>
      <c r="E26" s="518" t="b">
        <v>0</v>
      </c>
      <c r="F26" s="518" t="b">
        <v>0</v>
      </c>
      <c r="G26" s="518" t="b">
        <v>0</v>
      </c>
      <c r="H26" s="518" t="b">
        <v>0</v>
      </c>
      <c r="I26" s="518" t="b">
        <v>0</v>
      </c>
      <c r="J26" s="518" t="b">
        <v>0</v>
      </c>
      <c r="K26" s="518" t="b">
        <v>0</v>
      </c>
      <c r="L26" s="518" t="b">
        <v>0</v>
      </c>
      <c r="M26" s="517" t="b">
        <v>0</v>
      </c>
      <c r="N26" s="518" t="b">
        <v>0</v>
      </c>
      <c r="O26" s="518" t="b">
        <v>0</v>
      </c>
      <c r="P26" s="518" t="b">
        <v>0</v>
      </c>
      <c r="Q26" s="518" t="b">
        <v>0</v>
      </c>
      <c r="R26" s="518" t="b">
        <v>0</v>
      </c>
      <c r="S26" s="518" t="b">
        <v>0</v>
      </c>
      <c r="T26" s="518" t="b">
        <v>0</v>
      </c>
      <c r="U26" s="518" t="b">
        <v>0</v>
      </c>
      <c r="V26" s="518" t="b">
        <v>0</v>
      </c>
      <c r="W26" s="518" t="b">
        <v>0</v>
      </c>
      <c r="X26" s="518" t="b">
        <v>0</v>
      </c>
      <c r="Y26" s="518" t="b">
        <v>0</v>
      </c>
      <c r="Z26" s="518" t="b">
        <v>0</v>
      </c>
      <c r="AA26" s="518" t="b">
        <v>0</v>
      </c>
      <c r="AB26" s="518" t="b">
        <v>0</v>
      </c>
      <c r="AC26" s="518" t="b">
        <v>0</v>
      </c>
      <c r="AD26" s="518" t="b">
        <v>0</v>
      </c>
      <c r="AE26" s="518" t="b">
        <v>0</v>
      </c>
      <c r="AF26" s="518" t="b">
        <v>0</v>
      </c>
      <c r="AG26" s="518" t="b">
        <v>0</v>
      </c>
      <c r="AH26" s="518" t="b">
        <v>0</v>
      </c>
      <c r="AI26" s="518" t="b">
        <v>0</v>
      </c>
      <c r="AJ26" s="518" t="b">
        <v>0</v>
      </c>
      <c r="AK26" s="518" t="b">
        <v>0</v>
      </c>
      <c r="AL26" s="518" t="b">
        <v>0</v>
      </c>
      <c r="AM26" s="518" t="b">
        <v>0</v>
      </c>
      <c r="AN26" s="518" t="b">
        <v>0</v>
      </c>
      <c r="AO26" s="518" t="b">
        <v>0</v>
      </c>
      <c r="AP26" s="518" t="b">
        <v>0</v>
      </c>
      <c r="AQ26" s="518" t="b">
        <v>0</v>
      </c>
      <c r="AR26" s="518" t="b">
        <v>0</v>
      </c>
      <c r="AS26" s="518" t="b">
        <v>0</v>
      </c>
      <c r="AT26" s="518" t="b">
        <v>0</v>
      </c>
      <c r="AU26" s="518" t="b">
        <v>0</v>
      </c>
      <c r="AV26" s="518" t="b">
        <v>0</v>
      </c>
      <c r="AW26" s="518" t="b">
        <v>0</v>
      </c>
      <c r="AX26" s="518" t="b">
        <v>0</v>
      </c>
      <c r="AY26" s="518" t="b">
        <v>0</v>
      </c>
      <c r="AZ26" s="518" t="b">
        <v>0</v>
      </c>
      <c r="BA26" s="518" t="b">
        <v>0</v>
      </c>
      <c r="BB26" s="518" t="b">
        <v>0</v>
      </c>
      <c r="BC26" s="518" t="b">
        <v>0</v>
      </c>
      <c r="BD26" s="518" t="b">
        <v>0</v>
      </c>
      <c r="BE26" s="518" t="b">
        <v>0</v>
      </c>
      <c r="BF26" s="518" t="b">
        <v>0</v>
      </c>
      <c r="BG26" s="518" t="b">
        <v>0</v>
      </c>
      <c r="BH26" s="518" t="b">
        <v>0</v>
      </c>
      <c r="BI26" s="518" t="b">
        <v>0</v>
      </c>
      <c r="BJ26" s="518" t="b">
        <v>0</v>
      </c>
      <c r="BK26" s="518" t="b">
        <v>0</v>
      </c>
      <c r="BL26" s="518" t="b">
        <v>0</v>
      </c>
      <c r="BM26" s="518" t="b">
        <v>0</v>
      </c>
      <c r="BN26" s="518" t="b">
        <v>0</v>
      </c>
      <c r="BO26" s="518" t="b">
        <v>0</v>
      </c>
      <c r="BP26" s="518" t="b">
        <v>0</v>
      </c>
      <c r="BQ26" s="518" t="b">
        <v>0</v>
      </c>
      <c r="BR26" s="518" t="b">
        <v>0</v>
      </c>
      <c r="BS26" s="518" t="b">
        <v>0</v>
      </c>
      <c r="BT26" s="518" t="b">
        <v>0</v>
      </c>
      <c r="BU26" s="518" t="b">
        <v>0</v>
      </c>
      <c r="BV26" s="518" t="b">
        <v>0</v>
      </c>
      <c r="BW26" s="518" t="b">
        <v>0</v>
      </c>
      <c r="BX26" s="518" t="b">
        <v>0</v>
      </c>
      <c r="BY26" s="518" t="b">
        <v>0</v>
      </c>
      <c r="BZ26" s="518" t="b">
        <v>0</v>
      </c>
      <c r="CA26" s="518" t="b">
        <v>0</v>
      </c>
      <c r="CB26" s="518" t="b">
        <v>0</v>
      </c>
      <c r="CC26" s="518" t="b">
        <v>0</v>
      </c>
      <c r="CD26" s="518" t="b">
        <v>0</v>
      </c>
      <c r="CE26" s="518" t="b">
        <v>0</v>
      </c>
      <c r="CF26" s="518" t="b">
        <v>0</v>
      </c>
      <c r="CG26" s="518" t="b">
        <v>0</v>
      </c>
      <c r="CH26" s="518" t="b">
        <v>0</v>
      </c>
      <c r="CI26" s="518" t="b">
        <v>0</v>
      </c>
      <c r="CJ26" s="518" t="b">
        <v>0</v>
      </c>
      <c r="CK26" s="518" t="b">
        <v>0</v>
      </c>
      <c r="CL26" s="518" t="b">
        <v>0</v>
      </c>
      <c r="CM26" s="518" t="b">
        <v>0</v>
      </c>
      <c r="CN26" s="518" t="b">
        <v>0</v>
      </c>
      <c r="CO26" s="518" t="b">
        <v>0</v>
      </c>
      <c r="CP26" s="518" t="b">
        <v>0</v>
      </c>
      <c r="CQ26" s="518" t="b">
        <v>0</v>
      </c>
      <c r="CR26" s="518" t="b">
        <v>0</v>
      </c>
      <c r="CS26" s="518" t="b">
        <v>0</v>
      </c>
      <c r="CT26" s="518" t="b">
        <v>0</v>
      </c>
      <c r="CU26" s="518" t="b">
        <v>0</v>
      </c>
      <c r="CV26" s="518" t="b">
        <v>0</v>
      </c>
      <c r="CW26" s="518" t="b">
        <v>0</v>
      </c>
      <c r="CX26" s="518" t="b">
        <v>0</v>
      </c>
    </row>
    <row r="27">
      <c r="A27" s="522"/>
      <c r="B27" s="164"/>
      <c r="C27" s="523" t="s">
        <v>1384</v>
      </c>
      <c r="D27" s="524"/>
      <c r="E27" s="502"/>
      <c r="F27" s="502"/>
      <c r="G27" s="502"/>
      <c r="H27" s="502"/>
      <c r="I27" s="502"/>
      <c r="J27" s="502"/>
      <c r="K27" s="502"/>
      <c r="L27" s="502"/>
      <c r="M27" s="502"/>
      <c r="N27" s="502"/>
      <c r="O27" s="502"/>
      <c r="P27" s="502"/>
      <c r="Q27" s="502"/>
      <c r="R27" s="502"/>
      <c r="S27" s="502"/>
      <c r="T27" s="502"/>
      <c r="U27" s="502"/>
      <c r="V27" s="502"/>
      <c r="W27" s="502"/>
      <c r="X27" s="502"/>
      <c r="Y27" s="502"/>
      <c r="Z27" s="502"/>
      <c r="AA27" s="502"/>
      <c r="AB27" s="502"/>
      <c r="AC27" s="502"/>
      <c r="AD27" s="502"/>
      <c r="AE27" s="502"/>
      <c r="AF27" s="502"/>
      <c r="AG27" s="502"/>
      <c r="AH27" s="502"/>
      <c r="AI27" s="502"/>
      <c r="AJ27" s="502"/>
      <c r="AK27" s="502"/>
      <c r="AL27" s="502"/>
      <c r="AM27" s="502"/>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2"/>
      <c r="BK27" s="502"/>
      <c r="BL27" s="502"/>
      <c r="BM27" s="502"/>
      <c r="BN27" s="502"/>
      <c r="BO27" s="502"/>
      <c r="BP27" s="502"/>
      <c r="BQ27" s="502"/>
      <c r="BR27" s="502"/>
      <c r="BS27" s="502"/>
      <c r="BT27" s="502"/>
      <c r="BU27" s="502"/>
      <c r="BV27" s="502"/>
      <c r="BW27" s="502"/>
      <c r="BX27" s="502"/>
      <c r="BY27" s="502"/>
      <c r="BZ27" s="502"/>
      <c r="CA27" s="502"/>
      <c r="CB27" s="502"/>
      <c r="CC27" s="502"/>
      <c r="CD27" s="502"/>
      <c r="CE27" s="502"/>
      <c r="CF27" s="502"/>
      <c r="CG27" s="502"/>
      <c r="CH27" s="502"/>
      <c r="CI27" s="502"/>
      <c r="CJ27" s="502"/>
      <c r="CK27" s="502"/>
      <c r="CL27" s="502"/>
      <c r="CM27" s="502"/>
      <c r="CN27" s="502"/>
      <c r="CO27" s="502"/>
      <c r="CP27" s="502"/>
      <c r="CQ27" s="502"/>
      <c r="CR27" s="502"/>
      <c r="CS27" s="502"/>
      <c r="CT27" s="502"/>
      <c r="CU27" s="502"/>
      <c r="CV27" s="502"/>
      <c r="CW27" s="502"/>
      <c r="CX27" s="502"/>
    </row>
    <row r="28" ht="17.25" customHeight="1">
      <c r="A28" s="469"/>
      <c r="B28" s="525" t="s">
        <v>1385</v>
      </c>
      <c r="C28" s="474" t="s">
        <v>1386</v>
      </c>
      <c r="D28" s="473" t="s">
        <v>1387</v>
      </c>
      <c r="E28" s="474"/>
      <c r="F28" s="474"/>
      <c r="G28" s="474"/>
      <c r="H28" s="474"/>
      <c r="I28" s="474"/>
      <c r="J28" s="474"/>
      <c r="K28" s="474"/>
      <c r="L28" s="474"/>
      <c r="M28" s="474"/>
      <c r="N28" s="474"/>
      <c r="O28" s="474"/>
      <c r="P28" s="474"/>
      <c r="Q28" s="474"/>
      <c r="R28" s="474"/>
      <c r="S28" s="474"/>
      <c r="T28" s="474"/>
      <c r="U28" s="474"/>
      <c r="V28" s="474"/>
      <c r="W28" s="474"/>
      <c r="X28" s="474"/>
      <c r="Y28" s="474"/>
      <c r="Z28" s="474"/>
      <c r="AA28" s="474"/>
      <c r="AB28" s="474"/>
      <c r="AC28" s="474"/>
      <c r="AD28" s="474"/>
      <c r="AE28" s="474"/>
      <c r="AF28" s="474"/>
      <c r="AG28" s="474"/>
      <c r="AH28" s="474"/>
      <c r="AI28" s="474"/>
      <c r="AJ28" s="474"/>
      <c r="AK28" s="474"/>
      <c r="AL28" s="474"/>
      <c r="AM28" s="474"/>
      <c r="AN28" s="474"/>
      <c r="AO28" s="474"/>
      <c r="AP28" s="474"/>
      <c r="AQ28" s="474"/>
      <c r="AR28" s="474"/>
      <c r="AS28" s="474"/>
      <c r="AT28" s="474"/>
      <c r="AU28" s="474"/>
      <c r="AV28" s="474"/>
      <c r="AW28" s="474"/>
      <c r="AX28" s="474"/>
      <c r="AY28" s="474"/>
      <c r="AZ28" s="474"/>
      <c r="BA28" s="474"/>
      <c r="BB28" s="474"/>
      <c r="BC28" s="474"/>
      <c r="BD28" s="474"/>
      <c r="BE28" s="474"/>
      <c r="BF28" s="474"/>
      <c r="BG28" s="474"/>
      <c r="BH28" s="474"/>
      <c r="BI28" s="474"/>
      <c r="BJ28" s="474"/>
      <c r="BK28" s="474"/>
      <c r="BL28" s="474"/>
      <c r="BM28" s="474"/>
      <c r="BN28" s="474"/>
      <c r="BO28" s="474"/>
      <c r="BP28" s="474"/>
      <c r="BQ28" s="474"/>
      <c r="BR28" s="474"/>
      <c r="BS28" s="474"/>
      <c r="BT28" s="474"/>
      <c r="BU28" s="474"/>
      <c r="BV28" s="474"/>
      <c r="BW28" s="474"/>
      <c r="BX28" s="474"/>
      <c r="BY28" s="474"/>
      <c r="BZ28" s="474"/>
      <c r="CA28" s="474"/>
      <c r="CB28" s="474"/>
      <c r="CC28" s="474"/>
      <c r="CD28" s="474"/>
      <c r="CE28" s="474"/>
      <c r="CF28" s="474"/>
      <c r="CG28" s="474"/>
      <c r="CH28" s="474"/>
      <c r="CI28" s="474"/>
      <c r="CJ28" s="474"/>
      <c r="CK28" s="474"/>
      <c r="CL28" s="474"/>
      <c r="CM28" s="474"/>
      <c r="CN28" s="474"/>
      <c r="CO28" s="474"/>
      <c r="CP28" s="474"/>
      <c r="CQ28" s="474"/>
      <c r="CR28" s="474"/>
      <c r="CS28" s="474"/>
      <c r="CT28" s="474"/>
      <c r="CU28" s="474"/>
      <c r="CV28" s="474"/>
      <c r="CW28" s="474"/>
      <c r="CX28" s="474"/>
    </row>
    <row r="29" ht="33.0" customHeight="1">
      <c r="A29" s="469"/>
      <c r="B29" s="95"/>
      <c r="C29" s="526" t="s">
        <v>1388</v>
      </c>
      <c r="D29" s="501" t="s">
        <v>1389</v>
      </c>
      <c r="E29" s="502"/>
      <c r="F29" s="502"/>
      <c r="G29" s="502"/>
      <c r="H29" s="502"/>
      <c r="I29" s="502"/>
      <c r="J29" s="502"/>
      <c r="K29" s="502"/>
      <c r="L29" s="502"/>
      <c r="M29" s="502"/>
      <c r="N29" s="502"/>
      <c r="O29" s="502"/>
      <c r="P29" s="502"/>
      <c r="Q29" s="502"/>
      <c r="R29" s="502"/>
      <c r="S29" s="502"/>
      <c r="T29" s="502"/>
      <c r="U29" s="502"/>
      <c r="V29" s="502"/>
      <c r="W29" s="502"/>
      <c r="X29" s="502"/>
      <c r="Y29" s="502"/>
      <c r="Z29" s="502"/>
      <c r="AA29" s="502"/>
      <c r="AB29" s="502"/>
      <c r="AC29" s="502"/>
      <c r="AD29" s="502"/>
      <c r="AE29" s="502"/>
      <c r="AF29" s="502"/>
      <c r="AG29" s="502"/>
      <c r="AH29" s="502"/>
      <c r="AI29" s="502"/>
      <c r="AJ29" s="502"/>
      <c r="AK29" s="502"/>
      <c r="AL29" s="502"/>
      <c r="AM29" s="502"/>
      <c r="AN29" s="502"/>
      <c r="AO29" s="502"/>
      <c r="AP29" s="502"/>
      <c r="AQ29" s="502"/>
      <c r="AR29" s="502"/>
      <c r="AS29" s="502"/>
      <c r="AT29" s="502"/>
      <c r="AU29" s="502"/>
      <c r="AV29" s="502"/>
      <c r="AW29" s="502"/>
      <c r="AX29" s="502"/>
      <c r="AY29" s="502"/>
      <c r="AZ29" s="502"/>
      <c r="BA29" s="502"/>
      <c r="BB29" s="502"/>
      <c r="BC29" s="502"/>
      <c r="BD29" s="502"/>
      <c r="BE29" s="502"/>
      <c r="BF29" s="502"/>
      <c r="BG29" s="502"/>
      <c r="BH29" s="502"/>
      <c r="BI29" s="502"/>
      <c r="BJ29" s="502"/>
      <c r="BK29" s="502"/>
      <c r="BL29" s="502"/>
      <c r="BM29" s="502"/>
      <c r="BN29" s="502"/>
      <c r="BO29" s="502"/>
      <c r="BP29" s="502"/>
      <c r="BQ29" s="502"/>
      <c r="BR29" s="502"/>
      <c r="BS29" s="502"/>
      <c r="BT29" s="502"/>
      <c r="BU29" s="502"/>
      <c r="BV29" s="502"/>
      <c r="BW29" s="502"/>
      <c r="BX29" s="502"/>
      <c r="BY29" s="502"/>
      <c r="BZ29" s="502"/>
      <c r="CA29" s="502"/>
      <c r="CB29" s="502"/>
      <c r="CC29" s="502"/>
      <c r="CD29" s="502"/>
      <c r="CE29" s="502"/>
      <c r="CF29" s="502"/>
      <c r="CG29" s="502"/>
      <c r="CH29" s="502"/>
      <c r="CI29" s="502"/>
      <c r="CJ29" s="502"/>
      <c r="CK29" s="502"/>
      <c r="CL29" s="502"/>
      <c r="CM29" s="502"/>
      <c r="CN29" s="502"/>
      <c r="CO29" s="502"/>
      <c r="CP29" s="502"/>
      <c r="CQ29" s="502"/>
      <c r="CR29" s="502"/>
      <c r="CS29" s="502"/>
      <c r="CT29" s="502"/>
      <c r="CU29" s="502"/>
      <c r="CV29" s="502"/>
      <c r="CW29" s="502"/>
      <c r="CX29" s="502"/>
    </row>
    <row r="30" ht="17.25" customHeight="1">
      <c r="A30" s="469"/>
      <c r="B30" s="95"/>
      <c r="C30" s="526" t="s">
        <v>1390</v>
      </c>
      <c r="D30" s="501" t="s">
        <v>1391</v>
      </c>
      <c r="E30" s="502"/>
      <c r="F30" s="502"/>
      <c r="G30" s="502"/>
      <c r="H30" s="502"/>
      <c r="I30" s="502"/>
      <c r="J30" s="502"/>
      <c r="K30" s="502"/>
      <c r="L30" s="502"/>
      <c r="M30" s="502"/>
      <c r="N30" s="502"/>
      <c r="O30" s="502"/>
      <c r="P30" s="502"/>
      <c r="Q30" s="502"/>
      <c r="R30" s="502"/>
      <c r="S30" s="502"/>
      <c r="T30" s="502"/>
      <c r="U30" s="502"/>
      <c r="V30" s="502"/>
      <c r="W30" s="502"/>
      <c r="X30" s="502"/>
      <c r="Y30" s="502"/>
      <c r="Z30" s="502"/>
      <c r="AA30" s="502"/>
      <c r="AB30" s="502"/>
      <c r="AC30" s="502"/>
      <c r="AD30" s="502"/>
      <c r="AE30" s="502"/>
      <c r="AF30" s="502"/>
      <c r="AG30" s="502"/>
      <c r="AH30" s="502"/>
      <c r="AI30" s="502"/>
      <c r="AJ30" s="502"/>
      <c r="AK30" s="502"/>
      <c r="AL30" s="502"/>
      <c r="AM30" s="502"/>
      <c r="AN30" s="502"/>
      <c r="AO30" s="502"/>
      <c r="AP30" s="502"/>
      <c r="AQ30" s="502"/>
      <c r="AR30" s="502"/>
      <c r="AS30" s="502"/>
      <c r="AT30" s="502"/>
      <c r="AU30" s="502"/>
      <c r="AV30" s="502"/>
      <c r="AW30" s="502"/>
      <c r="AX30" s="502"/>
      <c r="AY30" s="502"/>
      <c r="AZ30" s="502"/>
      <c r="BA30" s="502"/>
      <c r="BB30" s="502"/>
      <c r="BC30" s="502"/>
      <c r="BD30" s="502"/>
      <c r="BE30" s="502"/>
      <c r="BF30" s="502"/>
      <c r="BG30" s="502"/>
      <c r="BH30" s="502"/>
      <c r="BI30" s="502"/>
      <c r="BJ30" s="502"/>
      <c r="BK30" s="502"/>
      <c r="BL30" s="502"/>
      <c r="BM30" s="502"/>
      <c r="BN30" s="502"/>
      <c r="BO30" s="502"/>
      <c r="BP30" s="502"/>
      <c r="BQ30" s="502"/>
      <c r="BR30" s="502"/>
      <c r="BS30" s="502"/>
      <c r="BT30" s="502"/>
      <c r="BU30" s="502"/>
      <c r="BV30" s="502"/>
      <c r="BW30" s="502"/>
      <c r="BX30" s="502"/>
      <c r="BY30" s="502"/>
      <c r="BZ30" s="502"/>
      <c r="CA30" s="502"/>
      <c r="CB30" s="502"/>
      <c r="CC30" s="502"/>
      <c r="CD30" s="502"/>
      <c r="CE30" s="502"/>
      <c r="CF30" s="502"/>
      <c r="CG30" s="502"/>
      <c r="CH30" s="502"/>
      <c r="CI30" s="502"/>
      <c r="CJ30" s="502"/>
      <c r="CK30" s="502"/>
      <c r="CL30" s="502"/>
      <c r="CM30" s="502"/>
      <c r="CN30" s="502"/>
      <c r="CO30" s="502"/>
      <c r="CP30" s="502"/>
      <c r="CQ30" s="502"/>
      <c r="CR30" s="502"/>
      <c r="CS30" s="502"/>
      <c r="CT30" s="502"/>
      <c r="CU30" s="502"/>
      <c r="CV30" s="502"/>
      <c r="CW30" s="502"/>
      <c r="CX30" s="502"/>
    </row>
    <row r="31">
      <c r="A31" s="469"/>
      <c r="B31" s="164"/>
      <c r="C31" s="507" t="s">
        <v>1384</v>
      </c>
      <c r="D31" s="508" t="s">
        <v>1392</v>
      </c>
      <c r="E31" s="509"/>
      <c r="F31" s="509"/>
      <c r="G31" s="509"/>
      <c r="H31" s="509"/>
      <c r="I31" s="509"/>
      <c r="J31" s="509"/>
      <c r="K31" s="509"/>
      <c r="L31" s="509"/>
      <c r="M31" s="509"/>
      <c r="N31" s="509"/>
      <c r="O31" s="508"/>
      <c r="P31" s="509"/>
      <c r="Q31" s="508"/>
      <c r="R31" s="508"/>
      <c r="S31" s="509"/>
      <c r="T31" s="509"/>
      <c r="U31" s="508"/>
      <c r="V31" s="508"/>
      <c r="W31" s="508"/>
      <c r="X31" s="508"/>
      <c r="Y31" s="508"/>
      <c r="Z31" s="508"/>
      <c r="AA31" s="508"/>
      <c r="AB31" s="508"/>
      <c r="AC31" s="508"/>
      <c r="AD31" s="508"/>
      <c r="AE31" s="508"/>
      <c r="AF31" s="508"/>
      <c r="AG31" s="508"/>
      <c r="AH31" s="508"/>
      <c r="AI31" s="508"/>
      <c r="AJ31" s="508"/>
      <c r="AK31" s="508"/>
      <c r="AL31" s="508"/>
      <c r="AM31" s="508"/>
      <c r="AN31" s="508"/>
      <c r="AO31" s="508"/>
      <c r="AP31" s="508"/>
      <c r="AQ31" s="508"/>
      <c r="AR31" s="508"/>
      <c r="AS31" s="508"/>
      <c r="AT31" s="508"/>
      <c r="AU31" s="508"/>
      <c r="AV31" s="508"/>
      <c r="AW31" s="508"/>
      <c r="AX31" s="508"/>
      <c r="AY31" s="508"/>
      <c r="AZ31" s="508"/>
      <c r="BA31" s="508"/>
      <c r="BB31" s="508"/>
      <c r="BC31" s="508"/>
      <c r="BD31" s="508"/>
      <c r="BE31" s="508"/>
      <c r="BF31" s="508"/>
      <c r="BG31" s="508"/>
      <c r="BH31" s="508"/>
      <c r="BI31" s="508"/>
      <c r="BJ31" s="508"/>
      <c r="BK31" s="508"/>
      <c r="BL31" s="508"/>
      <c r="BM31" s="508"/>
      <c r="BN31" s="508"/>
      <c r="BO31" s="508"/>
      <c r="BP31" s="508"/>
      <c r="BQ31" s="508"/>
      <c r="BR31" s="508"/>
      <c r="BS31" s="508"/>
      <c r="BT31" s="508"/>
      <c r="BU31" s="508"/>
      <c r="BV31" s="508"/>
      <c r="BW31" s="508"/>
      <c r="BX31" s="508"/>
      <c r="BY31" s="508"/>
      <c r="BZ31" s="508"/>
      <c r="CA31" s="508"/>
      <c r="CB31" s="508"/>
      <c r="CC31" s="508"/>
      <c r="CD31" s="508"/>
      <c r="CE31" s="508"/>
      <c r="CF31" s="508"/>
      <c r="CG31" s="508"/>
      <c r="CH31" s="508"/>
      <c r="CI31" s="508"/>
      <c r="CJ31" s="508"/>
      <c r="CK31" s="508"/>
      <c r="CL31" s="508"/>
      <c r="CM31" s="508"/>
      <c r="CN31" s="508"/>
      <c r="CO31" s="508"/>
      <c r="CP31" s="508"/>
      <c r="CQ31" s="508"/>
      <c r="CR31" s="508"/>
      <c r="CS31" s="508"/>
      <c r="CT31" s="508"/>
      <c r="CU31" s="508"/>
      <c r="CV31" s="508"/>
      <c r="CW31" s="508"/>
      <c r="CX31" s="508"/>
    </row>
    <row r="32" ht="17.25" customHeight="1">
      <c r="A32" s="468"/>
      <c r="B32" s="525" t="s">
        <v>1393</v>
      </c>
      <c r="C32" s="472" t="s">
        <v>642</v>
      </c>
      <c r="D32" s="527">
        <f t="shared" ref="D32:CX32" si="3">D34/D11</f>
        <v>1195.842459</v>
      </c>
      <c r="E32" s="527" t="str">
        <f t="shared" si="3"/>
        <v>#DIV/0!</v>
      </c>
      <c r="F32" s="527" t="str">
        <f t="shared" si="3"/>
        <v>#DIV/0!</v>
      </c>
      <c r="G32" s="527" t="str">
        <f t="shared" si="3"/>
        <v>#DIV/0!</v>
      </c>
      <c r="H32" s="527" t="str">
        <f t="shared" si="3"/>
        <v>#DIV/0!</v>
      </c>
      <c r="I32" s="527" t="str">
        <f t="shared" si="3"/>
        <v>#DIV/0!</v>
      </c>
      <c r="J32" s="527" t="str">
        <f t="shared" si="3"/>
        <v>#DIV/0!</v>
      </c>
      <c r="K32" s="527" t="str">
        <f t="shared" si="3"/>
        <v>#DIV/0!</v>
      </c>
      <c r="L32" s="527" t="str">
        <f t="shared" si="3"/>
        <v>#DIV/0!</v>
      </c>
      <c r="M32" s="527" t="str">
        <f t="shared" si="3"/>
        <v>#DIV/0!</v>
      </c>
      <c r="N32" s="527" t="str">
        <f t="shared" si="3"/>
        <v>#DIV/0!</v>
      </c>
      <c r="O32" s="527" t="str">
        <f t="shared" si="3"/>
        <v>#DIV/0!</v>
      </c>
      <c r="P32" s="527" t="str">
        <f t="shared" si="3"/>
        <v>#DIV/0!</v>
      </c>
      <c r="Q32" s="527" t="str">
        <f t="shared" si="3"/>
        <v>#DIV/0!</v>
      </c>
      <c r="R32" s="527" t="str">
        <f t="shared" si="3"/>
        <v>#DIV/0!</v>
      </c>
      <c r="S32" s="527" t="str">
        <f t="shared" si="3"/>
        <v>#DIV/0!</v>
      </c>
      <c r="T32" s="527" t="str">
        <f t="shared" si="3"/>
        <v>#DIV/0!</v>
      </c>
      <c r="U32" s="527" t="str">
        <f t="shared" si="3"/>
        <v>#DIV/0!</v>
      </c>
      <c r="V32" s="527" t="str">
        <f t="shared" si="3"/>
        <v>#DIV/0!</v>
      </c>
      <c r="W32" s="527" t="str">
        <f t="shared" si="3"/>
        <v>#DIV/0!</v>
      </c>
      <c r="X32" s="527" t="str">
        <f t="shared" si="3"/>
        <v>#DIV/0!</v>
      </c>
      <c r="Y32" s="527" t="str">
        <f t="shared" si="3"/>
        <v>#DIV/0!</v>
      </c>
      <c r="Z32" s="527" t="str">
        <f t="shared" si="3"/>
        <v>#DIV/0!</v>
      </c>
      <c r="AA32" s="527" t="str">
        <f t="shared" si="3"/>
        <v>#DIV/0!</v>
      </c>
      <c r="AB32" s="527" t="str">
        <f t="shared" si="3"/>
        <v>#DIV/0!</v>
      </c>
      <c r="AC32" s="527" t="str">
        <f t="shared" si="3"/>
        <v>#DIV/0!</v>
      </c>
      <c r="AD32" s="527" t="str">
        <f t="shared" si="3"/>
        <v>#DIV/0!</v>
      </c>
      <c r="AE32" s="527" t="str">
        <f t="shared" si="3"/>
        <v>#DIV/0!</v>
      </c>
      <c r="AF32" s="527" t="str">
        <f t="shared" si="3"/>
        <v>#DIV/0!</v>
      </c>
      <c r="AG32" s="527" t="str">
        <f t="shared" si="3"/>
        <v>#DIV/0!</v>
      </c>
      <c r="AH32" s="527" t="str">
        <f t="shared" si="3"/>
        <v>#DIV/0!</v>
      </c>
      <c r="AI32" s="527" t="str">
        <f t="shared" si="3"/>
        <v>#DIV/0!</v>
      </c>
      <c r="AJ32" s="527" t="str">
        <f t="shared" si="3"/>
        <v>#DIV/0!</v>
      </c>
      <c r="AK32" s="527" t="str">
        <f t="shared" si="3"/>
        <v>#DIV/0!</v>
      </c>
      <c r="AL32" s="527" t="str">
        <f t="shared" si="3"/>
        <v>#DIV/0!</v>
      </c>
      <c r="AM32" s="527" t="str">
        <f t="shared" si="3"/>
        <v>#DIV/0!</v>
      </c>
      <c r="AN32" s="527" t="str">
        <f t="shared" si="3"/>
        <v>#DIV/0!</v>
      </c>
      <c r="AO32" s="527" t="str">
        <f t="shared" si="3"/>
        <v>#DIV/0!</v>
      </c>
      <c r="AP32" s="527" t="str">
        <f t="shared" si="3"/>
        <v>#DIV/0!</v>
      </c>
      <c r="AQ32" s="527" t="str">
        <f t="shared" si="3"/>
        <v>#DIV/0!</v>
      </c>
      <c r="AR32" s="527" t="str">
        <f t="shared" si="3"/>
        <v>#DIV/0!</v>
      </c>
      <c r="AS32" s="527" t="str">
        <f t="shared" si="3"/>
        <v>#DIV/0!</v>
      </c>
      <c r="AT32" s="527" t="str">
        <f t="shared" si="3"/>
        <v>#DIV/0!</v>
      </c>
      <c r="AU32" s="527" t="str">
        <f t="shared" si="3"/>
        <v>#DIV/0!</v>
      </c>
      <c r="AV32" s="527" t="str">
        <f t="shared" si="3"/>
        <v>#DIV/0!</v>
      </c>
      <c r="AW32" s="527" t="str">
        <f t="shared" si="3"/>
        <v>#DIV/0!</v>
      </c>
      <c r="AX32" s="527" t="str">
        <f t="shared" si="3"/>
        <v>#DIV/0!</v>
      </c>
      <c r="AY32" s="527" t="str">
        <f t="shared" si="3"/>
        <v>#DIV/0!</v>
      </c>
      <c r="AZ32" s="527" t="str">
        <f t="shared" si="3"/>
        <v>#DIV/0!</v>
      </c>
      <c r="BA32" s="527" t="str">
        <f t="shared" si="3"/>
        <v>#DIV/0!</v>
      </c>
      <c r="BB32" s="527" t="str">
        <f t="shared" si="3"/>
        <v>#DIV/0!</v>
      </c>
      <c r="BC32" s="527" t="str">
        <f t="shared" si="3"/>
        <v>#DIV/0!</v>
      </c>
      <c r="BD32" s="527" t="str">
        <f t="shared" si="3"/>
        <v>#DIV/0!</v>
      </c>
      <c r="BE32" s="527" t="str">
        <f t="shared" si="3"/>
        <v>#DIV/0!</v>
      </c>
      <c r="BF32" s="527" t="str">
        <f t="shared" si="3"/>
        <v>#DIV/0!</v>
      </c>
      <c r="BG32" s="527" t="str">
        <f t="shared" si="3"/>
        <v>#DIV/0!</v>
      </c>
      <c r="BH32" s="527" t="str">
        <f t="shared" si="3"/>
        <v>#DIV/0!</v>
      </c>
      <c r="BI32" s="527" t="str">
        <f t="shared" si="3"/>
        <v>#DIV/0!</v>
      </c>
      <c r="BJ32" s="527" t="str">
        <f t="shared" si="3"/>
        <v>#DIV/0!</v>
      </c>
      <c r="BK32" s="527" t="str">
        <f t="shared" si="3"/>
        <v>#DIV/0!</v>
      </c>
      <c r="BL32" s="527" t="str">
        <f t="shared" si="3"/>
        <v>#DIV/0!</v>
      </c>
      <c r="BM32" s="527" t="str">
        <f t="shared" si="3"/>
        <v>#DIV/0!</v>
      </c>
      <c r="BN32" s="527" t="str">
        <f t="shared" si="3"/>
        <v>#DIV/0!</v>
      </c>
      <c r="BO32" s="527" t="str">
        <f t="shared" si="3"/>
        <v>#DIV/0!</v>
      </c>
      <c r="BP32" s="527" t="str">
        <f t="shared" si="3"/>
        <v>#DIV/0!</v>
      </c>
      <c r="BQ32" s="527" t="str">
        <f t="shared" si="3"/>
        <v>#DIV/0!</v>
      </c>
      <c r="BR32" s="527" t="str">
        <f t="shared" si="3"/>
        <v>#DIV/0!</v>
      </c>
      <c r="BS32" s="527" t="str">
        <f t="shared" si="3"/>
        <v>#DIV/0!</v>
      </c>
      <c r="BT32" s="527" t="str">
        <f t="shared" si="3"/>
        <v>#DIV/0!</v>
      </c>
      <c r="BU32" s="527" t="str">
        <f t="shared" si="3"/>
        <v>#DIV/0!</v>
      </c>
      <c r="BV32" s="527" t="str">
        <f t="shared" si="3"/>
        <v>#DIV/0!</v>
      </c>
      <c r="BW32" s="527" t="str">
        <f t="shared" si="3"/>
        <v>#DIV/0!</v>
      </c>
      <c r="BX32" s="527" t="str">
        <f t="shared" si="3"/>
        <v>#DIV/0!</v>
      </c>
      <c r="BY32" s="527" t="str">
        <f t="shared" si="3"/>
        <v>#DIV/0!</v>
      </c>
      <c r="BZ32" s="527" t="str">
        <f t="shared" si="3"/>
        <v>#DIV/0!</v>
      </c>
      <c r="CA32" s="527" t="str">
        <f t="shared" si="3"/>
        <v>#DIV/0!</v>
      </c>
      <c r="CB32" s="527" t="str">
        <f t="shared" si="3"/>
        <v>#DIV/0!</v>
      </c>
      <c r="CC32" s="527" t="str">
        <f t="shared" si="3"/>
        <v>#DIV/0!</v>
      </c>
      <c r="CD32" s="527" t="str">
        <f t="shared" si="3"/>
        <v>#DIV/0!</v>
      </c>
      <c r="CE32" s="527" t="str">
        <f t="shared" si="3"/>
        <v>#DIV/0!</v>
      </c>
      <c r="CF32" s="527" t="str">
        <f t="shared" si="3"/>
        <v>#DIV/0!</v>
      </c>
      <c r="CG32" s="527" t="str">
        <f t="shared" si="3"/>
        <v>#DIV/0!</v>
      </c>
      <c r="CH32" s="527" t="str">
        <f t="shared" si="3"/>
        <v>#DIV/0!</v>
      </c>
      <c r="CI32" s="527" t="str">
        <f t="shared" si="3"/>
        <v>#DIV/0!</v>
      </c>
      <c r="CJ32" s="527" t="str">
        <f t="shared" si="3"/>
        <v>#DIV/0!</v>
      </c>
      <c r="CK32" s="527" t="str">
        <f t="shared" si="3"/>
        <v>#DIV/0!</v>
      </c>
      <c r="CL32" s="527" t="str">
        <f t="shared" si="3"/>
        <v>#DIV/0!</v>
      </c>
      <c r="CM32" s="527" t="str">
        <f t="shared" si="3"/>
        <v>#DIV/0!</v>
      </c>
      <c r="CN32" s="527" t="str">
        <f t="shared" si="3"/>
        <v>#DIV/0!</v>
      </c>
      <c r="CO32" s="527" t="str">
        <f t="shared" si="3"/>
        <v>#DIV/0!</v>
      </c>
      <c r="CP32" s="527" t="str">
        <f t="shared" si="3"/>
        <v>#DIV/0!</v>
      </c>
      <c r="CQ32" s="527" t="str">
        <f t="shared" si="3"/>
        <v>#DIV/0!</v>
      </c>
      <c r="CR32" s="527" t="str">
        <f t="shared" si="3"/>
        <v>#DIV/0!</v>
      </c>
      <c r="CS32" s="527" t="str">
        <f t="shared" si="3"/>
        <v>#DIV/0!</v>
      </c>
      <c r="CT32" s="527" t="str">
        <f t="shared" si="3"/>
        <v>#DIV/0!</v>
      </c>
      <c r="CU32" s="527" t="str">
        <f t="shared" si="3"/>
        <v>#DIV/0!</v>
      </c>
      <c r="CV32" s="527" t="str">
        <f t="shared" si="3"/>
        <v>#DIV/0!</v>
      </c>
      <c r="CW32" s="527" t="str">
        <f t="shared" si="3"/>
        <v>#DIV/0!</v>
      </c>
      <c r="CX32" s="527" t="str">
        <f t="shared" si="3"/>
        <v>#DIV/0!</v>
      </c>
    </row>
    <row r="33" ht="17.25" customHeight="1">
      <c r="A33" s="528"/>
      <c r="B33" s="95"/>
      <c r="C33" s="529" t="s">
        <v>1394</v>
      </c>
      <c r="D33" s="530">
        <v>30000.0</v>
      </c>
      <c r="E33" s="531"/>
      <c r="F33" s="531"/>
      <c r="G33" s="531"/>
      <c r="H33" s="531"/>
      <c r="I33" s="531"/>
      <c r="J33" s="531"/>
      <c r="K33" s="531"/>
      <c r="L33" s="531"/>
      <c r="M33" s="531"/>
      <c r="N33" s="531"/>
      <c r="O33" s="531"/>
      <c r="P33" s="531"/>
      <c r="Q33" s="531"/>
      <c r="R33" s="531"/>
      <c r="S33" s="531"/>
      <c r="T33" s="531"/>
      <c r="U33" s="531"/>
      <c r="V33" s="531"/>
      <c r="W33" s="531"/>
      <c r="X33" s="531"/>
      <c r="Y33" s="531"/>
      <c r="Z33" s="531"/>
      <c r="AA33" s="531"/>
      <c r="AB33" s="531"/>
      <c r="AC33" s="531"/>
      <c r="AD33" s="531"/>
      <c r="AE33" s="531"/>
      <c r="AF33" s="531"/>
      <c r="AG33" s="531"/>
      <c r="AH33" s="531"/>
      <c r="AI33" s="531"/>
      <c r="AJ33" s="531"/>
      <c r="AK33" s="531"/>
      <c r="AL33" s="531"/>
      <c r="AM33" s="531"/>
      <c r="AN33" s="531"/>
      <c r="AO33" s="531"/>
      <c r="AP33" s="531"/>
      <c r="AQ33" s="531"/>
      <c r="AR33" s="531"/>
      <c r="AS33" s="531"/>
      <c r="AT33" s="531"/>
      <c r="AU33" s="531"/>
      <c r="AV33" s="531"/>
      <c r="AW33" s="531"/>
      <c r="AX33" s="531"/>
      <c r="AY33" s="531"/>
      <c r="AZ33" s="531"/>
      <c r="BA33" s="531"/>
      <c r="BB33" s="531"/>
      <c r="BC33" s="531"/>
      <c r="BD33" s="531"/>
      <c r="BE33" s="531"/>
      <c r="BF33" s="531"/>
      <c r="BG33" s="531"/>
      <c r="BH33" s="531"/>
      <c r="BI33" s="531"/>
      <c r="BJ33" s="531"/>
      <c r="BK33" s="531"/>
      <c r="BL33" s="531"/>
      <c r="BM33" s="531"/>
      <c r="BN33" s="531"/>
      <c r="BO33" s="531"/>
      <c r="BP33" s="531"/>
      <c r="BQ33" s="531"/>
      <c r="BR33" s="531"/>
      <c r="BS33" s="531"/>
      <c r="BT33" s="531"/>
      <c r="BU33" s="531"/>
      <c r="BV33" s="531"/>
      <c r="BW33" s="531"/>
      <c r="BX33" s="531"/>
      <c r="BY33" s="531"/>
      <c r="BZ33" s="531"/>
      <c r="CA33" s="531"/>
      <c r="CB33" s="531"/>
      <c r="CC33" s="531"/>
      <c r="CD33" s="531"/>
      <c r="CE33" s="531"/>
      <c r="CF33" s="531"/>
      <c r="CG33" s="531"/>
      <c r="CH33" s="531"/>
      <c r="CI33" s="531"/>
      <c r="CJ33" s="531"/>
      <c r="CK33" s="531"/>
      <c r="CL33" s="531"/>
      <c r="CM33" s="531"/>
      <c r="CN33" s="531"/>
      <c r="CO33" s="531"/>
      <c r="CP33" s="531"/>
      <c r="CQ33" s="531"/>
      <c r="CR33" s="531"/>
      <c r="CS33" s="531"/>
      <c r="CT33" s="531"/>
      <c r="CU33" s="531"/>
      <c r="CV33" s="531"/>
      <c r="CW33" s="531"/>
      <c r="CX33" s="531"/>
    </row>
    <row r="34" ht="17.25" customHeight="1">
      <c r="A34" s="528"/>
      <c r="B34" s="95"/>
      <c r="C34" s="532" t="s">
        <v>1395</v>
      </c>
      <c r="D34" s="533">
        <v>29500.0</v>
      </c>
      <c r="E34" s="534"/>
      <c r="F34" s="534"/>
      <c r="G34" s="534"/>
      <c r="H34" s="534"/>
      <c r="I34" s="534"/>
      <c r="J34" s="534"/>
      <c r="K34" s="534"/>
      <c r="L34" s="534"/>
      <c r="M34" s="534"/>
      <c r="N34" s="534"/>
      <c r="O34" s="534"/>
      <c r="P34" s="534"/>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34"/>
      <c r="AT34" s="534"/>
      <c r="AU34" s="534"/>
      <c r="AV34" s="534"/>
      <c r="AW34" s="534"/>
      <c r="AX34" s="534"/>
      <c r="AY34" s="534"/>
      <c r="AZ34" s="534"/>
      <c r="BA34" s="534"/>
      <c r="BB34" s="534"/>
      <c r="BC34" s="534"/>
      <c r="BD34" s="534"/>
      <c r="BE34" s="534"/>
      <c r="BF34" s="534"/>
      <c r="BG34" s="534"/>
      <c r="BH34" s="534"/>
      <c r="BI34" s="534"/>
      <c r="BJ34" s="534"/>
      <c r="BK34" s="534"/>
      <c r="BL34" s="534"/>
      <c r="BM34" s="534"/>
      <c r="BN34" s="534"/>
      <c r="BO34" s="534"/>
      <c r="BP34" s="534"/>
      <c r="BQ34" s="534"/>
      <c r="BR34" s="534"/>
      <c r="BS34" s="534"/>
      <c r="BT34" s="534"/>
      <c r="BU34" s="534"/>
      <c r="BV34" s="534"/>
      <c r="BW34" s="534"/>
      <c r="BX34" s="534"/>
      <c r="BY34" s="534"/>
      <c r="BZ34" s="534"/>
      <c r="CA34" s="534"/>
      <c r="CB34" s="534"/>
      <c r="CC34" s="534"/>
      <c r="CD34" s="534"/>
      <c r="CE34" s="534"/>
      <c r="CF34" s="534"/>
      <c r="CG34" s="534"/>
      <c r="CH34" s="534"/>
      <c r="CI34" s="534"/>
      <c r="CJ34" s="534"/>
      <c r="CK34" s="534"/>
      <c r="CL34" s="534"/>
      <c r="CM34" s="534"/>
      <c r="CN34" s="534"/>
      <c r="CO34" s="534"/>
      <c r="CP34" s="534"/>
      <c r="CQ34" s="534"/>
      <c r="CR34" s="534"/>
      <c r="CS34" s="534"/>
      <c r="CT34" s="534"/>
      <c r="CU34" s="534"/>
      <c r="CV34" s="534"/>
      <c r="CW34" s="534"/>
      <c r="CX34" s="534"/>
    </row>
    <row r="35" ht="17.25" customHeight="1">
      <c r="A35" s="528"/>
      <c r="B35" s="95"/>
      <c r="C35" s="532" t="s">
        <v>1396</v>
      </c>
      <c r="D35" s="533">
        <v>26000.0</v>
      </c>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c r="BT35" s="535"/>
      <c r="BU35" s="535"/>
      <c r="BV35" s="535"/>
      <c r="BW35" s="535"/>
      <c r="BX35" s="535"/>
      <c r="BY35" s="535"/>
      <c r="BZ35" s="535"/>
      <c r="CA35" s="535"/>
      <c r="CB35" s="535"/>
      <c r="CC35" s="535"/>
      <c r="CD35" s="535"/>
      <c r="CE35" s="535"/>
      <c r="CF35" s="535"/>
      <c r="CG35" s="535"/>
      <c r="CH35" s="535"/>
      <c r="CI35" s="535"/>
      <c r="CJ35" s="535"/>
      <c r="CK35" s="535"/>
      <c r="CL35" s="535"/>
      <c r="CM35" s="535"/>
      <c r="CN35" s="535"/>
      <c r="CO35" s="535"/>
      <c r="CP35" s="535"/>
      <c r="CQ35" s="535"/>
      <c r="CR35" s="535"/>
      <c r="CS35" s="535"/>
      <c r="CT35" s="535"/>
      <c r="CU35" s="535"/>
      <c r="CV35" s="535"/>
      <c r="CW35" s="535"/>
      <c r="CX35" s="535"/>
    </row>
    <row r="36" ht="17.25" customHeight="1">
      <c r="A36" s="468"/>
      <c r="B36" s="95"/>
      <c r="C36" s="500" t="s">
        <v>1397</v>
      </c>
      <c r="D36" s="536">
        <f t="shared" ref="D36:CX36" si="4">D34-D35</f>
        <v>3500</v>
      </c>
      <c r="E36" s="537">
        <f t="shared" si="4"/>
        <v>0</v>
      </c>
      <c r="F36" s="537">
        <f t="shared" si="4"/>
        <v>0</v>
      </c>
      <c r="G36" s="537">
        <f t="shared" si="4"/>
        <v>0</v>
      </c>
      <c r="H36" s="537">
        <f t="shared" si="4"/>
        <v>0</v>
      </c>
      <c r="I36" s="537">
        <f t="shared" si="4"/>
        <v>0</v>
      </c>
      <c r="J36" s="537">
        <f t="shared" si="4"/>
        <v>0</v>
      </c>
      <c r="K36" s="537">
        <f t="shared" si="4"/>
        <v>0</v>
      </c>
      <c r="L36" s="537">
        <f t="shared" si="4"/>
        <v>0</v>
      </c>
      <c r="M36" s="537">
        <f t="shared" si="4"/>
        <v>0</v>
      </c>
      <c r="N36" s="537">
        <f t="shared" si="4"/>
        <v>0</v>
      </c>
      <c r="O36" s="537">
        <f t="shared" si="4"/>
        <v>0</v>
      </c>
      <c r="P36" s="537">
        <f t="shared" si="4"/>
        <v>0</v>
      </c>
      <c r="Q36" s="537">
        <f t="shared" si="4"/>
        <v>0</v>
      </c>
      <c r="R36" s="537">
        <f t="shared" si="4"/>
        <v>0</v>
      </c>
      <c r="S36" s="537">
        <f t="shared" si="4"/>
        <v>0</v>
      </c>
      <c r="T36" s="537">
        <f t="shared" si="4"/>
        <v>0</v>
      </c>
      <c r="U36" s="537">
        <f t="shared" si="4"/>
        <v>0</v>
      </c>
      <c r="V36" s="537">
        <f t="shared" si="4"/>
        <v>0</v>
      </c>
      <c r="W36" s="537">
        <f t="shared" si="4"/>
        <v>0</v>
      </c>
      <c r="X36" s="537">
        <f t="shared" si="4"/>
        <v>0</v>
      </c>
      <c r="Y36" s="537">
        <f t="shared" si="4"/>
        <v>0</v>
      </c>
      <c r="Z36" s="537">
        <f t="shared" si="4"/>
        <v>0</v>
      </c>
      <c r="AA36" s="537">
        <f t="shared" si="4"/>
        <v>0</v>
      </c>
      <c r="AB36" s="537">
        <f t="shared" si="4"/>
        <v>0</v>
      </c>
      <c r="AC36" s="537">
        <f t="shared" si="4"/>
        <v>0</v>
      </c>
      <c r="AD36" s="537">
        <f t="shared" si="4"/>
        <v>0</v>
      </c>
      <c r="AE36" s="537">
        <f t="shared" si="4"/>
        <v>0</v>
      </c>
      <c r="AF36" s="537">
        <f t="shared" si="4"/>
        <v>0</v>
      </c>
      <c r="AG36" s="537">
        <f t="shared" si="4"/>
        <v>0</v>
      </c>
      <c r="AH36" s="537">
        <f t="shared" si="4"/>
        <v>0</v>
      </c>
      <c r="AI36" s="537">
        <f t="shared" si="4"/>
        <v>0</v>
      </c>
      <c r="AJ36" s="537">
        <f t="shared" si="4"/>
        <v>0</v>
      </c>
      <c r="AK36" s="537">
        <f t="shared" si="4"/>
        <v>0</v>
      </c>
      <c r="AL36" s="537">
        <f t="shared" si="4"/>
        <v>0</v>
      </c>
      <c r="AM36" s="537">
        <f t="shared" si="4"/>
        <v>0</v>
      </c>
      <c r="AN36" s="537">
        <f t="shared" si="4"/>
        <v>0</v>
      </c>
      <c r="AO36" s="537">
        <f t="shared" si="4"/>
        <v>0</v>
      </c>
      <c r="AP36" s="537">
        <f t="shared" si="4"/>
        <v>0</v>
      </c>
      <c r="AQ36" s="537">
        <f t="shared" si="4"/>
        <v>0</v>
      </c>
      <c r="AR36" s="537">
        <f t="shared" si="4"/>
        <v>0</v>
      </c>
      <c r="AS36" s="537">
        <f t="shared" si="4"/>
        <v>0</v>
      </c>
      <c r="AT36" s="537">
        <f t="shared" si="4"/>
        <v>0</v>
      </c>
      <c r="AU36" s="537">
        <f t="shared" si="4"/>
        <v>0</v>
      </c>
      <c r="AV36" s="537">
        <f t="shared" si="4"/>
        <v>0</v>
      </c>
      <c r="AW36" s="537">
        <f t="shared" si="4"/>
        <v>0</v>
      </c>
      <c r="AX36" s="537">
        <f t="shared" si="4"/>
        <v>0</v>
      </c>
      <c r="AY36" s="537">
        <f t="shared" si="4"/>
        <v>0</v>
      </c>
      <c r="AZ36" s="537">
        <f t="shared" si="4"/>
        <v>0</v>
      </c>
      <c r="BA36" s="537">
        <f t="shared" si="4"/>
        <v>0</v>
      </c>
      <c r="BB36" s="537">
        <f t="shared" si="4"/>
        <v>0</v>
      </c>
      <c r="BC36" s="537">
        <f t="shared" si="4"/>
        <v>0</v>
      </c>
      <c r="BD36" s="537">
        <f t="shared" si="4"/>
        <v>0</v>
      </c>
      <c r="BE36" s="537">
        <f t="shared" si="4"/>
        <v>0</v>
      </c>
      <c r="BF36" s="537">
        <f t="shared" si="4"/>
        <v>0</v>
      </c>
      <c r="BG36" s="537">
        <f t="shared" si="4"/>
        <v>0</v>
      </c>
      <c r="BH36" s="537">
        <f t="shared" si="4"/>
        <v>0</v>
      </c>
      <c r="BI36" s="537">
        <f t="shared" si="4"/>
        <v>0</v>
      </c>
      <c r="BJ36" s="537">
        <f t="shared" si="4"/>
        <v>0</v>
      </c>
      <c r="BK36" s="537">
        <f t="shared" si="4"/>
        <v>0</v>
      </c>
      <c r="BL36" s="537">
        <f t="shared" si="4"/>
        <v>0</v>
      </c>
      <c r="BM36" s="537">
        <f t="shared" si="4"/>
        <v>0</v>
      </c>
      <c r="BN36" s="537">
        <f t="shared" si="4"/>
        <v>0</v>
      </c>
      <c r="BO36" s="537">
        <f t="shared" si="4"/>
        <v>0</v>
      </c>
      <c r="BP36" s="537">
        <f t="shared" si="4"/>
        <v>0</v>
      </c>
      <c r="BQ36" s="537">
        <f t="shared" si="4"/>
        <v>0</v>
      </c>
      <c r="BR36" s="537">
        <f t="shared" si="4"/>
        <v>0</v>
      </c>
      <c r="BS36" s="537">
        <f t="shared" si="4"/>
        <v>0</v>
      </c>
      <c r="BT36" s="537">
        <f t="shared" si="4"/>
        <v>0</v>
      </c>
      <c r="BU36" s="537">
        <f t="shared" si="4"/>
        <v>0</v>
      </c>
      <c r="BV36" s="537">
        <f t="shared" si="4"/>
        <v>0</v>
      </c>
      <c r="BW36" s="537">
        <f t="shared" si="4"/>
        <v>0</v>
      </c>
      <c r="BX36" s="537">
        <f t="shared" si="4"/>
        <v>0</v>
      </c>
      <c r="BY36" s="537">
        <f t="shared" si="4"/>
        <v>0</v>
      </c>
      <c r="BZ36" s="537">
        <f t="shared" si="4"/>
        <v>0</v>
      </c>
      <c r="CA36" s="537">
        <f t="shared" si="4"/>
        <v>0</v>
      </c>
      <c r="CB36" s="537">
        <f t="shared" si="4"/>
        <v>0</v>
      </c>
      <c r="CC36" s="537">
        <f t="shared" si="4"/>
        <v>0</v>
      </c>
      <c r="CD36" s="537">
        <f t="shared" si="4"/>
        <v>0</v>
      </c>
      <c r="CE36" s="537">
        <f t="shared" si="4"/>
        <v>0</v>
      </c>
      <c r="CF36" s="537">
        <f t="shared" si="4"/>
        <v>0</v>
      </c>
      <c r="CG36" s="537">
        <f t="shared" si="4"/>
        <v>0</v>
      </c>
      <c r="CH36" s="537">
        <f t="shared" si="4"/>
        <v>0</v>
      </c>
      <c r="CI36" s="537">
        <f t="shared" si="4"/>
        <v>0</v>
      </c>
      <c r="CJ36" s="537">
        <f t="shared" si="4"/>
        <v>0</v>
      </c>
      <c r="CK36" s="537">
        <f t="shared" si="4"/>
        <v>0</v>
      </c>
      <c r="CL36" s="537">
        <f t="shared" si="4"/>
        <v>0</v>
      </c>
      <c r="CM36" s="537">
        <f t="shared" si="4"/>
        <v>0</v>
      </c>
      <c r="CN36" s="537">
        <f t="shared" si="4"/>
        <v>0</v>
      </c>
      <c r="CO36" s="537">
        <f t="shared" si="4"/>
        <v>0</v>
      </c>
      <c r="CP36" s="537">
        <f t="shared" si="4"/>
        <v>0</v>
      </c>
      <c r="CQ36" s="537">
        <f t="shared" si="4"/>
        <v>0</v>
      </c>
      <c r="CR36" s="537">
        <f t="shared" si="4"/>
        <v>0</v>
      </c>
      <c r="CS36" s="537">
        <f t="shared" si="4"/>
        <v>0</v>
      </c>
      <c r="CT36" s="537">
        <f t="shared" si="4"/>
        <v>0</v>
      </c>
      <c r="CU36" s="537">
        <f t="shared" si="4"/>
        <v>0</v>
      </c>
      <c r="CV36" s="537">
        <f t="shared" si="4"/>
        <v>0</v>
      </c>
      <c r="CW36" s="537">
        <f t="shared" si="4"/>
        <v>0</v>
      </c>
      <c r="CX36" s="537">
        <f t="shared" si="4"/>
        <v>0</v>
      </c>
    </row>
    <row r="37" ht="17.25" customHeight="1">
      <c r="A37" s="468"/>
      <c r="B37" s="95"/>
      <c r="C37" s="500" t="s">
        <v>643</v>
      </c>
      <c r="D37" s="538">
        <f t="shared" ref="D37:CX37" si="5">D35/D34</f>
        <v>0.8813559322</v>
      </c>
      <c r="E37" s="539" t="str">
        <f t="shared" si="5"/>
        <v>#DIV/0!</v>
      </c>
      <c r="F37" s="539" t="str">
        <f t="shared" si="5"/>
        <v>#DIV/0!</v>
      </c>
      <c r="G37" s="539" t="str">
        <f t="shared" si="5"/>
        <v>#DIV/0!</v>
      </c>
      <c r="H37" s="539" t="str">
        <f t="shared" si="5"/>
        <v>#DIV/0!</v>
      </c>
      <c r="I37" s="539" t="str">
        <f t="shared" si="5"/>
        <v>#DIV/0!</v>
      </c>
      <c r="J37" s="539" t="str">
        <f t="shared" si="5"/>
        <v>#DIV/0!</v>
      </c>
      <c r="K37" s="539" t="str">
        <f t="shared" si="5"/>
        <v>#DIV/0!</v>
      </c>
      <c r="L37" s="539" t="str">
        <f t="shared" si="5"/>
        <v>#DIV/0!</v>
      </c>
      <c r="M37" s="539" t="str">
        <f t="shared" si="5"/>
        <v>#DIV/0!</v>
      </c>
      <c r="N37" s="539" t="str">
        <f t="shared" si="5"/>
        <v>#DIV/0!</v>
      </c>
      <c r="O37" s="539" t="str">
        <f t="shared" si="5"/>
        <v>#DIV/0!</v>
      </c>
      <c r="P37" s="539" t="str">
        <f t="shared" si="5"/>
        <v>#DIV/0!</v>
      </c>
      <c r="Q37" s="539" t="str">
        <f t="shared" si="5"/>
        <v>#DIV/0!</v>
      </c>
      <c r="R37" s="539" t="str">
        <f t="shared" si="5"/>
        <v>#DIV/0!</v>
      </c>
      <c r="S37" s="539" t="str">
        <f t="shared" si="5"/>
        <v>#DIV/0!</v>
      </c>
      <c r="T37" s="539" t="str">
        <f t="shared" si="5"/>
        <v>#DIV/0!</v>
      </c>
      <c r="U37" s="539" t="str">
        <f t="shared" si="5"/>
        <v>#DIV/0!</v>
      </c>
      <c r="V37" s="539" t="str">
        <f t="shared" si="5"/>
        <v>#DIV/0!</v>
      </c>
      <c r="W37" s="539" t="str">
        <f t="shared" si="5"/>
        <v>#DIV/0!</v>
      </c>
      <c r="X37" s="539" t="str">
        <f t="shared" si="5"/>
        <v>#DIV/0!</v>
      </c>
      <c r="Y37" s="539" t="str">
        <f t="shared" si="5"/>
        <v>#DIV/0!</v>
      </c>
      <c r="Z37" s="539" t="str">
        <f t="shared" si="5"/>
        <v>#DIV/0!</v>
      </c>
      <c r="AA37" s="539" t="str">
        <f t="shared" si="5"/>
        <v>#DIV/0!</v>
      </c>
      <c r="AB37" s="539" t="str">
        <f t="shared" si="5"/>
        <v>#DIV/0!</v>
      </c>
      <c r="AC37" s="539" t="str">
        <f t="shared" si="5"/>
        <v>#DIV/0!</v>
      </c>
      <c r="AD37" s="539" t="str">
        <f t="shared" si="5"/>
        <v>#DIV/0!</v>
      </c>
      <c r="AE37" s="539" t="str">
        <f t="shared" si="5"/>
        <v>#DIV/0!</v>
      </c>
      <c r="AF37" s="539" t="str">
        <f t="shared" si="5"/>
        <v>#DIV/0!</v>
      </c>
      <c r="AG37" s="539" t="str">
        <f t="shared" si="5"/>
        <v>#DIV/0!</v>
      </c>
      <c r="AH37" s="539" t="str">
        <f t="shared" si="5"/>
        <v>#DIV/0!</v>
      </c>
      <c r="AI37" s="539" t="str">
        <f t="shared" si="5"/>
        <v>#DIV/0!</v>
      </c>
      <c r="AJ37" s="539" t="str">
        <f t="shared" si="5"/>
        <v>#DIV/0!</v>
      </c>
      <c r="AK37" s="539" t="str">
        <f t="shared" si="5"/>
        <v>#DIV/0!</v>
      </c>
      <c r="AL37" s="539" t="str">
        <f t="shared" si="5"/>
        <v>#DIV/0!</v>
      </c>
      <c r="AM37" s="539" t="str">
        <f t="shared" si="5"/>
        <v>#DIV/0!</v>
      </c>
      <c r="AN37" s="539" t="str">
        <f t="shared" si="5"/>
        <v>#DIV/0!</v>
      </c>
      <c r="AO37" s="539" t="str">
        <f t="shared" si="5"/>
        <v>#DIV/0!</v>
      </c>
      <c r="AP37" s="539" t="str">
        <f t="shared" si="5"/>
        <v>#DIV/0!</v>
      </c>
      <c r="AQ37" s="539" t="str">
        <f t="shared" si="5"/>
        <v>#DIV/0!</v>
      </c>
      <c r="AR37" s="539" t="str">
        <f t="shared" si="5"/>
        <v>#DIV/0!</v>
      </c>
      <c r="AS37" s="539" t="str">
        <f t="shared" si="5"/>
        <v>#DIV/0!</v>
      </c>
      <c r="AT37" s="539" t="str">
        <f t="shared" si="5"/>
        <v>#DIV/0!</v>
      </c>
      <c r="AU37" s="539" t="str">
        <f t="shared" si="5"/>
        <v>#DIV/0!</v>
      </c>
      <c r="AV37" s="539" t="str">
        <f t="shared" si="5"/>
        <v>#DIV/0!</v>
      </c>
      <c r="AW37" s="539" t="str">
        <f t="shared" si="5"/>
        <v>#DIV/0!</v>
      </c>
      <c r="AX37" s="539" t="str">
        <f t="shared" si="5"/>
        <v>#DIV/0!</v>
      </c>
      <c r="AY37" s="539" t="str">
        <f t="shared" si="5"/>
        <v>#DIV/0!</v>
      </c>
      <c r="AZ37" s="539" t="str">
        <f t="shared" si="5"/>
        <v>#DIV/0!</v>
      </c>
      <c r="BA37" s="539" t="str">
        <f t="shared" si="5"/>
        <v>#DIV/0!</v>
      </c>
      <c r="BB37" s="539" t="str">
        <f t="shared" si="5"/>
        <v>#DIV/0!</v>
      </c>
      <c r="BC37" s="539" t="str">
        <f t="shared" si="5"/>
        <v>#DIV/0!</v>
      </c>
      <c r="BD37" s="539" t="str">
        <f t="shared" si="5"/>
        <v>#DIV/0!</v>
      </c>
      <c r="BE37" s="539" t="str">
        <f t="shared" si="5"/>
        <v>#DIV/0!</v>
      </c>
      <c r="BF37" s="539" t="str">
        <f t="shared" si="5"/>
        <v>#DIV/0!</v>
      </c>
      <c r="BG37" s="539" t="str">
        <f t="shared" si="5"/>
        <v>#DIV/0!</v>
      </c>
      <c r="BH37" s="539" t="str">
        <f t="shared" si="5"/>
        <v>#DIV/0!</v>
      </c>
      <c r="BI37" s="539" t="str">
        <f t="shared" si="5"/>
        <v>#DIV/0!</v>
      </c>
      <c r="BJ37" s="539" t="str">
        <f t="shared" si="5"/>
        <v>#DIV/0!</v>
      </c>
      <c r="BK37" s="539" t="str">
        <f t="shared" si="5"/>
        <v>#DIV/0!</v>
      </c>
      <c r="BL37" s="539" t="str">
        <f t="shared" si="5"/>
        <v>#DIV/0!</v>
      </c>
      <c r="BM37" s="539" t="str">
        <f t="shared" si="5"/>
        <v>#DIV/0!</v>
      </c>
      <c r="BN37" s="539" t="str">
        <f t="shared" si="5"/>
        <v>#DIV/0!</v>
      </c>
      <c r="BO37" s="539" t="str">
        <f t="shared" si="5"/>
        <v>#DIV/0!</v>
      </c>
      <c r="BP37" s="539" t="str">
        <f t="shared" si="5"/>
        <v>#DIV/0!</v>
      </c>
      <c r="BQ37" s="539" t="str">
        <f t="shared" si="5"/>
        <v>#DIV/0!</v>
      </c>
      <c r="BR37" s="539" t="str">
        <f t="shared" si="5"/>
        <v>#DIV/0!</v>
      </c>
      <c r="BS37" s="539" t="str">
        <f t="shared" si="5"/>
        <v>#DIV/0!</v>
      </c>
      <c r="BT37" s="539" t="str">
        <f t="shared" si="5"/>
        <v>#DIV/0!</v>
      </c>
      <c r="BU37" s="539" t="str">
        <f t="shared" si="5"/>
        <v>#DIV/0!</v>
      </c>
      <c r="BV37" s="539" t="str">
        <f t="shared" si="5"/>
        <v>#DIV/0!</v>
      </c>
      <c r="BW37" s="539" t="str">
        <f t="shared" si="5"/>
        <v>#DIV/0!</v>
      </c>
      <c r="BX37" s="539" t="str">
        <f t="shared" si="5"/>
        <v>#DIV/0!</v>
      </c>
      <c r="BY37" s="539" t="str">
        <f t="shared" si="5"/>
        <v>#DIV/0!</v>
      </c>
      <c r="BZ37" s="539" t="str">
        <f t="shared" si="5"/>
        <v>#DIV/0!</v>
      </c>
      <c r="CA37" s="539" t="str">
        <f t="shared" si="5"/>
        <v>#DIV/0!</v>
      </c>
      <c r="CB37" s="539" t="str">
        <f t="shared" si="5"/>
        <v>#DIV/0!</v>
      </c>
      <c r="CC37" s="539" t="str">
        <f t="shared" si="5"/>
        <v>#DIV/0!</v>
      </c>
      <c r="CD37" s="539" t="str">
        <f t="shared" si="5"/>
        <v>#DIV/0!</v>
      </c>
      <c r="CE37" s="539" t="str">
        <f t="shared" si="5"/>
        <v>#DIV/0!</v>
      </c>
      <c r="CF37" s="539" t="str">
        <f t="shared" si="5"/>
        <v>#DIV/0!</v>
      </c>
      <c r="CG37" s="539" t="str">
        <f t="shared" si="5"/>
        <v>#DIV/0!</v>
      </c>
      <c r="CH37" s="539" t="str">
        <f t="shared" si="5"/>
        <v>#DIV/0!</v>
      </c>
      <c r="CI37" s="539" t="str">
        <f t="shared" si="5"/>
        <v>#DIV/0!</v>
      </c>
      <c r="CJ37" s="539" t="str">
        <f t="shared" si="5"/>
        <v>#DIV/0!</v>
      </c>
      <c r="CK37" s="539" t="str">
        <f t="shared" si="5"/>
        <v>#DIV/0!</v>
      </c>
      <c r="CL37" s="539" t="str">
        <f t="shared" si="5"/>
        <v>#DIV/0!</v>
      </c>
      <c r="CM37" s="539" t="str">
        <f t="shared" si="5"/>
        <v>#DIV/0!</v>
      </c>
      <c r="CN37" s="539" t="str">
        <f t="shared" si="5"/>
        <v>#DIV/0!</v>
      </c>
      <c r="CO37" s="539" t="str">
        <f t="shared" si="5"/>
        <v>#DIV/0!</v>
      </c>
      <c r="CP37" s="539" t="str">
        <f t="shared" si="5"/>
        <v>#DIV/0!</v>
      </c>
      <c r="CQ37" s="539" t="str">
        <f t="shared" si="5"/>
        <v>#DIV/0!</v>
      </c>
      <c r="CR37" s="539" t="str">
        <f t="shared" si="5"/>
        <v>#DIV/0!</v>
      </c>
      <c r="CS37" s="539" t="str">
        <f t="shared" si="5"/>
        <v>#DIV/0!</v>
      </c>
      <c r="CT37" s="539" t="str">
        <f t="shared" si="5"/>
        <v>#DIV/0!</v>
      </c>
      <c r="CU37" s="539" t="str">
        <f t="shared" si="5"/>
        <v>#DIV/0!</v>
      </c>
      <c r="CV37" s="539" t="str">
        <f t="shared" si="5"/>
        <v>#DIV/0!</v>
      </c>
      <c r="CW37" s="539" t="str">
        <f t="shared" si="5"/>
        <v>#DIV/0!</v>
      </c>
      <c r="CX37" s="539" t="str">
        <f t="shared" si="5"/>
        <v>#DIV/0!</v>
      </c>
    </row>
    <row r="38" ht="17.25" customHeight="1">
      <c r="A38" s="540"/>
      <c r="B38" s="95"/>
      <c r="C38" s="541" t="s">
        <v>1398</v>
      </c>
      <c r="D38" s="533">
        <v>700.0</v>
      </c>
      <c r="E38" s="542">
        <f t="shared" ref="E38:CX38" si="6">if(E18=TRUE,$D$18,0)+if(E19=TRUE,$D$19,0)+if(E20=TRUE,$D$20,0)+if(E21=TRUE,$D$21,0)+if(E22=TRUE,$D$22,0)+IF(E23=TRUE,$D$23,0)+IF(E24=TRUE,$D$24,0)+IF(E25=TRUE,$D$25,0)+IF(E26=TRUE,$D$26,0)</f>
        <v>0</v>
      </c>
      <c r="F38" s="542">
        <f t="shared" si="6"/>
        <v>0</v>
      </c>
      <c r="G38" s="542">
        <f t="shared" si="6"/>
        <v>0</v>
      </c>
      <c r="H38" s="542">
        <f t="shared" si="6"/>
        <v>0</v>
      </c>
      <c r="I38" s="542">
        <f t="shared" si="6"/>
        <v>0</v>
      </c>
      <c r="J38" s="542">
        <f t="shared" si="6"/>
        <v>0</v>
      </c>
      <c r="K38" s="542">
        <f t="shared" si="6"/>
        <v>0</v>
      </c>
      <c r="L38" s="542">
        <f t="shared" si="6"/>
        <v>0</v>
      </c>
      <c r="M38" s="542">
        <f t="shared" si="6"/>
        <v>0</v>
      </c>
      <c r="N38" s="542">
        <f t="shared" si="6"/>
        <v>0</v>
      </c>
      <c r="O38" s="542">
        <f t="shared" si="6"/>
        <v>0</v>
      </c>
      <c r="P38" s="542">
        <f t="shared" si="6"/>
        <v>0</v>
      </c>
      <c r="Q38" s="542">
        <f t="shared" si="6"/>
        <v>0</v>
      </c>
      <c r="R38" s="542">
        <f t="shared" si="6"/>
        <v>0</v>
      </c>
      <c r="S38" s="542">
        <f t="shared" si="6"/>
        <v>0</v>
      </c>
      <c r="T38" s="542">
        <f t="shared" si="6"/>
        <v>0</v>
      </c>
      <c r="U38" s="542">
        <f t="shared" si="6"/>
        <v>0</v>
      </c>
      <c r="V38" s="542">
        <f t="shared" si="6"/>
        <v>0</v>
      </c>
      <c r="W38" s="542">
        <f t="shared" si="6"/>
        <v>0</v>
      </c>
      <c r="X38" s="542">
        <f t="shared" si="6"/>
        <v>0</v>
      </c>
      <c r="Y38" s="542">
        <f t="shared" si="6"/>
        <v>0</v>
      </c>
      <c r="Z38" s="542">
        <f t="shared" si="6"/>
        <v>0</v>
      </c>
      <c r="AA38" s="542">
        <f t="shared" si="6"/>
        <v>0</v>
      </c>
      <c r="AB38" s="542">
        <f t="shared" si="6"/>
        <v>0</v>
      </c>
      <c r="AC38" s="542">
        <f t="shared" si="6"/>
        <v>0</v>
      </c>
      <c r="AD38" s="542">
        <f t="shared" si="6"/>
        <v>0</v>
      </c>
      <c r="AE38" s="542">
        <f t="shared" si="6"/>
        <v>0</v>
      </c>
      <c r="AF38" s="542">
        <f t="shared" si="6"/>
        <v>0</v>
      </c>
      <c r="AG38" s="542">
        <f t="shared" si="6"/>
        <v>0</v>
      </c>
      <c r="AH38" s="542">
        <f t="shared" si="6"/>
        <v>0</v>
      </c>
      <c r="AI38" s="542">
        <f t="shared" si="6"/>
        <v>0</v>
      </c>
      <c r="AJ38" s="542">
        <f t="shared" si="6"/>
        <v>0</v>
      </c>
      <c r="AK38" s="542">
        <f t="shared" si="6"/>
        <v>0</v>
      </c>
      <c r="AL38" s="542">
        <f t="shared" si="6"/>
        <v>0</v>
      </c>
      <c r="AM38" s="542">
        <f t="shared" si="6"/>
        <v>0</v>
      </c>
      <c r="AN38" s="542">
        <f t="shared" si="6"/>
        <v>0</v>
      </c>
      <c r="AO38" s="542">
        <f t="shared" si="6"/>
        <v>0</v>
      </c>
      <c r="AP38" s="542">
        <f t="shared" si="6"/>
        <v>0</v>
      </c>
      <c r="AQ38" s="542">
        <f t="shared" si="6"/>
        <v>0</v>
      </c>
      <c r="AR38" s="542">
        <f t="shared" si="6"/>
        <v>0</v>
      </c>
      <c r="AS38" s="542">
        <f t="shared" si="6"/>
        <v>0</v>
      </c>
      <c r="AT38" s="542">
        <f t="shared" si="6"/>
        <v>0</v>
      </c>
      <c r="AU38" s="542">
        <f t="shared" si="6"/>
        <v>0</v>
      </c>
      <c r="AV38" s="542">
        <f t="shared" si="6"/>
        <v>0</v>
      </c>
      <c r="AW38" s="542">
        <f t="shared" si="6"/>
        <v>0</v>
      </c>
      <c r="AX38" s="542">
        <f t="shared" si="6"/>
        <v>0</v>
      </c>
      <c r="AY38" s="542">
        <f t="shared" si="6"/>
        <v>0</v>
      </c>
      <c r="AZ38" s="542">
        <f t="shared" si="6"/>
        <v>0</v>
      </c>
      <c r="BA38" s="542">
        <f t="shared" si="6"/>
        <v>0</v>
      </c>
      <c r="BB38" s="542">
        <f t="shared" si="6"/>
        <v>0</v>
      </c>
      <c r="BC38" s="542">
        <f t="shared" si="6"/>
        <v>0</v>
      </c>
      <c r="BD38" s="542">
        <f t="shared" si="6"/>
        <v>0</v>
      </c>
      <c r="BE38" s="542">
        <f t="shared" si="6"/>
        <v>0</v>
      </c>
      <c r="BF38" s="542">
        <f t="shared" si="6"/>
        <v>0</v>
      </c>
      <c r="BG38" s="542">
        <f t="shared" si="6"/>
        <v>0</v>
      </c>
      <c r="BH38" s="542">
        <f t="shared" si="6"/>
        <v>0</v>
      </c>
      <c r="BI38" s="542">
        <f t="shared" si="6"/>
        <v>0</v>
      </c>
      <c r="BJ38" s="542">
        <f t="shared" si="6"/>
        <v>0</v>
      </c>
      <c r="BK38" s="542">
        <f t="shared" si="6"/>
        <v>0</v>
      </c>
      <c r="BL38" s="542">
        <f t="shared" si="6"/>
        <v>0</v>
      </c>
      <c r="BM38" s="542">
        <f t="shared" si="6"/>
        <v>0</v>
      </c>
      <c r="BN38" s="542">
        <f t="shared" si="6"/>
        <v>0</v>
      </c>
      <c r="BO38" s="542">
        <f t="shared" si="6"/>
        <v>0</v>
      </c>
      <c r="BP38" s="542">
        <f t="shared" si="6"/>
        <v>0</v>
      </c>
      <c r="BQ38" s="542">
        <f t="shared" si="6"/>
        <v>0</v>
      </c>
      <c r="BR38" s="542">
        <f t="shared" si="6"/>
        <v>0</v>
      </c>
      <c r="BS38" s="542">
        <f t="shared" si="6"/>
        <v>0</v>
      </c>
      <c r="BT38" s="542">
        <f t="shared" si="6"/>
        <v>0</v>
      </c>
      <c r="BU38" s="542">
        <f t="shared" si="6"/>
        <v>0</v>
      </c>
      <c r="BV38" s="542">
        <f t="shared" si="6"/>
        <v>0</v>
      </c>
      <c r="BW38" s="542">
        <f t="shared" si="6"/>
        <v>0</v>
      </c>
      <c r="BX38" s="542">
        <f t="shared" si="6"/>
        <v>0</v>
      </c>
      <c r="BY38" s="542">
        <f t="shared" si="6"/>
        <v>0</v>
      </c>
      <c r="BZ38" s="542">
        <f t="shared" si="6"/>
        <v>0</v>
      </c>
      <c r="CA38" s="542">
        <f t="shared" si="6"/>
        <v>0</v>
      </c>
      <c r="CB38" s="542">
        <f t="shared" si="6"/>
        <v>0</v>
      </c>
      <c r="CC38" s="542">
        <f t="shared" si="6"/>
        <v>0</v>
      </c>
      <c r="CD38" s="542">
        <f t="shared" si="6"/>
        <v>0</v>
      </c>
      <c r="CE38" s="542">
        <f t="shared" si="6"/>
        <v>0</v>
      </c>
      <c r="CF38" s="542">
        <f t="shared" si="6"/>
        <v>0</v>
      </c>
      <c r="CG38" s="542">
        <f t="shared" si="6"/>
        <v>0</v>
      </c>
      <c r="CH38" s="542">
        <f t="shared" si="6"/>
        <v>0</v>
      </c>
      <c r="CI38" s="542">
        <f t="shared" si="6"/>
        <v>0</v>
      </c>
      <c r="CJ38" s="542">
        <f t="shared" si="6"/>
        <v>0</v>
      </c>
      <c r="CK38" s="542">
        <f t="shared" si="6"/>
        <v>0</v>
      </c>
      <c r="CL38" s="542">
        <f t="shared" si="6"/>
        <v>0</v>
      </c>
      <c r="CM38" s="542">
        <f t="shared" si="6"/>
        <v>0</v>
      </c>
      <c r="CN38" s="542">
        <f t="shared" si="6"/>
        <v>0</v>
      </c>
      <c r="CO38" s="542">
        <f t="shared" si="6"/>
        <v>0</v>
      </c>
      <c r="CP38" s="542">
        <f t="shared" si="6"/>
        <v>0</v>
      </c>
      <c r="CQ38" s="542">
        <f t="shared" si="6"/>
        <v>0</v>
      </c>
      <c r="CR38" s="542">
        <f t="shared" si="6"/>
        <v>0</v>
      </c>
      <c r="CS38" s="542">
        <f t="shared" si="6"/>
        <v>0</v>
      </c>
      <c r="CT38" s="542">
        <f t="shared" si="6"/>
        <v>0</v>
      </c>
      <c r="CU38" s="542">
        <f t="shared" si="6"/>
        <v>0</v>
      </c>
      <c r="CV38" s="542">
        <f t="shared" si="6"/>
        <v>0</v>
      </c>
      <c r="CW38" s="542">
        <f t="shared" si="6"/>
        <v>0</v>
      </c>
      <c r="CX38" s="542">
        <f t="shared" si="6"/>
        <v>0</v>
      </c>
    </row>
    <row r="39" ht="17.25" customHeight="1">
      <c r="A39" s="468"/>
      <c r="B39" s="95"/>
      <c r="C39" s="500" t="s">
        <v>1399</v>
      </c>
      <c r="D39" s="543">
        <f t="shared" ref="D39:CX39" si="7">D40+D41+D42</f>
        <v>540.5</v>
      </c>
      <c r="E39" s="544">
        <f t="shared" si="7"/>
        <v>20</v>
      </c>
      <c r="F39" s="544">
        <f t="shared" si="7"/>
        <v>20</v>
      </c>
      <c r="G39" s="544">
        <f t="shared" si="7"/>
        <v>20</v>
      </c>
      <c r="H39" s="544">
        <f t="shared" si="7"/>
        <v>20</v>
      </c>
      <c r="I39" s="544">
        <f t="shared" si="7"/>
        <v>20</v>
      </c>
      <c r="J39" s="544">
        <f t="shared" si="7"/>
        <v>20</v>
      </c>
      <c r="K39" s="544">
        <f t="shared" si="7"/>
        <v>20</v>
      </c>
      <c r="L39" s="544">
        <f t="shared" si="7"/>
        <v>20</v>
      </c>
      <c r="M39" s="544">
        <f t="shared" si="7"/>
        <v>20</v>
      </c>
      <c r="N39" s="544">
        <f t="shared" si="7"/>
        <v>20</v>
      </c>
      <c r="O39" s="544">
        <f t="shared" si="7"/>
        <v>20</v>
      </c>
      <c r="P39" s="544">
        <f t="shared" si="7"/>
        <v>20</v>
      </c>
      <c r="Q39" s="544">
        <f t="shared" si="7"/>
        <v>20</v>
      </c>
      <c r="R39" s="544">
        <f t="shared" si="7"/>
        <v>20</v>
      </c>
      <c r="S39" s="544">
        <f t="shared" si="7"/>
        <v>20</v>
      </c>
      <c r="T39" s="544">
        <f t="shared" si="7"/>
        <v>20</v>
      </c>
      <c r="U39" s="544">
        <f t="shared" si="7"/>
        <v>20</v>
      </c>
      <c r="V39" s="544">
        <f t="shared" si="7"/>
        <v>20</v>
      </c>
      <c r="W39" s="544">
        <f t="shared" si="7"/>
        <v>20</v>
      </c>
      <c r="X39" s="544">
        <f t="shared" si="7"/>
        <v>20</v>
      </c>
      <c r="Y39" s="544">
        <f t="shared" si="7"/>
        <v>20</v>
      </c>
      <c r="Z39" s="544">
        <f t="shared" si="7"/>
        <v>20</v>
      </c>
      <c r="AA39" s="544">
        <f t="shared" si="7"/>
        <v>20</v>
      </c>
      <c r="AB39" s="544">
        <f t="shared" si="7"/>
        <v>20</v>
      </c>
      <c r="AC39" s="544">
        <f t="shared" si="7"/>
        <v>20</v>
      </c>
      <c r="AD39" s="544">
        <f t="shared" si="7"/>
        <v>20</v>
      </c>
      <c r="AE39" s="544">
        <f t="shared" si="7"/>
        <v>20</v>
      </c>
      <c r="AF39" s="544">
        <f t="shared" si="7"/>
        <v>20</v>
      </c>
      <c r="AG39" s="544">
        <f t="shared" si="7"/>
        <v>20</v>
      </c>
      <c r="AH39" s="544">
        <f t="shared" si="7"/>
        <v>20</v>
      </c>
      <c r="AI39" s="544">
        <f t="shared" si="7"/>
        <v>20</v>
      </c>
      <c r="AJ39" s="544">
        <f t="shared" si="7"/>
        <v>20</v>
      </c>
      <c r="AK39" s="544">
        <f t="shared" si="7"/>
        <v>20</v>
      </c>
      <c r="AL39" s="544">
        <f t="shared" si="7"/>
        <v>20</v>
      </c>
      <c r="AM39" s="544">
        <f t="shared" si="7"/>
        <v>20</v>
      </c>
      <c r="AN39" s="544">
        <f t="shared" si="7"/>
        <v>20</v>
      </c>
      <c r="AO39" s="544">
        <f t="shared" si="7"/>
        <v>20</v>
      </c>
      <c r="AP39" s="544">
        <f t="shared" si="7"/>
        <v>20</v>
      </c>
      <c r="AQ39" s="544">
        <f t="shared" si="7"/>
        <v>20</v>
      </c>
      <c r="AR39" s="544">
        <f t="shared" si="7"/>
        <v>20</v>
      </c>
      <c r="AS39" s="544">
        <f t="shared" si="7"/>
        <v>20</v>
      </c>
      <c r="AT39" s="544">
        <f t="shared" si="7"/>
        <v>20</v>
      </c>
      <c r="AU39" s="544">
        <f t="shared" si="7"/>
        <v>20</v>
      </c>
      <c r="AV39" s="544">
        <f t="shared" si="7"/>
        <v>20</v>
      </c>
      <c r="AW39" s="544">
        <f t="shared" si="7"/>
        <v>20</v>
      </c>
      <c r="AX39" s="544">
        <f t="shared" si="7"/>
        <v>20</v>
      </c>
      <c r="AY39" s="544">
        <f t="shared" si="7"/>
        <v>20</v>
      </c>
      <c r="AZ39" s="544">
        <f t="shared" si="7"/>
        <v>20</v>
      </c>
      <c r="BA39" s="544">
        <f t="shared" si="7"/>
        <v>20</v>
      </c>
      <c r="BB39" s="544">
        <f t="shared" si="7"/>
        <v>20</v>
      </c>
      <c r="BC39" s="544">
        <f t="shared" si="7"/>
        <v>20</v>
      </c>
      <c r="BD39" s="544">
        <f t="shared" si="7"/>
        <v>20</v>
      </c>
      <c r="BE39" s="544">
        <f t="shared" si="7"/>
        <v>20</v>
      </c>
      <c r="BF39" s="544">
        <f t="shared" si="7"/>
        <v>20</v>
      </c>
      <c r="BG39" s="544">
        <f t="shared" si="7"/>
        <v>20</v>
      </c>
      <c r="BH39" s="544">
        <f t="shared" si="7"/>
        <v>20</v>
      </c>
      <c r="BI39" s="544">
        <f t="shared" si="7"/>
        <v>20</v>
      </c>
      <c r="BJ39" s="544">
        <f t="shared" si="7"/>
        <v>20</v>
      </c>
      <c r="BK39" s="544">
        <f t="shared" si="7"/>
        <v>20</v>
      </c>
      <c r="BL39" s="544">
        <f t="shared" si="7"/>
        <v>20</v>
      </c>
      <c r="BM39" s="544">
        <f t="shared" si="7"/>
        <v>20</v>
      </c>
      <c r="BN39" s="544">
        <f t="shared" si="7"/>
        <v>20</v>
      </c>
      <c r="BO39" s="544">
        <f t="shared" si="7"/>
        <v>20</v>
      </c>
      <c r="BP39" s="544">
        <f t="shared" si="7"/>
        <v>20</v>
      </c>
      <c r="BQ39" s="544">
        <f t="shared" si="7"/>
        <v>20</v>
      </c>
      <c r="BR39" s="544">
        <f t="shared" si="7"/>
        <v>20</v>
      </c>
      <c r="BS39" s="544">
        <f t="shared" si="7"/>
        <v>20</v>
      </c>
      <c r="BT39" s="544">
        <f t="shared" si="7"/>
        <v>20</v>
      </c>
      <c r="BU39" s="544">
        <f t="shared" si="7"/>
        <v>20</v>
      </c>
      <c r="BV39" s="544">
        <f t="shared" si="7"/>
        <v>20</v>
      </c>
      <c r="BW39" s="544">
        <f t="shared" si="7"/>
        <v>20</v>
      </c>
      <c r="BX39" s="544">
        <f t="shared" si="7"/>
        <v>20</v>
      </c>
      <c r="BY39" s="544">
        <f t="shared" si="7"/>
        <v>20</v>
      </c>
      <c r="BZ39" s="544">
        <f t="shared" si="7"/>
        <v>20</v>
      </c>
      <c r="CA39" s="544">
        <f t="shared" si="7"/>
        <v>20</v>
      </c>
      <c r="CB39" s="544">
        <f t="shared" si="7"/>
        <v>20</v>
      </c>
      <c r="CC39" s="544">
        <f t="shared" si="7"/>
        <v>20</v>
      </c>
      <c r="CD39" s="544">
        <f t="shared" si="7"/>
        <v>20</v>
      </c>
      <c r="CE39" s="544">
        <f t="shared" si="7"/>
        <v>20</v>
      </c>
      <c r="CF39" s="544">
        <f t="shared" si="7"/>
        <v>20</v>
      </c>
      <c r="CG39" s="544">
        <f t="shared" si="7"/>
        <v>20</v>
      </c>
      <c r="CH39" s="544">
        <f t="shared" si="7"/>
        <v>20</v>
      </c>
      <c r="CI39" s="544">
        <f t="shared" si="7"/>
        <v>20</v>
      </c>
      <c r="CJ39" s="544">
        <f t="shared" si="7"/>
        <v>20</v>
      </c>
      <c r="CK39" s="544">
        <f t="shared" si="7"/>
        <v>20</v>
      </c>
      <c r="CL39" s="544">
        <f t="shared" si="7"/>
        <v>20</v>
      </c>
      <c r="CM39" s="544">
        <f t="shared" si="7"/>
        <v>20</v>
      </c>
      <c r="CN39" s="544">
        <f t="shared" si="7"/>
        <v>20</v>
      </c>
      <c r="CO39" s="544">
        <f t="shared" si="7"/>
        <v>20</v>
      </c>
      <c r="CP39" s="544">
        <f t="shared" si="7"/>
        <v>20</v>
      </c>
      <c r="CQ39" s="544">
        <f t="shared" si="7"/>
        <v>20</v>
      </c>
      <c r="CR39" s="544">
        <f t="shared" si="7"/>
        <v>20</v>
      </c>
      <c r="CS39" s="544">
        <f t="shared" si="7"/>
        <v>20</v>
      </c>
      <c r="CT39" s="544">
        <f t="shared" si="7"/>
        <v>20</v>
      </c>
      <c r="CU39" s="544">
        <f t="shared" si="7"/>
        <v>20</v>
      </c>
      <c r="CV39" s="544">
        <f t="shared" si="7"/>
        <v>20</v>
      </c>
      <c r="CW39" s="544">
        <f t="shared" si="7"/>
        <v>20</v>
      </c>
      <c r="CX39" s="544">
        <f t="shared" si="7"/>
        <v>20</v>
      </c>
    </row>
    <row r="40" ht="17.25" customHeight="1">
      <c r="A40" s="468"/>
      <c r="B40" s="95"/>
      <c r="C40" s="500" t="s">
        <v>1400</v>
      </c>
      <c r="D40" s="543">
        <f t="shared" ref="D40:CX40" si="8">D34*0.01+D34*0.001</f>
        <v>324.5</v>
      </c>
      <c r="E40" s="544">
        <f t="shared" si="8"/>
        <v>0</v>
      </c>
      <c r="F40" s="544">
        <f t="shared" si="8"/>
        <v>0</v>
      </c>
      <c r="G40" s="544">
        <f t="shared" si="8"/>
        <v>0</v>
      </c>
      <c r="H40" s="544">
        <f t="shared" si="8"/>
        <v>0</v>
      </c>
      <c r="I40" s="544">
        <f t="shared" si="8"/>
        <v>0</v>
      </c>
      <c r="J40" s="544">
        <f t="shared" si="8"/>
        <v>0</v>
      </c>
      <c r="K40" s="544">
        <f t="shared" si="8"/>
        <v>0</v>
      </c>
      <c r="L40" s="544">
        <f t="shared" si="8"/>
        <v>0</v>
      </c>
      <c r="M40" s="544">
        <f t="shared" si="8"/>
        <v>0</v>
      </c>
      <c r="N40" s="544">
        <f t="shared" si="8"/>
        <v>0</v>
      </c>
      <c r="O40" s="544">
        <f t="shared" si="8"/>
        <v>0</v>
      </c>
      <c r="P40" s="544">
        <f t="shared" si="8"/>
        <v>0</v>
      </c>
      <c r="Q40" s="544">
        <f t="shared" si="8"/>
        <v>0</v>
      </c>
      <c r="R40" s="544">
        <f t="shared" si="8"/>
        <v>0</v>
      </c>
      <c r="S40" s="544">
        <f t="shared" si="8"/>
        <v>0</v>
      </c>
      <c r="T40" s="544">
        <f t="shared" si="8"/>
        <v>0</v>
      </c>
      <c r="U40" s="544">
        <f t="shared" si="8"/>
        <v>0</v>
      </c>
      <c r="V40" s="544">
        <f t="shared" si="8"/>
        <v>0</v>
      </c>
      <c r="W40" s="544">
        <f t="shared" si="8"/>
        <v>0</v>
      </c>
      <c r="X40" s="544">
        <f t="shared" si="8"/>
        <v>0</v>
      </c>
      <c r="Y40" s="544">
        <f t="shared" si="8"/>
        <v>0</v>
      </c>
      <c r="Z40" s="544">
        <f t="shared" si="8"/>
        <v>0</v>
      </c>
      <c r="AA40" s="544">
        <f t="shared" si="8"/>
        <v>0</v>
      </c>
      <c r="AB40" s="544">
        <f t="shared" si="8"/>
        <v>0</v>
      </c>
      <c r="AC40" s="544">
        <f t="shared" si="8"/>
        <v>0</v>
      </c>
      <c r="AD40" s="544">
        <f t="shared" si="8"/>
        <v>0</v>
      </c>
      <c r="AE40" s="544">
        <f t="shared" si="8"/>
        <v>0</v>
      </c>
      <c r="AF40" s="544">
        <f t="shared" si="8"/>
        <v>0</v>
      </c>
      <c r="AG40" s="544">
        <f t="shared" si="8"/>
        <v>0</v>
      </c>
      <c r="AH40" s="544">
        <f t="shared" si="8"/>
        <v>0</v>
      </c>
      <c r="AI40" s="544">
        <f t="shared" si="8"/>
        <v>0</v>
      </c>
      <c r="AJ40" s="544">
        <f t="shared" si="8"/>
        <v>0</v>
      </c>
      <c r="AK40" s="544">
        <f t="shared" si="8"/>
        <v>0</v>
      </c>
      <c r="AL40" s="544">
        <f t="shared" si="8"/>
        <v>0</v>
      </c>
      <c r="AM40" s="544">
        <f t="shared" si="8"/>
        <v>0</v>
      </c>
      <c r="AN40" s="544">
        <f t="shared" si="8"/>
        <v>0</v>
      </c>
      <c r="AO40" s="544">
        <f t="shared" si="8"/>
        <v>0</v>
      </c>
      <c r="AP40" s="544">
        <f t="shared" si="8"/>
        <v>0</v>
      </c>
      <c r="AQ40" s="544">
        <f t="shared" si="8"/>
        <v>0</v>
      </c>
      <c r="AR40" s="544">
        <f t="shared" si="8"/>
        <v>0</v>
      </c>
      <c r="AS40" s="544">
        <f t="shared" si="8"/>
        <v>0</v>
      </c>
      <c r="AT40" s="544">
        <f t="shared" si="8"/>
        <v>0</v>
      </c>
      <c r="AU40" s="544">
        <f t="shared" si="8"/>
        <v>0</v>
      </c>
      <c r="AV40" s="544">
        <f t="shared" si="8"/>
        <v>0</v>
      </c>
      <c r="AW40" s="544">
        <f t="shared" si="8"/>
        <v>0</v>
      </c>
      <c r="AX40" s="544">
        <f t="shared" si="8"/>
        <v>0</v>
      </c>
      <c r="AY40" s="544">
        <f t="shared" si="8"/>
        <v>0</v>
      </c>
      <c r="AZ40" s="544">
        <f t="shared" si="8"/>
        <v>0</v>
      </c>
      <c r="BA40" s="544">
        <f t="shared" si="8"/>
        <v>0</v>
      </c>
      <c r="BB40" s="544">
        <f t="shared" si="8"/>
        <v>0</v>
      </c>
      <c r="BC40" s="544">
        <f t="shared" si="8"/>
        <v>0</v>
      </c>
      <c r="BD40" s="544">
        <f t="shared" si="8"/>
        <v>0</v>
      </c>
      <c r="BE40" s="544">
        <f t="shared" si="8"/>
        <v>0</v>
      </c>
      <c r="BF40" s="544">
        <f t="shared" si="8"/>
        <v>0</v>
      </c>
      <c r="BG40" s="544">
        <f t="shared" si="8"/>
        <v>0</v>
      </c>
      <c r="BH40" s="544">
        <f t="shared" si="8"/>
        <v>0</v>
      </c>
      <c r="BI40" s="544">
        <f t="shared" si="8"/>
        <v>0</v>
      </c>
      <c r="BJ40" s="544">
        <f t="shared" si="8"/>
        <v>0</v>
      </c>
      <c r="BK40" s="544">
        <f t="shared" si="8"/>
        <v>0</v>
      </c>
      <c r="BL40" s="544">
        <f t="shared" si="8"/>
        <v>0</v>
      </c>
      <c r="BM40" s="544">
        <f t="shared" si="8"/>
        <v>0</v>
      </c>
      <c r="BN40" s="544">
        <f t="shared" si="8"/>
        <v>0</v>
      </c>
      <c r="BO40" s="544">
        <f t="shared" si="8"/>
        <v>0</v>
      </c>
      <c r="BP40" s="544">
        <f t="shared" si="8"/>
        <v>0</v>
      </c>
      <c r="BQ40" s="544">
        <f t="shared" si="8"/>
        <v>0</v>
      </c>
      <c r="BR40" s="544">
        <f t="shared" si="8"/>
        <v>0</v>
      </c>
      <c r="BS40" s="544">
        <f t="shared" si="8"/>
        <v>0</v>
      </c>
      <c r="BT40" s="544">
        <f t="shared" si="8"/>
        <v>0</v>
      </c>
      <c r="BU40" s="544">
        <f t="shared" si="8"/>
        <v>0</v>
      </c>
      <c r="BV40" s="544">
        <f t="shared" si="8"/>
        <v>0</v>
      </c>
      <c r="BW40" s="544">
        <f t="shared" si="8"/>
        <v>0</v>
      </c>
      <c r="BX40" s="544">
        <f t="shared" si="8"/>
        <v>0</v>
      </c>
      <c r="BY40" s="544">
        <f t="shared" si="8"/>
        <v>0</v>
      </c>
      <c r="BZ40" s="544">
        <f t="shared" si="8"/>
        <v>0</v>
      </c>
      <c r="CA40" s="544">
        <f t="shared" si="8"/>
        <v>0</v>
      </c>
      <c r="CB40" s="544">
        <f t="shared" si="8"/>
        <v>0</v>
      </c>
      <c r="CC40" s="544">
        <f t="shared" si="8"/>
        <v>0</v>
      </c>
      <c r="CD40" s="544">
        <f t="shared" si="8"/>
        <v>0</v>
      </c>
      <c r="CE40" s="544">
        <f t="shared" si="8"/>
        <v>0</v>
      </c>
      <c r="CF40" s="544">
        <f t="shared" si="8"/>
        <v>0</v>
      </c>
      <c r="CG40" s="544">
        <f t="shared" si="8"/>
        <v>0</v>
      </c>
      <c r="CH40" s="544">
        <f t="shared" si="8"/>
        <v>0</v>
      </c>
      <c r="CI40" s="544">
        <f t="shared" si="8"/>
        <v>0</v>
      </c>
      <c r="CJ40" s="544">
        <f t="shared" si="8"/>
        <v>0</v>
      </c>
      <c r="CK40" s="544">
        <f t="shared" si="8"/>
        <v>0</v>
      </c>
      <c r="CL40" s="544">
        <f t="shared" si="8"/>
        <v>0</v>
      </c>
      <c r="CM40" s="544">
        <f t="shared" si="8"/>
        <v>0</v>
      </c>
      <c r="CN40" s="544">
        <f t="shared" si="8"/>
        <v>0</v>
      </c>
      <c r="CO40" s="544">
        <f t="shared" si="8"/>
        <v>0</v>
      </c>
      <c r="CP40" s="544">
        <f t="shared" si="8"/>
        <v>0</v>
      </c>
      <c r="CQ40" s="544">
        <f t="shared" si="8"/>
        <v>0</v>
      </c>
      <c r="CR40" s="544">
        <f t="shared" si="8"/>
        <v>0</v>
      </c>
      <c r="CS40" s="544">
        <f t="shared" si="8"/>
        <v>0</v>
      </c>
      <c r="CT40" s="544">
        <f t="shared" si="8"/>
        <v>0</v>
      </c>
      <c r="CU40" s="544">
        <f t="shared" si="8"/>
        <v>0</v>
      </c>
      <c r="CV40" s="544">
        <f t="shared" si="8"/>
        <v>0</v>
      </c>
      <c r="CW40" s="544">
        <f t="shared" si="8"/>
        <v>0</v>
      </c>
      <c r="CX40" s="544">
        <f t="shared" si="8"/>
        <v>0</v>
      </c>
    </row>
    <row r="41" ht="17.25" customHeight="1">
      <c r="A41" s="468"/>
      <c r="B41" s="95"/>
      <c r="C41" s="500" t="s">
        <v>1401</v>
      </c>
      <c r="D41" s="543">
        <f t="shared" ref="D41:CX41" si="9">D34*0.004+D35*0.003</f>
        <v>196</v>
      </c>
      <c r="E41" s="544">
        <f t="shared" si="9"/>
        <v>0</v>
      </c>
      <c r="F41" s="544">
        <f t="shared" si="9"/>
        <v>0</v>
      </c>
      <c r="G41" s="544">
        <f t="shared" si="9"/>
        <v>0</v>
      </c>
      <c r="H41" s="544">
        <f t="shared" si="9"/>
        <v>0</v>
      </c>
      <c r="I41" s="544">
        <f t="shared" si="9"/>
        <v>0</v>
      </c>
      <c r="J41" s="544">
        <f t="shared" si="9"/>
        <v>0</v>
      </c>
      <c r="K41" s="544">
        <f t="shared" si="9"/>
        <v>0</v>
      </c>
      <c r="L41" s="544">
        <f t="shared" si="9"/>
        <v>0</v>
      </c>
      <c r="M41" s="544">
        <f t="shared" si="9"/>
        <v>0</v>
      </c>
      <c r="N41" s="544">
        <f t="shared" si="9"/>
        <v>0</v>
      </c>
      <c r="O41" s="544">
        <f t="shared" si="9"/>
        <v>0</v>
      </c>
      <c r="P41" s="544">
        <f t="shared" si="9"/>
        <v>0</v>
      </c>
      <c r="Q41" s="544">
        <f t="shared" si="9"/>
        <v>0</v>
      </c>
      <c r="R41" s="544">
        <f t="shared" si="9"/>
        <v>0</v>
      </c>
      <c r="S41" s="544">
        <f t="shared" si="9"/>
        <v>0</v>
      </c>
      <c r="T41" s="544">
        <f t="shared" si="9"/>
        <v>0</v>
      </c>
      <c r="U41" s="544">
        <f t="shared" si="9"/>
        <v>0</v>
      </c>
      <c r="V41" s="544">
        <f t="shared" si="9"/>
        <v>0</v>
      </c>
      <c r="W41" s="544">
        <f t="shared" si="9"/>
        <v>0</v>
      </c>
      <c r="X41" s="544">
        <f t="shared" si="9"/>
        <v>0</v>
      </c>
      <c r="Y41" s="544">
        <f t="shared" si="9"/>
        <v>0</v>
      </c>
      <c r="Z41" s="544">
        <f t="shared" si="9"/>
        <v>0</v>
      </c>
      <c r="AA41" s="544">
        <f t="shared" si="9"/>
        <v>0</v>
      </c>
      <c r="AB41" s="544">
        <f t="shared" si="9"/>
        <v>0</v>
      </c>
      <c r="AC41" s="544">
        <f t="shared" si="9"/>
        <v>0</v>
      </c>
      <c r="AD41" s="544">
        <f t="shared" si="9"/>
        <v>0</v>
      </c>
      <c r="AE41" s="544">
        <f t="shared" si="9"/>
        <v>0</v>
      </c>
      <c r="AF41" s="544">
        <f t="shared" si="9"/>
        <v>0</v>
      </c>
      <c r="AG41" s="544">
        <f t="shared" si="9"/>
        <v>0</v>
      </c>
      <c r="AH41" s="544">
        <f t="shared" si="9"/>
        <v>0</v>
      </c>
      <c r="AI41" s="544">
        <f t="shared" si="9"/>
        <v>0</v>
      </c>
      <c r="AJ41" s="544">
        <f t="shared" si="9"/>
        <v>0</v>
      </c>
      <c r="AK41" s="544">
        <f t="shared" si="9"/>
        <v>0</v>
      </c>
      <c r="AL41" s="544">
        <f t="shared" si="9"/>
        <v>0</v>
      </c>
      <c r="AM41" s="544">
        <f t="shared" si="9"/>
        <v>0</v>
      </c>
      <c r="AN41" s="544">
        <f t="shared" si="9"/>
        <v>0</v>
      </c>
      <c r="AO41" s="544">
        <f t="shared" si="9"/>
        <v>0</v>
      </c>
      <c r="AP41" s="544">
        <f t="shared" si="9"/>
        <v>0</v>
      </c>
      <c r="AQ41" s="544">
        <f t="shared" si="9"/>
        <v>0</v>
      </c>
      <c r="AR41" s="544">
        <f t="shared" si="9"/>
        <v>0</v>
      </c>
      <c r="AS41" s="544">
        <f t="shared" si="9"/>
        <v>0</v>
      </c>
      <c r="AT41" s="544">
        <f t="shared" si="9"/>
        <v>0</v>
      </c>
      <c r="AU41" s="544">
        <f t="shared" si="9"/>
        <v>0</v>
      </c>
      <c r="AV41" s="544">
        <f t="shared" si="9"/>
        <v>0</v>
      </c>
      <c r="AW41" s="544">
        <f t="shared" si="9"/>
        <v>0</v>
      </c>
      <c r="AX41" s="544">
        <f t="shared" si="9"/>
        <v>0</v>
      </c>
      <c r="AY41" s="544">
        <f t="shared" si="9"/>
        <v>0</v>
      </c>
      <c r="AZ41" s="544">
        <f t="shared" si="9"/>
        <v>0</v>
      </c>
      <c r="BA41" s="544">
        <f t="shared" si="9"/>
        <v>0</v>
      </c>
      <c r="BB41" s="544">
        <f t="shared" si="9"/>
        <v>0</v>
      </c>
      <c r="BC41" s="544">
        <f t="shared" si="9"/>
        <v>0</v>
      </c>
      <c r="BD41" s="544">
        <f t="shared" si="9"/>
        <v>0</v>
      </c>
      <c r="BE41" s="544">
        <f t="shared" si="9"/>
        <v>0</v>
      </c>
      <c r="BF41" s="544">
        <f t="shared" si="9"/>
        <v>0</v>
      </c>
      <c r="BG41" s="544">
        <f t="shared" si="9"/>
        <v>0</v>
      </c>
      <c r="BH41" s="544">
        <f t="shared" si="9"/>
        <v>0</v>
      </c>
      <c r="BI41" s="544">
        <f t="shared" si="9"/>
        <v>0</v>
      </c>
      <c r="BJ41" s="544">
        <f t="shared" si="9"/>
        <v>0</v>
      </c>
      <c r="BK41" s="544">
        <f t="shared" si="9"/>
        <v>0</v>
      </c>
      <c r="BL41" s="544">
        <f t="shared" si="9"/>
        <v>0</v>
      </c>
      <c r="BM41" s="544">
        <f t="shared" si="9"/>
        <v>0</v>
      </c>
      <c r="BN41" s="544">
        <f t="shared" si="9"/>
        <v>0</v>
      </c>
      <c r="BO41" s="544">
        <f t="shared" si="9"/>
        <v>0</v>
      </c>
      <c r="BP41" s="544">
        <f t="shared" si="9"/>
        <v>0</v>
      </c>
      <c r="BQ41" s="544">
        <f t="shared" si="9"/>
        <v>0</v>
      </c>
      <c r="BR41" s="544">
        <f t="shared" si="9"/>
        <v>0</v>
      </c>
      <c r="BS41" s="544">
        <f t="shared" si="9"/>
        <v>0</v>
      </c>
      <c r="BT41" s="544">
        <f t="shared" si="9"/>
        <v>0</v>
      </c>
      <c r="BU41" s="544">
        <f t="shared" si="9"/>
        <v>0</v>
      </c>
      <c r="BV41" s="544">
        <f t="shared" si="9"/>
        <v>0</v>
      </c>
      <c r="BW41" s="544">
        <f t="shared" si="9"/>
        <v>0</v>
      </c>
      <c r="BX41" s="544">
        <f t="shared" si="9"/>
        <v>0</v>
      </c>
      <c r="BY41" s="544">
        <f t="shared" si="9"/>
        <v>0</v>
      </c>
      <c r="BZ41" s="544">
        <f t="shared" si="9"/>
        <v>0</v>
      </c>
      <c r="CA41" s="544">
        <f t="shared" si="9"/>
        <v>0</v>
      </c>
      <c r="CB41" s="544">
        <f t="shared" si="9"/>
        <v>0</v>
      </c>
      <c r="CC41" s="544">
        <f t="shared" si="9"/>
        <v>0</v>
      </c>
      <c r="CD41" s="544">
        <f t="shared" si="9"/>
        <v>0</v>
      </c>
      <c r="CE41" s="544">
        <f t="shared" si="9"/>
        <v>0</v>
      </c>
      <c r="CF41" s="544">
        <f t="shared" si="9"/>
        <v>0</v>
      </c>
      <c r="CG41" s="544">
        <f t="shared" si="9"/>
        <v>0</v>
      </c>
      <c r="CH41" s="544">
        <f t="shared" si="9"/>
        <v>0</v>
      </c>
      <c r="CI41" s="544">
        <f t="shared" si="9"/>
        <v>0</v>
      </c>
      <c r="CJ41" s="544">
        <f t="shared" si="9"/>
        <v>0</v>
      </c>
      <c r="CK41" s="544">
        <f t="shared" si="9"/>
        <v>0</v>
      </c>
      <c r="CL41" s="544">
        <f t="shared" si="9"/>
        <v>0</v>
      </c>
      <c r="CM41" s="544">
        <f t="shared" si="9"/>
        <v>0</v>
      </c>
      <c r="CN41" s="544">
        <f t="shared" si="9"/>
        <v>0</v>
      </c>
      <c r="CO41" s="544">
        <f t="shared" si="9"/>
        <v>0</v>
      </c>
      <c r="CP41" s="544">
        <f t="shared" si="9"/>
        <v>0</v>
      </c>
      <c r="CQ41" s="544">
        <f t="shared" si="9"/>
        <v>0</v>
      </c>
      <c r="CR41" s="544">
        <f t="shared" si="9"/>
        <v>0</v>
      </c>
      <c r="CS41" s="544">
        <f t="shared" si="9"/>
        <v>0</v>
      </c>
      <c r="CT41" s="544">
        <f t="shared" si="9"/>
        <v>0</v>
      </c>
      <c r="CU41" s="544">
        <f t="shared" si="9"/>
        <v>0</v>
      </c>
      <c r="CV41" s="544">
        <f t="shared" si="9"/>
        <v>0</v>
      </c>
      <c r="CW41" s="544">
        <f t="shared" si="9"/>
        <v>0</v>
      </c>
      <c r="CX41" s="544">
        <f t="shared" si="9"/>
        <v>0</v>
      </c>
    </row>
    <row r="42" ht="17.25" customHeight="1">
      <c r="A42" s="468"/>
      <c r="B42" s="95"/>
      <c r="C42" s="500" t="s">
        <v>1402</v>
      </c>
      <c r="D42" s="545">
        <v>20.0</v>
      </c>
      <c r="E42" s="546">
        <v>20.0</v>
      </c>
      <c r="F42" s="546">
        <v>20.0</v>
      </c>
      <c r="G42" s="546">
        <v>20.0</v>
      </c>
      <c r="H42" s="546">
        <v>20.0</v>
      </c>
      <c r="I42" s="546">
        <v>20.0</v>
      </c>
      <c r="J42" s="546">
        <v>20.0</v>
      </c>
      <c r="K42" s="546">
        <v>20.0</v>
      </c>
      <c r="L42" s="546">
        <v>20.0</v>
      </c>
      <c r="M42" s="546">
        <v>20.0</v>
      </c>
      <c r="N42" s="546">
        <v>20.0</v>
      </c>
      <c r="O42" s="546">
        <v>20.0</v>
      </c>
      <c r="P42" s="546">
        <v>20.0</v>
      </c>
      <c r="Q42" s="546">
        <v>20.0</v>
      </c>
      <c r="R42" s="546">
        <v>20.0</v>
      </c>
      <c r="S42" s="546">
        <v>20.0</v>
      </c>
      <c r="T42" s="546">
        <v>20.0</v>
      </c>
      <c r="U42" s="546">
        <v>20.0</v>
      </c>
      <c r="V42" s="546">
        <v>20.0</v>
      </c>
      <c r="W42" s="546">
        <v>20.0</v>
      </c>
      <c r="X42" s="546">
        <v>20.0</v>
      </c>
      <c r="Y42" s="546">
        <v>20.0</v>
      </c>
      <c r="Z42" s="546">
        <v>20.0</v>
      </c>
      <c r="AA42" s="546">
        <v>20.0</v>
      </c>
      <c r="AB42" s="546">
        <v>20.0</v>
      </c>
      <c r="AC42" s="546">
        <v>20.0</v>
      </c>
      <c r="AD42" s="546">
        <v>20.0</v>
      </c>
      <c r="AE42" s="546">
        <v>20.0</v>
      </c>
      <c r="AF42" s="546">
        <v>20.0</v>
      </c>
      <c r="AG42" s="546">
        <v>20.0</v>
      </c>
      <c r="AH42" s="546">
        <v>20.0</v>
      </c>
      <c r="AI42" s="546">
        <v>20.0</v>
      </c>
      <c r="AJ42" s="546">
        <v>20.0</v>
      </c>
      <c r="AK42" s="546">
        <v>20.0</v>
      </c>
      <c r="AL42" s="546">
        <v>20.0</v>
      </c>
      <c r="AM42" s="546">
        <v>20.0</v>
      </c>
      <c r="AN42" s="546">
        <v>20.0</v>
      </c>
      <c r="AO42" s="546">
        <v>20.0</v>
      </c>
      <c r="AP42" s="546">
        <v>20.0</v>
      </c>
      <c r="AQ42" s="546">
        <v>20.0</v>
      </c>
      <c r="AR42" s="546">
        <v>20.0</v>
      </c>
      <c r="AS42" s="546">
        <v>20.0</v>
      </c>
      <c r="AT42" s="546">
        <v>20.0</v>
      </c>
      <c r="AU42" s="546">
        <v>20.0</v>
      </c>
      <c r="AV42" s="546">
        <v>20.0</v>
      </c>
      <c r="AW42" s="546">
        <v>20.0</v>
      </c>
      <c r="AX42" s="546">
        <v>20.0</v>
      </c>
      <c r="AY42" s="546">
        <v>20.0</v>
      </c>
      <c r="AZ42" s="546">
        <v>20.0</v>
      </c>
      <c r="BA42" s="546">
        <v>20.0</v>
      </c>
      <c r="BB42" s="546">
        <v>20.0</v>
      </c>
      <c r="BC42" s="546">
        <v>20.0</v>
      </c>
      <c r="BD42" s="546">
        <v>20.0</v>
      </c>
      <c r="BE42" s="546">
        <v>20.0</v>
      </c>
      <c r="BF42" s="546">
        <v>20.0</v>
      </c>
      <c r="BG42" s="546">
        <v>20.0</v>
      </c>
      <c r="BH42" s="546">
        <v>20.0</v>
      </c>
      <c r="BI42" s="546">
        <v>20.0</v>
      </c>
      <c r="BJ42" s="546">
        <v>20.0</v>
      </c>
      <c r="BK42" s="546">
        <v>20.0</v>
      </c>
      <c r="BL42" s="546">
        <v>20.0</v>
      </c>
      <c r="BM42" s="546">
        <v>20.0</v>
      </c>
      <c r="BN42" s="546">
        <v>20.0</v>
      </c>
      <c r="BO42" s="546">
        <v>20.0</v>
      </c>
      <c r="BP42" s="546">
        <v>20.0</v>
      </c>
      <c r="BQ42" s="546">
        <v>20.0</v>
      </c>
      <c r="BR42" s="546">
        <v>20.0</v>
      </c>
      <c r="BS42" s="546">
        <v>20.0</v>
      </c>
      <c r="BT42" s="546">
        <v>20.0</v>
      </c>
      <c r="BU42" s="546">
        <v>20.0</v>
      </c>
      <c r="BV42" s="546">
        <v>20.0</v>
      </c>
      <c r="BW42" s="546">
        <v>20.0</v>
      </c>
      <c r="BX42" s="546">
        <v>20.0</v>
      </c>
      <c r="BY42" s="546">
        <v>20.0</v>
      </c>
      <c r="BZ42" s="546">
        <v>20.0</v>
      </c>
      <c r="CA42" s="546">
        <v>20.0</v>
      </c>
      <c r="CB42" s="546">
        <v>20.0</v>
      </c>
      <c r="CC42" s="546">
        <v>20.0</v>
      </c>
      <c r="CD42" s="546">
        <v>20.0</v>
      </c>
      <c r="CE42" s="546">
        <v>20.0</v>
      </c>
      <c r="CF42" s="546">
        <v>20.0</v>
      </c>
      <c r="CG42" s="546">
        <v>20.0</v>
      </c>
      <c r="CH42" s="546">
        <v>20.0</v>
      </c>
      <c r="CI42" s="546">
        <v>20.0</v>
      </c>
      <c r="CJ42" s="546">
        <v>20.0</v>
      </c>
      <c r="CK42" s="546">
        <v>20.0</v>
      </c>
      <c r="CL42" s="546">
        <v>20.0</v>
      </c>
      <c r="CM42" s="546">
        <v>20.0</v>
      </c>
      <c r="CN42" s="546">
        <v>20.0</v>
      </c>
      <c r="CO42" s="546">
        <v>20.0</v>
      </c>
      <c r="CP42" s="546">
        <v>20.0</v>
      </c>
      <c r="CQ42" s="546">
        <v>20.0</v>
      </c>
      <c r="CR42" s="546">
        <v>20.0</v>
      </c>
      <c r="CS42" s="546">
        <v>20.0</v>
      </c>
      <c r="CT42" s="546">
        <v>20.0</v>
      </c>
      <c r="CU42" s="546">
        <v>20.0</v>
      </c>
      <c r="CV42" s="546">
        <v>20.0</v>
      </c>
      <c r="CW42" s="546">
        <v>20.0</v>
      </c>
      <c r="CX42" s="546">
        <v>20.0</v>
      </c>
    </row>
    <row r="43" ht="17.25" customHeight="1">
      <c r="A43" s="468"/>
      <c r="B43" s="164"/>
      <c r="C43" s="547" t="s">
        <v>1403</v>
      </c>
      <c r="D43" s="548">
        <f t="shared" ref="D43:CX43" si="10">D34+D38+D39-D35</f>
        <v>4740.5</v>
      </c>
      <c r="E43" s="549">
        <f t="shared" si="10"/>
        <v>20</v>
      </c>
      <c r="F43" s="549">
        <f t="shared" si="10"/>
        <v>20</v>
      </c>
      <c r="G43" s="549">
        <f t="shared" si="10"/>
        <v>20</v>
      </c>
      <c r="H43" s="549">
        <f t="shared" si="10"/>
        <v>20</v>
      </c>
      <c r="I43" s="549">
        <f t="shared" si="10"/>
        <v>20</v>
      </c>
      <c r="J43" s="549">
        <f t="shared" si="10"/>
        <v>20</v>
      </c>
      <c r="K43" s="549">
        <f t="shared" si="10"/>
        <v>20</v>
      </c>
      <c r="L43" s="549">
        <f t="shared" si="10"/>
        <v>20</v>
      </c>
      <c r="M43" s="549">
        <f t="shared" si="10"/>
        <v>20</v>
      </c>
      <c r="N43" s="549">
        <f t="shared" si="10"/>
        <v>20</v>
      </c>
      <c r="O43" s="549">
        <f t="shared" si="10"/>
        <v>20</v>
      </c>
      <c r="P43" s="549">
        <f t="shared" si="10"/>
        <v>20</v>
      </c>
      <c r="Q43" s="549">
        <f t="shared" si="10"/>
        <v>20</v>
      </c>
      <c r="R43" s="549">
        <f t="shared" si="10"/>
        <v>20</v>
      </c>
      <c r="S43" s="549">
        <f t="shared" si="10"/>
        <v>20</v>
      </c>
      <c r="T43" s="549">
        <f t="shared" si="10"/>
        <v>20</v>
      </c>
      <c r="U43" s="549">
        <f t="shared" si="10"/>
        <v>20</v>
      </c>
      <c r="V43" s="549">
        <f t="shared" si="10"/>
        <v>20</v>
      </c>
      <c r="W43" s="549">
        <f t="shared" si="10"/>
        <v>20</v>
      </c>
      <c r="X43" s="549">
        <f t="shared" si="10"/>
        <v>20</v>
      </c>
      <c r="Y43" s="549">
        <f t="shared" si="10"/>
        <v>20</v>
      </c>
      <c r="Z43" s="549">
        <f t="shared" si="10"/>
        <v>20</v>
      </c>
      <c r="AA43" s="549">
        <f t="shared" si="10"/>
        <v>20</v>
      </c>
      <c r="AB43" s="549">
        <f t="shared" si="10"/>
        <v>20</v>
      </c>
      <c r="AC43" s="549">
        <f t="shared" si="10"/>
        <v>20</v>
      </c>
      <c r="AD43" s="549">
        <f t="shared" si="10"/>
        <v>20</v>
      </c>
      <c r="AE43" s="549">
        <f t="shared" si="10"/>
        <v>20</v>
      </c>
      <c r="AF43" s="549">
        <f t="shared" si="10"/>
        <v>20</v>
      </c>
      <c r="AG43" s="549">
        <f t="shared" si="10"/>
        <v>20</v>
      </c>
      <c r="AH43" s="549">
        <f t="shared" si="10"/>
        <v>20</v>
      </c>
      <c r="AI43" s="549">
        <f t="shared" si="10"/>
        <v>20</v>
      </c>
      <c r="AJ43" s="549">
        <f t="shared" si="10"/>
        <v>20</v>
      </c>
      <c r="AK43" s="549">
        <f t="shared" si="10"/>
        <v>20</v>
      </c>
      <c r="AL43" s="549">
        <f t="shared" si="10"/>
        <v>20</v>
      </c>
      <c r="AM43" s="549">
        <f t="shared" si="10"/>
        <v>20</v>
      </c>
      <c r="AN43" s="549">
        <f t="shared" si="10"/>
        <v>20</v>
      </c>
      <c r="AO43" s="549">
        <f t="shared" si="10"/>
        <v>20</v>
      </c>
      <c r="AP43" s="549">
        <f t="shared" si="10"/>
        <v>20</v>
      </c>
      <c r="AQ43" s="549">
        <f t="shared" si="10"/>
        <v>20</v>
      </c>
      <c r="AR43" s="549">
        <f t="shared" si="10"/>
        <v>20</v>
      </c>
      <c r="AS43" s="549">
        <f t="shared" si="10"/>
        <v>20</v>
      </c>
      <c r="AT43" s="549">
        <f t="shared" si="10"/>
        <v>20</v>
      </c>
      <c r="AU43" s="549">
        <f t="shared" si="10"/>
        <v>20</v>
      </c>
      <c r="AV43" s="549">
        <f t="shared" si="10"/>
        <v>20</v>
      </c>
      <c r="AW43" s="549">
        <f t="shared" si="10"/>
        <v>20</v>
      </c>
      <c r="AX43" s="549">
        <f t="shared" si="10"/>
        <v>20</v>
      </c>
      <c r="AY43" s="549">
        <f t="shared" si="10"/>
        <v>20</v>
      </c>
      <c r="AZ43" s="549">
        <f t="shared" si="10"/>
        <v>20</v>
      </c>
      <c r="BA43" s="549">
        <f t="shared" si="10"/>
        <v>20</v>
      </c>
      <c r="BB43" s="549">
        <f t="shared" si="10"/>
        <v>20</v>
      </c>
      <c r="BC43" s="549">
        <f t="shared" si="10"/>
        <v>20</v>
      </c>
      <c r="BD43" s="549">
        <f t="shared" si="10"/>
        <v>20</v>
      </c>
      <c r="BE43" s="549">
        <f t="shared" si="10"/>
        <v>20</v>
      </c>
      <c r="BF43" s="549">
        <f t="shared" si="10"/>
        <v>20</v>
      </c>
      <c r="BG43" s="549">
        <f t="shared" si="10"/>
        <v>20</v>
      </c>
      <c r="BH43" s="549">
        <f t="shared" si="10"/>
        <v>20</v>
      </c>
      <c r="BI43" s="549">
        <f t="shared" si="10"/>
        <v>20</v>
      </c>
      <c r="BJ43" s="549">
        <f t="shared" si="10"/>
        <v>20</v>
      </c>
      <c r="BK43" s="549">
        <f t="shared" si="10"/>
        <v>20</v>
      </c>
      <c r="BL43" s="549">
        <f t="shared" si="10"/>
        <v>20</v>
      </c>
      <c r="BM43" s="549">
        <f t="shared" si="10"/>
        <v>20</v>
      </c>
      <c r="BN43" s="549">
        <f t="shared" si="10"/>
        <v>20</v>
      </c>
      <c r="BO43" s="549">
        <f t="shared" si="10"/>
        <v>20</v>
      </c>
      <c r="BP43" s="549">
        <f t="shared" si="10"/>
        <v>20</v>
      </c>
      <c r="BQ43" s="549">
        <f t="shared" si="10"/>
        <v>20</v>
      </c>
      <c r="BR43" s="549">
        <f t="shared" si="10"/>
        <v>20</v>
      </c>
      <c r="BS43" s="549">
        <f t="shared" si="10"/>
        <v>20</v>
      </c>
      <c r="BT43" s="549">
        <f t="shared" si="10"/>
        <v>20</v>
      </c>
      <c r="BU43" s="549">
        <f t="shared" si="10"/>
        <v>20</v>
      </c>
      <c r="BV43" s="549">
        <f t="shared" si="10"/>
        <v>20</v>
      </c>
      <c r="BW43" s="549">
        <f t="shared" si="10"/>
        <v>20</v>
      </c>
      <c r="BX43" s="549">
        <f t="shared" si="10"/>
        <v>20</v>
      </c>
      <c r="BY43" s="549">
        <f t="shared" si="10"/>
        <v>20</v>
      </c>
      <c r="BZ43" s="549">
        <f t="shared" si="10"/>
        <v>20</v>
      </c>
      <c r="CA43" s="549">
        <f t="shared" si="10"/>
        <v>20</v>
      </c>
      <c r="CB43" s="549">
        <f t="shared" si="10"/>
        <v>20</v>
      </c>
      <c r="CC43" s="549">
        <f t="shared" si="10"/>
        <v>20</v>
      </c>
      <c r="CD43" s="549">
        <f t="shared" si="10"/>
        <v>20</v>
      </c>
      <c r="CE43" s="549">
        <f t="shared" si="10"/>
        <v>20</v>
      </c>
      <c r="CF43" s="549">
        <f t="shared" si="10"/>
        <v>20</v>
      </c>
      <c r="CG43" s="549">
        <f t="shared" si="10"/>
        <v>20</v>
      </c>
      <c r="CH43" s="549">
        <f t="shared" si="10"/>
        <v>20</v>
      </c>
      <c r="CI43" s="549">
        <f t="shared" si="10"/>
        <v>20</v>
      </c>
      <c r="CJ43" s="549">
        <f t="shared" si="10"/>
        <v>20</v>
      </c>
      <c r="CK43" s="549">
        <f t="shared" si="10"/>
        <v>20</v>
      </c>
      <c r="CL43" s="549">
        <f t="shared" si="10"/>
        <v>20</v>
      </c>
      <c r="CM43" s="549">
        <f t="shared" si="10"/>
        <v>20</v>
      </c>
      <c r="CN43" s="549">
        <f t="shared" si="10"/>
        <v>20</v>
      </c>
      <c r="CO43" s="549">
        <f t="shared" si="10"/>
        <v>20</v>
      </c>
      <c r="CP43" s="549">
        <f t="shared" si="10"/>
        <v>20</v>
      </c>
      <c r="CQ43" s="549">
        <f t="shared" si="10"/>
        <v>20</v>
      </c>
      <c r="CR43" s="549">
        <f t="shared" si="10"/>
        <v>20</v>
      </c>
      <c r="CS43" s="549">
        <f t="shared" si="10"/>
        <v>20</v>
      </c>
      <c r="CT43" s="549">
        <f t="shared" si="10"/>
        <v>20</v>
      </c>
      <c r="CU43" s="549">
        <f t="shared" si="10"/>
        <v>20</v>
      </c>
      <c r="CV43" s="549">
        <f t="shared" si="10"/>
        <v>20</v>
      </c>
      <c r="CW43" s="549">
        <f t="shared" si="10"/>
        <v>20</v>
      </c>
      <c r="CX43" s="549">
        <f t="shared" si="10"/>
        <v>20</v>
      </c>
    </row>
    <row r="44" ht="30.0" customHeight="1" outlineLevel="1">
      <c r="A44" s="468"/>
      <c r="B44" s="525" t="s">
        <v>1404</v>
      </c>
      <c r="C44" s="550" t="s">
        <v>1405</v>
      </c>
      <c r="D44" s="551" t="s">
        <v>189</v>
      </c>
      <c r="E44" s="527"/>
      <c r="F44" s="527"/>
      <c r="G44" s="527"/>
      <c r="H44" s="527"/>
      <c r="I44" s="527"/>
      <c r="J44" s="527"/>
      <c r="K44" s="527"/>
      <c r="L44" s="527"/>
      <c r="M44" s="527"/>
      <c r="N44" s="527"/>
      <c r="O44" s="527"/>
      <c r="P44" s="527"/>
      <c r="Q44" s="527"/>
      <c r="R44" s="527"/>
      <c r="S44" s="527"/>
      <c r="T44" s="527"/>
      <c r="U44" s="527"/>
      <c r="V44" s="527"/>
      <c r="W44" s="527"/>
      <c r="X44" s="527"/>
      <c r="Y44" s="527"/>
      <c r="Z44" s="527"/>
      <c r="AA44" s="527"/>
      <c r="AB44" s="527"/>
      <c r="AC44" s="527"/>
      <c r="AD44" s="527"/>
      <c r="AE44" s="527"/>
      <c r="AF44" s="527"/>
      <c r="AG44" s="527"/>
      <c r="AH44" s="527"/>
      <c r="AI44" s="527"/>
      <c r="AJ44" s="527"/>
      <c r="AK44" s="527"/>
      <c r="AL44" s="527"/>
      <c r="AM44" s="527"/>
      <c r="AN44" s="527"/>
      <c r="AO44" s="527"/>
      <c r="AP44" s="527"/>
      <c r="AQ44" s="527"/>
      <c r="AR44" s="527"/>
      <c r="AS44" s="527"/>
      <c r="AT44" s="527"/>
      <c r="AU44" s="527"/>
      <c r="AV44" s="527"/>
      <c r="AW44" s="527"/>
      <c r="AX44" s="527"/>
      <c r="AY44" s="527"/>
      <c r="AZ44" s="527"/>
      <c r="BA44" s="527"/>
      <c r="BB44" s="527"/>
      <c r="BC44" s="527"/>
      <c r="BD44" s="527"/>
      <c r="BE44" s="527"/>
      <c r="BF44" s="527"/>
      <c r="BG44" s="527"/>
      <c r="BH44" s="527"/>
      <c r="BI44" s="527"/>
      <c r="BJ44" s="527"/>
      <c r="BK44" s="527"/>
      <c r="BL44" s="527"/>
      <c r="BM44" s="527"/>
      <c r="BN44" s="527"/>
      <c r="BO44" s="527"/>
      <c r="BP44" s="527"/>
      <c r="BQ44" s="527"/>
      <c r="BR44" s="527"/>
      <c r="BS44" s="527"/>
      <c r="BT44" s="527"/>
      <c r="BU44" s="527"/>
      <c r="BV44" s="527"/>
      <c r="BW44" s="527"/>
      <c r="BX44" s="527"/>
      <c r="BY44" s="527"/>
      <c r="BZ44" s="527"/>
      <c r="CA44" s="527"/>
      <c r="CB44" s="527"/>
      <c r="CC44" s="527"/>
      <c r="CD44" s="527"/>
      <c r="CE44" s="527"/>
      <c r="CF44" s="527"/>
      <c r="CG44" s="527"/>
      <c r="CH44" s="527"/>
      <c r="CI44" s="527"/>
      <c r="CJ44" s="527"/>
      <c r="CK44" s="527"/>
      <c r="CL44" s="527"/>
      <c r="CM44" s="527"/>
      <c r="CN44" s="527"/>
      <c r="CO44" s="527"/>
      <c r="CP44" s="527"/>
      <c r="CQ44" s="527"/>
      <c r="CR44" s="527"/>
      <c r="CS44" s="527"/>
      <c r="CT44" s="527"/>
      <c r="CU44" s="527"/>
      <c r="CV44" s="527"/>
      <c r="CW44" s="527"/>
      <c r="CX44" s="527"/>
    </row>
    <row r="45" ht="30.0" customHeight="1" outlineLevel="1">
      <c r="A45" s="468"/>
      <c r="B45" s="95"/>
      <c r="C45" s="552" t="s">
        <v>1406</v>
      </c>
      <c r="D45" s="553" t="s">
        <v>189</v>
      </c>
      <c r="E45" s="543" t="str">
        <f t="shared" ref="E45:CX45" si="11">IF(E37&gt;=0.85,"O","X")</f>
        <v>#DIV/0!</v>
      </c>
      <c r="F45" s="543" t="str">
        <f t="shared" si="11"/>
        <v>#DIV/0!</v>
      </c>
      <c r="G45" s="543" t="str">
        <f t="shared" si="11"/>
        <v>#DIV/0!</v>
      </c>
      <c r="H45" s="543" t="str">
        <f t="shared" si="11"/>
        <v>#DIV/0!</v>
      </c>
      <c r="I45" s="543" t="str">
        <f t="shared" si="11"/>
        <v>#DIV/0!</v>
      </c>
      <c r="J45" s="543" t="str">
        <f t="shared" si="11"/>
        <v>#DIV/0!</v>
      </c>
      <c r="K45" s="543" t="str">
        <f t="shared" si="11"/>
        <v>#DIV/0!</v>
      </c>
      <c r="L45" s="543" t="str">
        <f t="shared" si="11"/>
        <v>#DIV/0!</v>
      </c>
      <c r="M45" s="543" t="str">
        <f t="shared" si="11"/>
        <v>#DIV/0!</v>
      </c>
      <c r="N45" s="543" t="str">
        <f t="shared" si="11"/>
        <v>#DIV/0!</v>
      </c>
      <c r="O45" s="543" t="str">
        <f t="shared" si="11"/>
        <v>#DIV/0!</v>
      </c>
      <c r="P45" s="543" t="str">
        <f t="shared" si="11"/>
        <v>#DIV/0!</v>
      </c>
      <c r="Q45" s="543" t="str">
        <f t="shared" si="11"/>
        <v>#DIV/0!</v>
      </c>
      <c r="R45" s="543" t="str">
        <f t="shared" si="11"/>
        <v>#DIV/0!</v>
      </c>
      <c r="S45" s="543" t="str">
        <f t="shared" si="11"/>
        <v>#DIV/0!</v>
      </c>
      <c r="T45" s="543" t="str">
        <f t="shared" si="11"/>
        <v>#DIV/0!</v>
      </c>
      <c r="U45" s="543" t="str">
        <f t="shared" si="11"/>
        <v>#DIV/0!</v>
      </c>
      <c r="V45" s="543" t="str">
        <f t="shared" si="11"/>
        <v>#DIV/0!</v>
      </c>
      <c r="W45" s="543" t="str">
        <f t="shared" si="11"/>
        <v>#DIV/0!</v>
      </c>
      <c r="X45" s="543" t="str">
        <f t="shared" si="11"/>
        <v>#DIV/0!</v>
      </c>
      <c r="Y45" s="543" t="str">
        <f t="shared" si="11"/>
        <v>#DIV/0!</v>
      </c>
      <c r="Z45" s="543" t="str">
        <f t="shared" si="11"/>
        <v>#DIV/0!</v>
      </c>
      <c r="AA45" s="543" t="str">
        <f t="shared" si="11"/>
        <v>#DIV/0!</v>
      </c>
      <c r="AB45" s="543" t="str">
        <f t="shared" si="11"/>
        <v>#DIV/0!</v>
      </c>
      <c r="AC45" s="543" t="str">
        <f t="shared" si="11"/>
        <v>#DIV/0!</v>
      </c>
      <c r="AD45" s="543" t="str">
        <f t="shared" si="11"/>
        <v>#DIV/0!</v>
      </c>
      <c r="AE45" s="543" t="str">
        <f t="shared" si="11"/>
        <v>#DIV/0!</v>
      </c>
      <c r="AF45" s="543" t="str">
        <f t="shared" si="11"/>
        <v>#DIV/0!</v>
      </c>
      <c r="AG45" s="543" t="str">
        <f t="shared" si="11"/>
        <v>#DIV/0!</v>
      </c>
      <c r="AH45" s="543" t="str">
        <f t="shared" si="11"/>
        <v>#DIV/0!</v>
      </c>
      <c r="AI45" s="543" t="str">
        <f t="shared" si="11"/>
        <v>#DIV/0!</v>
      </c>
      <c r="AJ45" s="543" t="str">
        <f t="shared" si="11"/>
        <v>#DIV/0!</v>
      </c>
      <c r="AK45" s="543" t="str">
        <f t="shared" si="11"/>
        <v>#DIV/0!</v>
      </c>
      <c r="AL45" s="543" t="str">
        <f t="shared" si="11"/>
        <v>#DIV/0!</v>
      </c>
      <c r="AM45" s="543" t="str">
        <f t="shared" si="11"/>
        <v>#DIV/0!</v>
      </c>
      <c r="AN45" s="543" t="str">
        <f t="shared" si="11"/>
        <v>#DIV/0!</v>
      </c>
      <c r="AO45" s="543" t="str">
        <f t="shared" si="11"/>
        <v>#DIV/0!</v>
      </c>
      <c r="AP45" s="543" t="str">
        <f t="shared" si="11"/>
        <v>#DIV/0!</v>
      </c>
      <c r="AQ45" s="543" t="str">
        <f t="shared" si="11"/>
        <v>#DIV/0!</v>
      </c>
      <c r="AR45" s="543" t="str">
        <f t="shared" si="11"/>
        <v>#DIV/0!</v>
      </c>
      <c r="AS45" s="543" t="str">
        <f t="shared" si="11"/>
        <v>#DIV/0!</v>
      </c>
      <c r="AT45" s="543" t="str">
        <f t="shared" si="11"/>
        <v>#DIV/0!</v>
      </c>
      <c r="AU45" s="543" t="str">
        <f t="shared" si="11"/>
        <v>#DIV/0!</v>
      </c>
      <c r="AV45" s="543" t="str">
        <f t="shared" si="11"/>
        <v>#DIV/0!</v>
      </c>
      <c r="AW45" s="543" t="str">
        <f t="shared" si="11"/>
        <v>#DIV/0!</v>
      </c>
      <c r="AX45" s="543" t="str">
        <f t="shared" si="11"/>
        <v>#DIV/0!</v>
      </c>
      <c r="AY45" s="543" t="str">
        <f t="shared" si="11"/>
        <v>#DIV/0!</v>
      </c>
      <c r="AZ45" s="543" t="str">
        <f t="shared" si="11"/>
        <v>#DIV/0!</v>
      </c>
      <c r="BA45" s="543" t="str">
        <f t="shared" si="11"/>
        <v>#DIV/0!</v>
      </c>
      <c r="BB45" s="543" t="str">
        <f t="shared" si="11"/>
        <v>#DIV/0!</v>
      </c>
      <c r="BC45" s="543" t="str">
        <f t="shared" si="11"/>
        <v>#DIV/0!</v>
      </c>
      <c r="BD45" s="543" t="str">
        <f t="shared" si="11"/>
        <v>#DIV/0!</v>
      </c>
      <c r="BE45" s="543" t="str">
        <f t="shared" si="11"/>
        <v>#DIV/0!</v>
      </c>
      <c r="BF45" s="543" t="str">
        <f t="shared" si="11"/>
        <v>#DIV/0!</v>
      </c>
      <c r="BG45" s="543" t="str">
        <f t="shared" si="11"/>
        <v>#DIV/0!</v>
      </c>
      <c r="BH45" s="543" t="str">
        <f t="shared" si="11"/>
        <v>#DIV/0!</v>
      </c>
      <c r="BI45" s="543" t="str">
        <f t="shared" si="11"/>
        <v>#DIV/0!</v>
      </c>
      <c r="BJ45" s="543" t="str">
        <f t="shared" si="11"/>
        <v>#DIV/0!</v>
      </c>
      <c r="BK45" s="543" t="str">
        <f t="shared" si="11"/>
        <v>#DIV/0!</v>
      </c>
      <c r="BL45" s="543" t="str">
        <f t="shared" si="11"/>
        <v>#DIV/0!</v>
      </c>
      <c r="BM45" s="543" t="str">
        <f t="shared" si="11"/>
        <v>#DIV/0!</v>
      </c>
      <c r="BN45" s="543" t="str">
        <f t="shared" si="11"/>
        <v>#DIV/0!</v>
      </c>
      <c r="BO45" s="543" t="str">
        <f t="shared" si="11"/>
        <v>#DIV/0!</v>
      </c>
      <c r="BP45" s="543" t="str">
        <f t="shared" si="11"/>
        <v>#DIV/0!</v>
      </c>
      <c r="BQ45" s="543" t="str">
        <f t="shared" si="11"/>
        <v>#DIV/0!</v>
      </c>
      <c r="BR45" s="543" t="str">
        <f t="shared" si="11"/>
        <v>#DIV/0!</v>
      </c>
      <c r="BS45" s="543" t="str">
        <f t="shared" si="11"/>
        <v>#DIV/0!</v>
      </c>
      <c r="BT45" s="543" t="str">
        <f t="shared" si="11"/>
        <v>#DIV/0!</v>
      </c>
      <c r="BU45" s="543" t="str">
        <f t="shared" si="11"/>
        <v>#DIV/0!</v>
      </c>
      <c r="BV45" s="543" t="str">
        <f t="shared" si="11"/>
        <v>#DIV/0!</v>
      </c>
      <c r="BW45" s="543" t="str">
        <f t="shared" si="11"/>
        <v>#DIV/0!</v>
      </c>
      <c r="BX45" s="543" t="str">
        <f t="shared" si="11"/>
        <v>#DIV/0!</v>
      </c>
      <c r="BY45" s="543" t="str">
        <f t="shared" si="11"/>
        <v>#DIV/0!</v>
      </c>
      <c r="BZ45" s="543" t="str">
        <f t="shared" si="11"/>
        <v>#DIV/0!</v>
      </c>
      <c r="CA45" s="543" t="str">
        <f t="shared" si="11"/>
        <v>#DIV/0!</v>
      </c>
      <c r="CB45" s="543" t="str">
        <f t="shared" si="11"/>
        <v>#DIV/0!</v>
      </c>
      <c r="CC45" s="543" t="str">
        <f t="shared" si="11"/>
        <v>#DIV/0!</v>
      </c>
      <c r="CD45" s="543" t="str">
        <f t="shared" si="11"/>
        <v>#DIV/0!</v>
      </c>
      <c r="CE45" s="543" t="str">
        <f t="shared" si="11"/>
        <v>#DIV/0!</v>
      </c>
      <c r="CF45" s="543" t="str">
        <f t="shared" si="11"/>
        <v>#DIV/0!</v>
      </c>
      <c r="CG45" s="543" t="str">
        <f t="shared" si="11"/>
        <v>#DIV/0!</v>
      </c>
      <c r="CH45" s="543" t="str">
        <f t="shared" si="11"/>
        <v>#DIV/0!</v>
      </c>
      <c r="CI45" s="543" t="str">
        <f t="shared" si="11"/>
        <v>#DIV/0!</v>
      </c>
      <c r="CJ45" s="543" t="str">
        <f t="shared" si="11"/>
        <v>#DIV/0!</v>
      </c>
      <c r="CK45" s="543" t="str">
        <f t="shared" si="11"/>
        <v>#DIV/0!</v>
      </c>
      <c r="CL45" s="543" t="str">
        <f t="shared" si="11"/>
        <v>#DIV/0!</v>
      </c>
      <c r="CM45" s="543" t="str">
        <f t="shared" si="11"/>
        <v>#DIV/0!</v>
      </c>
      <c r="CN45" s="543" t="str">
        <f t="shared" si="11"/>
        <v>#DIV/0!</v>
      </c>
      <c r="CO45" s="543" t="str">
        <f t="shared" si="11"/>
        <v>#DIV/0!</v>
      </c>
      <c r="CP45" s="543" t="str">
        <f t="shared" si="11"/>
        <v>#DIV/0!</v>
      </c>
      <c r="CQ45" s="543" t="str">
        <f t="shared" si="11"/>
        <v>#DIV/0!</v>
      </c>
      <c r="CR45" s="543" t="str">
        <f t="shared" si="11"/>
        <v>#DIV/0!</v>
      </c>
      <c r="CS45" s="543" t="str">
        <f t="shared" si="11"/>
        <v>#DIV/0!</v>
      </c>
      <c r="CT45" s="543" t="str">
        <f t="shared" si="11"/>
        <v>#DIV/0!</v>
      </c>
      <c r="CU45" s="543" t="str">
        <f t="shared" si="11"/>
        <v>#DIV/0!</v>
      </c>
      <c r="CV45" s="543" t="str">
        <f t="shared" si="11"/>
        <v>#DIV/0!</v>
      </c>
      <c r="CW45" s="543" t="str">
        <f t="shared" si="11"/>
        <v>#DIV/0!</v>
      </c>
      <c r="CX45" s="543" t="str">
        <f t="shared" si="11"/>
        <v>#DIV/0!</v>
      </c>
    </row>
    <row r="46" ht="30.0" customHeight="1" outlineLevel="1">
      <c r="A46" s="468"/>
      <c r="B46" s="95"/>
      <c r="C46" s="554" t="s">
        <v>1407</v>
      </c>
      <c r="D46" s="555" t="s">
        <v>189</v>
      </c>
      <c r="E46" s="543" t="str">
        <f t="shared" ref="E46:CX46" si="12">IF(E43&lt;=5000,"O","X")</f>
        <v>O</v>
      </c>
      <c r="F46" s="543" t="str">
        <f t="shared" si="12"/>
        <v>O</v>
      </c>
      <c r="G46" s="543" t="str">
        <f t="shared" si="12"/>
        <v>O</v>
      </c>
      <c r="H46" s="543" t="str">
        <f t="shared" si="12"/>
        <v>O</v>
      </c>
      <c r="I46" s="543" t="str">
        <f t="shared" si="12"/>
        <v>O</v>
      </c>
      <c r="J46" s="543" t="str">
        <f t="shared" si="12"/>
        <v>O</v>
      </c>
      <c r="K46" s="543" t="str">
        <f t="shared" si="12"/>
        <v>O</v>
      </c>
      <c r="L46" s="543" t="str">
        <f t="shared" si="12"/>
        <v>O</v>
      </c>
      <c r="M46" s="543" t="str">
        <f t="shared" si="12"/>
        <v>O</v>
      </c>
      <c r="N46" s="543" t="str">
        <f t="shared" si="12"/>
        <v>O</v>
      </c>
      <c r="O46" s="543" t="str">
        <f t="shared" si="12"/>
        <v>O</v>
      </c>
      <c r="P46" s="543" t="str">
        <f t="shared" si="12"/>
        <v>O</v>
      </c>
      <c r="Q46" s="543" t="str">
        <f t="shared" si="12"/>
        <v>O</v>
      </c>
      <c r="R46" s="543" t="str">
        <f t="shared" si="12"/>
        <v>O</v>
      </c>
      <c r="S46" s="543" t="str">
        <f t="shared" si="12"/>
        <v>O</v>
      </c>
      <c r="T46" s="543" t="str">
        <f t="shared" si="12"/>
        <v>O</v>
      </c>
      <c r="U46" s="543" t="str">
        <f t="shared" si="12"/>
        <v>O</v>
      </c>
      <c r="V46" s="543" t="str">
        <f t="shared" si="12"/>
        <v>O</v>
      </c>
      <c r="W46" s="543" t="str">
        <f t="shared" si="12"/>
        <v>O</v>
      </c>
      <c r="X46" s="543" t="str">
        <f t="shared" si="12"/>
        <v>O</v>
      </c>
      <c r="Y46" s="543" t="str">
        <f t="shared" si="12"/>
        <v>O</v>
      </c>
      <c r="Z46" s="543" t="str">
        <f t="shared" si="12"/>
        <v>O</v>
      </c>
      <c r="AA46" s="543" t="str">
        <f t="shared" si="12"/>
        <v>O</v>
      </c>
      <c r="AB46" s="543" t="str">
        <f t="shared" si="12"/>
        <v>O</v>
      </c>
      <c r="AC46" s="543" t="str">
        <f t="shared" si="12"/>
        <v>O</v>
      </c>
      <c r="AD46" s="543" t="str">
        <f t="shared" si="12"/>
        <v>O</v>
      </c>
      <c r="AE46" s="543" t="str">
        <f t="shared" si="12"/>
        <v>O</v>
      </c>
      <c r="AF46" s="543" t="str">
        <f t="shared" si="12"/>
        <v>O</v>
      </c>
      <c r="AG46" s="543" t="str">
        <f t="shared" si="12"/>
        <v>O</v>
      </c>
      <c r="AH46" s="543" t="str">
        <f t="shared" si="12"/>
        <v>O</v>
      </c>
      <c r="AI46" s="543" t="str">
        <f t="shared" si="12"/>
        <v>O</v>
      </c>
      <c r="AJ46" s="543" t="str">
        <f t="shared" si="12"/>
        <v>O</v>
      </c>
      <c r="AK46" s="543" t="str">
        <f t="shared" si="12"/>
        <v>O</v>
      </c>
      <c r="AL46" s="543" t="str">
        <f t="shared" si="12"/>
        <v>O</v>
      </c>
      <c r="AM46" s="543" t="str">
        <f t="shared" si="12"/>
        <v>O</v>
      </c>
      <c r="AN46" s="543" t="str">
        <f t="shared" si="12"/>
        <v>O</v>
      </c>
      <c r="AO46" s="543" t="str">
        <f t="shared" si="12"/>
        <v>O</v>
      </c>
      <c r="AP46" s="543" t="str">
        <f t="shared" si="12"/>
        <v>O</v>
      </c>
      <c r="AQ46" s="543" t="str">
        <f t="shared" si="12"/>
        <v>O</v>
      </c>
      <c r="AR46" s="543" t="str">
        <f t="shared" si="12"/>
        <v>O</v>
      </c>
      <c r="AS46" s="543" t="str">
        <f t="shared" si="12"/>
        <v>O</v>
      </c>
      <c r="AT46" s="543" t="str">
        <f t="shared" si="12"/>
        <v>O</v>
      </c>
      <c r="AU46" s="543" t="str">
        <f t="shared" si="12"/>
        <v>O</v>
      </c>
      <c r="AV46" s="543" t="str">
        <f t="shared" si="12"/>
        <v>O</v>
      </c>
      <c r="AW46" s="543" t="str">
        <f t="shared" si="12"/>
        <v>O</v>
      </c>
      <c r="AX46" s="543" t="str">
        <f t="shared" si="12"/>
        <v>O</v>
      </c>
      <c r="AY46" s="543" t="str">
        <f t="shared" si="12"/>
        <v>O</v>
      </c>
      <c r="AZ46" s="543" t="str">
        <f t="shared" si="12"/>
        <v>O</v>
      </c>
      <c r="BA46" s="543" t="str">
        <f t="shared" si="12"/>
        <v>O</v>
      </c>
      <c r="BB46" s="543" t="str">
        <f t="shared" si="12"/>
        <v>O</v>
      </c>
      <c r="BC46" s="543" t="str">
        <f t="shared" si="12"/>
        <v>O</v>
      </c>
      <c r="BD46" s="543" t="str">
        <f t="shared" si="12"/>
        <v>O</v>
      </c>
      <c r="BE46" s="543" t="str">
        <f t="shared" si="12"/>
        <v>O</v>
      </c>
      <c r="BF46" s="543" t="str">
        <f t="shared" si="12"/>
        <v>O</v>
      </c>
      <c r="BG46" s="543" t="str">
        <f t="shared" si="12"/>
        <v>O</v>
      </c>
      <c r="BH46" s="543" t="str">
        <f t="shared" si="12"/>
        <v>O</v>
      </c>
      <c r="BI46" s="543" t="str">
        <f t="shared" si="12"/>
        <v>O</v>
      </c>
      <c r="BJ46" s="543" t="str">
        <f t="shared" si="12"/>
        <v>O</v>
      </c>
      <c r="BK46" s="543" t="str">
        <f t="shared" si="12"/>
        <v>O</v>
      </c>
      <c r="BL46" s="543" t="str">
        <f t="shared" si="12"/>
        <v>O</v>
      </c>
      <c r="BM46" s="543" t="str">
        <f t="shared" si="12"/>
        <v>O</v>
      </c>
      <c r="BN46" s="543" t="str">
        <f t="shared" si="12"/>
        <v>O</v>
      </c>
      <c r="BO46" s="543" t="str">
        <f t="shared" si="12"/>
        <v>O</v>
      </c>
      <c r="BP46" s="543" t="str">
        <f t="shared" si="12"/>
        <v>O</v>
      </c>
      <c r="BQ46" s="543" t="str">
        <f t="shared" si="12"/>
        <v>O</v>
      </c>
      <c r="BR46" s="543" t="str">
        <f t="shared" si="12"/>
        <v>O</v>
      </c>
      <c r="BS46" s="543" t="str">
        <f t="shared" si="12"/>
        <v>O</v>
      </c>
      <c r="BT46" s="543" t="str">
        <f t="shared" si="12"/>
        <v>O</v>
      </c>
      <c r="BU46" s="543" t="str">
        <f t="shared" si="12"/>
        <v>O</v>
      </c>
      <c r="BV46" s="543" t="str">
        <f t="shared" si="12"/>
        <v>O</v>
      </c>
      <c r="BW46" s="543" t="str">
        <f t="shared" si="12"/>
        <v>O</v>
      </c>
      <c r="BX46" s="543" t="str">
        <f t="shared" si="12"/>
        <v>O</v>
      </c>
      <c r="BY46" s="543" t="str">
        <f t="shared" si="12"/>
        <v>O</v>
      </c>
      <c r="BZ46" s="543" t="str">
        <f t="shared" si="12"/>
        <v>O</v>
      </c>
      <c r="CA46" s="543" t="str">
        <f t="shared" si="12"/>
        <v>O</v>
      </c>
      <c r="CB46" s="543" t="str">
        <f t="shared" si="12"/>
        <v>O</v>
      </c>
      <c r="CC46" s="543" t="str">
        <f t="shared" si="12"/>
        <v>O</v>
      </c>
      <c r="CD46" s="543" t="str">
        <f t="shared" si="12"/>
        <v>O</v>
      </c>
      <c r="CE46" s="543" t="str">
        <f t="shared" si="12"/>
        <v>O</v>
      </c>
      <c r="CF46" s="543" t="str">
        <f t="shared" si="12"/>
        <v>O</v>
      </c>
      <c r="CG46" s="543" t="str">
        <f t="shared" si="12"/>
        <v>O</v>
      </c>
      <c r="CH46" s="543" t="str">
        <f t="shared" si="12"/>
        <v>O</v>
      </c>
      <c r="CI46" s="543" t="str">
        <f t="shared" si="12"/>
        <v>O</v>
      </c>
      <c r="CJ46" s="543" t="str">
        <f t="shared" si="12"/>
        <v>O</v>
      </c>
      <c r="CK46" s="543" t="str">
        <f t="shared" si="12"/>
        <v>O</v>
      </c>
      <c r="CL46" s="543" t="str">
        <f t="shared" si="12"/>
        <v>O</v>
      </c>
      <c r="CM46" s="543" t="str">
        <f t="shared" si="12"/>
        <v>O</v>
      </c>
      <c r="CN46" s="543" t="str">
        <f t="shared" si="12"/>
        <v>O</v>
      </c>
      <c r="CO46" s="543" t="str">
        <f t="shared" si="12"/>
        <v>O</v>
      </c>
      <c r="CP46" s="543" t="str">
        <f t="shared" si="12"/>
        <v>O</v>
      </c>
      <c r="CQ46" s="543" t="str">
        <f t="shared" si="12"/>
        <v>O</v>
      </c>
      <c r="CR46" s="543" t="str">
        <f t="shared" si="12"/>
        <v>O</v>
      </c>
      <c r="CS46" s="543" t="str">
        <f t="shared" si="12"/>
        <v>O</v>
      </c>
      <c r="CT46" s="543" t="str">
        <f t="shared" si="12"/>
        <v>O</v>
      </c>
      <c r="CU46" s="543" t="str">
        <f t="shared" si="12"/>
        <v>O</v>
      </c>
      <c r="CV46" s="543" t="str">
        <f t="shared" si="12"/>
        <v>O</v>
      </c>
      <c r="CW46" s="543" t="str">
        <f t="shared" si="12"/>
        <v>O</v>
      </c>
      <c r="CX46" s="543" t="str">
        <f t="shared" si="12"/>
        <v>O</v>
      </c>
    </row>
    <row r="47" ht="30.0" customHeight="1" outlineLevel="1">
      <c r="A47" s="468"/>
      <c r="B47" s="95"/>
      <c r="C47" s="554" t="s">
        <v>1408</v>
      </c>
      <c r="D47" s="555" t="s">
        <v>189</v>
      </c>
      <c r="E47" s="543"/>
      <c r="F47" s="543"/>
      <c r="G47" s="543"/>
      <c r="H47" s="543"/>
      <c r="I47" s="543"/>
      <c r="J47" s="543"/>
      <c r="K47" s="543"/>
      <c r="L47" s="543"/>
      <c r="M47" s="543"/>
      <c r="N47" s="543"/>
      <c r="O47" s="543"/>
      <c r="P47" s="543"/>
      <c r="Q47" s="543"/>
      <c r="R47" s="543"/>
      <c r="S47" s="543"/>
      <c r="T47" s="543"/>
      <c r="U47" s="543"/>
      <c r="V47" s="543"/>
      <c r="W47" s="543"/>
      <c r="X47" s="543"/>
      <c r="Y47" s="543"/>
      <c r="Z47" s="543"/>
      <c r="AA47" s="543"/>
      <c r="AB47" s="543"/>
      <c r="AC47" s="543"/>
      <c r="AD47" s="543"/>
      <c r="AE47" s="543"/>
      <c r="AF47" s="543"/>
      <c r="AG47" s="543"/>
      <c r="AH47" s="543"/>
      <c r="AI47" s="543"/>
      <c r="AJ47" s="543"/>
      <c r="AK47" s="543"/>
      <c r="AL47" s="543"/>
      <c r="AM47" s="543"/>
      <c r="AN47" s="543"/>
      <c r="AO47" s="543"/>
      <c r="AP47" s="543"/>
      <c r="AQ47" s="543"/>
      <c r="AR47" s="543"/>
      <c r="AS47" s="543"/>
      <c r="AT47" s="543"/>
      <c r="AU47" s="543"/>
      <c r="AV47" s="543"/>
      <c r="AW47" s="543"/>
      <c r="AX47" s="543"/>
      <c r="AY47" s="543"/>
      <c r="AZ47" s="543"/>
      <c r="BA47" s="543"/>
      <c r="BB47" s="543"/>
      <c r="BC47" s="543"/>
      <c r="BD47" s="543"/>
      <c r="BE47" s="543"/>
      <c r="BF47" s="543"/>
      <c r="BG47" s="543"/>
      <c r="BH47" s="543"/>
      <c r="BI47" s="543"/>
      <c r="BJ47" s="543"/>
      <c r="BK47" s="543"/>
      <c r="BL47" s="543"/>
      <c r="BM47" s="543"/>
      <c r="BN47" s="543"/>
      <c r="BO47" s="543"/>
      <c r="BP47" s="543"/>
      <c r="BQ47" s="543"/>
      <c r="BR47" s="543"/>
      <c r="BS47" s="543"/>
      <c r="BT47" s="543"/>
      <c r="BU47" s="543"/>
      <c r="BV47" s="543"/>
      <c r="BW47" s="543"/>
      <c r="BX47" s="543"/>
      <c r="BY47" s="543"/>
      <c r="BZ47" s="543"/>
      <c r="CA47" s="543"/>
      <c r="CB47" s="543"/>
      <c r="CC47" s="543"/>
      <c r="CD47" s="543"/>
      <c r="CE47" s="543"/>
      <c r="CF47" s="543"/>
      <c r="CG47" s="543"/>
      <c r="CH47" s="543"/>
      <c r="CI47" s="543"/>
      <c r="CJ47" s="543"/>
      <c r="CK47" s="543"/>
      <c r="CL47" s="543"/>
      <c r="CM47" s="543"/>
      <c r="CN47" s="543"/>
      <c r="CO47" s="543"/>
      <c r="CP47" s="543"/>
      <c r="CQ47" s="543"/>
      <c r="CR47" s="543"/>
      <c r="CS47" s="543"/>
      <c r="CT47" s="543"/>
      <c r="CU47" s="543"/>
      <c r="CV47" s="543"/>
      <c r="CW47" s="543"/>
      <c r="CX47" s="543"/>
    </row>
    <row r="48" ht="30.0" customHeight="1" outlineLevel="1">
      <c r="A48" s="468"/>
      <c r="B48" s="95"/>
      <c r="C48" s="556" t="s">
        <v>1409</v>
      </c>
      <c r="D48" s="557" t="s">
        <v>189</v>
      </c>
      <c r="E48" s="543" t="str">
        <f>IF(AND(E11&gt;=15,E11&lt;=35),"O","X")</f>
        <v>X</v>
      </c>
      <c r="F48" s="543" t="str">
        <f t="shared" ref="F48:CX48" si="13">IF(AND(F11&gt;=15,F11&lt;=33),"O","X")</f>
        <v>X</v>
      </c>
      <c r="G48" s="543" t="str">
        <f t="shared" si="13"/>
        <v>X</v>
      </c>
      <c r="H48" s="543" t="str">
        <f t="shared" si="13"/>
        <v>X</v>
      </c>
      <c r="I48" s="543" t="str">
        <f t="shared" si="13"/>
        <v>X</v>
      </c>
      <c r="J48" s="543" t="str">
        <f t="shared" si="13"/>
        <v>X</v>
      </c>
      <c r="K48" s="543" t="str">
        <f t="shared" si="13"/>
        <v>X</v>
      </c>
      <c r="L48" s="543" t="str">
        <f t="shared" si="13"/>
        <v>X</v>
      </c>
      <c r="M48" s="543" t="str">
        <f t="shared" si="13"/>
        <v>X</v>
      </c>
      <c r="N48" s="543" t="str">
        <f t="shared" si="13"/>
        <v>X</v>
      </c>
      <c r="O48" s="543" t="str">
        <f t="shared" si="13"/>
        <v>X</v>
      </c>
      <c r="P48" s="543" t="str">
        <f t="shared" si="13"/>
        <v>X</v>
      </c>
      <c r="Q48" s="543" t="str">
        <f t="shared" si="13"/>
        <v>X</v>
      </c>
      <c r="R48" s="543" t="str">
        <f t="shared" si="13"/>
        <v>X</v>
      </c>
      <c r="S48" s="543" t="str">
        <f t="shared" si="13"/>
        <v>X</v>
      </c>
      <c r="T48" s="543" t="str">
        <f t="shared" si="13"/>
        <v>X</v>
      </c>
      <c r="U48" s="543" t="str">
        <f t="shared" si="13"/>
        <v>X</v>
      </c>
      <c r="V48" s="543" t="str">
        <f t="shared" si="13"/>
        <v>X</v>
      </c>
      <c r="W48" s="543" t="str">
        <f t="shared" si="13"/>
        <v>X</v>
      </c>
      <c r="X48" s="543" t="str">
        <f t="shared" si="13"/>
        <v>X</v>
      </c>
      <c r="Y48" s="543" t="str">
        <f t="shared" si="13"/>
        <v>X</v>
      </c>
      <c r="Z48" s="543" t="str">
        <f t="shared" si="13"/>
        <v>X</v>
      </c>
      <c r="AA48" s="543" t="str">
        <f t="shared" si="13"/>
        <v>X</v>
      </c>
      <c r="AB48" s="543" t="str">
        <f t="shared" si="13"/>
        <v>X</v>
      </c>
      <c r="AC48" s="543" t="str">
        <f t="shared" si="13"/>
        <v>X</v>
      </c>
      <c r="AD48" s="543" t="str">
        <f t="shared" si="13"/>
        <v>X</v>
      </c>
      <c r="AE48" s="543" t="str">
        <f t="shared" si="13"/>
        <v>X</v>
      </c>
      <c r="AF48" s="543" t="str">
        <f t="shared" si="13"/>
        <v>X</v>
      </c>
      <c r="AG48" s="543" t="str">
        <f t="shared" si="13"/>
        <v>X</v>
      </c>
      <c r="AH48" s="543" t="str">
        <f t="shared" si="13"/>
        <v>X</v>
      </c>
      <c r="AI48" s="543" t="str">
        <f t="shared" si="13"/>
        <v>X</v>
      </c>
      <c r="AJ48" s="543" t="str">
        <f t="shared" si="13"/>
        <v>X</v>
      </c>
      <c r="AK48" s="543" t="str">
        <f t="shared" si="13"/>
        <v>X</v>
      </c>
      <c r="AL48" s="543" t="str">
        <f t="shared" si="13"/>
        <v>X</v>
      </c>
      <c r="AM48" s="543" t="str">
        <f t="shared" si="13"/>
        <v>X</v>
      </c>
      <c r="AN48" s="543" t="str">
        <f t="shared" si="13"/>
        <v>X</v>
      </c>
      <c r="AO48" s="543" t="str">
        <f t="shared" si="13"/>
        <v>X</v>
      </c>
      <c r="AP48" s="543" t="str">
        <f t="shared" si="13"/>
        <v>X</v>
      </c>
      <c r="AQ48" s="543" t="str">
        <f t="shared" si="13"/>
        <v>X</v>
      </c>
      <c r="AR48" s="543" t="str">
        <f t="shared" si="13"/>
        <v>X</v>
      </c>
      <c r="AS48" s="543" t="str">
        <f t="shared" si="13"/>
        <v>X</v>
      </c>
      <c r="AT48" s="543" t="str">
        <f t="shared" si="13"/>
        <v>X</v>
      </c>
      <c r="AU48" s="543" t="str">
        <f t="shared" si="13"/>
        <v>X</v>
      </c>
      <c r="AV48" s="543" t="str">
        <f t="shared" si="13"/>
        <v>X</v>
      </c>
      <c r="AW48" s="543" t="str">
        <f t="shared" si="13"/>
        <v>X</v>
      </c>
      <c r="AX48" s="543" t="str">
        <f t="shared" si="13"/>
        <v>X</v>
      </c>
      <c r="AY48" s="543" t="str">
        <f t="shared" si="13"/>
        <v>X</v>
      </c>
      <c r="AZ48" s="543" t="str">
        <f t="shared" si="13"/>
        <v>X</v>
      </c>
      <c r="BA48" s="543" t="str">
        <f t="shared" si="13"/>
        <v>X</v>
      </c>
      <c r="BB48" s="543" t="str">
        <f t="shared" si="13"/>
        <v>X</v>
      </c>
      <c r="BC48" s="543" t="str">
        <f t="shared" si="13"/>
        <v>X</v>
      </c>
      <c r="BD48" s="543" t="str">
        <f t="shared" si="13"/>
        <v>X</v>
      </c>
      <c r="BE48" s="543" t="str">
        <f t="shared" si="13"/>
        <v>X</v>
      </c>
      <c r="BF48" s="543" t="str">
        <f t="shared" si="13"/>
        <v>X</v>
      </c>
      <c r="BG48" s="543" t="str">
        <f t="shared" si="13"/>
        <v>X</v>
      </c>
      <c r="BH48" s="543" t="str">
        <f t="shared" si="13"/>
        <v>X</v>
      </c>
      <c r="BI48" s="543" t="str">
        <f t="shared" si="13"/>
        <v>X</v>
      </c>
      <c r="BJ48" s="543" t="str">
        <f t="shared" si="13"/>
        <v>X</v>
      </c>
      <c r="BK48" s="543" t="str">
        <f t="shared" si="13"/>
        <v>X</v>
      </c>
      <c r="BL48" s="543" t="str">
        <f t="shared" si="13"/>
        <v>X</v>
      </c>
      <c r="BM48" s="543" t="str">
        <f t="shared" si="13"/>
        <v>X</v>
      </c>
      <c r="BN48" s="543" t="str">
        <f t="shared" si="13"/>
        <v>X</v>
      </c>
      <c r="BO48" s="543" t="str">
        <f t="shared" si="13"/>
        <v>X</v>
      </c>
      <c r="BP48" s="543" t="str">
        <f t="shared" si="13"/>
        <v>X</v>
      </c>
      <c r="BQ48" s="543" t="str">
        <f t="shared" si="13"/>
        <v>X</v>
      </c>
      <c r="BR48" s="543" t="str">
        <f t="shared" si="13"/>
        <v>X</v>
      </c>
      <c r="BS48" s="543" t="str">
        <f t="shared" si="13"/>
        <v>X</v>
      </c>
      <c r="BT48" s="543" t="str">
        <f t="shared" si="13"/>
        <v>X</v>
      </c>
      <c r="BU48" s="543" t="str">
        <f t="shared" si="13"/>
        <v>X</v>
      </c>
      <c r="BV48" s="543" t="str">
        <f t="shared" si="13"/>
        <v>X</v>
      </c>
      <c r="BW48" s="543" t="str">
        <f t="shared" si="13"/>
        <v>X</v>
      </c>
      <c r="BX48" s="543" t="str">
        <f t="shared" si="13"/>
        <v>X</v>
      </c>
      <c r="BY48" s="543" t="str">
        <f t="shared" si="13"/>
        <v>X</v>
      </c>
      <c r="BZ48" s="543" t="str">
        <f t="shared" si="13"/>
        <v>X</v>
      </c>
      <c r="CA48" s="543" t="str">
        <f t="shared" si="13"/>
        <v>X</v>
      </c>
      <c r="CB48" s="543" t="str">
        <f t="shared" si="13"/>
        <v>X</v>
      </c>
      <c r="CC48" s="543" t="str">
        <f t="shared" si="13"/>
        <v>X</v>
      </c>
      <c r="CD48" s="543" t="str">
        <f t="shared" si="13"/>
        <v>X</v>
      </c>
      <c r="CE48" s="543" t="str">
        <f t="shared" si="13"/>
        <v>X</v>
      </c>
      <c r="CF48" s="543" t="str">
        <f t="shared" si="13"/>
        <v>X</v>
      </c>
      <c r="CG48" s="543" t="str">
        <f t="shared" si="13"/>
        <v>X</v>
      </c>
      <c r="CH48" s="543" t="str">
        <f t="shared" si="13"/>
        <v>X</v>
      </c>
      <c r="CI48" s="543" t="str">
        <f t="shared" si="13"/>
        <v>X</v>
      </c>
      <c r="CJ48" s="543" t="str">
        <f t="shared" si="13"/>
        <v>X</v>
      </c>
      <c r="CK48" s="543" t="str">
        <f t="shared" si="13"/>
        <v>X</v>
      </c>
      <c r="CL48" s="543" t="str">
        <f t="shared" si="13"/>
        <v>X</v>
      </c>
      <c r="CM48" s="543" t="str">
        <f t="shared" si="13"/>
        <v>X</v>
      </c>
      <c r="CN48" s="543" t="str">
        <f t="shared" si="13"/>
        <v>X</v>
      </c>
      <c r="CO48" s="543" t="str">
        <f t="shared" si="13"/>
        <v>X</v>
      </c>
      <c r="CP48" s="543" t="str">
        <f t="shared" si="13"/>
        <v>X</v>
      </c>
      <c r="CQ48" s="543" t="str">
        <f t="shared" si="13"/>
        <v>X</v>
      </c>
      <c r="CR48" s="543" t="str">
        <f t="shared" si="13"/>
        <v>X</v>
      </c>
      <c r="CS48" s="543" t="str">
        <f t="shared" si="13"/>
        <v>X</v>
      </c>
      <c r="CT48" s="543" t="str">
        <f t="shared" si="13"/>
        <v>X</v>
      </c>
      <c r="CU48" s="543" t="str">
        <f t="shared" si="13"/>
        <v>X</v>
      </c>
      <c r="CV48" s="543" t="str">
        <f t="shared" si="13"/>
        <v>X</v>
      </c>
      <c r="CW48" s="543" t="str">
        <f t="shared" si="13"/>
        <v>X</v>
      </c>
      <c r="CX48" s="543" t="str">
        <f t="shared" si="13"/>
        <v>X</v>
      </c>
    </row>
    <row r="49" ht="30.0" customHeight="1" outlineLevel="1">
      <c r="A49" s="468"/>
      <c r="B49" s="95"/>
      <c r="C49" s="556" t="s">
        <v>1410</v>
      </c>
      <c r="D49" s="557" t="s">
        <v>189</v>
      </c>
      <c r="E49" s="543" t="str">
        <f t="shared" ref="E49:CX49" si="14">IF(E8&gt;=300,"O","X")</f>
        <v>X</v>
      </c>
      <c r="F49" s="543" t="str">
        <f t="shared" si="14"/>
        <v>X</v>
      </c>
      <c r="G49" s="543" t="str">
        <f t="shared" si="14"/>
        <v>X</v>
      </c>
      <c r="H49" s="543" t="str">
        <f t="shared" si="14"/>
        <v>X</v>
      </c>
      <c r="I49" s="543" t="str">
        <f t="shared" si="14"/>
        <v>X</v>
      </c>
      <c r="J49" s="543" t="str">
        <f t="shared" si="14"/>
        <v>X</v>
      </c>
      <c r="K49" s="543" t="str">
        <f t="shared" si="14"/>
        <v>X</v>
      </c>
      <c r="L49" s="543" t="str">
        <f t="shared" si="14"/>
        <v>X</v>
      </c>
      <c r="M49" s="543" t="str">
        <f t="shared" si="14"/>
        <v>X</v>
      </c>
      <c r="N49" s="543" t="str">
        <f t="shared" si="14"/>
        <v>X</v>
      </c>
      <c r="O49" s="543" t="str">
        <f t="shared" si="14"/>
        <v>X</v>
      </c>
      <c r="P49" s="543" t="str">
        <f t="shared" si="14"/>
        <v>X</v>
      </c>
      <c r="Q49" s="543" t="str">
        <f t="shared" si="14"/>
        <v>X</v>
      </c>
      <c r="R49" s="543" t="str">
        <f t="shared" si="14"/>
        <v>X</v>
      </c>
      <c r="S49" s="543" t="str">
        <f t="shared" si="14"/>
        <v>X</v>
      </c>
      <c r="T49" s="543" t="str">
        <f t="shared" si="14"/>
        <v>X</v>
      </c>
      <c r="U49" s="543" t="str">
        <f t="shared" si="14"/>
        <v>X</v>
      </c>
      <c r="V49" s="543" t="str">
        <f t="shared" si="14"/>
        <v>X</v>
      </c>
      <c r="W49" s="543" t="str">
        <f t="shared" si="14"/>
        <v>X</v>
      </c>
      <c r="X49" s="543" t="str">
        <f t="shared" si="14"/>
        <v>X</v>
      </c>
      <c r="Y49" s="543" t="str">
        <f t="shared" si="14"/>
        <v>X</v>
      </c>
      <c r="Z49" s="543" t="str">
        <f t="shared" si="14"/>
        <v>X</v>
      </c>
      <c r="AA49" s="543" t="str">
        <f t="shared" si="14"/>
        <v>X</v>
      </c>
      <c r="AB49" s="543" t="str">
        <f t="shared" si="14"/>
        <v>X</v>
      </c>
      <c r="AC49" s="543" t="str">
        <f t="shared" si="14"/>
        <v>X</v>
      </c>
      <c r="AD49" s="543" t="str">
        <f t="shared" si="14"/>
        <v>X</v>
      </c>
      <c r="AE49" s="543" t="str">
        <f t="shared" si="14"/>
        <v>X</v>
      </c>
      <c r="AF49" s="543" t="str">
        <f t="shared" si="14"/>
        <v>X</v>
      </c>
      <c r="AG49" s="543" t="str">
        <f t="shared" si="14"/>
        <v>X</v>
      </c>
      <c r="AH49" s="543" t="str">
        <f t="shared" si="14"/>
        <v>X</v>
      </c>
      <c r="AI49" s="543" t="str">
        <f t="shared" si="14"/>
        <v>X</v>
      </c>
      <c r="AJ49" s="543" t="str">
        <f t="shared" si="14"/>
        <v>X</v>
      </c>
      <c r="AK49" s="543" t="str">
        <f t="shared" si="14"/>
        <v>X</v>
      </c>
      <c r="AL49" s="543" t="str">
        <f t="shared" si="14"/>
        <v>X</v>
      </c>
      <c r="AM49" s="543" t="str">
        <f t="shared" si="14"/>
        <v>X</v>
      </c>
      <c r="AN49" s="543" t="str">
        <f t="shared" si="14"/>
        <v>X</v>
      </c>
      <c r="AO49" s="543" t="str">
        <f t="shared" si="14"/>
        <v>X</v>
      </c>
      <c r="AP49" s="543" t="str">
        <f t="shared" si="14"/>
        <v>X</v>
      </c>
      <c r="AQ49" s="543" t="str">
        <f t="shared" si="14"/>
        <v>X</v>
      </c>
      <c r="AR49" s="543" t="str">
        <f t="shared" si="14"/>
        <v>X</v>
      </c>
      <c r="AS49" s="543" t="str">
        <f t="shared" si="14"/>
        <v>X</v>
      </c>
      <c r="AT49" s="543" t="str">
        <f t="shared" si="14"/>
        <v>X</v>
      </c>
      <c r="AU49" s="543" t="str">
        <f t="shared" si="14"/>
        <v>X</v>
      </c>
      <c r="AV49" s="543" t="str">
        <f t="shared" si="14"/>
        <v>X</v>
      </c>
      <c r="AW49" s="543" t="str">
        <f t="shared" si="14"/>
        <v>X</v>
      </c>
      <c r="AX49" s="543" t="str">
        <f t="shared" si="14"/>
        <v>X</v>
      </c>
      <c r="AY49" s="543" t="str">
        <f t="shared" si="14"/>
        <v>X</v>
      </c>
      <c r="AZ49" s="543" t="str">
        <f t="shared" si="14"/>
        <v>X</v>
      </c>
      <c r="BA49" s="543" t="str">
        <f t="shared" si="14"/>
        <v>X</v>
      </c>
      <c r="BB49" s="543" t="str">
        <f t="shared" si="14"/>
        <v>X</v>
      </c>
      <c r="BC49" s="543" t="str">
        <f t="shared" si="14"/>
        <v>X</v>
      </c>
      <c r="BD49" s="543" t="str">
        <f t="shared" si="14"/>
        <v>X</v>
      </c>
      <c r="BE49" s="543" t="str">
        <f t="shared" si="14"/>
        <v>X</v>
      </c>
      <c r="BF49" s="543" t="str">
        <f t="shared" si="14"/>
        <v>X</v>
      </c>
      <c r="BG49" s="543" t="str">
        <f t="shared" si="14"/>
        <v>X</v>
      </c>
      <c r="BH49" s="543" t="str">
        <f t="shared" si="14"/>
        <v>X</v>
      </c>
      <c r="BI49" s="543" t="str">
        <f t="shared" si="14"/>
        <v>X</v>
      </c>
      <c r="BJ49" s="543" t="str">
        <f t="shared" si="14"/>
        <v>X</v>
      </c>
      <c r="BK49" s="543" t="str">
        <f t="shared" si="14"/>
        <v>X</v>
      </c>
      <c r="BL49" s="543" t="str">
        <f t="shared" si="14"/>
        <v>X</v>
      </c>
      <c r="BM49" s="543" t="str">
        <f t="shared" si="14"/>
        <v>X</v>
      </c>
      <c r="BN49" s="543" t="str">
        <f t="shared" si="14"/>
        <v>X</v>
      </c>
      <c r="BO49" s="543" t="str">
        <f t="shared" si="14"/>
        <v>X</v>
      </c>
      <c r="BP49" s="543" t="str">
        <f t="shared" si="14"/>
        <v>X</v>
      </c>
      <c r="BQ49" s="543" t="str">
        <f t="shared" si="14"/>
        <v>X</v>
      </c>
      <c r="BR49" s="543" t="str">
        <f t="shared" si="14"/>
        <v>X</v>
      </c>
      <c r="BS49" s="543" t="str">
        <f t="shared" si="14"/>
        <v>X</v>
      </c>
      <c r="BT49" s="543" t="str">
        <f t="shared" si="14"/>
        <v>X</v>
      </c>
      <c r="BU49" s="543" t="str">
        <f t="shared" si="14"/>
        <v>X</v>
      </c>
      <c r="BV49" s="543" t="str">
        <f t="shared" si="14"/>
        <v>X</v>
      </c>
      <c r="BW49" s="543" t="str">
        <f t="shared" si="14"/>
        <v>X</v>
      </c>
      <c r="BX49" s="543" t="str">
        <f t="shared" si="14"/>
        <v>X</v>
      </c>
      <c r="BY49" s="543" t="str">
        <f t="shared" si="14"/>
        <v>X</v>
      </c>
      <c r="BZ49" s="543" t="str">
        <f t="shared" si="14"/>
        <v>X</v>
      </c>
      <c r="CA49" s="543" t="str">
        <f t="shared" si="14"/>
        <v>X</v>
      </c>
      <c r="CB49" s="543" t="str">
        <f t="shared" si="14"/>
        <v>X</v>
      </c>
      <c r="CC49" s="543" t="str">
        <f t="shared" si="14"/>
        <v>X</v>
      </c>
      <c r="CD49" s="543" t="str">
        <f t="shared" si="14"/>
        <v>X</v>
      </c>
      <c r="CE49" s="543" t="str">
        <f t="shared" si="14"/>
        <v>X</v>
      </c>
      <c r="CF49" s="543" t="str">
        <f t="shared" si="14"/>
        <v>X</v>
      </c>
      <c r="CG49" s="543" t="str">
        <f t="shared" si="14"/>
        <v>X</v>
      </c>
      <c r="CH49" s="543" t="str">
        <f t="shared" si="14"/>
        <v>X</v>
      </c>
      <c r="CI49" s="543" t="str">
        <f t="shared" si="14"/>
        <v>X</v>
      </c>
      <c r="CJ49" s="543" t="str">
        <f t="shared" si="14"/>
        <v>X</v>
      </c>
      <c r="CK49" s="543" t="str">
        <f t="shared" si="14"/>
        <v>X</v>
      </c>
      <c r="CL49" s="543" t="str">
        <f t="shared" si="14"/>
        <v>X</v>
      </c>
      <c r="CM49" s="543" t="str">
        <f t="shared" si="14"/>
        <v>X</v>
      </c>
      <c r="CN49" s="543" t="str">
        <f t="shared" si="14"/>
        <v>X</v>
      </c>
      <c r="CO49" s="543" t="str">
        <f t="shared" si="14"/>
        <v>X</v>
      </c>
      <c r="CP49" s="543" t="str">
        <f t="shared" si="14"/>
        <v>X</v>
      </c>
      <c r="CQ49" s="543" t="str">
        <f t="shared" si="14"/>
        <v>X</v>
      </c>
      <c r="CR49" s="543" t="str">
        <f t="shared" si="14"/>
        <v>X</v>
      </c>
      <c r="CS49" s="543" t="str">
        <f t="shared" si="14"/>
        <v>X</v>
      </c>
      <c r="CT49" s="543" t="str">
        <f t="shared" si="14"/>
        <v>X</v>
      </c>
      <c r="CU49" s="543" t="str">
        <f t="shared" si="14"/>
        <v>X</v>
      </c>
      <c r="CV49" s="543" t="str">
        <f t="shared" si="14"/>
        <v>X</v>
      </c>
      <c r="CW49" s="543" t="str">
        <f t="shared" si="14"/>
        <v>X</v>
      </c>
      <c r="CX49" s="543" t="str">
        <f t="shared" si="14"/>
        <v>X</v>
      </c>
    </row>
    <row r="50" ht="30.0" customHeight="1" outlineLevel="1">
      <c r="A50" s="468"/>
      <c r="B50" s="95"/>
      <c r="C50" s="556" t="s">
        <v>1411</v>
      </c>
      <c r="D50" s="557" t="s">
        <v>189</v>
      </c>
      <c r="E50" s="558" t="str">
        <f>IFERROR(__xludf.DUMMYFUNCTION("IF(VALUE(SUBSTITUTE(REGEXEXTRACT(E14,""동(.+)""),""호"",""""))&gt;=400,""O"",""X"")"),"#N/A")</f>
        <v>#N/A</v>
      </c>
      <c r="F50" s="558" t="str">
        <f>IFERROR(__xludf.DUMMYFUNCTION("IF(VALUE(SUBSTITUTE(REGEXEXTRACT(F14,""동(.+)""),""호"",""""))&gt;=400,""O"",""X"")"),"#N/A")</f>
        <v>#N/A</v>
      </c>
      <c r="G50" s="558" t="str">
        <f>IFERROR(__xludf.DUMMYFUNCTION("IF(VALUE(SUBSTITUTE(REGEXEXTRACT(G14,""동(.+)""),""호"",""""))&gt;=400,""O"",""X"")"),"#N/A")</f>
        <v>#N/A</v>
      </c>
      <c r="H50" s="558" t="str">
        <f>IFERROR(__xludf.DUMMYFUNCTION("IF(VALUE(SUBSTITUTE(REGEXEXTRACT(H14,""동(.+)""),""호"",""""))&gt;=400,""O"",""X"")"),"#N/A")</f>
        <v>#N/A</v>
      </c>
      <c r="I50" s="558" t="str">
        <f>IFERROR(__xludf.DUMMYFUNCTION("IF(VALUE(SUBSTITUTE(REGEXEXTRACT(I14,""동(.+)""),""호"",""""))&gt;=400,""O"",""X"")"),"#N/A")</f>
        <v>#N/A</v>
      </c>
      <c r="J50" s="558" t="str">
        <f>IFERROR(__xludf.DUMMYFUNCTION("IF(VALUE(SUBSTITUTE(REGEXEXTRACT(J14,""동(.+)""),""호"",""""))&gt;=400,""O"",""X"")"),"#N/A")</f>
        <v>#N/A</v>
      </c>
      <c r="K50" s="558" t="str">
        <f>IFERROR(__xludf.DUMMYFUNCTION("IF(VALUE(SUBSTITUTE(REGEXEXTRACT(K14,""동(.+)""),""호"",""""))&gt;=400,""O"",""X"")"),"#N/A")</f>
        <v>#N/A</v>
      </c>
      <c r="L50" s="558" t="str">
        <f>IFERROR(__xludf.DUMMYFUNCTION("IF(VALUE(SUBSTITUTE(REGEXEXTRACT(L14,""동(.+)""),""호"",""""))&gt;=400,""O"",""X"")"),"#N/A")</f>
        <v>#N/A</v>
      </c>
      <c r="M50" s="558" t="str">
        <f>IFERROR(__xludf.DUMMYFUNCTION("IF(VALUE(SUBSTITUTE(REGEXEXTRACT(M14,""동(.+)""),""호"",""""))&gt;=400,""O"",""X"")"),"#N/A")</f>
        <v>#N/A</v>
      </c>
      <c r="N50" s="558" t="str">
        <f>IFERROR(__xludf.DUMMYFUNCTION("IF(VALUE(SUBSTITUTE(REGEXEXTRACT(N14,""동(.+)""),""호"",""""))&gt;=400,""O"",""X"")"),"#N/A")</f>
        <v>#N/A</v>
      </c>
      <c r="O50" s="558" t="str">
        <f>IFERROR(__xludf.DUMMYFUNCTION("IF(VALUE(SUBSTITUTE(REGEXEXTRACT(O14,""동(.+)""),""호"",""""))&gt;=400,""O"",""X"")"),"#N/A")</f>
        <v>#N/A</v>
      </c>
      <c r="P50" s="558" t="str">
        <f>IFERROR(__xludf.DUMMYFUNCTION("IF(VALUE(SUBSTITUTE(REGEXEXTRACT(P14,""동(.+)""),""호"",""""))&gt;=400,""O"",""X"")"),"#N/A")</f>
        <v>#N/A</v>
      </c>
      <c r="Q50" s="558" t="str">
        <f>IFERROR(__xludf.DUMMYFUNCTION("IF(VALUE(SUBSTITUTE(REGEXEXTRACT(Q14,""동(.+)""),""호"",""""))&gt;=400,""O"",""X"")"),"#N/A")</f>
        <v>#N/A</v>
      </c>
      <c r="R50" s="558" t="str">
        <f>IFERROR(__xludf.DUMMYFUNCTION("IF(VALUE(SUBSTITUTE(REGEXEXTRACT(R14,""동(.+)""),""호"",""""))&gt;=400,""O"",""X"")"),"#N/A")</f>
        <v>#N/A</v>
      </c>
      <c r="S50" s="558" t="str">
        <f>IFERROR(__xludf.DUMMYFUNCTION("IF(VALUE(SUBSTITUTE(REGEXEXTRACT(S14,""동(.+)""),""호"",""""))&gt;=400,""O"",""X"")"),"#N/A")</f>
        <v>#N/A</v>
      </c>
      <c r="T50" s="558" t="str">
        <f>IFERROR(__xludf.DUMMYFUNCTION("IF(VALUE(SUBSTITUTE(REGEXEXTRACT(T14,""동(.+)""),""호"",""""))&gt;=400,""O"",""X"")"),"#N/A")</f>
        <v>#N/A</v>
      </c>
      <c r="U50" s="558" t="str">
        <f>IFERROR(__xludf.DUMMYFUNCTION("IF(VALUE(SUBSTITUTE(REGEXEXTRACT(U14,""동(.+)""),""호"",""""))&gt;=400,""O"",""X"")"),"#N/A")</f>
        <v>#N/A</v>
      </c>
      <c r="V50" s="558" t="str">
        <f>IFERROR(__xludf.DUMMYFUNCTION("IF(VALUE(SUBSTITUTE(REGEXEXTRACT(V14,""동(.+)""),""호"",""""))&gt;=400,""O"",""X"")"),"#N/A")</f>
        <v>#N/A</v>
      </c>
      <c r="W50" s="558" t="str">
        <f>IFERROR(__xludf.DUMMYFUNCTION("IF(VALUE(SUBSTITUTE(REGEXEXTRACT(W14,""동(.+)""),""호"",""""))&gt;=400,""O"",""X"")"),"#N/A")</f>
        <v>#N/A</v>
      </c>
      <c r="X50" s="558" t="str">
        <f>IFERROR(__xludf.DUMMYFUNCTION("IF(VALUE(SUBSTITUTE(REGEXEXTRACT(X14,""동(.+)""),""호"",""""))&gt;=400,""O"",""X"")"),"#N/A")</f>
        <v>#N/A</v>
      </c>
      <c r="Y50" s="558" t="str">
        <f>IFERROR(__xludf.DUMMYFUNCTION("IF(VALUE(SUBSTITUTE(REGEXEXTRACT(Y14,""동(.+)""),""호"",""""))&gt;=400,""O"",""X"")"),"#N/A")</f>
        <v>#N/A</v>
      </c>
      <c r="Z50" s="558" t="str">
        <f>IFERROR(__xludf.DUMMYFUNCTION("IF(VALUE(SUBSTITUTE(REGEXEXTRACT(Z14,""동(.+)""),""호"",""""))&gt;=400,""O"",""X"")"),"#N/A")</f>
        <v>#N/A</v>
      </c>
      <c r="AA50" s="558" t="str">
        <f>IFERROR(__xludf.DUMMYFUNCTION("IF(VALUE(SUBSTITUTE(REGEXEXTRACT(AA14,""동(.+)""),""호"",""""))&gt;=400,""O"",""X"")"),"#N/A")</f>
        <v>#N/A</v>
      </c>
      <c r="AB50" s="558" t="str">
        <f>IFERROR(__xludf.DUMMYFUNCTION("IF(VALUE(SUBSTITUTE(REGEXEXTRACT(AB14,""동(.+)""),""호"",""""))&gt;=400,""O"",""X"")"),"#N/A")</f>
        <v>#N/A</v>
      </c>
      <c r="AC50" s="558" t="str">
        <f>IFERROR(__xludf.DUMMYFUNCTION("IF(VALUE(SUBSTITUTE(REGEXEXTRACT(AC14,""동(.+)""),""호"",""""))&gt;=400,""O"",""X"")"),"#N/A")</f>
        <v>#N/A</v>
      </c>
      <c r="AD50" s="558" t="str">
        <f>IFERROR(__xludf.DUMMYFUNCTION("IF(VALUE(SUBSTITUTE(REGEXEXTRACT(AD14,""동(.+)""),""호"",""""))&gt;=400,""O"",""X"")"),"#N/A")</f>
        <v>#N/A</v>
      </c>
      <c r="AE50" s="558" t="str">
        <f>IFERROR(__xludf.DUMMYFUNCTION("IF(VALUE(SUBSTITUTE(REGEXEXTRACT(AE14,""동(.+)""),""호"",""""))&gt;=400,""O"",""X"")"),"#N/A")</f>
        <v>#N/A</v>
      </c>
      <c r="AF50" s="558" t="str">
        <f>IFERROR(__xludf.DUMMYFUNCTION("IF(VALUE(SUBSTITUTE(REGEXEXTRACT(AF14,""동(.+)""),""호"",""""))&gt;=400,""O"",""X"")"),"#N/A")</f>
        <v>#N/A</v>
      </c>
      <c r="AG50" s="558" t="str">
        <f>IFERROR(__xludf.DUMMYFUNCTION("IF(VALUE(SUBSTITUTE(REGEXEXTRACT(AG14,""동(.+)""),""호"",""""))&gt;=400,""O"",""X"")"),"#N/A")</f>
        <v>#N/A</v>
      </c>
      <c r="AH50" s="558" t="str">
        <f>IFERROR(__xludf.DUMMYFUNCTION("IF(VALUE(SUBSTITUTE(REGEXEXTRACT(AH14,""동(.+)""),""호"",""""))&gt;=400,""O"",""X"")"),"#N/A")</f>
        <v>#N/A</v>
      </c>
      <c r="AI50" s="558" t="str">
        <f>IFERROR(__xludf.DUMMYFUNCTION("IF(VALUE(SUBSTITUTE(REGEXEXTRACT(AI14,""동(.+)""),""호"",""""))&gt;=400,""O"",""X"")"),"#N/A")</f>
        <v>#N/A</v>
      </c>
      <c r="AJ50" s="558" t="str">
        <f>IFERROR(__xludf.DUMMYFUNCTION("IF(VALUE(SUBSTITUTE(REGEXEXTRACT(AJ14,""동(.+)""),""호"",""""))&gt;=400,""O"",""X"")"),"#N/A")</f>
        <v>#N/A</v>
      </c>
      <c r="AK50" s="558" t="str">
        <f>IFERROR(__xludf.DUMMYFUNCTION("IF(VALUE(SUBSTITUTE(REGEXEXTRACT(AK14,""동(.+)""),""호"",""""))&gt;=400,""O"",""X"")"),"#N/A")</f>
        <v>#N/A</v>
      </c>
      <c r="AL50" s="558" t="str">
        <f>IFERROR(__xludf.DUMMYFUNCTION("IF(VALUE(SUBSTITUTE(REGEXEXTRACT(AL14,""동(.+)""),""호"",""""))&gt;=400,""O"",""X"")"),"#N/A")</f>
        <v>#N/A</v>
      </c>
      <c r="AM50" s="558" t="str">
        <f>IFERROR(__xludf.DUMMYFUNCTION("IF(VALUE(SUBSTITUTE(REGEXEXTRACT(AM14,""동(.+)""),""호"",""""))&gt;=400,""O"",""X"")"),"#N/A")</f>
        <v>#N/A</v>
      </c>
      <c r="AN50" s="558" t="str">
        <f>IFERROR(__xludf.DUMMYFUNCTION("IF(VALUE(SUBSTITUTE(REGEXEXTRACT(AN14,""동(.+)""),""호"",""""))&gt;=400,""O"",""X"")"),"#N/A")</f>
        <v>#N/A</v>
      </c>
      <c r="AO50" s="558" t="str">
        <f>IFERROR(__xludf.DUMMYFUNCTION("IF(VALUE(SUBSTITUTE(REGEXEXTRACT(AO14,""동(.+)""),""호"",""""))&gt;=400,""O"",""X"")"),"#N/A")</f>
        <v>#N/A</v>
      </c>
      <c r="AP50" s="558" t="str">
        <f>IFERROR(__xludf.DUMMYFUNCTION("IF(VALUE(SUBSTITUTE(REGEXEXTRACT(AP14,""동(.+)""),""호"",""""))&gt;=400,""O"",""X"")"),"#N/A")</f>
        <v>#N/A</v>
      </c>
      <c r="AQ50" s="558" t="str">
        <f>IFERROR(__xludf.DUMMYFUNCTION("IF(VALUE(SUBSTITUTE(REGEXEXTRACT(AQ14,""동(.+)""),""호"",""""))&gt;=400,""O"",""X"")"),"#N/A")</f>
        <v>#N/A</v>
      </c>
      <c r="AR50" s="558" t="str">
        <f>IFERROR(__xludf.DUMMYFUNCTION("IF(VALUE(SUBSTITUTE(REGEXEXTRACT(AR14,""동(.+)""),""호"",""""))&gt;=400,""O"",""X"")"),"#N/A")</f>
        <v>#N/A</v>
      </c>
      <c r="AS50" s="558" t="str">
        <f>IFERROR(__xludf.DUMMYFUNCTION("IF(VALUE(SUBSTITUTE(REGEXEXTRACT(AS14,""동(.+)""),""호"",""""))&gt;=400,""O"",""X"")"),"#N/A")</f>
        <v>#N/A</v>
      </c>
      <c r="AT50" s="558" t="str">
        <f>IFERROR(__xludf.DUMMYFUNCTION("IF(VALUE(SUBSTITUTE(REGEXEXTRACT(AT14,""동(.+)""),""호"",""""))&gt;=400,""O"",""X"")"),"#N/A")</f>
        <v>#N/A</v>
      </c>
      <c r="AU50" s="558" t="str">
        <f>IFERROR(__xludf.DUMMYFUNCTION("IF(VALUE(SUBSTITUTE(REGEXEXTRACT(AU14,""동(.+)""),""호"",""""))&gt;=400,""O"",""X"")"),"#N/A")</f>
        <v>#N/A</v>
      </c>
      <c r="AV50" s="558" t="str">
        <f>IFERROR(__xludf.DUMMYFUNCTION("IF(VALUE(SUBSTITUTE(REGEXEXTRACT(AV14,""동(.+)""),""호"",""""))&gt;=400,""O"",""X"")"),"#N/A")</f>
        <v>#N/A</v>
      </c>
      <c r="AW50" s="558" t="str">
        <f>IFERROR(__xludf.DUMMYFUNCTION("IF(VALUE(SUBSTITUTE(REGEXEXTRACT(AW14,""동(.+)""),""호"",""""))&gt;=400,""O"",""X"")"),"#N/A")</f>
        <v>#N/A</v>
      </c>
      <c r="AX50" s="558" t="str">
        <f>IFERROR(__xludf.DUMMYFUNCTION("IF(VALUE(SUBSTITUTE(REGEXEXTRACT(AX14,""동(.+)""),""호"",""""))&gt;=400,""O"",""X"")"),"#N/A")</f>
        <v>#N/A</v>
      </c>
      <c r="AY50" s="558" t="str">
        <f>IFERROR(__xludf.DUMMYFUNCTION("IF(VALUE(SUBSTITUTE(REGEXEXTRACT(AY14,""동(.+)""),""호"",""""))&gt;=400,""O"",""X"")"),"#N/A")</f>
        <v>#N/A</v>
      </c>
      <c r="AZ50" s="558" t="str">
        <f>IFERROR(__xludf.DUMMYFUNCTION("IF(VALUE(SUBSTITUTE(REGEXEXTRACT(AZ14,""동(.+)""),""호"",""""))&gt;=400,""O"",""X"")"),"#N/A")</f>
        <v>#N/A</v>
      </c>
      <c r="BA50" s="558" t="str">
        <f>IFERROR(__xludf.DUMMYFUNCTION("IF(VALUE(SUBSTITUTE(REGEXEXTRACT(BA14,""동(.+)""),""호"",""""))&gt;=400,""O"",""X"")"),"#N/A")</f>
        <v>#N/A</v>
      </c>
      <c r="BB50" s="558" t="str">
        <f>IFERROR(__xludf.DUMMYFUNCTION("IF(VALUE(SUBSTITUTE(REGEXEXTRACT(BB14,""동(.+)""),""호"",""""))&gt;=400,""O"",""X"")"),"#N/A")</f>
        <v>#N/A</v>
      </c>
      <c r="BC50" s="558" t="str">
        <f>IFERROR(__xludf.DUMMYFUNCTION("IF(VALUE(SUBSTITUTE(REGEXEXTRACT(BC14,""동(.+)""),""호"",""""))&gt;=400,""O"",""X"")"),"#N/A")</f>
        <v>#N/A</v>
      </c>
      <c r="BD50" s="558" t="str">
        <f>IFERROR(__xludf.DUMMYFUNCTION("IF(VALUE(SUBSTITUTE(REGEXEXTRACT(BD14,""동(.+)""),""호"",""""))&gt;=400,""O"",""X"")"),"#N/A")</f>
        <v>#N/A</v>
      </c>
      <c r="BE50" s="558" t="str">
        <f>IFERROR(__xludf.DUMMYFUNCTION("IF(VALUE(SUBSTITUTE(REGEXEXTRACT(BE14,""동(.+)""),""호"",""""))&gt;=400,""O"",""X"")"),"#N/A")</f>
        <v>#N/A</v>
      </c>
      <c r="BF50" s="558" t="str">
        <f>IFERROR(__xludf.DUMMYFUNCTION("IF(VALUE(SUBSTITUTE(REGEXEXTRACT(BF14,""동(.+)""),""호"",""""))&gt;=400,""O"",""X"")"),"#N/A")</f>
        <v>#N/A</v>
      </c>
      <c r="BG50" s="558" t="str">
        <f>IFERROR(__xludf.DUMMYFUNCTION("IF(VALUE(SUBSTITUTE(REGEXEXTRACT(BG14,""동(.+)""),""호"",""""))&gt;=400,""O"",""X"")"),"#N/A")</f>
        <v>#N/A</v>
      </c>
      <c r="BH50" s="558" t="str">
        <f>IFERROR(__xludf.DUMMYFUNCTION("IF(VALUE(SUBSTITUTE(REGEXEXTRACT(BH14,""동(.+)""),""호"",""""))&gt;=400,""O"",""X"")"),"#N/A")</f>
        <v>#N/A</v>
      </c>
      <c r="BI50" s="558" t="str">
        <f>IFERROR(__xludf.DUMMYFUNCTION("IF(VALUE(SUBSTITUTE(REGEXEXTRACT(BI14,""동(.+)""),""호"",""""))&gt;=400,""O"",""X"")"),"#N/A")</f>
        <v>#N/A</v>
      </c>
      <c r="BJ50" s="558" t="str">
        <f>IFERROR(__xludf.DUMMYFUNCTION("IF(VALUE(SUBSTITUTE(REGEXEXTRACT(BJ14,""동(.+)""),""호"",""""))&gt;=400,""O"",""X"")"),"#N/A")</f>
        <v>#N/A</v>
      </c>
      <c r="BK50" s="558" t="str">
        <f>IFERROR(__xludf.DUMMYFUNCTION("IF(VALUE(SUBSTITUTE(REGEXEXTRACT(BK14,""동(.+)""),""호"",""""))&gt;=400,""O"",""X"")"),"#N/A")</f>
        <v>#N/A</v>
      </c>
      <c r="BL50" s="558" t="str">
        <f>IFERROR(__xludf.DUMMYFUNCTION("IF(VALUE(SUBSTITUTE(REGEXEXTRACT(BL14,""동(.+)""),""호"",""""))&gt;=400,""O"",""X"")"),"#N/A")</f>
        <v>#N/A</v>
      </c>
      <c r="BM50" s="558" t="str">
        <f>IFERROR(__xludf.DUMMYFUNCTION("IF(VALUE(SUBSTITUTE(REGEXEXTRACT(BM14,""동(.+)""),""호"",""""))&gt;=400,""O"",""X"")"),"#N/A")</f>
        <v>#N/A</v>
      </c>
      <c r="BN50" s="558" t="str">
        <f>IFERROR(__xludf.DUMMYFUNCTION("IF(VALUE(SUBSTITUTE(REGEXEXTRACT(BN14,""동(.+)""),""호"",""""))&gt;=400,""O"",""X"")"),"#N/A")</f>
        <v>#N/A</v>
      </c>
      <c r="BO50" s="558" t="str">
        <f>IFERROR(__xludf.DUMMYFUNCTION("IF(VALUE(SUBSTITUTE(REGEXEXTRACT(BO14,""동(.+)""),""호"",""""))&gt;=400,""O"",""X"")"),"#N/A")</f>
        <v>#N/A</v>
      </c>
      <c r="BP50" s="558" t="str">
        <f>IFERROR(__xludf.DUMMYFUNCTION("IF(VALUE(SUBSTITUTE(REGEXEXTRACT(BP14,""동(.+)""),""호"",""""))&gt;=400,""O"",""X"")"),"#N/A")</f>
        <v>#N/A</v>
      </c>
      <c r="BQ50" s="558" t="str">
        <f>IFERROR(__xludf.DUMMYFUNCTION("IF(VALUE(SUBSTITUTE(REGEXEXTRACT(BQ14,""동(.+)""),""호"",""""))&gt;=400,""O"",""X"")"),"#N/A")</f>
        <v>#N/A</v>
      </c>
      <c r="BR50" s="558" t="str">
        <f>IFERROR(__xludf.DUMMYFUNCTION("IF(VALUE(SUBSTITUTE(REGEXEXTRACT(BR14,""동(.+)""),""호"",""""))&gt;=400,""O"",""X"")"),"#N/A")</f>
        <v>#N/A</v>
      </c>
      <c r="BS50" s="558" t="str">
        <f>IFERROR(__xludf.DUMMYFUNCTION("IF(VALUE(SUBSTITUTE(REGEXEXTRACT(BS14,""동(.+)""),""호"",""""))&gt;=400,""O"",""X"")"),"#N/A")</f>
        <v>#N/A</v>
      </c>
      <c r="BT50" s="558" t="str">
        <f>IFERROR(__xludf.DUMMYFUNCTION("IF(VALUE(SUBSTITUTE(REGEXEXTRACT(BT14,""동(.+)""),""호"",""""))&gt;=400,""O"",""X"")"),"#N/A")</f>
        <v>#N/A</v>
      </c>
      <c r="BU50" s="558" t="str">
        <f>IFERROR(__xludf.DUMMYFUNCTION("IF(VALUE(SUBSTITUTE(REGEXEXTRACT(BU14,""동(.+)""),""호"",""""))&gt;=400,""O"",""X"")"),"#N/A")</f>
        <v>#N/A</v>
      </c>
      <c r="BV50" s="558" t="str">
        <f>IFERROR(__xludf.DUMMYFUNCTION("IF(VALUE(SUBSTITUTE(REGEXEXTRACT(BV14,""동(.+)""),""호"",""""))&gt;=400,""O"",""X"")"),"#N/A")</f>
        <v>#N/A</v>
      </c>
      <c r="BW50" s="558" t="str">
        <f>IFERROR(__xludf.DUMMYFUNCTION("IF(VALUE(SUBSTITUTE(REGEXEXTRACT(BW14,""동(.+)""),""호"",""""))&gt;=400,""O"",""X"")"),"#N/A")</f>
        <v>#N/A</v>
      </c>
      <c r="BX50" s="558" t="str">
        <f>IFERROR(__xludf.DUMMYFUNCTION("IF(VALUE(SUBSTITUTE(REGEXEXTRACT(BX14,""동(.+)""),""호"",""""))&gt;=400,""O"",""X"")"),"#N/A")</f>
        <v>#N/A</v>
      </c>
      <c r="BY50" s="558" t="str">
        <f>IFERROR(__xludf.DUMMYFUNCTION("IF(VALUE(SUBSTITUTE(REGEXEXTRACT(BY14,""동(.+)""),""호"",""""))&gt;=400,""O"",""X"")"),"#N/A")</f>
        <v>#N/A</v>
      </c>
      <c r="BZ50" s="558" t="str">
        <f>IFERROR(__xludf.DUMMYFUNCTION("IF(VALUE(SUBSTITUTE(REGEXEXTRACT(BZ14,""동(.+)""),""호"",""""))&gt;=400,""O"",""X"")"),"#N/A")</f>
        <v>#N/A</v>
      </c>
      <c r="CA50" s="558" t="str">
        <f>IFERROR(__xludf.DUMMYFUNCTION("IF(VALUE(SUBSTITUTE(REGEXEXTRACT(CA14,""동(.+)""),""호"",""""))&gt;=400,""O"",""X"")"),"#N/A")</f>
        <v>#N/A</v>
      </c>
      <c r="CB50" s="558" t="str">
        <f>IFERROR(__xludf.DUMMYFUNCTION("IF(VALUE(SUBSTITUTE(REGEXEXTRACT(CB14,""동(.+)""),""호"",""""))&gt;=400,""O"",""X"")"),"#N/A")</f>
        <v>#N/A</v>
      </c>
      <c r="CC50" s="558" t="str">
        <f>IFERROR(__xludf.DUMMYFUNCTION("IF(VALUE(SUBSTITUTE(REGEXEXTRACT(CC14,""동(.+)""),""호"",""""))&gt;=400,""O"",""X"")"),"#N/A")</f>
        <v>#N/A</v>
      </c>
      <c r="CD50" s="558" t="str">
        <f>IFERROR(__xludf.DUMMYFUNCTION("IF(VALUE(SUBSTITUTE(REGEXEXTRACT(CD14,""동(.+)""),""호"",""""))&gt;=400,""O"",""X"")"),"#N/A")</f>
        <v>#N/A</v>
      </c>
      <c r="CE50" s="558" t="str">
        <f>IFERROR(__xludf.DUMMYFUNCTION("IF(VALUE(SUBSTITUTE(REGEXEXTRACT(CE14,""동(.+)""),""호"",""""))&gt;=400,""O"",""X"")"),"#N/A")</f>
        <v>#N/A</v>
      </c>
      <c r="CF50" s="558" t="str">
        <f>IFERROR(__xludf.DUMMYFUNCTION("IF(VALUE(SUBSTITUTE(REGEXEXTRACT(CF14,""동(.+)""),""호"",""""))&gt;=400,""O"",""X"")"),"#N/A")</f>
        <v>#N/A</v>
      </c>
      <c r="CG50" s="558" t="str">
        <f>IFERROR(__xludf.DUMMYFUNCTION("IF(VALUE(SUBSTITUTE(REGEXEXTRACT(CG14,""동(.+)""),""호"",""""))&gt;=400,""O"",""X"")"),"#N/A")</f>
        <v>#N/A</v>
      </c>
      <c r="CH50" s="558" t="str">
        <f>IFERROR(__xludf.DUMMYFUNCTION("IF(VALUE(SUBSTITUTE(REGEXEXTRACT(CH14,""동(.+)""),""호"",""""))&gt;=400,""O"",""X"")"),"#N/A")</f>
        <v>#N/A</v>
      </c>
      <c r="CI50" s="558" t="str">
        <f>IFERROR(__xludf.DUMMYFUNCTION("IF(VALUE(SUBSTITUTE(REGEXEXTRACT(CI14,""동(.+)""),""호"",""""))&gt;=400,""O"",""X"")"),"#N/A")</f>
        <v>#N/A</v>
      </c>
      <c r="CJ50" s="558" t="str">
        <f>IFERROR(__xludf.DUMMYFUNCTION("IF(VALUE(SUBSTITUTE(REGEXEXTRACT(CJ14,""동(.+)""),""호"",""""))&gt;=400,""O"",""X"")"),"#N/A")</f>
        <v>#N/A</v>
      </c>
      <c r="CK50" s="558" t="str">
        <f>IFERROR(__xludf.DUMMYFUNCTION("IF(VALUE(SUBSTITUTE(REGEXEXTRACT(CK14,""동(.+)""),""호"",""""))&gt;=400,""O"",""X"")"),"#N/A")</f>
        <v>#N/A</v>
      </c>
      <c r="CL50" s="558" t="str">
        <f>IFERROR(__xludf.DUMMYFUNCTION("IF(VALUE(SUBSTITUTE(REGEXEXTRACT(CL14,""동(.+)""),""호"",""""))&gt;=400,""O"",""X"")"),"#N/A")</f>
        <v>#N/A</v>
      </c>
      <c r="CM50" s="558" t="str">
        <f>IFERROR(__xludf.DUMMYFUNCTION("IF(VALUE(SUBSTITUTE(REGEXEXTRACT(CM14,""동(.+)""),""호"",""""))&gt;=400,""O"",""X"")"),"#N/A")</f>
        <v>#N/A</v>
      </c>
      <c r="CN50" s="558" t="str">
        <f>IFERROR(__xludf.DUMMYFUNCTION("IF(VALUE(SUBSTITUTE(REGEXEXTRACT(CN14,""동(.+)""),""호"",""""))&gt;=400,""O"",""X"")"),"#N/A")</f>
        <v>#N/A</v>
      </c>
      <c r="CO50" s="558" t="str">
        <f>IFERROR(__xludf.DUMMYFUNCTION("IF(VALUE(SUBSTITUTE(REGEXEXTRACT(CO14,""동(.+)""),""호"",""""))&gt;=400,""O"",""X"")"),"#N/A")</f>
        <v>#N/A</v>
      </c>
      <c r="CP50" s="558" t="str">
        <f>IFERROR(__xludf.DUMMYFUNCTION("IF(VALUE(SUBSTITUTE(REGEXEXTRACT(CP14,""동(.+)""),""호"",""""))&gt;=400,""O"",""X"")"),"#N/A")</f>
        <v>#N/A</v>
      </c>
      <c r="CQ50" s="558" t="str">
        <f>IFERROR(__xludf.DUMMYFUNCTION("IF(VALUE(SUBSTITUTE(REGEXEXTRACT(CQ14,""동(.+)""),""호"",""""))&gt;=400,""O"",""X"")"),"#N/A")</f>
        <v>#N/A</v>
      </c>
      <c r="CR50" s="558" t="str">
        <f>IFERROR(__xludf.DUMMYFUNCTION("IF(VALUE(SUBSTITUTE(REGEXEXTRACT(CR14,""동(.+)""),""호"",""""))&gt;=400,""O"",""X"")"),"#N/A")</f>
        <v>#N/A</v>
      </c>
      <c r="CS50" s="558" t="str">
        <f>IFERROR(__xludf.DUMMYFUNCTION("IF(VALUE(SUBSTITUTE(REGEXEXTRACT(CS14,""동(.+)""),""호"",""""))&gt;=400,""O"",""X"")"),"#N/A")</f>
        <v>#N/A</v>
      </c>
      <c r="CT50" s="558" t="str">
        <f>IFERROR(__xludf.DUMMYFUNCTION("IF(VALUE(SUBSTITUTE(REGEXEXTRACT(CT14,""동(.+)""),""호"",""""))&gt;=400,""O"",""X"")"),"#N/A")</f>
        <v>#N/A</v>
      </c>
      <c r="CU50" s="558" t="str">
        <f>IFERROR(__xludf.DUMMYFUNCTION("IF(VALUE(SUBSTITUTE(REGEXEXTRACT(CU14,""동(.+)""),""호"",""""))&gt;=400,""O"",""X"")"),"#N/A")</f>
        <v>#N/A</v>
      </c>
      <c r="CV50" s="558" t="str">
        <f>IFERROR(__xludf.DUMMYFUNCTION("IF(VALUE(SUBSTITUTE(REGEXEXTRACT(CV14,""동(.+)""),""호"",""""))&gt;=400,""O"",""X"")"),"#N/A")</f>
        <v>#N/A</v>
      </c>
      <c r="CW50" s="558" t="str">
        <f>IFERROR(__xludf.DUMMYFUNCTION("IF(VALUE(SUBSTITUTE(REGEXEXTRACT(CW14,""동(.+)""),""호"",""""))&gt;=400,""O"",""X"")"),"#N/A")</f>
        <v>#N/A</v>
      </c>
      <c r="CX50" s="558" t="str">
        <f>IFERROR(__xludf.DUMMYFUNCTION("IF(VALUE(SUBSTITUTE(REGEXEXTRACT(CX14,""동(.+)""),""호"",""""))&gt;=400,""O"",""X"")"),"#N/A")</f>
        <v>#N/A</v>
      </c>
    </row>
    <row r="51" ht="30.0" customHeight="1" outlineLevel="1">
      <c r="A51" s="468"/>
      <c r="B51" s="95"/>
      <c r="C51" s="476" t="s">
        <v>1412</v>
      </c>
      <c r="D51" s="559" t="s">
        <v>189</v>
      </c>
      <c r="E51" s="543"/>
      <c r="F51" s="543"/>
      <c r="G51" s="543"/>
      <c r="H51" s="543"/>
      <c r="I51" s="543"/>
      <c r="J51" s="543"/>
      <c r="K51" s="543"/>
      <c r="L51" s="543"/>
      <c r="M51" s="543"/>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c r="AN51" s="543"/>
      <c r="AO51" s="543"/>
      <c r="AP51" s="543"/>
      <c r="AQ51" s="543"/>
      <c r="AR51" s="543"/>
      <c r="AS51" s="543"/>
      <c r="AT51" s="543"/>
      <c r="AU51" s="543"/>
      <c r="AV51" s="543"/>
      <c r="AW51" s="543"/>
      <c r="AX51" s="543"/>
      <c r="AY51" s="543"/>
      <c r="AZ51" s="543"/>
      <c r="BA51" s="543"/>
      <c r="BB51" s="543"/>
      <c r="BC51" s="543"/>
      <c r="BD51" s="543"/>
      <c r="BE51" s="543"/>
      <c r="BF51" s="543"/>
      <c r="BG51" s="543"/>
      <c r="BH51" s="543"/>
      <c r="BI51" s="543"/>
      <c r="BJ51" s="543"/>
      <c r="BK51" s="543"/>
      <c r="BL51" s="543"/>
      <c r="BM51" s="543"/>
      <c r="BN51" s="543"/>
      <c r="BO51" s="543"/>
      <c r="BP51" s="543"/>
      <c r="BQ51" s="543"/>
      <c r="BR51" s="543"/>
      <c r="BS51" s="543"/>
      <c r="BT51" s="543"/>
      <c r="BU51" s="543"/>
      <c r="BV51" s="543"/>
      <c r="BW51" s="543"/>
      <c r="BX51" s="543"/>
      <c r="BY51" s="543"/>
      <c r="BZ51" s="543"/>
      <c r="CA51" s="543"/>
      <c r="CB51" s="543"/>
      <c r="CC51" s="543"/>
      <c r="CD51" s="543"/>
      <c r="CE51" s="543"/>
      <c r="CF51" s="543"/>
      <c r="CG51" s="543"/>
      <c r="CH51" s="543"/>
      <c r="CI51" s="543"/>
      <c r="CJ51" s="543"/>
      <c r="CK51" s="543"/>
      <c r="CL51" s="543"/>
      <c r="CM51" s="543"/>
      <c r="CN51" s="543"/>
      <c r="CO51" s="543"/>
      <c r="CP51" s="543"/>
      <c r="CQ51" s="543"/>
      <c r="CR51" s="543"/>
      <c r="CS51" s="543"/>
      <c r="CT51" s="543"/>
      <c r="CU51" s="543"/>
      <c r="CV51" s="543"/>
      <c r="CW51" s="543"/>
      <c r="CX51" s="543"/>
    </row>
    <row r="52" ht="30.0" customHeight="1" outlineLevel="1">
      <c r="A52" s="468"/>
      <c r="B52" s="95"/>
      <c r="C52" s="476" t="s">
        <v>1413</v>
      </c>
      <c r="D52" s="559" t="s">
        <v>189</v>
      </c>
      <c r="E52" s="560"/>
      <c r="F52" s="560"/>
      <c r="G52" s="560"/>
      <c r="H52" s="560"/>
      <c r="I52" s="560"/>
      <c r="J52" s="560"/>
      <c r="K52" s="560"/>
      <c r="L52" s="560"/>
      <c r="M52" s="560"/>
      <c r="N52" s="560"/>
      <c r="O52" s="560"/>
      <c r="P52" s="560"/>
      <c r="Q52" s="560"/>
      <c r="R52" s="560"/>
      <c r="S52" s="560"/>
      <c r="T52" s="560"/>
      <c r="U52" s="560"/>
      <c r="V52" s="560"/>
      <c r="W52" s="560"/>
      <c r="X52" s="560"/>
      <c r="Y52" s="560"/>
      <c r="Z52" s="560"/>
      <c r="AA52" s="560"/>
      <c r="AB52" s="560"/>
      <c r="AC52" s="560"/>
      <c r="AD52" s="560"/>
      <c r="AE52" s="560"/>
      <c r="AF52" s="560"/>
      <c r="AG52" s="560"/>
      <c r="AH52" s="560"/>
      <c r="AI52" s="560"/>
      <c r="AJ52" s="560"/>
      <c r="AK52" s="560"/>
      <c r="AL52" s="560"/>
      <c r="AM52" s="560"/>
      <c r="AN52" s="560"/>
      <c r="AO52" s="560"/>
      <c r="AP52" s="560"/>
      <c r="AQ52" s="560"/>
      <c r="AR52" s="560"/>
      <c r="AS52" s="560"/>
      <c r="AT52" s="560"/>
      <c r="AU52" s="560"/>
      <c r="AV52" s="560"/>
      <c r="AW52" s="560"/>
      <c r="AX52" s="560"/>
      <c r="AY52" s="560"/>
      <c r="AZ52" s="560"/>
      <c r="BA52" s="560"/>
      <c r="BB52" s="560"/>
      <c r="BC52" s="560"/>
      <c r="BD52" s="560"/>
      <c r="BE52" s="560"/>
      <c r="BF52" s="560"/>
      <c r="BG52" s="560"/>
      <c r="BH52" s="560"/>
      <c r="BI52" s="560"/>
      <c r="BJ52" s="560"/>
      <c r="BK52" s="560"/>
      <c r="BL52" s="560"/>
      <c r="BM52" s="560"/>
      <c r="BN52" s="560"/>
      <c r="BO52" s="560"/>
      <c r="BP52" s="560"/>
      <c r="BQ52" s="560"/>
      <c r="BR52" s="560"/>
      <c r="BS52" s="560"/>
      <c r="BT52" s="560"/>
      <c r="BU52" s="560"/>
      <c r="BV52" s="560"/>
      <c r="BW52" s="560"/>
      <c r="BX52" s="560"/>
      <c r="BY52" s="560"/>
      <c r="BZ52" s="560"/>
      <c r="CA52" s="560"/>
      <c r="CB52" s="560"/>
      <c r="CC52" s="560"/>
      <c r="CD52" s="560"/>
      <c r="CE52" s="560"/>
      <c r="CF52" s="560"/>
      <c r="CG52" s="560"/>
      <c r="CH52" s="560"/>
      <c r="CI52" s="560"/>
      <c r="CJ52" s="560"/>
      <c r="CK52" s="560"/>
      <c r="CL52" s="560"/>
      <c r="CM52" s="560"/>
      <c r="CN52" s="560"/>
      <c r="CO52" s="560"/>
      <c r="CP52" s="560"/>
      <c r="CQ52" s="560"/>
      <c r="CR52" s="560"/>
      <c r="CS52" s="560"/>
      <c r="CT52" s="560"/>
      <c r="CU52" s="560"/>
      <c r="CV52" s="560"/>
      <c r="CW52" s="560"/>
      <c r="CX52" s="560"/>
    </row>
    <row r="53" ht="30.0" customHeight="1" outlineLevel="1">
      <c r="A53" s="468"/>
      <c r="B53" s="95"/>
      <c r="C53" s="476" t="s">
        <v>1414</v>
      </c>
      <c r="D53" s="559" t="s">
        <v>189</v>
      </c>
      <c r="E53" s="560"/>
      <c r="F53" s="560"/>
      <c r="G53" s="560"/>
      <c r="H53" s="560"/>
      <c r="I53" s="560"/>
      <c r="J53" s="560"/>
      <c r="K53" s="560"/>
      <c r="L53" s="560"/>
      <c r="M53" s="560"/>
      <c r="N53" s="560"/>
      <c r="O53" s="560"/>
      <c r="P53" s="560"/>
      <c r="Q53" s="560"/>
      <c r="R53" s="560"/>
      <c r="S53" s="560"/>
      <c r="T53" s="560"/>
      <c r="U53" s="560"/>
      <c r="V53" s="560"/>
      <c r="W53" s="560"/>
      <c r="X53" s="560"/>
      <c r="Y53" s="560"/>
      <c r="Z53" s="560"/>
      <c r="AA53" s="560"/>
      <c r="AB53" s="560"/>
      <c r="AC53" s="560"/>
      <c r="AD53" s="560"/>
      <c r="AE53" s="560"/>
      <c r="AF53" s="560"/>
      <c r="AG53" s="560"/>
      <c r="AH53" s="560"/>
      <c r="AI53" s="560"/>
      <c r="AJ53" s="560"/>
      <c r="AK53" s="560"/>
      <c r="AL53" s="560"/>
      <c r="AM53" s="560"/>
      <c r="AN53" s="560"/>
      <c r="AO53" s="560"/>
      <c r="AP53" s="560"/>
      <c r="AQ53" s="560"/>
      <c r="AR53" s="560"/>
      <c r="AS53" s="560"/>
      <c r="AT53" s="560"/>
      <c r="AU53" s="560"/>
      <c r="AV53" s="560"/>
      <c r="AW53" s="560"/>
      <c r="AX53" s="560"/>
      <c r="AY53" s="560"/>
      <c r="AZ53" s="560"/>
      <c r="BA53" s="560"/>
      <c r="BB53" s="560"/>
      <c r="BC53" s="560"/>
      <c r="BD53" s="560"/>
      <c r="BE53" s="560"/>
      <c r="BF53" s="560"/>
      <c r="BG53" s="560"/>
      <c r="BH53" s="560"/>
      <c r="BI53" s="560"/>
      <c r="BJ53" s="560"/>
      <c r="BK53" s="560"/>
      <c r="BL53" s="560"/>
      <c r="BM53" s="560"/>
      <c r="BN53" s="560"/>
      <c r="BO53" s="560"/>
      <c r="BP53" s="560"/>
      <c r="BQ53" s="560"/>
      <c r="BR53" s="560"/>
      <c r="BS53" s="560"/>
      <c r="BT53" s="560"/>
      <c r="BU53" s="560"/>
      <c r="BV53" s="560"/>
      <c r="BW53" s="560"/>
      <c r="BX53" s="560"/>
      <c r="BY53" s="560"/>
      <c r="BZ53" s="560"/>
      <c r="CA53" s="560"/>
      <c r="CB53" s="560"/>
      <c r="CC53" s="560"/>
      <c r="CD53" s="560"/>
      <c r="CE53" s="560"/>
      <c r="CF53" s="560"/>
      <c r="CG53" s="560"/>
      <c r="CH53" s="560"/>
      <c r="CI53" s="560"/>
      <c r="CJ53" s="560"/>
      <c r="CK53" s="560"/>
      <c r="CL53" s="560"/>
      <c r="CM53" s="560"/>
      <c r="CN53" s="560"/>
      <c r="CO53" s="560"/>
      <c r="CP53" s="560"/>
      <c r="CQ53" s="560"/>
      <c r="CR53" s="560"/>
      <c r="CS53" s="560"/>
      <c r="CT53" s="560"/>
      <c r="CU53" s="560"/>
      <c r="CV53" s="560"/>
      <c r="CW53" s="560"/>
      <c r="CX53" s="560"/>
    </row>
    <row r="54" ht="30.0" customHeight="1" outlineLevel="1">
      <c r="A54" s="468"/>
      <c r="B54" s="164"/>
      <c r="C54" s="476" t="s">
        <v>1415</v>
      </c>
      <c r="D54" s="559" t="s">
        <v>189</v>
      </c>
      <c r="E54" s="543"/>
      <c r="F54" s="543"/>
      <c r="G54" s="543"/>
      <c r="H54" s="543"/>
      <c r="I54" s="543"/>
      <c r="J54" s="543"/>
      <c r="K54" s="543"/>
      <c r="L54" s="543"/>
      <c r="M54" s="543"/>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43"/>
      <c r="AS54" s="543"/>
      <c r="AT54" s="543"/>
      <c r="AU54" s="543"/>
      <c r="AV54" s="543"/>
      <c r="AW54" s="543"/>
      <c r="AX54" s="543"/>
      <c r="AY54" s="543"/>
      <c r="AZ54" s="543"/>
      <c r="BA54" s="543"/>
      <c r="BB54" s="543"/>
      <c r="BC54" s="543"/>
      <c r="BD54" s="543"/>
      <c r="BE54" s="543"/>
      <c r="BF54" s="543"/>
      <c r="BG54" s="543"/>
      <c r="BH54" s="543"/>
      <c r="BI54" s="543"/>
      <c r="BJ54" s="543"/>
      <c r="BK54" s="543"/>
      <c r="BL54" s="543"/>
      <c r="BM54" s="543"/>
      <c r="BN54" s="543"/>
      <c r="BO54" s="543"/>
      <c r="BP54" s="543"/>
      <c r="BQ54" s="543"/>
      <c r="BR54" s="543"/>
      <c r="BS54" s="543"/>
      <c r="BT54" s="543"/>
      <c r="BU54" s="543"/>
      <c r="BV54" s="543"/>
      <c r="BW54" s="543"/>
      <c r="BX54" s="543"/>
      <c r="BY54" s="543"/>
      <c r="BZ54" s="543"/>
      <c r="CA54" s="543"/>
      <c r="CB54" s="543"/>
      <c r="CC54" s="543"/>
      <c r="CD54" s="543"/>
      <c r="CE54" s="543"/>
      <c r="CF54" s="543"/>
      <c r="CG54" s="543"/>
      <c r="CH54" s="543"/>
      <c r="CI54" s="543"/>
      <c r="CJ54" s="543"/>
      <c r="CK54" s="543"/>
      <c r="CL54" s="543"/>
      <c r="CM54" s="543"/>
      <c r="CN54" s="543"/>
      <c r="CO54" s="543"/>
      <c r="CP54" s="543"/>
      <c r="CQ54" s="543"/>
      <c r="CR54" s="543"/>
      <c r="CS54" s="543"/>
      <c r="CT54" s="543"/>
      <c r="CU54" s="543"/>
      <c r="CV54" s="543"/>
      <c r="CW54" s="543"/>
      <c r="CX54" s="543"/>
    </row>
    <row r="55" ht="30.0" customHeight="1" outlineLevel="1">
      <c r="A55" s="469"/>
      <c r="B55" s="525" t="s">
        <v>1416</v>
      </c>
      <c r="C55" s="473" t="s">
        <v>1417</v>
      </c>
      <c r="D55" s="473" t="s">
        <v>1418</v>
      </c>
      <c r="E55" s="473"/>
      <c r="F55" s="473"/>
      <c r="G55" s="473"/>
      <c r="H55" s="473"/>
      <c r="I55" s="473"/>
      <c r="J55" s="473"/>
      <c r="K55" s="473"/>
      <c r="L55" s="473"/>
      <c r="M55" s="473"/>
      <c r="N55" s="473"/>
      <c r="O55" s="473"/>
      <c r="P55" s="473"/>
      <c r="Q55" s="473"/>
      <c r="R55" s="473"/>
      <c r="S55" s="473"/>
      <c r="T55" s="473"/>
      <c r="U55" s="473"/>
      <c r="V55" s="473"/>
      <c r="W55" s="473"/>
      <c r="X55" s="473"/>
      <c r="Y55" s="473"/>
      <c r="Z55" s="473"/>
      <c r="AA55" s="473"/>
      <c r="AB55" s="473"/>
      <c r="AC55" s="473"/>
      <c r="AD55" s="473"/>
      <c r="AE55" s="473"/>
      <c r="AF55" s="473"/>
      <c r="AG55" s="473"/>
      <c r="AH55" s="473"/>
      <c r="AI55" s="473"/>
      <c r="AJ55" s="473"/>
      <c r="AK55" s="473"/>
      <c r="AL55" s="473"/>
      <c r="AM55" s="473"/>
      <c r="AN55" s="473"/>
      <c r="AO55" s="473"/>
      <c r="AP55" s="473"/>
      <c r="AQ55" s="473"/>
      <c r="AR55" s="473"/>
      <c r="AS55" s="473"/>
      <c r="AT55" s="473"/>
      <c r="AU55" s="473"/>
      <c r="AV55" s="473"/>
      <c r="AW55" s="473"/>
      <c r="AX55" s="473"/>
      <c r="AY55" s="473"/>
      <c r="AZ55" s="473"/>
      <c r="BA55" s="473"/>
      <c r="BB55" s="473"/>
      <c r="BC55" s="473"/>
      <c r="BD55" s="473"/>
      <c r="BE55" s="473"/>
      <c r="BF55" s="473"/>
      <c r="BG55" s="473"/>
      <c r="BH55" s="473"/>
      <c r="BI55" s="473"/>
      <c r="BJ55" s="473"/>
      <c r="BK55" s="473"/>
      <c r="BL55" s="473"/>
      <c r="BM55" s="473"/>
      <c r="BN55" s="473"/>
      <c r="BO55" s="473"/>
      <c r="BP55" s="473"/>
      <c r="BQ55" s="473"/>
      <c r="BR55" s="473"/>
      <c r="BS55" s="473"/>
      <c r="BT55" s="473"/>
      <c r="BU55" s="473"/>
      <c r="BV55" s="473"/>
      <c r="BW55" s="473"/>
      <c r="BX55" s="473"/>
      <c r="BY55" s="473"/>
      <c r="BZ55" s="473"/>
      <c r="CA55" s="473"/>
      <c r="CB55" s="473"/>
      <c r="CC55" s="473"/>
      <c r="CD55" s="473"/>
      <c r="CE55" s="473"/>
      <c r="CF55" s="473"/>
      <c r="CG55" s="473"/>
      <c r="CH55" s="473"/>
      <c r="CI55" s="473"/>
      <c r="CJ55" s="473"/>
      <c r="CK55" s="473"/>
      <c r="CL55" s="473"/>
      <c r="CM55" s="473"/>
      <c r="CN55" s="473"/>
      <c r="CO55" s="473"/>
      <c r="CP55" s="473"/>
      <c r="CQ55" s="473"/>
      <c r="CR55" s="473"/>
      <c r="CS55" s="473"/>
      <c r="CT55" s="473"/>
      <c r="CU55" s="473"/>
      <c r="CV55" s="473"/>
      <c r="CW55" s="473"/>
      <c r="CX55" s="473"/>
    </row>
    <row r="56" ht="30.0" customHeight="1" outlineLevel="1">
      <c r="A56" s="469"/>
      <c r="B56" s="95"/>
      <c r="C56" s="501" t="s">
        <v>1419</v>
      </c>
      <c r="D56" s="501" t="s">
        <v>1420</v>
      </c>
      <c r="E56" s="501"/>
      <c r="F56" s="501"/>
      <c r="G56" s="501"/>
      <c r="H56" s="501"/>
      <c r="I56" s="501"/>
      <c r="J56" s="501"/>
      <c r="K56" s="501"/>
      <c r="L56" s="501"/>
      <c r="M56" s="501"/>
      <c r="N56" s="501"/>
      <c r="O56" s="501"/>
      <c r="P56" s="501"/>
      <c r="Q56" s="501"/>
      <c r="R56" s="501"/>
      <c r="S56" s="501"/>
      <c r="T56" s="501"/>
      <c r="U56" s="501"/>
      <c r="V56" s="501"/>
      <c r="W56" s="501"/>
      <c r="X56" s="501"/>
      <c r="Y56" s="501"/>
      <c r="Z56" s="501"/>
      <c r="AA56" s="501"/>
      <c r="AB56" s="501"/>
      <c r="AC56" s="501"/>
      <c r="AD56" s="501"/>
      <c r="AE56" s="501"/>
      <c r="AF56" s="501"/>
      <c r="AG56" s="501"/>
      <c r="AH56" s="501"/>
      <c r="AI56" s="501"/>
      <c r="AJ56" s="501"/>
      <c r="AK56" s="501"/>
      <c r="AL56" s="501"/>
      <c r="AM56" s="501"/>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1"/>
      <c r="BK56" s="501"/>
      <c r="BL56" s="501"/>
      <c r="BM56" s="501"/>
      <c r="BN56" s="501"/>
      <c r="BO56" s="501"/>
      <c r="BP56" s="501"/>
      <c r="BQ56" s="501"/>
      <c r="BR56" s="501"/>
      <c r="BS56" s="501"/>
      <c r="BT56" s="501"/>
      <c r="BU56" s="501"/>
      <c r="BV56" s="501"/>
      <c r="BW56" s="501"/>
      <c r="BX56" s="501"/>
      <c r="BY56" s="501"/>
      <c r="BZ56" s="501"/>
      <c r="CA56" s="501"/>
      <c r="CB56" s="501"/>
      <c r="CC56" s="501"/>
      <c r="CD56" s="501"/>
      <c r="CE56" s="501"/>
      <c r="CF56" s="501"/>
      <c r="CG56" s="501"/>
      <c r="CH56" s="501"/>
      <c r="CI56" s="501"/>
      <c r="CJ56" s="501"/>
      <c r="CK56" s="501"/>
      <c r="CL56" s="501"/>
      <c r="CM56" s="501"/>
      <c r="CN56" s="501"/>
      <c r="CO56" s="501"/>
      <c r="CP56" s="501"/>
      <c r="CQ56" s="501"/>
      <c r="CR56" s="501"/>
      <c r="CS56" s="501"/>
      <c r="CT56" s="501"/>
      <c r="CU56" s="501"/>
      <c r="CV56" s="501"/>
      <c r="CW56" s="501"/>
      <c r="CX56" s="501"/>
    </row>
    <row r="57" ht="30.0" customHeight="1" outlineLevel="1">
      <c r="A57" s="469"/>
      <c r="B57" s="95"/>
      <c r="C57" s="501" t="s">
        <v>1421</v>
      </c>
      <c r="D57" s="501" t="s">
        <v>1422</v>
      </c>
      <c r="E57" s="501"/>
      <c r="F57" s="501"/>
      <c r="G57" s="501"/>
      <c r="H57" s="501"/>
      <c r="I57" s="501"/>
      <c r="J57" s="501"/>
      <c r="K57" s="501"/>
      <c r="L57" s="501"/>
      <c r="M57" s="501"/>
      <c r="N57" s="501"/>
      <c r="O57" s="501"/>
      <c r="P57" s="501"/>
      <c r="Q57" s="501"/>
      <c r="R57" s="501"/>
      <c r="S57" s="501"/>
      <c r="T57" s="501"/>
      <c r="U57" s="501"/>
      <c r="V57" s="501"/>
      <c r="W57" s="501"/>
      <c r="X57" s="501"/>
      <c r="Y57" s="501"/>
      <c r="Z57" s="501"/>
      <c r="AA57" s="501"/>
      <c r="AB57" s="501"/>
      <c r="AC57" s="501"/>
      <c r="AD57" s="501"/>
      <c r="AE57" s="501"/>
      <c r="AF57" s="501"/>
      <c r="AG57" s="501"/>
      <c r="AH57" s="501"/>
      <c r="AI57" s="501"/>
      <c r="AJ57" s="501"/>
      <c r="AK57" s="501"/>
      <c r="AL57" s="501"/>
      <c r="AM57" s="501"/>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1"/>
      <c r="BK57" s="501"/>
      <c r="BL57" s="501"/>
      <c r="BM57" s="501"/>
      <c r="BN57" s="501"/>
      <c r="BO57" s="501"/>
      <c r="BP57" s="501"/>
      <c r="BQ57" s="501"/>
      <c r="BR57" s="501"/>
      <c r="BS57" s="501"/>
      <c r="BT57" s="501"/>
      <c r="BU57" s="501"/>
      <c r="BV57" s="501"/>
      <c r="BW57" s="501"/>
      <c r="BX57" s="501"/>
      <c r="BY57" s="501"/>
      <c r="BZ57" s="501"/>
      <c r="CA57" s="501"/>
      <c r="CB57" s="501"/>
      <c r="CC57" s="501"/>
      <c r="CD57" s="501"/>
      <c r="CE57" s="501"/>
      <c r="CF57" s="501"/>
      <c r="CG57" s="501"/>
      <c r="CH57" s="501"/>
      <c r="CI57" s="501"/>
      <c r="CJ57" s="501"/>
      <c r="CK57" s="501"/>
      <c r="CL57" s="501"/>
      <c r="CM57" s="501"/>
      <c r="CN57" s="501"/>
      <c r="CO57" s="501"/>
      <c r="CP57" s="501"/>
      <c r="CQ57" s="501"/>
      <c r="CR57" s="501"/>
      <c r="CS57" s="501"/>
      <c r="CT57" s="501"/>
      <c r="CU57" s="501"/>
      <c r="CV57" s="501"/>
      <c r="CW57" s="501"/>
      <c r="CX57" s="501"/>
    </row>
    <row r="58" ht="30.0" customHeight="1" outlineLevel="1">
      <c r="A58" s="469"/>
      <c r="B58" s="95"/>
      <c r="C58" s="558" t="s">
        <v>1423</v>
      </c>
      <c r="D58" s="558" t="s">
        <v>1424</v>
      </c>
      <c r="E58" s="558"/>
      <c r="F58" s="558"/>
      <c r="G58" s="558"/>
      <c r="H58" s="558"/>
      <c r="I58" s="558"/>
      <c r="J58" s="558"/>
      <c r="K58" s="558"/>
      <c r="L58" s="558"/>
      <c r="M58" s="558"/>
      <c r="N58" s="558"/>
      <c r="O58" s="558"/>
      <c r="P58" s="558"/>
      <c r="Q58" s="558"/>
      <c r="R58" s="558"/>
      <c r="S58" s="558"/>
      <c r="T58" s="558"/>
      <c r="U58" s="558"/>
      <c r="V58" s="558"/>
      <c r="W58" s="558"/>
      <c r="X58" s="558"/>
      <c r="Y58" s="558"/>
      <c r="Z58" s="558"/>
      <c r="AA58" s="558"/>
      <c r="AB58" s="558"/>
      <c r="AC58" s="558"/>
      <c r="AD58" s="558"/>
      <c r="AE58" s="558"/>
      <c r="AF58" s="558"/>
      <c r="AG58" s="558"/>
      <c r="AH58" s="558"/>
      <c r="AI58" s="558"/>
      <c r="AJ58" s="558"/>
      <c r="AK58" s="558"/>
      <c r="AL58" s="558"/>
      <c r="AM58" s="558"/>
      <c r="AN58" s="558"/>
      <c r="AO58" s="558"/>
      <c r="AP58" s="558"/>
      <c r="AQ58" s="558"/>
      <c r="AR58" s="558"/>
      <c r="AS58" s="558"/>
      <c r="AT58" s="558"/>
      <c r="AU58" s="558"/>
      <c r="AV58" s="558"/>
      <c r="AW58" s="558"/>
      <c r="AX58" s="558"/>
      <c r="AY58" s="558"/>
      <c r="AZ58" s="558"/>
      <c r="BA58" s="558"/>
      <c r="BB58" s="558"/>
      <c r="BC58" s="558"/>
      <c r="BD58" s="558"/>
      <c r="BE58" s="558"/>
      <c r="BF58" s="558"/>
      <c r="BG58" s="558"/>
      <c r="BH58" s="558"/>
      <c r="BI58" s="558"/>
      <c r="BJ58" s="558"/>
      <c r="BK58" s="558"/>
      <c r="BL58" s="558"/>
      <c r="BM58" s="558"/>
      <c r="BN58" s="558"/>
      <c r="BO58" s="558"/>
      <c r="BP58" s="558"/>
      <c r="BQ58" s="558"/>
      <c r="BR58" s="558"/>
      <c r="BS58" s="558"/>
      <c r="BT58" s="558"/>
      <c r="BU58" s="558"/>
      <c r="BV58" s="558"/>
      <c r="BW58" s="558"/>
      <c r="BX58" s="558"/>
      <c r="BY58" s="558"/>
      <c r="BZ58" s="558"/>
      <c r="CA58" s="558"/>
      <c r="CB58" s="558"/>
      <c r="CC58" s="558"/>
      <c r="CD58" s="558"/>
      <c r="CE58" s="558"/>
      <c r="CF58" s="558"/>
      <c r="CG58" s="558"/>
      <c r="CH58" s="558"/>
      <c r="CI58" s="558"/>
      <c r="CJ58" s="558"/>
      <c r="CK58" s="558"/>
      <c r="CL58" s="558"/>
      <c r="CM58" s="558"/>
      <c r="CN58" s="558"/>
      <c r="CO58" s="558"/>
      <c r="CP58" s="558"/>
      <c r="CQ58" s="558"/>
      <c r="CR58" s="558"/>
      <c r="CS58" s="558"/>
      <c r="CT58" s="558"/>
      <c r="CU58" s="558"/>
      <c r="CV58" s="558"/>
      <c r="CW58" s="558"/>
      <c r="CX58" s="558"/>
    </row>
    <row r="59" ht="30.0" customHeight="1" outlineLevel="1">
      <c r="A59" s="469"/>
      <c r="B59" s="95"/>
      <c r="C59" s="558" t="s">
        <v>1425</v>
      </c>
      <c r="D59" s="558" t="s">
        <v>1426</v>
      </c>
      <c r="E59" s="558"/>
      <c r="F59" s="558"/>
      <c r="G59" s="558"/>
      <c r="H59" s="558"/>
      <c r="I59" s="558"/>
      <c r="J59" s="558"/>
      <c r="K59" s="558"/>
      <c r="L59" s="558"/>
      <c r="M59" s="558"/>
      <c r="N59" s="558"/>
      <c r="O59" s="558"/>
      <c r="P59" s="558"/>
      <c r="Q59" s="558"/>
      <c r="R59" s="558"/>
      <c r="S59" s="558"/>
      <c r="T59" s="558"/>
      <c r="U59" s="558"/>
      <c r="V59" s="558"/>
      <c r="W59" s="558"/>
      <c r="X59" s="558"/>
      <c r="Y59" s="558"/>
      <c r="Z59" s="558"/>
      <c r="AA59" s="558"/>
      <c r="AB59" s="558"/>
      <c r="AC59" s="558"/>
      <c r="AD59" s="558"/>
      <c r="AE59" s="558"/>
      <c r="AF59" s="558"/>
      <c r="AG59" s="558"/>
      <c r="AH59" s="558"/>
      <c r="AI59" s="558"/>
      <c r="AJ59" s="558"/>
      <c r="AK59" s="558"/>
      <c r="AL59" s="558"/>
      <c r="AM59" s="558"/>
      <c r="AN59" s="558"/>
      <c r="AO59" s="558"/>
      <c r="AP59" s="558"/>
      <c r="AQ59" s="558"/>
      <c r="AR59" s="558"/>
      <c r="AS59" s="558"/>
      <c r="AT59" s="558"/>
      <c r="AU59" s="558"/>
      <c r="AV59" s="558"/>
      <c r="AW59" s="558"/>
      <c r="AX59" s="558"/>
      <c r="AY59" s="558"/>
      <c r="AZ59" s="558"/>
      <c r="BA59" s="558"/>
      <c r="BB59" s="558"/>
      <c r="BC59" s="558"/>
      <c r="BD59" s="558"/>
      <c r="BE59" s="558"/>
      <c r="BF59" s="558"/>
      <c r="BG59" s="558"/>
      <c r="BH59" s="558"/>
      <c r="BI59" s="558"/>
      <c r="BJ59" s="558"/>
      <c r="BK59" s="558"/>
      <c r="BL59" s="558"/>
      <c r="BM59" s="558"/>
      <c r="BN59" s="558"/>
      <c r="BO59" s="558"/>
      <c r="BP59" s="558"/>
      <c r="BQ59" s="558"/>
      <c r="BR59" s="558"/>
      <c r="BS59" s="558"/>
      <c r="BT59" s="558"/>
      <c r="BU59" s="558"/>
      <c r="BV59" s="558"/>
      <c r="BW59" s="558"/>
      <c r="BX59" s="558"/>
      <c r="BY59" s="558"/>
      <c r="BZ59" s="558"/>
      <c r="CA59" s="558"/>
      <c r="CB59" s="558"/>
      <c r="CC59" s="558"/>
      <c r="CD59" s="558"/>
      <c r="CE59" s="558"/>
      <c r="CF59" s="558"/>
      <c r="CG59" s="558"/>
      <c r="CH59" s="558"/>
      <c r="CI59" s="558"/>
      <c r="CJ59" s="558"/>
      <c r="CK59" s="558"/>
      <c r="CL59" s="558"/>
      <c r="CM59" s="558"/>
      <c r="CN59" s="558"/>
      <c r="CO59" s="558"/>
      <c r="CP59" s="558"/>
      <c r="CQ59" s="558"/>
      <c r="CR59" s="558"/>
      <c r="CS59" s="558"/>
      <c r="CT59" s="558"/>
      <c r="CU59" s="558"/>
      <c r="CV59" s="558"/>
      <c r="CW59" s="558"/>
      <c r="CX59" s="558"/>
    </row>
    <row r="60" ht="30.0" customHeight="1" outlineLevel="1">
      <c r="A60" s="468"/>
      <c r="B60" s="95"/>
      <c r="C60" s="558" t="s">
        <v>1427</v>
      </c>
      <c r="D60" s="558"/>
      <c r="E60" s="561"/>
      <c r="F60" s="561"/>
      <c r="G60" s="561"/>
      <c r="H60" s="561"/>
      <c r="I60" s="561"/>
      <c r="J60" s="561"/>
      <c r="K60" s="561"/>
      <c r="L60" s="561"/>
      <c r="M60" s="561"/>
      <c r="N60" s="561"/>
      <c r="O60" s="561"/>
      <c r="P60" s="561"/>
      <c r="Q60" s="561"/>
      <c r="R60" s="561"/>
      <c r="S60" s="561"/>
      <c r="T60" s="561"/>
      <c r="U60" s="561"/>
      <c r="V60" s="561"/>
      <c r="W60" s="561"/>
      <c r="X60" s="561"/>
      <c r="Y60" s="561"/>
      <c r="Z60" s="561"/>
      <c r="AA60" s="561"/>
      <c r="AB60" s="561"/>
      <c r="AC60" s="561"/>
      <c r="AD60" s="561"/>
      <c r="AE60" s="561"/>
      <c r="AF60" s="561"/>
      <c r="AG60" s="561"/>
      <c r="AH60" s="561"/>
      <c r="AI60" s="561"/>
      <c r="AJ60" s="561"/>
      <c r="AK60" s="561"/>
      <c r="AL60" s="561"/>
      <c r="AM60" s="561"/>
      <c r="AN60" s="561"/>
      <c r="AO60" s="561"/>
      <c r="AP60" s="561"/>
      <c r="AQ60" s="561"/>
      <c r="AR60" s="561"/>
      <c r="AS60" s="561"/>
      <c r="AT60" s="561"/>
      <c r="AU60" s="561"/>
      <c r="AV60" s="561"/>
      <c r="AW60" s="561"/>
      <c r="AX60" s="561"/>
      <c r="AY60" s="561"/>
      <c r="AZ60" s="561"/>
      <c r="BA60" s="561"/>
      <c r="BB60" s="561"/>
      <c r="BC60" s="561"/>
      <c r="BD60" s="561"/>
      <c r="BE60" s="561"/>
      <c r="BF60" s="561"/>
      <c r="BG60" s="561"/>
      <c r="BH60" s="561"/>
      <c r="BI60" s="561"/>
      <c r="BJ60" s="561"/>
      <c r="BK60" s="561"/>
      <c r="BL60" s="561"/>
      <c r="BM60" s="561"/>
      <c r="BN60" s="561"/>
      <c r="BO60" s="561"/>
      <c r="BP60" s="561"/>
      <c r="BQ60" s="561"/>
      <c r="BR60" s="561"/>
      <c r="BS60" s="561"/>
      <c r="BT60" s="561"/>
      <c r="BU60" s="561"/>
      <c r="BV60" s="561"/>
      <c r="BW60" s="561"/>
      <c r="BX60" s="561"/>
      <c r="BY60" s="561"/>
      <c r="BZ60" s="561"/>
      <c r="CA60" s="561"/>
      <c r="CB60" s="561"/>
      <c r="CC60" s="561"/>
      <c r="CD60" s="561"/>
      <c r="CE60" s="561"/>
      <c r="CF60" s="561"/>
      <c r="CG60" s="561"/>
      <c r="CH60" s="561"/>
      <c r="CI60" s="561"/>
      <c r="CJ60" s="561"/>
      <c r="CK60" s="561"/>
      <c r="CL60" s="561"/>
      <c r="CM60" s="561"/>
      <c r="CN60" s="561"/>
      <c r="CO60" s="561"/>
      <c r="CP60" s="561"/>
      <c r="CQ60" s="561"/>
      <c r="CR60" s="561"/>
      <c r="CS60" s="561"/>
      <c r="CT60" s="561"/>
      <c r="CU60" s="561"/>
      <c r="CV60" s="561"/>
      <c r="CW60" s="561"/>
      <c r="CX60" s="561"/>
    </row>
    <row r="61" ht="30.0" customHeight="1" outlineLevel="1">
      <c r="A61" s="562"/>
      <c r="B61" s="95"/>
      <c r="C61" s="558" t="s">
        <v>1428</v>
      </c>
      <c r="D61" s="558"/>
      <c r="E61" s="561"/>
      <c r="F61" s="561"/>
      <c r="G61" s="561"/>
      <c r="H61" s="561"/>
      <c r="I61" s="561"/>
      <c r="J61" s="561"/>
      <c r="K61" s="561"/>
      <c r="L61" s="561"/>
      <c r="M61" s="561"/>
      <c r="N61" s="561"/>
      <c r="O61" s="561"/>
      <c r="P61" s="561"/>
      <c r="Q61" s="561"/>
      <c r="R61" s="561"/>
      <c r="S61" s="561"/>
      <c r="T61" s="561"/>
      <c r="U61" s="561"/>
      <c r="V61" s="561"/>
      <c r="W61" s="561"/>
      <c r="X61" s="561"/>
      <c r="Y61" s="561"/>
      <c r="Z61" s="561"/>
      <c r="AA61" s="561"/>
      <c r="AB61" s="561"/>
      <c r="AC61" s="561"/>
      <c r="AD61" s="561"/>
      <c r="AE61" s="561"/>
      <c r="AF61" s="561"/>
      <c r="AG61" s="561"/>
      <c r="AH61" s="561"/>
      <c r="AI61" s="561"/>
      <c r="AJ61" s="561"/>
      <c r="AK61" s="561"/>
      <c r="AL61" s="561"/>
      <c r="AM61" s="561"/>
      <c r="AN61" s="561"/>
      <c r="AO61" s="561"/>
      <c r="AP61" s="561"/>
      <c r="AQ61" s="561"/>
      <c r="AR61" s="561"/>
      <c r="AS61" s="561"/>
      <c r="AT61" s="561"/>
      <c r="AU61" s="561"/>
      <c r="AV61" s="561"/>
      <c r="AW61" s="561"/>
      <c r="AX61" s="561"/>
      <c r="AY61" s="561"/>
      <c r="AZ61" s="561"/>
      <c r="BA61" s="561"/>
      <c r="BB61" s="561"/>
      <c r="BC61" s="561"/>
      <c r="BD61" s="561"/>
      <c r="BE61" s="561"/>
      <c r="BF61" s="561"/>
      <c r="BG61" s="561"/>
      <c r="BH61" s="561"/>
      <c r="BI61" s="561"/>
      <c r="BJ61" s="561"/>
      <c r="BK61" s="561"/>
      <c r="BL61" s="561"/>
      <c r="BM61" s="561"/>
      <c r="BN61" s="561"/>
      <c r="BO61" s="561"/>
      <c r="BP61" s="561"/>
      <c r="BQ61" s="561"/>
      <c r="BR61" s="561"/>
      <c r="BS61" s="561"/>
      <c r="BT61" s="561"/>
      <c r="BU61" s="561"/>
      <c r="BV61" s="561"/>
      <c r="BW61" s="561"/>
      <c r="BX61" s="561"/>
      <c r="BY61" s="561"/>
      <c r="BZ61" s="561"/>
      <c r="CA61" s="561"/>
      <c r="CB61" s="561"/>
      <c r="CC61" s="561"/>
      <c r="CD61" s="561"/>
      <c r="CE61" s="561"/>
      <c r="CF61" s="561"/>
      <c r="CG61" s="561"/>
      <c r="CH61" s="561"/>
      <c r="CI61" s="561"/>
      <c r="CJ61" s="561"/>
      <c r="CK61" s="561"/>
      <c r="CL61" s="561"/>
      <c r="CM61" s="561"/>
      <c r="CN61" s="561"/>
      <c r="CO61" s="561"/>
      <c r="CP61" s="561"/>
      <c r="CQ61" s="561"/>
      <c r="CR61" s="561"/>
      <c r="CS61" s="561"/>
      <c r="CT61" s="561"/>
      <c r="CU61" s="561"/>
      <c r="CV61" s="561"/>
      <c r="CW61" s="561"/>
      <c r="CX61" s="561"/>
    </row>
    <row r="62" ht="77.25" customHeight="1" collapsed="1">
      <c r="A62" s="563"/>
      <c r="B62" s="564" t="s">
        <v>1429</v>
      </c>
      <c r="C62" s="44"/>
      <c r="D62" s="565" t="s">
        <v>1430</v>
      </c>
      <c r="E62" s="566"/>
      <c r="F62" s="566"/>
      <c r="G62" s="566"/>
      <c r="H62" s="566"/>
      <c r="I62" s="566"/>
      <c r="J62" s="566"/>
      <c r="K62" s="566"/>
      <c r="L62" s="566"/>
      <c r="M62" s="566"/>
      <c r="N62" s="566"/>
      <c r="O62" s="566"/>
      <c r="P62" s="566"/>
      <c r="Q62" s="566"/>
      <c r="R62" s="566"/>
      <c r="S62" s="566"/>
      <c r="T62" s="566"/>
      <c r="U62" s="566"/>
      <c r="V62" s="566"/>
      <c r="W62" s="566"/>
      <c r="X62" s="566"/>
      <c r="Y62" s="566"/>
      <c r="Z62" s="566"/>
      <c r="AA62" s="566"/>
      <c r="AB62" s="566"/>
      <c r="AC62" s="566"/>
      <c r="AD62" s="566"/>
      <c r="AE62" s="566"/>
      <c r="AF62" s="566"/>
      <c r="AG62" s="566"/>
      <c r="AH62" s="566"/>
      <c r="AI62" s="566"/>
      <c r="AJ62" s="566"/>
      <c r="AK62" s="566"/>
      <c r="AL62" s="566"/>
      <c r="AM62" s="566"/>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566"/>
      <c r="BT62" s="566"/>
      <c r="BU62" s="566"/>
      <c r="BV62" s="566"/>
      <c r="BW62" s="566"/>
      <c r="BX62" s="566"/>
      <c r="BY62" s="566"/>
      <c r="BZ62" s="566"/>
      <c r="CA62" s="566"/>
      <c r="CB62" s="566"/>
      <c r="CC62" s="566"/>
      <c r="CD62" s="566"/>
      <c r="CE62" s="566"/>
      <c r="CF62" s="566"/>
      <c r="CG62" s="566"/>
      <c r="CH62" s="566"/>
      <c r="CI62" s="566"/>
      <c r="CJ62" s="566"/>
      <c r="CK62" s="566"/>
      <c r="CL62" s="566"/>
      <c r="CM62" s="566"/>
      <c r="CN62" s="566"/>
      <c r="CO62" s="566"/>
      <c r="CP62" s="566"/>
      <c r="CQ62" s="566"/>
      <c r="CR62" s="566"/>
      <c r="CS62" s="566"/>
      <c r="CT62" s="566"/>
      <c r="CU62" s="566"/>
      <c r="CV62" s="566"/>
      <c r="CW62" s="566"/>
      <c r="CX62" s="566"/>
    </row>
    <row r="63" ht="18.0" customHeight="1">
      <c r="B63" s="567"/>
      <c r="C63" s="568"/>
      <c r="D63" s="569"/>
      <c r="E63" s="570"/>
      <c r="F63" s="571"/>
      <c r="G63" s="571"/>
      <c r="I63" s="570"/>
      <c r="BS63" s="572">
        <f>(BS43*2)+BS34</f>
        <v>40</v>
      </c>
    </row>
  </sheetData>
  <mergeCells count="7">
    <mergeCell ref="B13:B15"/>
    <mergeCell ref="B18:B27"/>
    <mergeCell ref="B28:B31"/>
    <mergeCell ref="B32:B43"/>
    <mergeCell ref="B44:B54"/>
    <mergeCell ref="B55:B61"/>
    <mergeCell ref="B62:C62"/>
  </mergeCells>
  <conditionalFormatting sqref="E10:CX12">
    <cfRule type="cellIs" dxfId="1" priority="1" operator="between">
      <formula>70</formula>
      <formula>79</formula>
    </cfRule>
  </conditionalFormatting>
  <conditionalFormatting sqref="E10:CX12">
    <cfRule type="cellIs" dxfId="1" priority="2" operator="between">
      <formula>70</formula>
      <formula>75</formula>
    </cfRule>
  </conditionalFormatting>
  <conditionalFormatting sqref="E10:CX12">
    <cfRule type="cellIs" dxfId="2" priority="3" operator="between">
      <formula>55</formula>
      <formula>59</formula>
    </cfRule>
  </conditionalFormatting>
  <conditionalFormatting sqref="E10:CX12">
    <cfRule type="cellIs" dxfId="3" priority="4" operator="between">
      <formula>82</formula>
      <formula>85</formula>
    </cfRule>
  </conditionalFormatting>
  <conditionalFormatting sqref="Y14">
    <cfRule type="colorScale" priority="5">
      <colorScale>
        <cfvo type="min"/>
        <cfvo type="max"/>
        <color rgb="FF57BB8A"/>
        <color rgb="FFFFFFFF"/>
      </colorScale>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6.13"/>
    <col customWidth="1" min="2" max="2" width="4.38"/>
    <col customWidth="1" min="3" max="3" width="70.25"/>
    <col customWidth="1" min="4" max="4" width="35.88"/>
    <col customWidth="1" min="5" max="5" width="2.25"/>
  </cols>
  <sheetData>
    <row r="1" ht="33.0" customHeight="1">
      <c r="A1" s="573" t="s">
        <v>1431</v>
      </c>
      <c r="E1" s="574"/>
      <c r="F1" s="575"/>
      <c r="G1" s="575"/>
      <c r="H1" s="575"/>
      <c r="I1" s="575"/>
      <c r="J1" s="575"/>
      <c r="K1" s="575"/>
      <c r="L1" s="575"/>
      <c r="M1" s="575"/>
      <c r="N1" s="575"/>
      <c r="O1" s="575"/>
      <c r="P1" s="575"/>
      <c r="Q1" s="575"/>
      <c r="R1" s="575"/>
      <c r="S1" s="575"/>
      <c r="T1" s="575"/>
    </row>
    <row r="2" ht="18.75" customHeight="1">
      <c r="A2" s="576" t="s">
        <v>1432</v>
      </c>
      <c r="B2" s="576"/>
      <c r="C2" s="577" t="s">
        <v>1433</v>
      </c>
      <c r="D2" s="576" t="s">
        <v>1434</v>
      </c>
      <c r="E2" s="578"/>
      <c r="F2" s="575"/>
      <c r="G2" s="575"/>
      <c r="H2" s="575"/>
      <c r="I2" s="575"/>
      <c r="J2" s="575"/>
      <c r="K2" s="575"/>
      <c r="L2" s="575"/>
      <c r="M2" s="575"/>
      <c r="N2" s="575"/>
      <c r="O2" s="575"/>
      <c r="P2" s="575"/>
      <c r="Q2" s="575"/>
      <c r="R2" s="575"/>
      <c r="S2" s="575"/>
      <c r="T2" s="575"/>
    </row>
    <row r="3" ht="18.75" customHeight="1">
      <c r="A3" s="579" t="s">
        <v>1435</v>
      </c>
      <c r="B3" s="579" t="b">
        <v>0</v>
      </c>
      <c r="C3" s="580" t="s">
        <v>1436</v>
      </c>
      <c r="D3" s="581" t="s">
        <v>1437</v>
      </c>
      <c r="E3" s="575"/>
      <c r="F3" s="575"/>
      <c r="G3" s="575"/>
      <c r="H3" s="575"/>
      <c r="I3" s="575"/>
      <c r="J3" s="575"/>
      <c r="K3" s="575"/>
      <c r="L3" s="575"/>
      <c r="M3" s="575"/>
      <c r="N3" s="575"/>
      <c r="O3" s="575"/>
      <c r="P3" s="575"/>
      <c r="Q3" s="575"/>
      <c r="R3" s="575"/>
      <c r="S3" s="575"/>
      <c r="T3" s="575"/>
    </row>
    <row r="4" ht="18.75" customHeight="1">
      <c r="A4" s="579" t="s">
        <v>1438</v>
      </c>
      <c r="B4" s="579" t="b">
        <v>0</v>
      </c>
      <c r="C4" s="580" t="s">
        <v>1439</v>
      </c>
      <c r="D4" s="582" t="s">
        <v>1440</v>
      </c>
      <c r="E4" s="575"/>
      <c r="F4" s="575"/>
      <c r="G4" s="575"/>
      <c r="H4" s="575"/>
      <c r="I4" s="575"/>
      <c r="J4" s="575"/>
      <c r="K4" s="575"/>
      <c r="L4" s="575"/>
      <c r="M4" s="575"/>
      <c r="N4" s="575"/>
      <c r="O4" s="575"/>
      <c r="P4" s="575"/>
      <c r="Q4" s="575"/>
      <c r="R4" s="575"/>
      <c r="S4" s="575"/>
      <c r="T4" s="575"/>
    </row>
    <row r="5" ht="18.75" customHeight="1">
      <c r="A5" s="579" t="s">
        <v>1441</v>
      </c>
      <c r="B5" s="579" t="b">
        <v>0</v>
      </c>
      <c r="C5" s="580" t="s">
        <v>1442</v>
      </c>
      <c r="D5" s="582" t="s">
        <v>1443</v>
      </c>
      <c r="E5" s="575"/>
      <c r="F5" s="575"/>
      <c r="G5" s="575"/>
      <c r="H5" s="575"/>
      <c r="I5" s="575"/>
      <c r="J5" s="575"/>
      <c r="K5" s="575"/>
      <c r="L5" s="575"/>
      <c r="M5" s="575"/>
      <c r="N5" s="575"/>
      <c r="O5" s="575"/>
      <c r="P5" s="575"/>
      <c r="Q5" s="575"/>
      <c r="R5" s="575"/>
      <c r="S5" s="575"/>
      <c r="T5" s="575"/>
    </row>
    <row r="6" ht="18.75" customHeight="1">
      <c r="A6" s="583" t="s">
        <v>1444</v>
      </c>
      <c r="B6" s="579" t="b">
        <v>0</v>
      </c>
      <c r="C6" s="584" t="s">
        <v>1445</v>
      </c>
      <c r="D6" s="585" t="s">
        <v>1446</v>
      </c>
      <c r="E6" s="575"/>
      <c r="F6" s="575"/>
      <c r="G6" s="575"/>
      <c r="H6" s="575"/>
      <c r="I6" s="575"/>
      <c r="J6" s="575"/>
      <c r="K6" s="575"/>
      <c r="L6" s="575"/>
      <c r="M6" s="575"/>
      <c r="N6" s="575"/>
      <c r="O6" s="575"/>
      <c r="P6" s="575"/>
      <c r="Q6" s="575"/>
      <c r="R6" s="575"/>
      <c r="S6" s="575"/>
      <c r="T6" s="575"/>
    </row>
    <row r="7" ht="18.75" customHeight="1">
      <c r="A7" s="583" t="s">
        <v>1447</v>
      </c>
      <c r="B7" s="579" t="b">
        <v>0</v>
      </c>
      <c r="C7" s="584" t="s">
        <v>1448</v>
      </c>
      <c r="D7" s="585" t="s">
        <v>1449</v>
      </c>
      <c r="E7" s="575"/>
      <c r="F7" s="575"/>
      <c r="G7" s="575"/>
      <c r="H7" s="575"/>
      <c r="I7" s="575"/>
      <c r="J7" s="575"/>
      <c r="K7" s="575"/>
      <c r="L7" s="575"/>
      <c r="M7" s="575"/>
      <c r="N7" s="575"/>
      <c r="O7" s="575"/>
      <c r="P7" s="575"/>
      <c r="Q7" s="575"/>
      <c r="R7" s="575"/>
      <c r="S7" s="575"/>
      <c r="T7" s="575"/>
    </row>
    <row r="8" ht="18.75" customHeight="1">
      <c r="A8" s="583" t="s">
        <v>1450</v>
      </c>
      <c r="B8" s="579" t="b">
        <v>0</v>
      </c>
      <c r="C8" s="584" t="s">
        <v>1451</v>
      </c>
      <c r="D8" s="585" t="s">
        <v>1452</v>
      </c>
      <c r="E8" s="575"/>
      <c r="F8" s="575"/>
      <c r="G8" s="575"/>
      <c r="H8" s="575"/>
      <c r="I8" s="575"/>
      <c r="J8" s="575"/>
      <c r="K8" s="575"/>
      <c r="L8" s="575"/>
      <c r="M8" s="575"/>
      <c r="N8" s="575"/>
      <c r="O8" s="575"/>
      <c r="P8" s="575"/>
      <c r="Q8" s="575"/>
      <c r="R8" s="575"/>
      <c r="S8" s="575"/>
      <c r="T8" s="575"/>
    </row>
    <row r="9" ht="18.75" customHeight="1">
      <c r="A9" s="579" t="s">
        <v>1453</v>
      </c>
      <c r="B9" s="579" t="b">
        <v>0</v>
      </c>
      <c r="C9" s="580" t="s">
        <v>1454</v>
      </c>
      <c r="D9" s="582" t="s">
        <v>1455</v>
      </c>
      <c r="E9" s="575"/>
      <c r="F9" s="575"/>
      <c r="G9" s="575"/>
      <c r="H9" s="575"/>
      <c r="I9" s="575"/>
      <c r="J9" s="575"/>
      <c r="K9" s="575"/>
      <c r="L9" s="575"/>
      <c r="M9" s="575"/>
      <c r="N9" s="575"/>
      <c r="O9" s="575"/>
      <c r="P9" s="575"/>
      <c r="Q9" s="575"/>
      <c r="R9" s="575"/>
      <c r="S9" s="575"/>
      <c r="T9" s="575"/>
    </row>
    <row r="10" ht="18.75" customHeight="1">
      <c r="A10" s="579" t="s">
        <v>1456</v>
      </c>
      <c r="B10" s="579" t="b">
        <v>0</v>
      </c>
      <c r="C10" s="580" t="s">
        <v>1457</v>
      </c>
      <c r="D10" s="582" t="s">
        <v>1458</v>
      </c>
      <c r="E10" s="575"/>
      <c r="F10" s="575"/>
      <c r="G10" s="575"/>
      <c r="H10" s="575"/>
      <c r="I10" s="575"/>
      <c r="J10" s="575"/>
      <c r="K10" s="575"/>
      <c r="L10" s="575"/>
      <c r="M10" s="575"/>
      <c r="N10" s="575"/>
      <c r="O10" s="575"/>
      <c r="P10" s="575"/>
      <c r="Q10" s="575"/>
      <c r="R10" s="575"/>
      <c r="S10" s="575"/>
      <c r="T10" s="575"/>
    </row>
    <row r="11" ht="18.75" customHeight="1">
      <c r="A11" s="579" t="s">
        <v>1444</v>
      </c>
      <c r="B11" s="579" t="b">
        <v>0</v>
      </c>
      <c r="C11" s="580" t="s">
        <v>1459</v>
      </c>
      <c r="D11" s="582" t="s">
        <v>1460</v>
      </c>
      <c r="E11" s="575"/>
      <c r="F11" s="575"/>
      <c r="G11" s="575"/>
      <c r="H11" s="575"/>
      <c r="I11" s="575"/>
      <c r="J11" s="575"/>
      <c r="K11" s="575"/>
      <c r="L11" s="575"/>
      <c r="M11" s="575"/>
      <c r="N11" s="575"/>
      <c r="O11" s="575"/>
      <c r="P11" s="575"/>
      <c r="Q11" s="575"/>
      <c r="R11" s="575"/>
      <c r="S11" s="575"/>
      <c r="T11" s="575"/>
    </row>
    <row r="12" ht="18.75" customHeight="1">
      <c r="A12" s="579" t="s">
        <v>1461</v>
      </c>
      <c r="B12" s="579" t="b">
        <v>0</v>
      </c>
      <c r="C12" s="580" t="s">
        <v>1462</v>
      </c>
      <c r="D12" s="582" t="s">
        <v>1463</v>
      </c>
      <c r="E12" s="575"/>
      <c r="F12" s="575"/>
      <c r="G12" s="575"/>
      <c r="H12" s="575"/>
      <c r="I12" s="575"/>
      <c r="J12" s="575"/>
      <c r="K12" s="575"/>
      <c r="L12" s="575"/>
      <c r="M12" s="575"/>
      <c r="N12" s="575"/>
      <c r="O12" s="575"/>
      <c r="P12" s="575"/>
      <c r="Q12" s="575"/>
      <c r="R12" s="575"/>
      <c r="S12" s="575"/>
      <c r="T12" s="575"/>
    </row>
    <row r="13" ht="18.75" customHeight="1">
      <c r="A13" s="586" t="s">
        <v>1461</v>
      </c>
      <c r="B13" s="579" t="b">
        <v>0</v>
      </c>
      <c r="C13" s="587" t="s">
        <v>1464</v>
      </c>
      <c r="D13" s="588" t="s">
        <v>1465</v>
      </c>
      <c r="E13" s="575"/>
      <c r="F13" s="575"/>
      <c r="G13" s="575"/>
      <c r="H13" s="575"/>
      <c r="I13" s="575"/>
      <c r="J13" s="575"/>
      <c r="K13" s="575"/>
      <c r="L13" s="575"/>
      <c r="M13" s="575"/>
      <c r="N13" s="575"/>
      <c r="O13" s="575"/>
      <c r="P13" s="575"/>
      <c r="Q13" s="575"/>
      <c r="R13" s="575"/>
      <c r="S13" s="575"/>
      <c r="T13" s="575"/>
    </row>
    <row r="14" ht="18.75" customHeight="1">
      <c r="A14" s="586" t="s">
        <v>1444</v>
      </c>
      <c r="B14" s="579" t="b">
        <v>0</v>
      </c>
      <c r="C14" s="587" t="s">
        <v>1466</v>
      </c>
      <c r="D14" s="589" t="s">
        <v>1446</v>
      </c>
      <c r="E14" s="575"/>
      <c r="F14" s="575"/>
      <c r="G14" s="575"/>
      <c r="H14" s="575"/>
      <c r="I14" s="575"/>
      <c r="J14" s="575"/>
      <c r="K14" s="575"/>
      <c r="L14" s="575"/>
      <c r="M14" s="575"/>
      <c r="N14" s="575"/>
      <c r="O14" s="575"/>
      <c r="P14" s="575"/>
      <c r="Q14" s="575"/>
      <c r="R14" s="575"/>
      <c r="S14" s="575"/>
      <c r="T14" s="575"/>
    </row>
    <row r="15" ht="18.75" customHeight="1">
      <c r="A15" s="586" t="s">
        <v>1456</v>
      </c>
      <c r="B15" s="579" t="b">
        <v>0</v>
      </c>
      <c r="C15" s="587" t="s">
        <v>1467</v>
      </c>
      <c r="D15" s="589" t="s">
        <v>1458</v>
      </c>
      <c r="E15" s="575"/>
      <c r="F15" s="575"/>
      <c r="G15" s="575"/>
      <c r="H15" s="575"/>
      <c r="I15" s="575"/>
      <c r="J15" s="575"/>
      <c r="K15" s="575"/>
      <c r="L15" s="575"/>
      <c r="M15" s="575"/>
      <c r="N15" s="575"/>
      <c r="O15" s="575"/>
      <c r="P15" s="575"/>
      <c r="Q15" s="575"/>
      <c r="R15" s="575"/>
      <c r="S15" s="575"/>
      <c r="T15" s="575"/>
    </row>
    <row r="16" ht="18.75" customHeight="1">
      <c r="A16" s="586" t="s">
        <v>1468</v>
      </c>
      <c r="B16" s="579" t="b">
        <v>0</v>
      </c>
      <c r="C16" s="587" t="s">
        <v>1469</v>
      </c>
      <c r="D16" s="589" t="s">
        <v>1470</v>
      </c>
      <c r="E16" s="575"/>
      <c r="F16" s="575"/>
      <c r="G16" s="575"/>
      <c r="H16" s="575"/>
      <c r="I16" s="575"/>
      <c r="J16" s="575"/>
      <c r="K16" s="575"/>
      <c r="L16" s="575"/>
      <c r="M16" s="575"/>
      <c r="N16" s="575"/>
      <c r="O16" s="575"/>
      <c r="P16" s="575"/>
      <c r="Q16" s="575"/>
      <c r="R16" s="575"/>
      <c r="S16" s="575"/>
      <c r="T16" s="575"/>
    </row>
    <row r="17" ht="18.75" customHeight="1">
      <c r="A17" s="586" t="s">
        <v>1471</v>
      </c>
      <c r="B17" s="579" t="b">
        <v>0</v>
      </c>
      <c r="C17" s="587" t="s">
        <v>1472</v>
      </c>
      <c r="D17" s="588" t="s">
        <v>1473</v>
      </c>
      <c r="E17" s="575"/>
      <c r="F17" s="575"/>
      <c r="G17" s="575"/>
      <c r="H17" s="575"/>
      <c r="I17" s="575"/>
      <c r="J17" s="575"/>
      <c r="K17" s="575"/>
      <c r="L17" s="575"/>
      <c r="M17" s="575"/>
      <c r="N17" s="575"/>
      <c r="O17" s="575"/>
      <c r="P17" s="575"/>
      <c r="Q17" s="575"/>
      <c r="R17" s="575"/>
      <c r="S17" s="575"/>
      <c r="T17" s="575"/>
    </row>
    <row r="18" ht="18.75" customHeight="1">
      <c r="A18" s="590" t="s">
        <v>1474</v>
      </c>
      <c r="B18" s="579" t="b">
        <v>0</v>
      </c>
      <c r="C18" s="591" t="s">
        <v>1475</v>
      </c>
      <c r="D18" s="592" t="s">
        <v>1476</v>
      </c>
      <c r="E18" s="575"/>
      <c r="F18" s="575"/>
      <c r="G18" s="575"/>
      <c r="H18" s="575"/>
      <c r="I18" s="575"/>
      <c r="J18" s="575"/>
      <c r="K18" s="575"/>
      <c r="L18" s="575"/>
      <c r="M18" s="575"/>
      <c r="N18" s="575"/>
      <c r="O18" s="575"/>
      <c r="P18" s="575"/>
      <c r="Q18" s="575"/>
      <c r="R18" s="575"/>
      <c r="S18" s="575"/>
      <c r="T18" s="575"/>
    </row>
    <row r="19">
      <c r="A19" s="590" t="s">
        <v>1461</v>
      </c>
      <c r="B19" s="579" t="b">
        <v>0</v>
      </c>
      <c r="C19" s="591" t="s">
        <v>1477</v>
      </c>
      <c r="D19" s="593" t="s">
        <v>1463</v>
      </c>
      <c r="E19" s="575"/>
      <c r="F19" s="575"/>
      <c r="G19" s="575"/>
      <c r="H19" s="575"/>
      <c r="I19" s="575"/>
      <c r="J19" s="575"/>
      <c r="K19" s="575"/>
      <c r="L19" s="575"/>
      <c r="M19" s="575"/>
      <c r="N19" s="575"/>
      <c r="O19" s="575"/>
      <c r="P19" s="575"/>
      <c r="Q19" s="575"/>
      <c r="R19" s="575"/>
      <c r="S19" s="575"/>
      <c r="T19" s="575"/>
    </row>
    <row r="20">
      <c r="A20" s="590" t="s">
        <v>1461</v>
      </c>
      <c r="B20" s="579" t="b">
        <v>0</v>
      </c>
      <c r="C20" s="591" t="s">
        <v>1478</v>
      </c>
      <c r="D20" s="593" t="s">
        <v>1465</v>
      </c>
      <c r="E20" s="575"/>
      <c r="F20" s="575"/>
      <c r="G20" s="575"/>
      <c r="H20" s="575"/>
      <c r="I20" s="575"/>
      <c r="J20" s="575"/>
      <c r="K20" s="575"/>
      <c r="L20" s="575"/>
      <c r="M20" s="575"/>
      <c r="N20" s="575"/>
      <c r="O20" s="575"/>
      <c r="P20" s="575"/>
      <c r="Q20" s="575"/>
      <c r="R20" s="575"/>
      <c r="S20" s="575"/>
      <c r="T20" s="575"/>
    </row>
    <row r="21">
      <c r="A21" s="590" t="s">
        <v>1479</v>
      </c>
      <c r="B21" s="579" t="b">
        <v>0</v>
      </c>
      <c r="C21" s="591" t="s">
        <v>1480</v>
      </c>
      <c r="D21" s="592" t="s">
        <v>1481</v>
      </c>
      <c r="E21" s="575"/>
      <c r="F21" s="575"/>
      <c r="G21" s="575"/>
      <c r="H21" s="575"/>
      <c r="I21" s="575"/>
      <c r="J21" s="575"/>
      <c r="K21" s="575"/>
      <c r="L21" s="575"/>
      <c r="M21" s="575"/>
      <c r="N21" s="575"/>
      <c r="O21" s="575"/>
      <c r="P21" s="575"/>
      <c r="Q21" s="575"/>
      <c r="R21" s="575"/>
      <c r="S21" s="575"/>
      <c r="T21" s="575"/>
    </row>
    <row r="22">
      <c r="A22" s="594" t="s">
        <v>1482</v>
      </c>
      <c r="B22" s="594" t="b">
        <v>0</v>
      </c>
      <c r="C22" s="595" t="s">
        <v>1483</v>
      </c>
      <c r="D22" s="596" t="s">
        <v>1484</v>
      </c>
      <c r="E22" s="575"/>
      <c r="F22" s="575"/>
      <c r="G22" s="575"/>
      <c r="H22" s="575"/>
      <c r="I22" s="575"/>
      <c r="J22" s="575"/>
      <c r="K22" s="575"/>
      <c r="L22" s="575"/>
      <c r="M22" s="575"/>
      <c r="N22" s="575"/>
      <c r="O22" s="575"/>
      <c r="P22" s="575"/>
      <c r="Q22" s="575"/>
      <c r="R22" s="575"/>
      <c r="S22" s="575"/>
      <c r="T22" s="575"/>
    </row>
    <row r="23">
      <c r="A23" s="573" t="s">
        <v>1485</v>
      </c>
      <c r="E23" s="575"/>
      <c r="F23" s="575"/>
      <c r="G23" s="575"/>
      <c r="H23" s="575"/>
      <c r="I23" s="575"/>
      <c r="J23" s="575"/>
      <c r="K23" s="575"/>
      <c r="L23" s="575"/>
      <c r="M23" s="575"/>
      <c r="N23" s="575"/>
      <c r="O23" s="575"/>
      <c r="P23" s="575"/>
      <c r="Q23" s="575"/>
      <c r="R23" s="575"/>
      <c r="S23" s="575"/>
      <c r="T23" s="575"/>
    </row>
    <row r="24">
      <c r="A24" s="597" t="s">
        <v>1486</v>
      </c>
      <c r="B24" s="598" t="b">
        <v>0</v>
      </c>
      <c r="C24" s="599" t="s">
        <v>1487</v>
      </c>
      <c r="D24" s="600" t="s">
        <v>1488</v>
      </c>
      <c r="E24" s="575"/>
      <c r="F24" s="575"/>
      <c r="G24" s="575"/>
      <c r="H24" s="575"/>
      <c r="I24" s="575"/>
      <c r="J24" s="575"/>
      <c r="K24" s="575"/>
      <c r="L24" s="575"/>
      <c r="M24" s="575"/>
      <c r="N24" s="575"/>
      <c r="O24" s="575"/>
      <c r="P24" s="575"/>
      <c r="Q24" s="575"/>
      <c r="R24" s="575"/>
      <c r="S24" s="575"/>
      <c r="T24" s="575"/>
    </row>
    <row r="25">
      <c r="A25" s="601" t="s">
        <v>1489</v>
      </c>
      <c r="B25" s="598" t="b">
        <v>0</v>
      </c>
      <c r="C25" s="602" t="s">
        <v>1490</v>
      </c>
      <c r="D25" s="603" t="s">
        <v>1491</v>
      </c>
      <c r="E25" s="575"/>
      <c r="F25" s="575"/>
      <c r="G25" s="575"/>
      <c r="H25" s="575"/>
      <c r="I25" s="575"/>
      <c r="J25" s="575"/>
      <c r="K25" s="575"/>
      <c r="L25" s="575"/>
      <c r="M25" s="575"/>
      <c r="N25" s="575"/>
      <c r="O25" s="575"/>
      <c r="P25" s="575"/>
      <c r="Q25" s="575"/>
      <c r="R25" s="575"/>
      <c r="S25" s="575"/>
      <c r="T25" s="575"/>
    </row>
    <row r="26">
      <c r="A26" s="597" t="s">
        <v>1492</v>
      </c>
      <c r="B26" s="597" t="b">
        <v>0</v>
      </c>
      <c r="C26" s="599" t="s">
        <v>1493</v>
      </c>
      <c r="D26" s="600" t="s">
        <v>1494</v>
      </c>
      <c r="E26" s="575"/>
      <c r="F26" s="575"/>
      <c r="G26" s="575"/>
      <c r="H26" s="575"/>
      <c r="I26" s="575"/>
      <c r="J26" s="575"/>
      <c r="K26" s="575"/>
      <c r="L26" s="575"/>
      <c r="M26" s="575"/>
      <c r="N26" s="575"/>
      <c r="O26" s="575"/>
      <c r="P26" s="575"/>
      <c r="Q26" s="575"/>
      <c r="R26" s="575"/>
      <c r="S26" s="575"/>
      <c r="T26" s="575"/>
    </row>
    <row r="27">
      <c r="A27" s="598" t="s">
        <v>1495</v>
      </c>
      <c r="B27" s="598" t="b">
        <v>0</v>
      </c>
      <c r="C27" s="604" t="s">
        <v>1496</v>
      </c>
      <c r="D27" s="605" t="s">
        <v>1497</v>
      </c>
      <c r="E27" s="575"/>
      <c r="F27" s="575"/>
      <c r="G27" s="575"/>
      <c r="H27" s="575"/>
      <c r="I27" s="575"/>
      <c r="J27" s="575"/>
      <c r="K27" s="575"/>
      <c r="L27" s="575"/>
      <c r="M27" s="575"/>
      <c r="N27" s="575"/>
      <c r="O27" s="575"/>
      <c r="P27" s="575"/>
      <c r="Q27" s="575"/>
      <c r="R27" s="575"/>
      <c r="S27" s="575"/>
      <c r="T27" s="575"/>
    </row>
    <row r="28">
      <c r="A28" s="597" t="s">
        <v>1498</v>
      </c>
      <c r="B28" s="597" t="b">
        <v>0</v>
      </c>
      <c r="C28" s="599" t="s">
        <v>1499</v>
      </c>
      <c r="D28" s="605" t="s">
        <v>1500</v>
      </c>
      <c r="E28" s="575"/>
      <c r="F28" s="575"/>
      <c r="G28" s="575"/>
      <c r="H28" s="575"/>
      <c r="I28" s="575"/>
      <c r="J28" s="575"/>
      <c r="K28" s="575"/>
      <c r="L28" s="575"/>
      <c r="M28" s="575"/>
      <c r="N28" s="575"/>
      <c r="O28" s="575"/>
      <c r="P28" s="575"/>
      <c r="Q28" s="575"/>
      <c r="R28" s="575"/>
      <c r="S28" s="575"/>
      <c r="T28" s="575"/>
    </row>
    <row r="29">
      <c r="A29" s="597" t="s">
        <v>1501</v>
      </c>
      <c r="B29" s="598" t="b">
        <v>0</v>
      </c>
      <c r="C29" s="599" t="s">
        <v>1502</v>
      </c>
      <c r="D29" s="606" t="s">
        <v>1503</v>
      </c>
      <c r="E29" s="575"/>
      <c r="F29" s="575"/>
      <c r="G29" s="575"/>
      <c r="H29" s="575"/>
      <c r="I29" s="575"/>
      <c r="J29" s="575"/>
      <c r="K29" s="575"/>
      <c r="L29" s="575"/>
      <c r="M29" s="575"/>
      <c r="N29" s="575"/>
      <c r="O29" s="575"/>
      <c r="P29" s="575"/>
      <c r="Q29" s="575"/>
      <c r="R29" s="575"/>
      <c r="S29" s="575"/>
      <c r="T29" s="575"/>
    </row>
    <row r="30">
      <c r="A30" s="598" t="s">
        <v>1504</v>
      </c>
      <c r="B30" s="598" t="b">
        <v>0</v>
      </c>
      <c r="C30" s="604" t="s">
        <v>1505</v>
      </c>
      <c r="D30" s="605" t="s">
        <v>1506</v>
      </c>
      <c r="E30" s="575"/>
      <c r="F30" s="575"/>
      <c r="G30" s="575"/>
      <c r="H30" s="575"/>
      <c r="I30" s="575"/>
      <c r="J30" s="575"/>
      <c r="K30" s="575"/>
      <c r="L30" s="575"/>
      <c r="M30" s="575"/>
      <c r="N30" s="575"/>
      <c r="O30" s="575"/>
      <c r="P30" s="575"/>
      <c r="Q30" s="575"/>
      <c r="R30" s="575"/>
      <c r="S30" s="575"/>
      <c r="T30" s="575"/>
    </row>
    <row r="31">
      <c r="A31" s="573" t="s">
        <v>1507</v>
      </c>
      <c r="E31" s="575"/>
      <c r="F31" s="575"/>
      <c r="G31" s="575"/>
      <c r="H31" s="575"/>
      <c r="I31" s="575"/>
      <c r="J31" s="575"/>
      <c r="K31" s="575"/>
      <c r="L31" s="575"/>
      <c r="M31" s="575"/>
      <c r="N31" s="575"/>
      <c r="O31" s="575"/>
      <c r="P31" s="575"/>
      <c r="Q31" s="575"/>
      <c r="R31" s="575"/>
      <c r="S31" s="575"/>
      <c r="T31" s="575"/>
    </row>
    <row r="32">
      <c r="A32" s="598" t="s">
        <v>1508</v>
      </c>
      <c r="B32" s="598" t="b">
        <v>0</v>
      </c>
      <c r="C32" s="604" t="s">
        <v>1509</v>
      </c>
      <c r="D32" s="607" t="s">
        <v>1510</v>
      </c>
      <c r="E32" s="575"/>
      <c r="F32" s="575"/>
      <c r="G32" s="575"/>
      <c r="H32" s="575"/>
      <c r="I32" s="575"/>
      <c r="J32" s="575"/>
      <c r="K32" s="575"/>
      <c r="L32" s="575"/>
      <c r="M32" s="575"/>
      <c r="N32" s="575"/>
      <c r="O32" s="575"/>
      <c r="P32" s="575"/>
      <c r="Q32" s="575"/>
      <c r="R32" s="575"/>
      <c r="S32" s="575"/>
      <c r="T32" s="575"/>
    </row>
    <row r="33">
      <c r="A33" s="608" t="s">
        <v>1508</v>
      </c>
      <c r="B33" s="598" t="b">
        <v>0</v>
      </c>
      <c r="C33" s="609" t="s">
        <v>1511</v>
      </c>
      <c r="D33" s="610" t="s">
        <v>1512</v>
      </c>
      <c r="E33" s="575"/>
      <c r="F33" s="575"/>
      <c r="G33" s="575"/>
      <c r="H33" s="575"/>
      <c r="I33" s="575"/>
      <c r="J33" s="575"/>
      <c r="K33" s="575"/>
      <c r="L33" s="575"/>
      <c r="M33" s="575"/>
      <c r="N33" s="575"/>
      <c r="O33" s="575"/>
      <c r="P33" s="575"/>
      <c r="Q33" s="575"/>
      <c r="R33" s="575"/>
      <c r="S33" s="575"/>
      <c r="T33" s="575"/>
    </row>
    <row r="34">
      <c r="A34" s="598" t="s">
        <v>1513</v>
      </c>
      <c r="B34" s="597" t="b">
        <v>0</v>
      </c>
      <c r="C34" s="604" t="s">
        <v>1514</v>
      </c>
      <c r="D34" s="607" t="s">
        <v>1515</v>
      </c>
      <c r="E34" s="575"/>
      <c r="F34" s="575"/>
      <c r="G34" s="575"/>
      <c r="H34" s="575"/>
      <c r="I34" s="575"/>
      <c r="J34" s="575"/>
      <c r="K34" s="575"/>
      <c r="L34" s="575"/>
      <c r="M34" s="575"/>
      <c r="N34" s="575"/>
      <c r="O34" s="575"/>
      <c r="P34" s="575"/>
      <c r="Q34" s="575"/>
      <c r="R34" s="575"/>
      <c r="S34" s="575"/>
      <c r="T34" s="575"/>
    </row>
    <row r="35">
      <c r="A35" s="598" t="s">
        <v>1516</v>
      </c>
      <c r="B35" s="598" t="b">
        <v>0</v>
      </c>
      <c r="C35" s="604" t="s">
        <v>1517</v>
      </c>
      <c r="D35" s="607" t="s">
        <v>1518</v>
      </c>
      <c r="E35" s="575"/>
      <c r="F35" s="575"/>
      <c r="G35" s="575"/>
      <c r="H35" s="575"/>
      <c r="I35" s="575"/>
      <c r="J35" s="575"/>
      <c r="K35" s="575"/>
      <c r="L35" s="575"/>
      <c r="M35" s="575"/>
      <c r="N35" s="575"/>
      <c r="O35" s="575"/>
      <c r="P35" s="575"/>
      <c r="Q35" s="575"/>
      <c r="R35" s="575"/>
      <c r="S35" s="575"/>
      <c r="T35" s="575"/>
    </row>
    <row r="36">
      <c r="A36" s="598" t="s">
        <v>1519</v>
      </c>
      <c r="B36" s="597" t="b">
        <v>0</v>
      </c>
      <c r="C36" s="604" t="s">
        <v>1520</v>
      </c>
      <c r="D36" s="607" t="s">
        <v>1521</v>
      </c>
      <c r="E36" s="575"/>
      <c r="F36" s="575"/>
      <c r="G36" s="575"/>
      <c r="H36" s="575"/>
      <c r="I36" s="575"/>
      <c r="J36" s="575"/>
      <c r="K36" s="575"/>
      <c r="L36" s="575"/>
      <c r="M36" s="575"/>
      <c r="N36" s="575"/>
      <c r="O36" s="575"/>
      <c r="P36" s="575"/>
      <c r="Q36" s="575"/>
      <c r="R36" s="575"/>
      <c r="S36" s="575"/>
      <c r="T36" s="575"/>
    </row>
    <row r="37">
      <c r="A37" s="598" t="s">
        <v>1522</v>
      </c>
      <c r="B37" s="598" t="b">
        <v>0</v>
      </c>
      <c r="C37" s="604" t="s">
        <v>1523</v>
      </c>
      <c r="D37" s="611" t="s">
        <v>1524</v>
      </c>
      <c r="E37" s="575"/>
      <c r="F37" s="575"/>
      <c r="G37" s="575"/>
      <c r="H37" s="575"/>
      <c r="I37" s="575"/>
      <c r="J37" s="575"/>
      <c r="K37" s="575"/>
      <c r="L37" s="575"/>
      <c r="M37" s="575"/>
      <c r="N37" s="575"/>
      <c r="O37" s="575"/>
      <c r="P37" s="575"/>
      <c r="Q37" s="575"/>
      <c r="R37" s="575"/>
      <c r="S37" s="575"/>
      <c r="T37" s="575"/>
    </row>
    <row r="38">
      <c r="A38" s="575"/>
      <c r="B38" s="575"/>
      <c r="C38" s="612"/>
      <c r="D38" s="575"/>
      <c r="E38" s="575"/>
      <c r="F38" s="575"/>
      <c r="G38" s="575"/>
      <c r="H38" s="575"/>
      <c r="I38" s="575"/>
      <c r="J38" s="575"/>
      <c r="K38" s="575"/>
      <c r="L38" s="575"/>
      <c r="M38" s="575"/>
      <c r="N38" s="575"/>
      <c r="O38" s="575"/>
      <c r="P38" s="575"/>
      <c r="Q38" s="575"/>
      <c r="R38" s="575"/>
      <c r="S38" s="575"/>
      <c r="T38" s="575"/>
    </row>
    <row r="39">
      <c r="A39" s="575"/>
      <c r="B39" s="575"/>
      <c r="C39" s="612"/>
      <c r="D39" s="575"/>
      <c r="E39" s="575"/>
      <c r="F39" s="575"/>
      <c r="G39" s="575"/>
      <c r="H39" s="575"/>
      <c r="I39" s="575"/>
      <c r="J39" s="575"/>
      <c r="K39" s="575"/>
      <c r="L39" s="575"/>
      <c r="M39" s="575"/>
      <c r="N39" s="575"/>
      <c r="O39" s="575"/>
      <c r="P39" s="575"/>
      <c r="Q39" s="575"/>
      <c r="R39" s="575"/>
      <c r="S39" s="575"/>
      <c r="T39" s="575"/>
    </row>
    <row r="40">
      <c r="A40" s="575"/>
      <c r="B40" s="575"/>
      <c r="C40" s="612"/>
      <c r="D40" s="575"/>
      <c r="E40" s="575"/>
      <c r="F40" s="575"/>
      <c r="G40" s="575"/>
      <c r="H40" s="575"/>
      <c r="I40" s="575"/>
      <c r="J40" s="575"/>
      <c r="K40" s="575"/>
      <c r="L40" s="575"/>
      <c r="M40" s="575"/>
      <c r="N40" s="575"/>
      <c r="O40" s="575"/>
      <c r="P40" s="575"/>
      <c r="Q40" s="575"/>
      <c r="R40" s="575"/>
      <c r="S40" s="575"/>
      <c r="T40" s="575"/>
    </row>
    <row r="41">
      <c r="A41" s="575"/>
      <c r="B41" s="575"/>
      <c r="C41" s="612"/>
      <c r="D41" s="575"/>
      <c r="E41" s="575"/>
      <c r="F41" s="575"/>
      <c r="G41" s="575"/>
      <c r="H41" s="575"/>
      <c r="I41" s="575"/>
      <c r="J41" s="575"/>
      <c r="K41" s="575"/>
      <c r="L41" s="575"/>
      <c r="M41" s="575"/>
      <c r="N41" s="575"/>
      <c r="O41" s="575"/>
      <c r="P41" s="575"/>
      <c r="Q41" s="575"/>
      <c r="R41" s="575"/>
      <c r="S41" s="575"/>
      <c r="T41" s="575"/>
    </row>
    <row r="42">
      <c r="A42" s="575"/>
      <c r="B42" s="575"/>
      <c r="C42" s="612"/>
      <c r="D42" s="575"/>
      <c r="E42" s="575"/>
      <c r="F42" s="575"/>
      <c r="G42" s="575"/>
      <c r="H42" s="575"/>
      <c r="I42" s="575"/>
      <c r="J42" s="575"/>
      <c r="K42" s="575"/>
      <c r="L42" s="575"/>
      <c r="M42" s="575"/>
      <c r="N42" s="575"/>
      <c r="O42" s="575"/>
      <c r="P42" s="575"/>
      <c r="Q42" s="575"/>
      <c r="R42" s="575"/>
      <c r="S42" s="575"/>
      <c r="T42" s="575"/>
    </row>
    <row r="43">
      <c r="A43" s="575"/>
      <c r="B43" s="575"/>
      <c r="C43" s="612"/>
      <c r="D43" s="575"/>
      <c r="E43" s="575"/>
      <c r="F43" s="575"/>
      <c r="G43" s="575"/>
      <c r="H43" s="575"/>
      <c r="I43" s="575"/>
      <c r="J43" s="575"/>
      <c r="K43" s="575"/>
      <c r="L43" s="575"/>
      <c r="M43" s="575"/>
      <c r="N43" s="575"/>
      <c r="O43" s="575"/>
      <c r="P43" s="575"/>
      <c r="Q43" s="575"/>
      <c r="R43" s="575"/>
      <c r="S43" s="575"/>
      <c r="T43" s="575"/>
    </row>
    <row r="44">
      <c r="A44" s="575"/>
      <c r="B44" s="575"/>
      <c r="C44" s="612"/>
      <c r="D44" s="575"/>
      <c r="E44" s="575"/>
      <c r="F44" s="575"/>
      <c r="G44" s="575"/>
      <c r="H44" s="575"/>
      <c r="I44" s="575"/>
      <c r="J44" s="575"/>
      <c r="K44" s="575"/>
      <c r="L44" s="575"/>
      <c r="M44" s="575"/>
      <c r="N44" s="575"/>
      <c r="O44" s="575"/>
      <c r="P44" s="575"/>
      <c r="Q44" s="575"/>
      <c r="R44" s="575"/>
      <c r="S44" s="575"/>
      <c r="T44" s="575"/>
    </row>
    <row r="45">
      <c r="A45" s="575"/>
      <c r="B45" s="575"/>
      <c r="C45" s="612"/>
      <c r="D45" s="575"/>
      <c r="E45" s="575"/>
      <c r="F45" s="575"/>
      <c r="G45" s="575"/>
      <c r="H45" s="575"/>
      <c r="I45" s="575"/>
      <c r="J45" s="575"/>
      <c r="K45" s="575"/>
      <c r="L45" s="575"/>
      <c r="M45" s="575"/>
      <c r="N45" s="575"/>
      <c r="O45" s="575"/>
      <c r="P45" s="575"/>
      <c r="Q45" s="575"/>
      <c r="R45" s="575"/>
      <c r="S45" s="575"/>
      <c r="T45" s="575"/>
    </row>
    <row r="46">
      <c r="A46" s="575"/>
      <c r="B46" s="575"/>
      <c r="C46" s="612"/>
      <c r="D46" s="575"/>
      <c r="E46" s="575"/>
      <c r="F46" s="575"/>
      <c r="G46" s="575"/>
      <c r="H46" s="575"/>
      <c r="I46" s="575"/>
      <c r="J46" s="575"/>
      <c r="K46" s="575"/>
      <c r="L46" s="575"/>
      <c r="M46" s="575"/>
      <c r="N46" s="575"/>
      <c r="O46" s="575"/>
      <c r="P46" s="575"/>
      <c r="Q46" s="575"/>
      <c r="R46" s="575"/>
      <c r="S46" s="575"/>
      <c r="T46" s="575"/>
    </row>
    <row r="47">
      <c r="A47" s="575"/>
      <c r="B47" s="575"/>
      <c r="C47" s="612"/>
      <c r="D47" s="575"/>
      <c r="E47" s="575"/>
      <c r="F47" s="575"/>
      <c r="G47" s="575"/>
      <c r="H47" s="575"/>
      <c r="I47" s="575"/>
      <c r="J47" s="575"/>
      <c r="K47" s="575"/>
      <c r="L47" s="575"/>
      <c r="M47" s="575"/>
      <c r="N47" s="575"/>
      <c r="O47" s="575"/>
      <c r="P47" s="575"/>
      <c r="Q47" s="575"/>
      <c r="R47" s="575"/>
      <c r="S47" s="575"/>
      <c r="T47" s="575"/>
    </row>
    <row r="48">
      <c r="A48" s="575"/>
      <c r="B48" s="575"/>
      <c r="C48" s="612"/>
      <c r="D48" s="575"/>
      <c r="E48" s="575"/>
      <c r="F48" s="575"/>
      <c r="G48" s="575"/>
      <c r="H48" s="575"/>
      <c r="I48" s="575"/>
      <c r="J48" s="575"/>
      <c r="K48" s="575"/>
      <c r="L48" s="575"/>
      <c r="M48" s="575"/>
      <c r="N48" s="575"/>
      <c r="O48" s="575"/>
      <c r="P48" s="575"/>
      <c r="Q48" s="575"/>
      <c r="R48" s="575"/>
      <c r="S48" s="575"/>
      <c r="T48" s="575"/>
    </row>
    <row r="49">
      <c r="A49" s="575"/>
      <c r="B49" s="575"/>
      <c r="C49" s="612"/>
      <c r="D49" s="575"/>
      <c r="E49" s="575"/>
      <c r="F49" s="575"/>
      <c r="G49" s="575"/>
      <c r="H49" s="575"/>
      <c r="I49" s="575"/>
      <c r="J49" s="575"/>
      <c r="K49" s="575"/>
      <c r="L49" s="575"/>
      <c r="M49" s="575"/>
      <c r="N49" s="575"/>
      <c r="O49" s="575"/>
      <c r="P49" s="575"/>
      <c r="Q49" s="575"/>
      <c r="R49" s="575"/>
      <c r="S49" s="575"/>
      <c r="T49" s="575"/>
    </row>
    <row r="50">
      <c r="A50" s="575"/>
      <c r="B50" s="575"/>
      <c r="C50" s="612"/>
      <c r="D50" s="575"/>
      <c r="E50" s="575"/>
      <c r="F50" s="575"/>
      <c r="G50" s="575"/>
      <c r="H50" s="575"/>
      <c r="I50" s="575"/>
      <c r="J50" s="575"/>
      <c r="K50" s="575"/>
      <c r="L50" s="575"/>
      <c r="M50" s="575"/>
      <c r="N50" s="575"/>
      <c r="O50" s="575"/>
      <c r="P50" s="575"/>
      <c r="Q50" s="575"/>
      <c r="R50" s="575"/>
      <c r="S50" s="575"/>
      <c r="T50" s="575"/>
    </row>
    <row r="51">
      <c r="A51" s="575"/>
      <c r="B51" s="575"/>
      <c r="C51" s="612"/>
      <c r="D51" s="575"/>
      <c r="E51" s="575"/>
      <c r="F51" s="575"/>
      <c r="G51" s="575"/>
      <c r="H51" s="575"/>
      <c r="I51" s="575"/>
      <c r="J51" s="575"/>
      <c r="K51" s="575"/>
      <c r="L51" s="575"/>
      <c r="M51" s="575"/>
      <c r="N51" s="575"/>
      <c r="O51" s="575"/>
      <c r="P51" s="575"/>
      <c r="Q51" s="575"/>
      <c r="R51" s="575"/>
      <c r="S51" s="575"/>
      <c r="T51" s="575"/>
    </row>
    <row r="52">
      <c r="A52" s="575"/>
      <c r="B52" s="575"/>
      <c r="C52" s="612"/>
      <c r="D52" s="575"/>
      <c r="E52" s="575"/>
      <c r="F52" s="575"/>
      <c r="G52" s="575"/>
      <c r="H52" s="575"/>
      <c r="I52" s="575"/>
      <c r="J52" s="575"/>
      <c r="K52" s="575"/>
      <c r="L52" s="575"/>
      <c r="M52" s="575"/>
      <c r="N52" s="575"/>
      <c r="O52" s="575"/>
      <c r="P52" s="575"/>
      <c r="Q52" s="575"/>
      <c r="R52" s="575"/>
      <c r="S52" s="575"/>
      <c r="T52" s="575"/>
    </row>
    <row r="53">
      <c r="A53" s="575"/>
      <c r="B53" s="575"/>
      <c r="C53" s="612"/>
      <c r="D53" s="575"/>
      <c r="E53" s="575"/>
      <c r="F53" s="575"/>
      <c r="G53" s="575"/>
      <c r="H53" s="575"/>
      <c r="I53" s="575"/>
      <c r="J53" s="575"/>
      <c r="K53" s="575"/>
      <c r="L53" s="575"/>
      <c r="M53" s="575"/>
      <c r="N53" s="575"/>
      <c r="O53" s="575"/>
      <c r="P53" s="575"/>
      <c r="Q53" s="575"/>
      <c r="R53" s="575"/>
      <c r="S53" s="575"/>
      <c r="T53" s="575"/>
    </row>
    <row r="54">
      <c r="A54" s="575"/>
      <c r="B54" s="575"/>
      <c r="C54" s="612"/>
      <c r="D54" s="575"/>
      <c r="E54" s="575"/>
      <c r="F54" s="575"/>
      <c r="G54" s="575"/>
      <c r="H54" s="575"/>
      <c r="I54" s="575"/>
      <c r="J54" s="575"/>
      <c r="K54" s="575"/>
      <c r="L54" s="575"/>
      <c r="M54" s="575"/>
      <c r="N54" s="575"/>
      <c r="O54" s="575"/>
      <c r="P54" s="575"/>
      <c r="Q54" s="575"/>
      <c r="R54" s="575"/>
      <c r="S54" s="575"/>
      <c r="T54" s="575"/>
    </row>
    <row r="55">
      <c r="A55" s="575"/>
      <c r="B55" s="575"/>
      <c r="C55" s="612"/>
      <c r="D55" s="575"/>
      <c r="E55" s="575"/>
      <c r="F55" s="575"/>
      <c r="G55" s="575"/>
      <c r="H55" s="575"/>
      <c r="I55" s="575"/>
      <c r="J55" s="575"/>
      <c r="K55" s="575"/>
      <c r="L55" s="575"/>
      <c r="M55" s="575"/>
      <c r="N55" s="575"/>
      <c r="O55" s="575"/>
      <c r="P55" s="575"/>
      <c r="Q55" s="575"/>
      <c r="R55" s="575"/>
      <c r="S55" s="575"/>
      <c r="T55" s="575"/>
    </row>
    <row r="56">
      <c r="A56" s="575"/>
      <c r="B56" s="575"/>
      <c r="C56" s="612"/>
      <c r="D56" s="575"/>
      <c r="E56" s="575"/>
      <c r="F56" s="575"/>
      <c r="G56" s="575"/>
      <c r="H56" s="575"/>
      <c r="I56" s="575"/>
      <c r="J56" s="575"/>
      <c r="K56" s="575"/>
      <c r="L56" s="575"/>
      <c r="M56" s="575"/>
      <c r="N56" s="575"/>
      <c r="O56" s="575"/>
      <c r="P56" s="575"/>
      <c r="Q56" s="575"/>
      <c r="R56" s="575"/>
      <c r="S56" s="575"/>
      <c r="T56" s="575"/>
    </row>
    <row r="57">
      <c r="A57" s="575"/>
      <c r="B57" s="575"/>
      <c r="C57" s="612"/>
      <c r="D57" s="575"/>
      <c r="E57" s="575"/>
      <c r="F57" s="575"/>
      <c r="G57" s="575"/>
      <c r="H57" s="575"/>
      <c r="I57" s="575"/>
      <c r="J57" s="575"/>
      <c r="K57" s="575"/>
      <c r="L57" s="575"/>
      <c r="M57" s="575"/>
      <c r="N57" s="575"/>
      <c r="O57" s="575"/>
      <c r="P57" s="575"/>
      <c r="Q57" s="575"/>
      <c r="R57" s="575"/>
      <c r="S57" s="575"/>
      <c r="T57" s="575"/>
    </row>
    <row r="58">
      <c r="A58" s="575"/>
      <c r="B58" s="575"/>
      <c r="C58" s="612"/>
      <c r="D58" s="575"/>
      <c r="E58" s="575"/>
      <c r="F58" s="575"/>
      <c r="G58" s="575"/>
      <c r="H58" s="575"/>
      <c r="I58" s="575"/>
      <c r="J58" s="575"/>
      <c r="K58" s="575"/>
      <c r="L58" s="575"/>
      <c r="M58" s="575"/>
      <c r="N58" s="575"/>
      <c r="O58" s="575"/>
      <c r="P58" s="575"/>
      <c r="Q58" s="575"/>
      <c r="R58" s="575"/>
      <c r="S58" s="575"/>
      <c r="T58" s="575"/>
    </row>
    <row r="59">
      <c r="A59" s="575"/>
      <c r="B59" s="575"/>
      <c r="C59" s="612"/>
      <c r="D59" s="575"/>
      <c r="E59" s="575"/>
      <c r="F59" s="575"/>
      <c r="G59" s="575"/>
      <c r="H59" s="575"/>
      <c r="I59" s="575"/>
      <c r="J59" s="575"/>
      <c r="K59" s="575"/>
      <c r="L59" s="575"/>
      <c r="M59" s="575"/>
      <c r="N59" s="575"/>
      <c r="O59" s="575"/>
      <c r="P59" s="575"/>
      <c r="Q59" s="575"/>
      <c r="R59" s="575"/>
      <c r="S59" s="575"/>
      <c r="T59" s="575"/>
    </row>
    <row r="60">
      <c r="A60" s="575"/>
      <c r="B60" s="575"/>
      <c r="C60" s="612"/>
      <c r="D60" s="575"/>
      <c r="E60" s="575"/>
      <c r="F60" s="575"/>
      <c r="G60" s="575"/>
      <c r="H60" s="575"/>
      <c r="I60" s="575"/>
      <c r="J60" s="575"/>
      <c r="K60" s="575"/>
      <c r="L60" s="575"/>
      <c r="M60" s="575"/>
      <c r="N60" s="575"/>
      <c r="O60" s="575"/>
      <c r="P60" s="575"/>
      <c r="Q60" s="575"/>
      <c r="R60" s="575"/>
      <c r="S60" s="575"/>
      <c r="T60" s="575"/>
    </row>
    <row r="61">
      <c r="A61" s="575"/>
      <c r="B61" s="575"/>
      <c r="C61" s="612"/>
      <c r="D61" s="575"/>
      <c r="E61" s="575"/>
      <c r="F61" s="575"/>
      <c r="G61" s="575"/>
      <c r="H61" s="575"/>
      <c r="I61" s="575"/>
      <c r="J61" s="575"/>
      <c r="K61" s="575"/>
      <c r="L61" s="575"/>
      <c r="M61" s="575"/>
      <c r="N61" s="575"/>
      <c r="O61" s="575"/>
      <c r="P61" s="575"/>
      <c r="Q61" s="575"/>
      <c r="R61" s="575"/>
      <c r="S61" s="575"/>
      <c r="T61" s="575"/>
    </row>
    <row r="62">
      <c r="A62" s="575"/>
      <c r="B62" s="575"/>
      <c r="C62" s="612"/>
      <c r="D62" s="575"/>
      <c r="E62" s="575"/>
      <c r="F62" s="575"/>
      <c r="G62" s="575"/>
      <c r="H62" s="575"/>
      <c r="I62" s="575"/>
      <c r="J62" s="575"/>
      <c r="K62" s="575"/>
      <c r="L62" s="575"/>
      <c r="M62" s="575"/>
      <c r="N62" s="575"/>
      <c r="O62" s="575"/>
      <c r="P62" s="575"/>
      <c r="Q62" s="575"/>
      <c r="R62" s="575"/>
      <c r="S62" s="575"/>
      <c r="T62" s="575"/>
    </row>
    <row r="63">
      <c r="A63" s="575"/>
      <c r="B63" s="575"/>
      <c r="C63" s="612"/>
      <c r="D63" s="575"/>
      <c r="E63" s="575"/>
      <c r="F63" s="575"/>
      <c r="G63" s="575"/>
      <c r="H63" s="575"/>
      <c r="I63" s="575"/>
      <c r="J63" s="575"/>
      <c r="K63" s="575"/>
      <c r="L63" s="575"/>
      <c r="M63" s="575"/>
      <c r="N63" s="575"/>
      <c r="O63" s="575"/>
      <c r="P63" s="575"/>
      <c r="Q63" s="575"/>
      <c r="R63" s="575"/>
      <c r="S63" s="575"/>
      <c r="T63" s="575"/>
    </row>
    <row r="64">
      <c r="A64" s="575"/>
      <c r="B64" s="575"/>
      <c r="C64" s="612"/>
      <c r="D64" s="575"/>
      <c r="E64" s="575"/>
      <c r="F64" s="575"/>
      <c r="G64" s="575"/>
      <c r="H64" s="575"/>
      <c r="I64" s="575"/>
      <c r="J64" s="575"/>
      <c r="K64" s="575"/>
      <c r="L64" s="575"/>
      <c r="M64" s="575"/>
      <c r="N64" s="575"/>
      <c r="O64" s="575"/>
      <c r="P64" s="575"/>
      <c r="Q64" s="575"/>
      <c r="R64" s="575"/>
      <c r="S64" s="575"/>
      <c r="T64" s="575"/>
    </row>
    <row r="65">
      <c r="A65" s="575"/>
      <c r="B65" s="575"/>
      <c r="C65" s="612"/>
      <c r="D65" s="575"/>
      <c r="E65" s="575"/>
      <c r="F65" s="575"/>
      <c r="G65" s="575"/>
      <c r="H65" s="575"/>
      <c r="I65" s="575"/>
      <c r="J65" s="575"/>
      <c r="K65" s="575"/>
      <c r="L65" s="575"/>
      <c r="M65" s="575"/>
      <c r="N65" s="575"/>
      <c r="O65" s="575"/>
      <c r="P65" s="575"/>
      <c r="Q65" s="575"/>
      <c r="R65" s="575"/>
      <c r="S65" s="575"/>
      <c r="T65" s="575"/>
    </row>
    <row r="66">
      <c r="A66" s="575"/>
      <c r="B66" s="575"/>
      <c r="C66" s="612"/>
      <c r="D66" s="575"/>
      <c r="E66" s="575"/>
      <c r="F66" s="575"/>
      <c r="G66" s="575"/>
      <c r="H66" s="575"/>
      <c r="I66" s="575"/>
      <c r="J66" s="575"/>
      <c r="K66" s="575"/>
      <c r="L66" s="575"/>
      <c r="M66" s="575"/>
      <c r="N66" s="575"/>
      <c r="O66" s="575"/>
      <c r="P66" s="575"/>
      <c r="Q66" s="575"/>
      <c r="R66" s="575"/>
      <c r="S66" s="575"/>
      <c r="T66" s="575"/>
    </row>
    <row r="67">
      <c r="A67" s="575"/>
      <c r="B67" s="575"/>
      <c r="C67" s="612"/>
      <c r="D67" s="575"/>
      <c r="E67" s="575"/>
      <c r="F67" s="575"/>
      <c r="G67" s="575"/>
      <c r="H67" s="575"/>
      <c r="I67" s="575"/>
      <c r="J67" s="575"/>
      <c r="K67" s="575"/>
      <c r="L67" s="575"/>
      <c r="M67" s="575"/>
      <c r="N67" s="575"/>
      <c r="O67" s="575"/>
      <c r="P67" s="575"/>
      <c r="Q67" s="575"/>
      <c r="R67" s="575"/>
      <c r="S67" s="575"/>
      <c r="T67" s="575"/>
    </row>
    <row r="68">
      <c r="A68" s="575"/>
      <c r="B68" s="575"/>
      <c r="C68" s="612"/>
      <c r="D68" s="575"/>
      <c r="E68" s="575"/>
      <c r="F68" s="575"/>
      <c r="G68" s="575"/>
      <c r="H68" s="575"/>
      <c r="I68" s="575"/>
      <c r="J68" s="575"/>
      <c r="K68" s="575"/>
      <c r="L68" s="575"/>
      <c r="M68" s="575"/>
      <c r="N68" s="575"/>
      <c r="O68" s="575"/>
      <c r="P68" s="575"/>
      <c r="Q68" s="575"/>
      <c r="R68" s="575"/>
      <c r="S68" s="575"/>
      <c r="T68" s="575"/>
    </row>
    <row r="69">
      <c r="A69" s="575"/>
      <c r="B69" s="575"/>
      <c r="C69" s="612"/>
      <c r="D69" s="575"/>
      <c r="E69" s="575"/>
      <c r="F69" s="575"/>
      <c r="G69" s="575"/>
      <c r="H69" s="575"/>
      <c r="I69" s="575"/>
      <c r="J69" s="575"/>
      <c r="K69" s="575"/>
      <c r="L69" s="575"/>
      <c r="M69" s="575"/>
      <c r="N69" s="575"/>
      <c r="O69" s="575"/>
      <c r="P69" s="575"/>
      <c r="Q69" s="575"/>
      <c r="R69" s="575"/>
      <c r="S69" s="575"/>
      <c r="T69" s="575"/>
    </row>
    <row r="70">
      <c r="A70" s="575"/>
      <c r="B70" s="575"/>
      <c r="C70" s="612"/>
      <c r="D70" s="575"/>
      <c r="E70" s="575"/>
      <c r="F70" s="575"/>
      <c r="G70" s="575"/>
      <c r="H70" s="575"/>
      <c r="I70" s="575"/>
      <c r="J70" s="575"/>
      <c r="K70" s="575"/>
      <c r="L70" s="575"/>
      <c r="M70" s="575"/>
      <c r="N70" s="575"/>
      <c r="O70" s="575"/>
      <c r="P70" s="575"/>
      <c r="Q70" s="575"/>
      <c r="R70" s="575"/>
      <c r="S70" s="575"/>
      <c r="T70" s="575"/>
    </row>
    <row r="71">
      <c r="A71" s="575"/>
      <c r="B71" s="575"/>
      <c r="C71" s="612"/>
      <c r="D71" s="575"/>
      <c r="E71" s="575"/>
      <c r="F71" s="575"/>
      <c r="G71" s="575"/>
      <c r="H71" s="575"/>
      <c r="I71" s="575"/>
      <c r="J71" s="575"/>
      <c r="K71" s="575"/>
      <c r="L71" s="575"/>
      <c r="M71" s="575"/>
      <c r="N71" s="575"/>
      <c r="O71" s="575"/>
      <c r="P71" s="575"/>
      <c r="Q71" s="575"/>
      <c r="R71" s="575"/>
      <c r="S71" s="575"/>
      <c r="T71" s="575"/>
    </row>
    <row r="72">
      <c r="A72" s="575"/>
      <c r="B72" s="575"/>
      <c r="C72" s="612"/>
      <c r="D72" s="575"/>
      <c r="E72" s="575"/>
      <c r="F72" s="575"/>
      <c r="G72" s="575"/>
      <c r="H72" s="575"/>
      <c r="I72" s="575"/>
      <c r="J72" s="575"/>
      <c r="K72" s="575"/>
      <c r="L72" s="575"/>
      <c r="M72" s="575"/>
      <c r="N72" s="575"/>
      <c r="O72" s="575"/>
      <c r="P72" s="575"/>
      <c r="Q72" s="575"/>
      <c r="R72" s="575"/>
      <c r="S72" s="575"/>
      <c r="T72" s="575"/>
    </row>
    <row r="73">
      <c r="A73" s="575"/>
      <c r="B73" s="575"/>
      <c r="C73" s="612"/>
      <c r="D73" s="575"/>
      <c r="E73" s="575"/>
      <c r="F73" s="575"/>
      <c r="G73" s="575"/>
      <c r="H73" s="575"/>
      <c r="I73" s="575"/>
      <c r="J73" s="575"/>
      <c r="K73" s="575"/>
      <c r="L73" s="575"/>
      <c r="M73" s="575"/>
      <c r="N73" s="575"/>
      <c r="O73" s="575"/>
      <c r="P73" s="575"/>
      <c r="Q73" s="575"/>
      <c r="R73" s="575"/>
      <c r="S73" s="575"/>
      <c r="T73" s="575"/>
    </row>
    <row r="74">
      <c r="A74" s="575"/>
      <c r="B74" s="575"/>
      <c r="C74" s="612"/>
      <c r="D74" s="575"/>
      <c r="E74" s="575"/>
      <c r="F74" s="575"/>
      <c r="G74" s="575"/>
      <c r="H74" s="575"/>
      <c r="I74" s="575"/>
      <c r="J74" s="575"/>
      <c r="K74" s="575"/>
      <c r="L74" s="575"/>
      <c r="M74" s="575"/>
      <c r="N74" s="575"/>
      <c r="O74" s="575"/>
      <c r="P74" s="575"/>
      <c r="Q74" s="575"/>
      <c r="R74" s="575"/>
      <c r="S74" s="575"/>
      <c r="T74" s="575"/>
    </row>
    <row r="75">
      <c r="A75" s="575"/>
      <c r="B75" s="575"/>
      <c r="C75" s="612"/>
      <c r="D75" s="575"/>
      <c r="E75" s="575"/>
      <c r="F75" s="575"/>
      <c r="G75" s="575"/>
      <c r="H75" s="575"/>
      <c r="I75" s="575"/>
      <c r="J75" s="575"/>
      <c r="K75" s="575"/>
      <c r="L75" s="575"/>
      <c r="M75" s="575"/>
      <c r="N75" s="575"/>
      <c r="O75" s="575"/>
      <c r="P75" s="575"/>
      <c r="Q75" s="575"/>
      <c r="R75" s="575"/>
      <c r="S75" s="575"/>
      <c r="T75" s="575"/>
    </row>
    <row r="76">
      <c r="A76" s="575"/>
      <c r="B76" s="575"/>
      <c r="C76" s="612"/>
      <c r="D76" s="575"/>
      <c r="E76" s="575"/>
      <c r="F76" s="575"/>
      <c r="G76" s="575"/>
      <c r="H76" s="575"/>
      <c r="I76" s="575"/>
      <c r="J76" s="575"/>
      <c r="K76" s="575"/>
      <c r="L76" s="575"/>
      <c r="M76" s="575"/>
      <c r="N76" s="575"/>
      <c r="O76" s="575"/>
      <c r="P76" s="575"/>
      <c r="Q76" s="575"/>
      <c r="R76" s="575"/>
      <c r="S76" s="575"/>
      <c r="T76" s="575"/>
    </row>
    <row r="77">
      <c r="A77" s="575"/>
      <c r="B77" s="575"/>
      <c r="C77" s="612"/>
      <c r="D77" s="575"/>
      <c r="E77" s="575"/>
      <c r="F77" s="575"/>
      <c r="G77" s="575"/>
      <c r="H77" s="575"/>
      <c r="I77" s="575"/>
      <c r="J77" s="575"/>
      <c r="K77" s="575"/>
      <c r="L77" s="575"/>
      <c r="M77" s="575"/>
      <c r="N77" s="575"/>
      <c r="O77" s="575"/>
      <c r="P77" s="575"/>
      <c r="Q77" s="575"/>
      <c r="R77" s="575"/>
      <c r="S77" s="575"/>
      <c r="T77" s="575"/>
    </row>
    <row r="78">
      <c r="A78" s="575"/>
      <c r="B78" s="575"/>
      <c r="C78" s="612"/>
      <c r="D78" s="575"/>
      <c r="E78" s="575"/>
      <c r="F78" s="575"/>
      <c r="G78" s="575"/>
      <c r="H78" s="575"/>
      <c r="I78" s="575"/>
      <c r="J78" s="575"/>
      <c r="K78" s="575"/>
      <c r="L78" s="575"/>
      <c r="M78" s="575"/>
      <c r="N78" s="575"/>
      <c r="O78" s="575"/>
      <c r="P78" s="575"/>
      <c r="Q78" s="575"/>
      <c r="R78" s="575"/>
      <c r="S78" s="575"/>
      <c r="T78" s="575"/>
    </row>
    <row r="79">
      <c r="A79" s="575"/>
      <c r="B79" s="575"/>
      <c r="C79" s="612"/>
      <c r="D79" s="575"/>
      <c r="E79" s="575"/>
      <c r="F79" s="575"/>
      <c r="G79" s="575"/>
      <c r="H79" s="575"/>
      <c r="I79" s="575"/>
      <c r="J79" s="575"/>
      <c r="K79" s="575"/>
      <c r="L79" s="575"/>
      <c r="M79" s="575"/>
      <c r="N79" s="575"/>
      <c r="O79" s="575"/>
      <c r="P79" s="575"/>
      <c r="Q79" s="575"/>
      <c r="R79" s="575"/>
      <c r="S79" s="575"/>
      <c r="T79" s="575"/>
    </row>
    <row r="80">
      <c r="A80" s="575"/>
      <c r="B80" s="575"/>
      <c r="C80" s="612"/>
      <c r="D80" s="575"/>
      <c r="E80" s="575"/>
      <c r="F80" s="575"/>
      <c r="G80" s="575"/>
      <c r="H80" s="575"/>
      <c r="I80" s="575"/>
      <c r="J80" s="575"/>
      <c r="K80" s="575"/>
      <c r="L80" s="575"/>
      <c r="M80" s="575"/>
      <c r="N80" s="575"/>
      <c r="O80" s="575"/>
      <c r="P80" s="575"/>
      <c r="Q80" s="575"/>
      <c r="R80" s="575"/>
      <c r="S80" s="575"/>
      <c r="T80" s="575"/>
    </row>
    <row r="81">
      <c r="A81" s="575"/>
      <c r="B81" s="575"/>
      <c r="C81" s="612"/>
      <c r="D81" s="575"/>
      <c r="E81" s="575"/>
      <c r="F81" s="575"/>
      <c r="G81" s="575"/>
      <c r="H81" s="575"/>
      <c r="I81" s="575"/>
      <c r="J81" s="575"/>
      <c r="K81" s="575"/>
      <c r="L81" s="575"/>
      <c r="M81" s="575"/>
      <c r="N81" s="575"/>
      <c r="O81" s="575"/>
      <c r="P81" s="575"/>
      <c r="Q81" s="575"/>
      <c r="R81" s="575"/>
      <c r="S81" s="575"/>
      <c r="T81" s="575"/>
    </row>
    <row r="82">
      <c r="A82" s="575"/>
      <c r="B82" s="575"/>
      <c r="C82" s="612"/>
      <c r="D82" s="575"/>
      <c r="E82" s="575"/>
      <c r="F82" s="575"/>
      <c r="G82" s="575"/>
      <c r="H82" s="575"/>
      <c r="I82" s="575"/>
      <c r="J82" s="575"/>
      <c r="K82" s="575"/>
      <c r="L82" s="575"/>
      <c r="M82" s="575"/>
      <c r="N82" s="575"/>
      <c r="O82" s="575"/>
      <c r="P82" s="575"/>
      <c r="Q82" s="575"/>
      <c r="R82" s="575"/>
      <c r="S82" s="575"/>
      <c r="T82" s="575"/>
    </row>
    <row r="83">
      <c r="A83" s="575"/>
      <c r="B83" s="575"/>
      <c r="C83" s="612"/>
      <c r="D83" s="575"/>
      <c r="E83" s="575"/>
      <c r="F83" s="575"/>
      <c r="G83" s="575"/>
      <c r="H83" s="575"/>
      <c r="I83" s="575"/>
      <c r="J83" s="575"/>
      <c r="K83" s="575"/>
      <c r="L83" s="575"/>
      <c r="M83" s="575"/>
      <c r="N83" s="575"/>
      <c r="O83" s="575"/>
      <c r="P83" s="575"/>
      <c r="Q83" s="575"/>
      <c r="R83" s="575"/>
      <c r="S83" s="575"/>
      <c r="T83" s="575"/>
    </row>
    <row r="84">
      <c r="A84" s="575"/>
      <c r="B84" s="575"/>
      <c r="C84" s="612"/>
      <c r="D84" s="575"/>
      <c r="E84" s="575"/>
      <c r="F84" s="575"/>
      <c r="G84" s="575"/>
      <c r="H84" s="575"/>
      <c r="I84" s="575"/>
      <c r="J84" s="575"/>
      <c r="K84" s="575"/>
      <c r="L84" s="575"/>
      <c r="M84" s="575"/>
      <c r="N84" s="575"/>
      <c r="O84" s="575"/>
      <c r="P84" s="575"/>
      <c r="Q84" s="575"/>
      <c r="R84" s="575"/>
      <c r="S84" s="575"/>
      <c r="T84" s="575"/>
    </row>
    <row r="85">
      <c r="A85" s="575"/>
      <c r="B85" s="575"/>
      <c r="C85" s="612"/>
      <c r="D85" s="575"/>
      <c r="E85" s="575"/>
      <c r="F85" s="575"/>
      <c r="G85" s="575"/>
      <c r="H85" s="575"/>
      <c r="I85" s="575"/>
      <c r="J85" s="575"/>
      <c r="K85" s="575"/>
      <c r="L85" s="575"/>
      <c r="M85" s="575"/>
      <c r="N85" s="575"/>
      <c r="O85" s="575"/>
      <c r="P85" s="575"/>
      <c r="Q85" s="575"/>
      <c r="R85" s="575"/>
      <c r="S85" s="575"/>
      <c r="T85" s="575"/>
    </row>
    <row r="86">
      <c r="A86" s="575"/>
      <c r="B86" s="575"/>
      <c r="C86" s="612"/>
      <c r="D86" s="575"/>
      <c r="E86" s="575"/>
      <c r="F86" s="575"/>
      <c r="G86" s="575"/>
      <c r="H86" s="575"/>
      <c r="I86" s="575"/>
      <c r="J86" s="575"/>
      <c r="K86" s="575"/>
      <c r="L86" s="575"/>
      <c r="M86" s="575"/>
      <c r="N86" s="575"/>
      <c r="O86" s="575"/>
      <c r="P86" s="575"/>
      <c r="Q86" s="575"/>
      <c r="R86" s="575"/>
      <c r="S86" s="575"/>
      <c r="T86" s="575"/>
    </row>
    <row r="87">
      <c r="A87" s="575"/>
      <c r="B87" s="575"/>
      <c r="C87" s="612"/>
      <c r="D87" s="575"/>
      <c r="E87" s="575"/>
      <c r="F87" s="575"/>
      <c r="G87" s="575"/>
      <c r="H87" s="575"/>
      <c r="I87" s="575"/>
      <c r="J87" s="575"/>
      <c r="K87" s="575"/>
      <c r="L87" s="575"/>
      <c r="M87" s="575"/>
      <c r="N87" s="575"/>
      <c r="O87" s="575"/>
      <c r="P87" s="575"/>
      <c r="Q87" s="575"/>
      <c r="R87" s="575"/>
      <c r="S87" s="575"/>
      <c r="T87" s="575"/>
    </row>
    <row r="88">
      <c r="A88" s="575"/>
      <c r="B88" s="575"/>
      <c r="C88" s="612"/>
      <c r="D88" s="575"/>
      <c r="E88" s="575"/>
      <c r="F88" s="575"/>
      <c r="G88" s="575"/>
      <c r="H88" s="575"/>
      <c r="I88" s="575"/>
      <c r="J88" s="575"/>
      <c r="K88" s="575"/>
      <c r="L88" s="575"/>
      <c r="M88" s="575"/>
      <c r="N88" s="575"/>
      <c r="O88" s="575"/>
      <c r="P88" s="575"/>
      <c r="Q88" s="575"/>
      <c r="R88" s="575"/>
      <c r="S88" s="575"/>
      <c r="T88" s="575"/>
    </row>
    <row r="89">
      <c r="A89" s="575"/>
      <c r="B89" s="575"/>
      <c r="C89" s="612"/>
      <c r="D89" s="575"/>
      <c r="E89" s="575"/>
      <c r="F89" s="575"/>
      <c r="G89" s="575"/>
      <c r="H89" s="575"/>
      <c r="I89" s="575"/>
      <c r="J89" s="575"/>
      <c r="K89" s="575"/>
      <c r="L89" s="575"/>
      <c r="M89" s="575"/>
      <c r="N89" s="575"/>
      <c r="O89" s="575"/>
      <c r="P89" s="575"/>
      <c r="Q89" s="575"/>
      <c r="R89" s="575"/>
      <c r="S89" s="575"/>
      <c r="T89" s="575"/>
    </row>
    <row r="90">
      <c r="A90" s="575"/>
      <c r="B90" s="575"/>
      <c r="C90" s="612"/>
      <c r="D90" s="575"/>
      <c r="E90" s="575"/>
      <c r="F90" s="575"/>
      <c r="G90" s="575"/>
      <c r="H90" s="575"/>
      <c r="I90" s="575"/>
      <c r="J90" s="575"/>
      <c r="K90" s="575"/>
      <c r="L90" s="575"/>
      <c r="M90" s="575"/>
      <c r="N90" s="575"/>
      <c r="O90" s="575"/>
      <c r="P90" s="575"/>
      <c r="Q90" s="575"/>
      <c r="R90" s="575"/>
      <c r="S90" s="575"/>
      <c r="T90" s="575"/>
    </row>
    <row r="91">
      <c r="A91" s="575"/>
      <c r="B91" s="575"/>
      <c r="C91" s="612"/>
      <c r="D91" s="575"/>
      <c r="E91" s="575"/>
      <c r="F91" s="575"/>
      <c r="G91" s="575"/>
      <c r="H91" s="575"/>
      <c r="I91" s="575"/>
      <c r="J91" s="575"/>
      <c r="K91" s="575"/>
      <c r="L91" s="575"/>
      <c r="M91" s="575"/>
      <c r="N91" s="575"/>
      <c r="O91" s="575"/>
      <c r="P91" s="575"/>
      <c r="Q91" s="575"/>
      <c r="R91" s="575"/>
      <c r="S91" s="575"/>
      <c r="T91" s="575"/>
    </row>
    <row r="92">
      <c r="A92" s="575"/>
      <c r="B92" s="575"/>
      <c r="C92" s="612"/>
      <c r="D92" s="575"/>
      <c r="E92" s="575"/>
      <c r="F92" s="575"/>
      <c r="G92" s="575"/>
      <c r="H92" s="575"/>
      <c r="I92" s="575"/>
      <c r="J92" s="575"/>
      <c r="K92" s="575"/>
      <c r="L92" s="575"/>
      <c r="M92" s="575"/>
      <c r="N92" s="575"/>
      <c r="O92" s="575"/>
      <c r="P92" s="575"/>
      <c r="Q92" s="575"/>
      <c r="R92" s="575"/>
      <c r="S92" s="575"/>
      <c r="T92" s="575"/>
    </row>
    <row r="93">
      <c r="A93" s="575"/>
      <c r="B93" s="575"/>
      <c r="C93" s="612"/>
      <c r="D93" s="575"/>
      <c r="E93" s="575"/>
      <c r="F93" s="575"/>
      <c r="G93" s="575"/>
      <c r="H93" s="575"/>
      <c r="I93" s="575"/>
      <c r="J93" s="575"/>
      <c r="K93" s="575"/>
      <c r="L93" s="575"/>
      <c r="M93" s="575"/>
      <c r="N93" s="575"/>
      <c r="O93" s="575"/>
      <c r="P93" s="575"/>
      <c r="Q93" s="575"/>
      <c r="R93" s="575"/>
      <c r="S93" s="575"/>
      <c r="T93" s="575"/>
    </row>
    <row r="94">
      <c r="A94" s="575"/>
      <c r="B94" s="575"/>
      <c r="C94" s="612"/>
      <c r="D94" s="575"/>
      <c r="E94" s="575"/>
      <c r="F94" s="575"/>
      <c r="G94" s="575"/>
      <c r="H94" s="575"/>
      <c r="I94" s="575"/>
      <c r="J94" s="575"/>
      <c r="K94" s="575"/>
      <c r="L94" s="575"/>
      <c r="M94" s="575"/>
      <c r="N94" s="575"/>
      <c r="O94" s="575"/>
      <c r="P94" s="575"/>
      <c r="Q94" s="575"/>
      <c r="R94" s="575"/>
      <c r="S94" s="575"/>
      <c r="T94" s="575"/>
    </row>
    <row r="95">
      <c r="A95" s="575"/>
      <c r="B95" s="575"/>
      <c r="C95" s="612"/>
      <c r="D95" s="575"/>
      <c r="E95" s="575"/>
      <c r="F95" s="575"/>
      <c r="G95" s="575"/>
      <c r="H95" s="575"/>
      <c r="I95" s="575"/>
      <c r="J95" s="575"/>
      <c r="K95" s="575"/>
      <c r="L95" s="575"/>
      <c r="M95" s="575"/>
      <c r="N95" s="575"/>
      <c r="O95" s="575"/>
      <c r="P95" s="575"/>
      <c r="Q95" s="575"/>
      <c r="R95" s="575"/>
      <c r="S95" s="575"/>
      <c r="T95" s="575"/>
    </row>
    <row r="96">
      <c r="A96" s="575"/>
      <c r="B96" s="575"/>
      <c r="C96" s="612"/>
      <c r="D96" s="575"/>
      <c r="E96" s="575"/>
      <c r="F96" s="575"/>
      <c r="G96" s="575"/>
      <c r="H96" s="575"/>
      <c r="I96" s="575"/>
      <c r="J96" s="575"/>
      <c r="K96" s="575"/>
      <c r="L96" s="575"/>
      <c r="M96" s="575"/>
      <c r="N96" s="575"/>
      <c r="O96" s="575"/>
      <c r="P96" s="575"/>
      <c r="Q96" s="575"/>
      <c r="R96" s="575"/>
      <c r="S96" s="575"/>
      <c r="T96" s="575"/>
    </row>
    <row r="97">
      <c r="A97" s="575"/>
      <c r="B97" s="575"/>
      <c r="C97" s="612"/>
      <c r="D97" s="575"/>
      <c r="E97" s="575"/>
      <c r="F97" s="575"/>
      <c r="G97" s="575"/>
      <c r="H97" s="575"/>
      <c r="I97" s="575"/>
      <c r="J97" s="575"/>
      <c r="K97" s="575"/>
      <c r="L97" s="575"/>
      <c r="M97" s="575"/>
      <c r="N97" s="575"/>
      <c r="O97" s="575"/>
      <c r="P97" s="575"/>
      <c r="Q97" s="575"/>
      <c r="R97" s="575"/>
      <c r="S97" s="575"/>
      <c r="T97" s="575"/>
    </row>
    <row r="98">
      <c r="A98" s="575"/>
      <c r="B98" s="575"/>
      <c r="C98" s="612"/>
      <c r="D98" s="575"/>
      <c r="E98" s="575"/>
      <c r="F98" s="575"/>
      <c r="G98" s="575"/>
      <c r="H98" s="575"/>
      <c r="I98" s="575"/>
      <c r="J98" s="575"/>
      <c r="K98" s="575"/>
      <c r="L98" s="575"/>
      <c r="M98" s="575"/>
      <c r="N98" s="575"/>
      <c r="O98" s="575"/>
      <c r="P98" s="575"/>
      <c r="Q98" s="575"/>
      <c r="R98" s="575"/>
      <c r="S98" s="575"/>
      <c r="T98" s="575"/>
    </row>
    <row r="99">
      <c r="A99" s="575"/>
      <c r="B99" s="575"/>
      <c r="C99" s="612"/>
      <c r="D99" s="575"/>
      <c r="E99" s="575"/>
      <c r="F99" s="575"/>
      <c r="G99" s="575"/>
      <c r="H99" s="575"/>
      <c r="I99" s="575"/>
      <c r="J99" s="575"/>
      <c r="K99" s="575"/>
      <c r="L99" s="575"/>
      <c r="M99" s="575"/>
      <c r="N99" s="575"/>
      <c r="O99" s="575"/>
      <c r="P99" s="575"/>
      <c r="Q99" s="575"/>
      <c r="R99" s="575"/>
      <c r="S99" s="575"/>
      <c r="T99" s="575"/>
    </row>
    <row r="100">
      <c r="A100" s="575"/>
      <c r="B100" s="575"/>
      <c r="C100" s="612"/>
      <c r="D100" s="575"/>
      <c r="E100" s="575"/>
      <c r="F100" s="575"/>
      <c r="G100" s="575"/>
      <c r="H100" s="575"/>
      <c r="I100" s="575"/>
      <c r="J100" s="575"/>
      <c r="K100" s="575"/>
      <c r="L100" s="575"/>
      <c r="M100" s="575"/>
      <c r="N100" s="575"/>
      <c r="O100" s="575"/>
      <c r="P100" s="575"/>
      <c r="Q100" s="575"/>
      <c r="R100" s="575"/>
      <c r="S100" s="575"/>
      <c r="T100" s="575"/>
    </row>
    <row r="101">
      <c r="A101" s="575"/>
      <c r="B101" s="575"/>
      <c r="C101" s="612"/>
      <c r="D101" s="575"/>
      <c r="E101" s="575"/>
      <c r="F101" s="575"/>
      <c r="G101" s="575"/>
      <c r="H101" s="575"/>
      <c r="I101" s="575"/>
      <c r="J101" s="575"/>
      <c r="K101" s="575"/>
      <c r="L101" s="575"/>
      <c r="M101" s="575"/>
      <c r="N101" s="575"/>
      <c r="O101" s="575"/>
      <c r="P101" s="575"/>
      <c r="Q101" s="575"/>
      <c r="R101" s="575"/>
      <c r="S101" s="575"/>
      <c r="T101" s="575"/>
    </row>
    <row r="102">
      <c r="A102" s="575"/>
      <c r="B102" s="575"/>
      <c r="C102" s="612"/>
      <c r="D102" s="575"/>
      <c r="E102" s="575"/>
      <c r="F102" s="575"/>
      <c r="G102" s="575"/>
      <c r="H102" s="575"/>
      <c r="I102" s="575"/>
      <c r="J102" s="575"/>
      <c r="K102" s="575"/>
      <c r="L102" s="575"/>
      <c r="M102" s="575"/>
      <c r="N102" s="575"/>
      <c r="O102" s="575"/>
      <c r="P102" s="575"/>
      <c r="Q102" s="575"/>
      <c r="R102" s="575"/>
      <c r="S102" s="575"/>
      <c r="T102" s="575"/>
    </row>
    <row r="103">
      <c r="A103" s="575"/>
      <c r="B103" s="575"/>
      <c r="C103" s="612"/>
      <c r="D103" s="575"/>
      <c r="E103" s="575"/>
      <c r="F103" s="575"/>
      <c r="G103" s="575"/>
      <c r="H103" s="575"/>
      <c r="I103" s="575"/>
      <c r="J103" s="575"/>
      <c r="K103" s="575"/>
      <c r="L103" s="575"/>
      <c r="M103" s="575"/>
      <c r="N103" s="575"/>
      <c r="O103" s="575"/>
      <c r="P103" s="575"/>
      <c r="Q103" s="575"/>
      <c r="R103" s="575"/>
      <c r="S103" s="575"/>
      <c r="T103" s="575"/>
    </row>
    <row r="104">
      <c r="A104" s="575"/>
      <c r="B104" s="575"/>
      <c r="C104" s="612"/>
      <c r="D104" s="575"/>
      <c r="E104" s="575"/>
      <c r="F104" s="575"/>
      <c r="G104" s="575"/>
      <c r="H104" s="575"/>
      <c r="I104" s="575"/>
      <c r="J104" s="575"/>
      <c r="K104" s="575"/>
      <c r="L104" s="575"/>
      <c r="M104" s="575"/>
      <c r="N104" s="575"/>
      <c r="O104" s="575"/>
      <c r="P104" s="575"/>
      <c r="Q104" s="575"/>
      <c r="R104" s="575"/>
      <c r="S104" s="575"/>
      <c r="T104" s="575"/>
    </row>
    <row r="105">
      <c r="A105" s="575"/>
      <c r="B105" s="575"/>
      <c r="C105" s="612"/>
      <c r="D105" s="575"/>
      <c r="E105" s="575"/>
      <c r="F105" s="575"/>
      <c r="G105" s="575"/>
      <c r="H105" s="575"/>
      <c r="I105" s="575"/>
      <c r="J105" s="575"/>
      <c r="K105" s="575"/>
      <c r="L105" s="575"/>
      <c r="M105" s="575"/>
      <c r="N105" s="575"/>
      <c r="O105" s="575"/>
      <c r="P105" s="575"/>
      <c r="Q105" s="575"/>
      <c r="R105" s="575"/>
      <c r="S105" s="575"/>
      <c r="T105" s="575"/>
    </row>
    <row r="106">
      <c r="A106" s="575"/>
      <c r="B106" s="575"/>
      <c r="C106" s="612"/>
      <c r="D106" s="575"/>
      <c r="E106" s="575"/>
      <c r="F106" s="575"/>
      <c r="G106" s="575"/>
      <c r="H106" s="575"/>
      <c r="I106" s="575"/>
      <c r="J106" s="575"/>
      <c r="K106" s="575"/>
      <c r="L106" s="575"/>
      <c r="M106" s="575"/>
      <c r="N106" s="575"/>
      <c r="O106" s="575"/>
      <c r="P106" s="575"/>
      <c r="Q106" s="575"/>
      <c r="R106" s="575"/>
      <c r="S106" s="575"/>
      <c r="T106" s="575"/>
    </row>
    <row r="107">
      <c r="A107" s="575"/>
      <c r="B107" s="575"/>
      <c r="C107" s="612"/>
      <c r="D107" s="575"/>
      <c r="E107" s="575"/>
      <c r="F107" s="575"/>
      <c r="G107" s="575"/>
      <c r="H107" s="575"/>
      <c r="I107" s="575"/>
      <c r="J107" s="575"/>
      <c r="K107" s="575"/>
      <c r="L107" s="575"/>
      <c r="M107" s="575"/>
      <c r="N107" s="575"/>
      <c r="O107" s="575"/>
      <c r="P107" s="575"/>
      <c r="Q107" s="575"/>
      <c r="R107" s="575"/>
      <c r="S107" s="575"/>
      <c r="T107" s="575"/>
    </row>
    <row r="108">
      <c r="A108" s="575"/>
      <c r="B108" s="575"/>
      <c r="C108" s="612"/>
      <c r="D108" s="575"/>
      <c r="E108" s="575"/>
      <c r="F108" s="575"/>
      <c r="G108" s="575"/>
      <c r="H108" s="575"/>
      <c r="I108" s="575"/>
      <c r="J108" s="575"/>
      <c r="K108" s="575"/>
      <c r="L108" s="575"/>
      <c r="M108" s="575"/>
      <c r="N108" s="575"/>
      <c r="O108" s="575"/>
      <c r="P108" s="575"/>
      <c r="Q108" s="575"/>
      <c r="R108" s="575"/>
      <c r="S108" s="575"/>
      <c r="T108" s="575"/>
    </row>
    <row r="109">
      <c r="A109" s="575"/>
      <c r="B109" s="575"/>
      <c r="C109" s="612"/>
      <c r="D109" s="575"/>
      <c r="E109" s="575"/>
      <c r="F109" s="575"/>
      <c r="G109" s="575"/>
      <c r="H109" s="575"/>
      <c r="I109" s="575"/>
      <c r="J109" s="575"/>
      <c r="K109" s="575"/>
      <c r="L109" s="575"/>
      <c r="M109" s="575"/>
      <c r="N109" s="575"/>
      <c r="O109" s="575"/>
      <c r="P109" s="575"/>
      <c r="Q109" s="575"/>
      <c r="R109" s="575"/>
      <c r="S109" s="575"/>
      <c r="T109" s="575"/>
    </row>
    <row r="110">
      <c r="A110" s="575"/>
      <c r="B110" s="575"/>
      <c r="C110" s="612"/>
      <c r="D110" s="575"/>
      <c r="E110" s="575"/>
      <c r="F110" s="575"/>
      <c r="G110" s="575"/>
      <c r="H110" s="575"/>
      <c r="I110" s="575"/>
      <c r="J110" s="575"/>
      <c r="K110" s="575"/>
      <c r="L110" s="575"/>
      <c r="M110" s="575"/>
      <c r="N110" s="575"/>
      <c r="O110" s="575"/>
      <c r="P110" s="575"/>
      <c r="Q110" s="575"/>
      <c r="R110" s="575"/>
      <c r="S110" s="575"/>
      <c r="T110" s="575"/>
    </row>
    <row r="111">
      <c r="A111" s="575"/>
      <c r="B111" s="575"/>
      <c r="C111" s="612"/>
      <c r="D111" s="575"/>
      <c r="E111" s="575"/>
      <c r="F111" s="575"/>
      <c r="G111" s="575"/>
      <c r="H111" s="575"/>
      <c r="I111" s="575"/>
      <c r="J111" s="575"/>
      <c r="K111" s="575"/>
      <c r="L111" s="575"/>
      <c r="M111" s="575"/>
      <c r="N111" s="575"/>
      <c r="O111" s="575"/>
      <c r="P111" s="575"/>
      <c r="Q111" s="575"/>
      <c r="R111" s="575"/>
      <c r="S111" s="575"/>
      <c r="T111" s="575"/>
    </row>
    <row r="112">
      <c r="A112" s="575"/>
      <c r="B112" s="575"/>
      <c r="C112" s="612"/>
      <c r="D112" s="575"/>
      <c r="E112" s="575"/>
      <c r="F112" s="575"/>
      <c r="G112" s="575"/>
      <c r="H112" s="575"/>
      <c r="I112" s="575"/>
      <c r="J112" s="575"/>
      <c r="K112" s="575"/>
      <c r="L112" s="575"/>
      <c r="M112" s="575"/>
      <c r="N112" s="575"/>
      <c r="O112" s="575"/>
      <c r="P112" s="575"/>
      <c r="Q112" s="575"/>
      <c r="R112" s="575"/>
      <c r="S112" s="575"/>
      <c r="T112" s="575"/>
    </row>
    <row r="113">
      <c r="A113" s="575"/>
      <c r="B113" s="575"/>
      <c r="C113" s="612"/>
      <c r="D113" s="575"/>
      <c r="E113" s="575"/>
      <c r="F113" s="575"/>
      <c r="G113" s="575"/>
      <c r="H113" s="575"/>
      <c r="I113" s="575"/>
      <c r="J113" s="575"/>
      <c r="K113" s="575"/>
      <c r="L113" s="575"/>
      <c r="M113" s="575"/>
      <c r="N113" s="575"/>
      <c r="O113" s="575"/>
      <c r="P113" s="575"/>
      <c r="Q113" s="575"/>
      <c r="R113" s="575"/>
      <c r="S113" s="575"/>
      <c r="T113" s="575"/>
    </row>
    <row r="114">
      <c r="A114" s="575"/>
      <c r="B114" s="575"/>
      <c r="C114" s="612"/>
      <c r="D114" s="575"/>
      <c r="E114" s="575"/>
      <c r="F114" s="575"/>
      <c r="G114" s="575"/>
      <c r="H114" s="575"/>
      <c r="I114" s="575"/>
      <c r="J114" s="575"/>
      <c r="K114" s="575"/>
      <c r="L114" s="575"/>
      <c r="M114" s="575"/>
      <c r="N114" s="575"/>
      <c r="O114" s="575"/>
      <c r="P114" s="575"/>
      <c r="Q114" s="575"/>
      <c r="R114" s="575"/>
      <c r="S114" s="575"/>
      <c r="T114" s="575"/>
    </row>
    <row r="115">
      <c r="A115" s="575"/>
      <c r="B115" s="575"/>
      <c r="C115" s="612"/>
      <c r="D115" s="575"/>
      <c r="E115" s="575"/>
      <c r="F115" s="575"/>
      <c r="G115" s="575"/>
      <c r="H115" s="575"/>
      <c r="I115" s="575"/>
      <c r="J115" s="575"/>
      <c r="K115" s="575"/>
      <c r="L115" s="575"/>
      <c r="M115" s="575"/>
      <c r="N115" s="575"/>
      <c r="O115" s="575"/>
      <c r="P115" s="575"/>
      <c r="Q115" s="575"/>
      <c r="R115" s="575"/>
      <c r="S115" s="575"/>
      <c r="T115" s="575"/>
    </row>
    <row r="116">
      <c r="A116" s="575"/>
      <c r="B116" s="575"/>
      <c r="C116" s="612"/>
      <c r="D116" s="575"/>
      <c r="E116" s="575"/>
      <c r="F116" s="575"/>
      <c r="G116" s="575"/>
      <c r="H116" s="575"/>
      <c r="I116" s="575"/>
      <c r="J116" s="575"/>
      <c r="K116" s="575"/>
      <c r="L116" s="575"/>
      <c r="M116" s="575"/>
      <c r="N116" s="575"/>
      <c r="O116" s="575"/>
      <c r="P116" s="575"/>
      <c r="Q116" s="575"/>
      <c r="R116" s="575"/>
      <c r="S116" s="575"/>
      <c r="T116" s="575"/>
    </row>
    <row r="117">
      <c r="A117" s="575"/>
      <c r="B117" s="575"/>
      <c r="C117" s="612"/>
      <c r="D117" s="575"/>
      <c r="E117" s="575"/>
      <c r="F117" s="575"/>
      <c r="G117" s="575"/>
      <c r="H117" s="575"/>
      <c r="I117" s="575"/>
      <c r="J117" s="575"/>
      <c r="K117" s="575"/>
      <c r="L117" s="575"/>
      <c r="M117" s="575"/>
      <c r="N117" s="575"/>
      <c r="O117" s="575"/>
      <c r="P117" s="575"/>
      <c r="Q117" s="575"/>
      <c r="R117" s="575"/>
      <c r="S117" s="575"/>
      <c r="T117" s="575"/>
    </row>
    <row r="118">
      <c r="A118" s="575"/>
      <c r="B118" s="575"/>
      <c r="C118" s="612"/>
      <c r="D118" s="575"/>
      <c r="E118" s="575"/>
      <c r="F118" s="575"/>
      <c r="G118" s="575"/>
      <c r="H118" s="575"/>
      <c r="I118" s="575"/>
      <c r="J118" s="575"/>
      <c r="K118" s="575"/>
      <c r="L118" s="575"/>
      <c r="M118" s="575"/>
      <c r="N118" s="575"/>
      <c r="O118" s="575"/>
      <c r="P118" s="575"/>
      <c r="Q118" s="575"/>
      <c r="R118" s="575"/>
      <c r="S118" s="575"/>
      <c r="T118" s="575"/>
    </row>
    <row r="119">
      <c r="A119" s="575"/>
      <c r="B119" s="575"/>
      <c r="C119" s="612"/>
      <c r="D119" s="575"/>
      <c r="E119" s="575"/>
      <c r="F119" s="575"/>
      <c r="G119" s="575"/>
      <c r="H119" s="575"/>
      <c r="I119" s="575"/>
      <c r="J119" s="575"/>
      <c r="K119" s="575"/>
      <c r="L119" s="575"/>
      <c r="M119" s="575"/>
      <c r="N119" s="575"/>
      <c r="O119" s="575"/>
      <c r="P119" s="575"/>
      <c r="Q119" s="575"/>
      <c r="R119" s="575"/>
      <c r="S119" s="575"/>
      <c r="T119" s="575"/>
    </row>
    <row r="120">
      <c r="A120" s="575"/>
      <c r="B120" s="575"/>
      <c r="C120" s="612"/>
      <c r="D120" s="575"/>
      <c r="E120" s="575"/>
      <c r="F120" s="575"/>
      <c r="G120" s="575"/>
      <c r="H120" s="575"/>
      <c r="I120" s="575"/>
      <c r="J120" s="575"/>
      <c r="K120" s="575"/>
      <c r="L120" s="575"/>
      <c r="M120" s="575"/>
      <c r="N120" s="575"/>
      <c r="O120" s="575"/>
      <c r="P120" s="575"/>
      <c r="Q120" s="575"/>
      <c r="R120" s="575"/>
      <c r="S120" s="575"/>
      <c r="T120" s="575"/>
    </row>
    <row r="121">
      <c r="A121" s="575"/>
      <c r="B121" s="575"/>
      <c r="C121" s="612"/>
      <c r="D121" s="575"/>
      <c r="E121" s="575"/>
      <c r="F121" s="575"/>
      <c r="G121" s="575"/>
      <c r="H121" s="575"/>
      <c r="I121" s="575"/>
      <c r="J121" s="575"/>
      <c r="K121" s="575"/>
      <c r="L121" s="575"/>
      <c r="M121" s="575"/>
      <c r="N121" s="575"/>
      <c r="O121" s="575"/>
      <c r="P121" s="575"/>
      <c r="Q121" s="575"/>
      <c r="R121" s="575"/>
      <c r="S121" s="575"/>
      <c r="T121" s="575"/>
    </row>
    <row r="122">
      <c r="A122" s="575"/>
      <c r="B122" s="575"/>
      <c r="C122" s="612"/>
      <c r="D122" s="575"/>
      <c r="E122" s="575"/>
      <c r="F122" s="575"/>
      <c r="G122" s="575"/>
      <c r="H122" s="575"/>
      <c r="I122" s="575"/>
      <c r="J122" s="575"/>
      <c r="K122" s="575"/>
      <c r="L122" s="575"/>
      <c r="M122" s="575"/>
      <c r="N122" s="575"/>
      <c r="O122" s="575"/>
      <c r="P122" s="575"/>
      <c r="Q122" s="575"/>
      <c r="R122" s="575"/>
      <c r="S122" s="575"/>
      <c r="T122" s="575"/>
    </row>
    <row r="123">
      <c r="A123" s="575"/>
      <c r="B123" s="575"/>
      <c r="C123" s="612"/>
      <c r="D123" s="575"/>
      <c r="E123" s="575"/>
      <c r="F123" s="575"/>
      <c r="G123" s="575"/>
      <c r="H123" s="575"/>
      <c r="I123" s="575"/>
      <c r="J123" s="575"/>
      <c r="K123" s="575"/>
      <c r="L123" s="575"/>
      <c r="M123" s="575"/>
      <c r="N123" s="575"/>
      <c r="O123" s="575"/>
      <c r="P123" s="575"/>
      <c r="Q123" s="575"/>
      <c r="R123" s="575"/>
      <c r="S123" s="575"/>
      <c r="T123" s="575"/>
    </row>
    <row r="124">
      <c r="A124" s="575"/>
      <c r="B124" s="575"/>
      <c r="C124" s="612"/>
      <c r="D124" s="575"/>
      <c r="E124" s="575"/>
      <c r="F124" s="575"/>
      <c r="G124" s="575"/>
      <c r="H124" s="575"/>
      <c r="I124" s="575"/>
      <c r="J124" s="575"/>
      <c r="K124" s="575"/>
      <c r="L124" s="575"/>
      <c r="M124" s="575"/>
      <c r="N124" s="575"/>
      <c r="O124" s="575"/>
      <c r="P124" s="575"/>
      <c r="Q124" s="575"/>
      <c r="R124" s="575"/>
      <c r="S124" s="575"/>
      <c r="T124" s="575"/>
    </row>
    <row r="125">
      <c r="A125" s="575"/>
      <c r="B125" s="575"/>
      <c r="C125" s="612"/>
      <c r="D125" s="575"/>
      <c r="E125" s="575"/>
      <c r="F125" s="575"/>
      <c r="G125" s="575"/>
      <c r="H125" s="575"/>
      <c r="I125" s="575"/>
      <c r="J125" s="575"/>
      <c r="K125" s="575"/>
      <c r="L125" s="575"/>
      <c r="M125" s="575"/>
      <c r="N125" s="575"/>
      <c r="O125" s="575"/>
      <c r="P125" s="575"/>
      <c r="Q125" s="575"/>
      <c r="R125" s="575"/>
      <c r="S125" s="575"/>
      <c r="T125" s="575"/>
    </row>
    <row r="126">
      <c r="A126" s="575"/>
      <c r="B126" s="575"/>
      <c r="C126" s="612"/>
      <c r="D126" s="575"/>
      <c r="E126" s="575"/>
      <c r="F126" s="575"/>
      <c r="G126" s="575"/>
      <c r="H126" s="575"/>
      <c r="I126" s="575"/>
      <c r="J126" s="575"/>
      <c r="K126" s="575"/>
      <c r="L126" s="575"/>
      <c r="M126" s="575"/>
      <c r="N126" s="575"/>
      <c r="O126" s="575"/>
      <c r="P126" s="575"/>
      <c r="Q126" s="575"/>
      <c r="R126" s="575"/>
      <c r="S126" s="575"/>
      <c r="T126" s="575"/>
    </row>
    <row r="127">
      <c r="A127" s="575"/>
      <c r="B127" s="575"/>
      <c r="C127" s="612"/>
      <c r="D127" s="575"/>
      <c r="E127" s="575"/>
      <c r="F127" s="575"/>
      <c r="G127" s="575"/>
      <c r="H127" s="575"/>
      <c r="I127" s="575"/>
      <c r="J127" s="575"/>
      <c r="K127" s="575"/>
      <c r="L127" s="575"/>
      <c r="M127" s="575"/>
      <c r="N127" s="575"/>
      <c r="O127" s="575"/>
      <c r="P127" s="575"/>
      <c r="Q127" s="575"/>
      <c r="R127" s="575"/>
      <c r="S127" s="575"/>
      <c r="T127" s="575"/>
    </row>
    <row r="128">
      <c r="A128" s="575"/>
      <c r="B128" s="575"/>
      <c r="C128" s="612"/>
      <c r="D128" s="575"/>
      <c r="E128" s="575"/>
      <c r="F128" s="575"/>
      <c r="G128" s="575"/>
      <c r="H128" s="575"/>
      <c r="I128" s="575"/>
      <c r="J128" s="575"/>
      <c r="K128" s="575"/>
      <c r="L128" s="575"/>
      <c r="M128" s="575"/>
      <c r="N128" s="575"/>
      <c r="O128" s="575"/>
      <c r="P128" s="575"/>
      <c r="Q128" s="575"/>
      <c r="R128" s="575"/>
      <c r="S128" s="575"/>
      <c r="T128" s="575"/>
    </row>
    <row r="129">
      <c r="A129" s="575"/>
      <c r="B129" s="575"/>
      <c r="C129" s="612"/>
      <c r="D129" s="575"/>
      <c r="E129" s="575"/>
      <c r="F129" s="575"/>
      <c r="G129" s="575"/>
      <c r="H129" s="575"/>
      <c r="I129" s="575"/>
      <c r="J129" s="575"/>
      <c r="K129" s="575"/>
      <c r="L129" s="575"/>
      <c r="M129" s="575"/>
      <c r="N129" s="575"/>
      <c r="O129" s="575"/>
      <c r="P129" s="575"/>
      <c r="Q129" s="575"/>
      <c r="R129" s="575"/>
      <c r="S129" s="575"/>
      <c r="T129" s="575"/>
    </row>
    <row r="130">
      <c r="A130" s="575"/>
      <c r="B130" s="575"/>
      <c r="C130" s="612"/>
      <c r="D130" s="575"/>
      <c r="E130" s="575"/>
      <c r="F130" s="575"/>
      <c r="G130" s="575"/>
      <c r="H130" s="575"/>
      <c r="I130" s="575"/>
      <c r="J130" s="575"/>
      <c r="K130" s="575"/>
      <c r="L130" s="575"/>
      <c r="M130" s="575"/>
      <c r="N130" s="575"/>
      <c r="O130" s="575"/>
      <c r="P130" s="575"/>
      <c r="Q130" s="575"/>
      <c r="R130" s="575"/>
      <c r="S130" s="575"/>
      <c r="T130" s="575"/>
    </row>
    <row r="131">
      <c r="A131" s="575"/>
      <c r="B131" s="575"/>
      <c r="C131" s="612"/>
      <c r="D131" s="575"/>
      <c r="E131" s="575"/>
      <c r="F131" s="575"/>
      <c r="G131" s="575"/>
      <c r="H131" s="575"/>
      <c r="I131" s="575"/>
      <c r="J131" s="575"/>
      <c r="K131" s="575"/>
      <c r="L131" s="575"/>
      <c r="M131" s="575"/>
      <c r="N131" s="575"/>
      <c r="O131" s="575"/>
      <c r="P131" s="575"/>
      <c r="Q131" s="575"/>
      <c r="R131" s="575"/>
      <c r="S131" s="575"/>
      <c r="T131" s="575"/>
    </row>
    <row r="132">
      <c r="A132" s="575"/>
      <c r="B132" s="575"/>
      <c r="C132" s="612"/>
      <c r="D132" s="575"/>
      <c r="E132" s="575"/>
      <c r="F132" s="575"/>
      <c r="G132" s="575"/>
      <c r="H132" s="575"/>
      <c r="I132" s="575"/>
      <c r="J132" s="575"/>
      <c r="K132" s="575"/>
      <c r="L132" s="575"/>
      <c r="M132" s="575"/>
      <c r="N132" s="575"/>
      <c r="O132" s="575"/>
      <c r="P132" s="575"/>
      <c r="Q132" s="575"/>
      <c r="R132" s="575"/>
      <c r="S132" s="575"/>
      <c r="T132" s="575"/>
    </row>
    <row r="133">
      <c r="A133" s="575"/>
      <c r="B133" s="575"/>
      <c r="C133" s="612"/>
      <c r="D133" s="575"/>
      <c r="E133" s="575"/>
      <c r="F133" s="575"/>
      <c r="G133" s="575"/>
      <c r="H133" s="575"/>
      <c r="I133" s="575"/>
      <c r="J133" s="575"/>
      <c r="K133" s="575"/>
      <c r="L133" s="575"/>
      <c r="M133" s="575"/>
      <c r="N133" s="575"/>
      <c r="O133" s="575"/>
      <c r="P133" s="575"/>
      <c r="Q133" s="575"/>
      <c r="R133" s="575"/>
      <c r="S133" s="575"/>
      <c r="T133" s="575"/>
    </row>
    <row r="134">
      <c r="A134" s="575"/>
      <c r="B134" s="575"/>
      <c r="C134" s="612"/>
      <c r="D134" s="575"/>
      <c r="E134" s="575"/>
      <c r="F134" s="575"/>
      <c r="G134" s="575"/>
      <c r="H134" s="575"/>
      <c r="I134" s="575"/>
      <c r="J134" s="575"/>
      <c r="K134" s="575"/>
      <c r="L134" s="575"/>
      <c r="M134" s="575"/>
      <c r="N134" s="575"/>
      <c r="O134" s="575"/>
      <c r="P134" s="575"/>
      <c r="Q134" s="575"/>
      <c r="R134" s="575"/>
      <c r="S134" s="575"/>
      <c r="T134" s="575"/>
    </row>
    <row r="135">
      <c r="A135" s="575"/>
      <c r="B135" s="575"/>
      <c r="C135" s="612"/>
      <c r="D135" s="575"/>
      <c r="E135" s="575"/>
      <c r="F135" s="575"/>
      <c r="G135" s="575"/>
      <c r="H135" s="575"/>
      <c r="I135" s="575"/>
      <c r="J135" s="575"/>
      <c r="K135" s="575"/>
      <c r="L135" s="575"/>
      <c r="M135" s="575"/>
      <c r="N135" s="575"/>
      <c r="O135" s="575"/>
      <c r="P135" s="575"/>
      <c r="Q135" s="575"/>
      <c r="R135" s="575"/>
      <c r="S135" s="575"/>
      <c r="T135" s="575"/>
    </row>
    <row r="136">
      <c r="A136" s="575"/>
      <c r="B136" s="575"/>
      <c r="C136" s="612"/>
      <c r="D136" s="575"/>
      <c r="E136" s="575"/>
      <c r="F136" s="575"/>
      <c r="G136" s="575"/>
      <c r="H136" s="575"/>
      <c r="I136" s="575"/>
      <c r="J136" s="575"/>
      <c r="K136" s="575"/>
      <c r="L136" s="575"/>
      <c r="M136" s="575"/>
      <c r="N136" s="575"/>
      <c r="O136" s="575"/>
      <c r="P136" s="575"/>
      <c r="Q136" s="575"/>
      <c r="R136" s="575"/>
      <c r="S136" s="575"/>
      <c r="T136" s="575"/>
    </row>
    <row r="137">
      <c r="A137" s="575"/>
      <c r="B137" s="575"/>
      <c r="C137" s="612"/>
      <c r="D137" s="575"/>
      <c r="E137" s="575"/>
      <c r="F137" s="575"/>
      <c r="G137" s="575"/>
      <c r="H137" s="575"/>
      <c r="I137" s="575"/>
      <c r="J137" s="575"/>
      <c r="K137" s="575"/>
      <c r="L137" s="575"/>
      <c r="M137" s="575"/>
      <c r="N137" s="575"/>
      <c r="O137" s="575"/>
      <c r="P137" s="575"/>
      <c r="Q137" s="575"/>
      <c r="R137" s="575"/>
      <c r="S137" s="575"/>
      <c r="T137" s="575"/>
    </row>
    <row r="138">
      <c r="A138" s="575"/>
      <c r="B138" s="575"/>
      <c r="C138" s="612"/>
      <c r="D138" s="575"/>
      <c r="E138" s="575"/>
      <c r="F138" s="575"/>
      <c r="G138" s="575"/>
      <c r="H138" s="575"/>
      <c r="I138" s="575"/>
      <c r="J138" s="575"/>
      <c r="K138" s="575"/>
      <c r="L138" s="575"/>
      <c r="M138" s="575"/>
      <c r="N138" s="575"/>
      <c r="O138" s="575"/>
      <c r="P138" s="575"/>
      <c r="Q138" s="575"/>
      <c r="R138" s="575"/>
      <c r="S138" s="575"/>
      <c r="T138" s="575"/>
    </row>
    <row r="139">
      <c r="A139" s="575"/>
      <c r="B139" s="575"/>
      <c r="C139" s="612"/>
      <c r="D139" s="575"/>
      <c r="E139" s="575"/>
      <c r="F139" s="575"/>
      <c r="G139" s="575"/>
      <c r="H139" s="575"/>
      <c r="I139" s="575"/>
      <c r="J139" s="575"/>
      <c r="K139" s="575"/>
      <c r="L139" s="575"/>
      <c r="M139" s="575"/>
      <c r="N139" s="575"/>
      <c r="O139" s="575"/>
      <c r="P139" s="575"/>
      <c r="Q139" s="575"/>
      <c r="R139" s="575"/>
      <c r="S139" s="575"/>
      <c r="T139" s="575"/>
    </row>
    <row r="140">
      <c r="A140" s="575"/>
      <c r="B140" s="575"/>
      <c r="C140" s="612"/>
      <c r="D140" s="575"/>
      <c r="E140" s="575"/>
      <c r="F140" s="575"/>
      <c r="G140" s="575"/>
      <c r="H140" s="575"/>
      <c r="I140" s="575"/>
      <c r="J140" s="575"/>
      <c r="K140" s="575"/>
      <c r="L140" s="575"/>
      <c r="M140" s="575"/>
      <c r="N140" s="575"/>
      <c r="O140" s="575"/>
      <c r="P140" s="575"/>
      <c r="Q140" s="575"/>
      <c r="R140" s="575"/>
      <c r="S140" s="575"/>
      <c r="T140" s="575"/>
    </row>
    <row r="141">
      <c r="A141" s="575"/>
      <c r="B141" s="575"/>
      <c r="C141" s="612"/>
      <c r="D141" s="575"/>
      <c r="E141" s="575"/>
      <c r="F141" s="575"/>
      <c r="G141" s="575"/>
      <c r="H141" s="575"/>
      <c r="I141" s="575"/>
      <c r="J141" s="575"/>
      <c r="K141" s="575"/>
      <c r="L141" s="575"/>
      <c r="M141" s="575"/>
      <c r="N141" s="575"/>
      <c r="O141" s="575"/>
      <c r="P141" s="575"/>
      <c r="Q141" s="575"/>
      <c r="R141" s="575"/>
      <c r="S141" s="575"/>
      <c r="T141" s="575"/>
    </row>
    <row r="142">
      <c r="A142" s="575"/>
      <c r="B142" s="575"/>
      <c r="C142" s="612"/>
      <c r="D142" s="575"/>
      <c r="E142" s="575"/>
      <c r="F142" s="575"/>
      <c r="G142" s="575"/>
      <c r="H142" s="575"/>
      <c r="I142" s="575"/>
      <c r="J142" s="575"/>
      <c r="K142" s="575"/>
      <c r="L142" s="575"/>
      <c r="M142" s="575"/>
      <c r="N142" s="575"/>
      <c r="O142" s="575"/>
      <c r="P142" s="575"/>
      <c r="Q142" s="575"/>
      <c r="R142" s="575"/>
      <c r="S142" s="575"/>
      <c r="T142" s="575"/>
    </row>
    <row r="143">
      <c r="A143" s="575"/>
      <c r="B143" s="575"/>
      <c r="C143" s="612"/>
      <c r="D143" s="575"/>
      <c r="E143" s="575"/>
      <c r="F143" s="575"/>
      <c r="G143" s="575"/>
      <c r="H143" s="575"/>
      <c r="I143" s="575"/>
      <c r="J143" s="575"/>
      <c r="K143" s="575"/>
      <c r="L143" s="575"/>
      <c r="M143" s="575"/>
      <c r="N143" s="575"/>
      <c r="O143" s="575"/>
      <c r="P143" s="575"/>
      <c r="Q143" s="575"/>
      <c r="R143" s="575"/>
      <c r="S143" s="575"/>
      <c r="T143" s="575"/>
    </row>
    <row r="144">
      <c r="A144" s="575"/>
      <c r="B144" s="575"/>
      <c r="C144" s="612"/>
      <c r="D144" s="575"/>
      <c r="E144" s="575"/>
      <c r="F144" s="575"/>
      <c r="G144" s="575"/>
      <c r="H144" s="575"/>
      <c r="I144" s="575"/>
      <c r="J144" s="575"/>
      <c r="K144" s="575"/>
      <c r="L144" s="575"/>
      <c r="M144" s="575"/>
      <c r="N144" s="575"/>
      <c r="O144" s="575"/>
      <c r="P144" s="575"/>
      <c r="Q144" s="575"/>
      <c r="R144" s="575"/>
      <c r="S144" s="575"/>
      <c r="T144" s="575"/>
    </row>
    <row r="145">
      <c r="A145" s="575"/>
      <c r="B145" s="575"/>
      <c r="C145" s="612"/>
      <c r="D145" s="575"/>
      <c r="E145" s="575"/>
      <c r="F145" s="575"/>
      <c r="G145" s="575"/>
      <c r="H145" s="575"/>
      <c r="I145" s="575"/>
      <c r="J145" s="575"/>
      <c r="K145" s="575"/>
      <c r="L145" s="575"/>
      <c r="M145" s="575"/>
      <c r="N145" s="575"/>
      <c r="O145" s="575"/>
      <c r="P145" s="575"/>
      <c r="Q145" s="575"/>
      <c r="R145" s="575"/>
      <c r="S145" s="575"/>
      <c r="T145" s="575"/>
    </row>
    <row r="146">
      <c r="A146" s="575"/>
      <c r="B146" s="575"/>
      <c r="C146" s="612"/>
      <c r="D146" s="575"/>
      <c r="E146" s="575"/>
      <c r="F146" s="575"/>
      <c r="G146" s="575"/>
      <c r="H146" s="575"/>
      <c r="I146" s="575"/>
      <c r="J146" s="575"/>
      <c r="K146" s="575"/>
      <c r="L146" s="575"/>
      <c r="M146" s="575"/>
      <c r="N146" s="575"/>
      <c r="O146" s="575"/>
      <c r="P146" s="575"/>
      <c r="Q146" s="575"/>
      <c r="R146" s="575"/>
      <c r="S146" s="575"/>
      <c r="T146" s="575"/>
    </row>
    <row r="147">
      <c r="A147" s="575"/>
      <c r="B147" s="575"/>
      <c r="C147" s="612"/>
      <c r="D147" s="575"/>
      <c r="E147" s="575"/>
      <c r="F147" s="575"/>
      <c r="G147" s="575"/>
      <c r="H147" s="575"/>
      <c r="I147" s="575"/>
      <c r="J147" s="575"/>
      <c r="K147" s="575"/>
      <c r="L147" s="575"/>
      <c r="M147" s="575"/>
      <c r="N147" s="575"/>
      <c r="O147" s="575"/>
      <c r="P147" s="575"/>
      <c r="Q147" s="575"/>
      <c r="R147" s="575"/>
      <c r="S147" s="575"/>
      <c r="T147" s="575"/>
    </row>
    <row r="148">
      <c r="A148" s="575"/>
      <c r="B148" s="575"/>
      <c r="C148" s="612"/>
      <c r="D148" s="575"/>
      <c r="E148" s="575"/>
      <c r="F148" s="575"/>
      <c r="G148" s="575"/>
      <c r="H148" s="575"/>
      <c r="I148" s="575"/>
      <c r="J148" s="575"/>
      <c r="K148" s="575"/>
      <c r="L148" s="575"/>
      <c r="M148" s="575"/>
      <c r="N148" s="575"/>
      <c r="O148" s="575"/>
      <c r="P148" s="575"/>
      <c r="Q148" s="575"/>
      <c r="R148" s="575"/>
      <c r="S148" s="575"/>
      <c r="T148" s="575"/>
    </row>
    <row r="149">
      <c r="A149" s="575"/>
      <c r="B149" s="575"/>
      <c r="C149" s="612"/>
      <c r="D149" s="575"/>
      <c r="E149" s="575"/>
      <c r="F149" s="575"/>
      <c r="G149" s="575"/>
      <c r="H149" s="575"/>
      <c r="I149" s="575"/>
      <c r="J149" s="575"/>
      <c r="K149" s="575"/>
      <c r="L149" s="575"/>
      <c r="M149" s="575"/>
      <c r="N149" s="575"/>
      <c r="O149" s="575"/>
      <c r="P149" s="575"/>
      <c r="Q149" s="575"/>
      <c r="R149" s="575"/>
      <c r="S149" s="575"/>
      <c r="T149" s="575"/>
    </row>
    <row r="150">
      <c r="A150" s="575"/>
      <c r="B150" s="575"/>
      <c r="C150" s="612"/>
      <c r="D150" s="575"/>
      <c r="E150" s="575"/>
      <c r="F150" s="575"/>
      <c r="G150" s="575"/>
      <c r="H150" s="575"/>
      <c r="I150" s="575"/>
      <c r="J150" s="575"/>
      <c r="K150" s="575"/>
      <c r="L150" s="575"/>
      <c r="M150" s="575"/>
      <c r="N150" s="575"/>
      <c r="O150" s="575"/>
      <c r="P150" s="575"/>
      <c r="Q150" s="575"/>
      <c r="R150" s="575"/>
      <c r="S150" s="575"/>
      <c r="T150" s="575"/>
    </row>
    <row r="151">
      <c r="A151" s="575"/>
      <c r="B151" s="575"/>
      <c r="C151" s="612"/>
      <c r="D151" s="575"/>
      <c r="E151" s="575"/>
      <c r="F151" s="575"/>
      <c r="G151" s="575"/>
      <c r="H151" s="575"/>
      <c r="I151" s="575"/>
      <c r="J151" s="575"/>
      <c r="K151" s="575"/>
      <c r="L151" s="575"/>
      <c r="M151" s="575"/>
      <c r="N151" s="575"/>
      <c r="O151" s="575"/>
      <c r="P151" s="575"/>
      <c r="Q151" s="575"/>
      <c r="R151" s="575"/>
      <c r="S151" s="575"/>
      <c r="T151" s="575"/>
    </row>
    <row r="152">
      <c r="A152" s="575"/>
      <c r="B152" s="575"/>
      <c r="C152" s="612"/>
      <c r="D152" s="575"/>
      <c r="E152" s="575"/>
      <c r="F152" s="575"/>
      <c r="G152" s="575"/>
      <c r="H152" s="575"/>
      <c r="I152" s="575"/>
      <c r="J152" s="575"/>
      <c r="K152" s="575"/>
      <c r="L152" s="575"/>
      <c r="M152" s="575"/>
      <c r="N152" s="575"/>
      <c r="O152" s="575"/>
      <c r="P152" s="575"/>
      <c r="Q152" s="575"/>
      <c r="R152" s="575"/>
      <c r="S152" s="575"/>
      <c r="T152" s="575"/>
    </row>
    <row r="153">
      <c r="A153" s="575"/>
      <c r="B153" s="575"/>
      <c r="C153" s="612"/>
      <c r="D153" s="575"/>
      <c r="E153" s="575"/>
      <c r="F153" s="575"/>
      <c r="G153" s="575"/>
      <c r="H153" s="575"/>
      <c r="I153" s="575"/>
      <c r="J153" s="575"/>
      <c r="K153" s="575"/>
      <c r="L153" s="575"/>
      <c r="M153" s="575"/>
      <c r="N153" s="575"/>
      <c r="O153" s="575"/>
      <c r="P153" s="575"/>
      <c r="Q153" s="575"/>
      <c r="R153" s="575"/>
      <c r="S153" s="575"/>
      <c r="T153" s="575"/>
    </row>
    <row r="154">
      <c r="A154" s="575"/>
      <c r="B154" s="575"/>
      <c r="C154" s="612"/>
      <c r="D154" s="575"/>
      <c r="E154" s="575"/>
      <c r="F154" s="575"/>
      <c r="G154" s="575"/>
      <c r="H154" s="575"/>
      <c r="I154" s="575"/>
      <c r="J154" s="575"/>
      <c r="K154" s="575"/>
      <c r="L154" s="575"/>
      <c r="M154" s="575"/>
      <c r="N154" s="575"/>
      <c r="O154" s="575"/>
      <c r="P154" s="575"/>
      <c r="Q154" s="575"/>
      <c r="R154" s="575"/>
      <c r="S154" s="575"/>
      <c r="T154" s="575"/>
    </row>
    <row r="155">
      <c r="A155" s="575"/>
      <c r="B155" s="575"/>
      <c r="C155" s="612"/>
      <c r="D155" s="575"/>
      <c r="E155" s="575"/>
      <c r="F155" s="575"/>
      <c r="G155" s="575"/>
      <c r="H155" s="575"/>
      <c r="I155" s="575"/>
      <c r="J155" s="575"/>
      <c r="K155" s="575"/>
      <c r="L155" s="575"/>
      <c r="M155" s="575"/>
      <c r="N155" s="575"/>
      <c r="O155" s="575"/>
      <c r="P155" s="575"/>
      <c r="Q155" s="575"/>
      <c r="R155" s="575"/>
      <c r="S155" s="575"/>
      <c r="T155" s="575"/>
    </row>
    <row r="156">
      <c r="A156" s="575"/>
      <c r="B156" s="575"/>
      <c r="C156" s="612"/>
      <c r="D156" s="575"/>
      <c r="E156" s="575"/>
      <c r="F156" s="575"/>
      <c r="G156" s="575"/>
      <c r="H156" s="575"/>
      <c r="I156" s="575"/>
      <c r="J156" s="575"/>
      <c r="K156" s="575"/>
      <c r="L156" s="575"/>
      <c r="M156" s="575"/>
      <c r="N156" s="575"/>
      <c r="O156" s="575"/>
      <c r="P156" s="575"/>
      <c r="Q156" s="575"/>
      <c r="R156" s="575"/>
      <c r="S156" s="575"/>
      <c r="T156" s="575"/>
    </row>
    <row r="157">
      <c r="A157" s="575"/>
      <c r="B157" s="575"/>
      <c r="C157" s="612"/>
      <c r="D157" s="575"/>
      <c r="E157" s="575"/>
      <c r="F157" s="575"/>
      <c r="G157" s="575"/>
      <c r="H157" s="575"/>
      <c r="I157" s="575"/>
      <c r="J157" s="575"/>
      <c r="K157" s="575"/>
      <c r="L157" s="575"/>
      <c r="M157" s="575"/>
      <c r="N157" s="575"/>
      <c r="O157" s="575"/>
      <c r="P157" s="575"/>
      <c r="Q157" s="575"/>
      <c r="R157" s="575"/>
      <c r="S157" s="575"/>
      <c r="T157" s="575"/>
    </row>
    <row r="158">
      <c r="A158" s="575"/>
      <c r="B158" s="575"/>
      <c r="C158" s="612"/>
      <c r="D158" s="575"/>
      <c r="E158" s="575"/>
      <c r="F158" s="575"/>
      <c r="G158" s="575"/>
      <c r="H158" s="575"/>
      <c r="I158" s="575"/>
      <c r="J158" s="575"/>
      <c r="K158" s="575"/>
      <c r="L158" s="575"/>
      <c r="M158" s="575"/>
      <c r="N158" s="575"/>
      <c r="O158" s="575"/>
      <c r="P158" s="575"/>
      <c r="Q158" s="575"/>
      <c r="R158" s="575"/>
      <c r="S158" s="575"/>
      <c r="T158" s="575"/>
    </row>
    <row r="159">
      <c r="A159" s="575"/>
      <c r="B159" s="575"/>
      <c r="C159" s="612"/>
      <c r="D159" s="575"/>
      <c r="E159" s="575"/>
      <c r="F159" s="575"/>
      <c r="G159" s="575"/>
      <c r="H159" s="575"/>
      <c r="I159" s="575"/>
      <c r="J159" s="575"/>
      <c r="K159" s="575"/>
      <c r="L159" s="575"/>
      <c r="M159" s="575"/>
      <c r="N159" s="575"/>
      <c r="O159" s="575"/>
      <c r="P159" s="575"/>
      <c r="Q159" s="575"/>
      <c r="R159" s="575"/>
      <c r="S159" s="575"/>
      <c r="T159" s="575"/>
    </row>
    <row r="160">
      <c r="A160" s="575"/>
      <c r="B160" s="575"/>
      <c r="C160" s="612"/>
      <c r="D160" s="575"/>
      <c r="E160" s="575"/>
      <c r="F160" s="575"/>
      <c r="G160" s="575"/>
      <c r="H160" s="575"/>
      <c r="I160" s="575"/>
      <c r="J160" s="575"/>
      <c r="K160" s="575"/>
      <c r="L160" s="575"/>
      <c r="M160" s="575"/>
      <c r="N160" s="575"/>
      <c r="O160" s="575"/>
      <c r="P160" s="575"/>
      <c r="Q160" s="575"/>
      <c r="R160" s="575"/>
      <c r="S160" s="575"/>
      <c r="T160" s="575"/>
    </row>
    <row r="161">
      <c r="A161" s="575"/>
      <c r="B161" s="575"/>
      <c r="C161" s="612"/>
      <c r="D161" s="575"/>
      <c r="E161" s="575"/>
      <c r="F161" s="575"/>
      <c r="G161" s="575"/>
      <c r="H161" s="575"/>
      <c r="I161" s="575"/>
      <c r="J161" s="575"/>
      <c r="K161" s="575"/>
      <c r="L161" s="575"/>
      <c r="M161" s="575"/>
      <c r="N161" s="575"/>
      <c r="O161" s="575"/>
      <c r="P161" s="575"/>
      <c r="Q161" s="575"/>
      <c r="R161" s="575"/>
      <c r="S161" s="575"/>
      <c r="T161" s="575"/>
    </row>
    <row r="162">
      <c r="A162" s="575"/>
      <c r="B162" s="575"/>
      <c r="C162" s="612"/>
      <c r="D162" s="575"/>
      <c r="E162" s="575"/>
      <c r="F162" s="575"/>
      <c r="G162" s="575"/>
      <c r="H162" s="575"/>
      <c r="I162" s="575"/>
      <c r="J162" s="575"/>
      <c r="K162" s="575"/>
      <c r="L162" s="575"/>
      <c r="M162" s="575"/>
      <c r="N162" s="575"/>
      <c r="O162" s="575"/>
      <c r="P162" s="575"/>
      <c r="Q162" s="575"/>
      <c r="R162" s="575"/>
      <c r="S162" s="575"/>
      <c r="T162" s="575"/>
    </row>
    <row r="163">
      <c r="A163" s="575"/>
      <c r="B163" s="575"/>
      <c r="C163" s="612"/>
      <c r="D163" s="575"/>
      <c r="E163" s="575"/>
      <c r="F163" s="575"/>
      <c r="G163" s="575"/>
      <c r="H163" s="575"/>
      <c r="I163" s="575"/>
      <c r="J163" s="575"/>
      <c r="K163" s="575"/>
      <c r="L163" s="575"/>
      <c r="M163" s="575"/>
      <c r="N163" s="575"/>
      <c r="O163" s="575"/>
      <c r="P163" s="575"/>
      <c r="Q163" s="575"/>
      <c r="R163" s="575"/>
      <c r="S163" s="575"/>
      <c r="T163" s="575"/>
    </row>
    <row r="164">
      <c r="A164" s="575"/>
      <c r="B164" s="575"/>
      <c r="C164" s="612"/>
      <c r="D164" s="575"/>
      <c r="E164" s="575"/>
      <c r="F164" s="575"/>
      <c r="G164" s="575"/>
      <c r="H164" s="575"/>
      <c r="I164" s="575"/>
      <c r="J164" s="575"/>
      <c r="K164" s="575"/>
      <c r="L164" s="575"/>
      <c r="M164" s="575"/>
      <c r="N164" s="575"/>
      <c r="O164" s="575"/>
      <c r="P164" s="575"/>
      <c r="Q164" s="575"/>
      <c r="R164" s="575"/>
      <c r="S164" s="575"/>
      <c r="T164" s="575"/>
    </row>
    <row r="165">
      <c r="A165" s="575"/>
      <c r="B165" s="575"/>
      <c r="C165" s="612"/>
      <c r="D165" s="575"/>
      <c r="E165" s="575"/>
      <c r="F165" s="575"/>
      <c r="G165" s="575"/>
      <c r="H165" s="575"/>
      <c r="I165" s="575"/>
      <c r="J165" s="575"/>
      <c r="K165" s="575"/>
      <c r="L165" s="575"/>
      <c r="M165" s="575"/>
      <c r="N165" s="575"/>
      <c r="O165" s="575"/>
      <c r="P165" s="575"/>
      <c r="Q165" s="575"/>
      <c r="R165" s="575"/>
      <c r="S165" s="575"/>
      <c r="T165" s="575"/>
    </row>
    <row r="166">
      <c r="A166" s="575"/>
      <c r="B166" s="575"/>
      <c r="C166" s="612"/>
      <c r="D166" s="575"/>
      <c r="E166" s="575"/>
      <c r="F166" s="575"/>
      <c r="G166" s="575"/>
      <c r="H166" s="575"/>
      <c r="I166" s="575"/>
      <c r="J166" s="575"/>
      <c r="K166" s="575"/>
      <c r="L166" s="575"/>
      <c r="M166" s="575"/>
      <c r="N166" s="575"/>
      <c r="O166" s="575"/>
      <c r="P166" s="575"/>
      <c r="Q166" s="575"/>
      <c r="R166" s="575"/>
      <c r="S166" s="575"/>
      <c r="T166" s="575"/>
    </row>
    <row r="167">
      <c r="A167" s="575"/>
      <c r="B167" s="575"/>
      <c r="C167" s="612"/>
      <c r="D167" s="575"/>
      <c r="E167" s="575"/>
      <c r="F167" s="575"/>
      <c r="G167" s="575"/>
      <c r="H167" s="575"/>
      <c r="I167" s="575"/>
      <c r="J167" s="575"/>
      <c r="K167" s="575"/>
      <c r="L167" s="575"/>
      <c r="M167" s="575"/>
      <c r="N167" s="575"/>
      <c r="O167" s="575"/>
      <c r="P167" s="575"/>
      <c r="Q167" s="575"/>
      <c r="R167" s="575"/>
      <c r="S167" s="575"/>
      <c r="T167" s="575"/>
    </row>
    <row r="168">
      <c r="A168" s="575"/>
      <c r="B168" s="575"/>
      <c r="C168" s="612"/>
      <c r="D168" s="575"/>
      <c r="E168" s="575"/>
      <c r="F168" s="575"/>
      <c r="G168" s="575"/>
      <c r="H168" s="575"/>
      <c r="I168" s="575"/>
      <c r="J168" s="575"/>
      <c r="K168" s="575"/>
      <c r="L168" s="575"/>
      <c r="M168" s="575"/>
      <c r="N168" s="575"/>
      <c r="O168" s="575"/>
      <c r="P168" s="575"/>
      <c r="Q168" s="575"/>
      <c r="R168" s="575"/>
      <c r="S168" s="575"/>
      <c r="T168" s="575"/>
    </row>
    <row r="169">
      <c r="A169" s="575"/>
      <c r="B169" s="575"/>
      <c r="C169" s="612"/>
      <c r="D169" s="575"/>
      <c r="E169" s="575"/>
      <c r="F169" s="575"/>
      <c r="G169" s="575"/>
      <c r="H169" s="575"/>
      <c r="I169" s="575"/>
      <c r="J169" s="575"/>
      <c r="K169" s="575"/>
      <c r="L169" s="575"/>
      <c r="M169" s="575"/>
      <c r="N169" s="575"/>
      <c r="O169" s="575"/>
      <c r="P169" s="575"/>
      <c r="Q169" s="575"/>
      <c r="R169" s="575"/>
      <c r="S169" s="575"/>
      <c r="T169" s="575"/>
    </row>
    <row r="170">
      <c r="A170" s="575"/>
      <c r="B170" s="575"/>
      <c r="C170" s="612"/>
      <c r="D170" s="575"/>
      <c r="E170" s="575"/>
      <c r="F170" s="575"/>
      <c r="G170" s="575"/>
      <c r="H170" s="575"/>
      <c r="I170" s="575"/>
      <c r="J170" s="575"/>
      <c r="K170" s="575"/>
      <c r="L170" s="575"/>
      <c r="M170" s="575"/>
      <c r="N170" s="575"/>
      <c r="O170" s="575"/>
      <c r="P170" s="575"/>
      <c r="Q170" s="575"/>
      <c r="R170" s="575"/>
      <c r="S170" s="575"/>
      <c r="T170" s="575"/>
    </row>
    <row r="171">
      <c r="A171" s="575"/>
      <c r="B171" s="575"/>
      <c r="C171" s="612"/>
      <c r="D171" s="575"/>
      <c r="E171" s="575"/>
      <c r="F171" s="575"/>
      <c r="G171" s="575"/>
      <c r="H171" s="575"/>
      <c r="I171" s="575"/>
      <c r="J171" s="575"/>
      <c r="K171" s="575"/>
      <c r="L171" s="575"/>
      <c r="M171" s="575"/>
      <c r="N171" s="575"/>
      <c r="O171" s="575"/>
      <c r="P171" s="575"/>
      <c r="Q171" s="575"/>
      <c r="R171" s="575"/>
      <c r="S171" s="575"/>
      <c r="T171" s="575"/>
    </row>
    <row r="172">
      <c r="A172" s="575"/>
      <c r="B172" s="575"/>
      <c r="C172" s="612"/>
      <c r="D172" s="575"/>
      <c r="E172" s="575"/>
      <c r="F172" s="575"/>
      <c r="G172" s="575"/>
      <c r="H172" s="575"/>
      <c r="I172" s="575"/>
      <c r="J172" s="575"/>
      <c r="K172" s="575"/>
      <c r="L172" s="575"/>
      <c r="M172" s="575"/>
      <c r="N172" s="575"/>
      <c r="O172" s="575"/>
      <c r="P172" s="575"/>
      <c r="Q172" s="575"/>
      <c r="R172" s="575"/>
      <c r="S172" s="575"/>
      <c r="T172" s="575"/>
    </row>
    <row r="173">
      <c r="A173" s="575"/>
      <c r="B173" s="575"/>
      <c r="C173" s="612"/>
      <c r="D173" s="575"/>
      <c r="E173" s="575"/>
      <c r="F173" s="575"/>
      <c r="G173" s="575"/>
      <c r="H173" s="575"/>
      <c r="I173" s="575"/>
      <c r="J173" s="575"/>
      <c r="K173" s="575"/>
      <c r="L173" s="575"/>
      <c r="M173" s="575"/>
      <c r="N173" s="575"/>
      <c r="O173" s="575"/>
      <c r="P173" s="575"/>
      <c r="Q173" s="575"/>
      <c r="R173" s="575"/>
      <c r="S173" s="575"/>
      <c r="T173" s="575"/>
    </row>
    <row r="174">
      <c r="A174" s="575"/>
      <c r="B174" s="575"/>
      <c r="C174" s="612"/>
      <c r="D174" s="575"/>
      <c r="E174" s="575"/>
      <c r="F174" s="575"/>
      <c r="G174" s="575"/>
      <c r="H174" s="575"/>
      <c r="I174" s="575"/>
      <c r="J174" s="575"/>
      <c r="K174" s="575"/>
      <c r="L174" s="575"/>
      <c r="M174" s="575"/>
      <c r="N174" s="575"/>
      <c r="O174" s="575"/>
      <c r="P174" s="575"/>
      <c r="Q174" s="575"/>
      <c r="R174" s="575"/>
      <c r="S174" s="575"/>
      <c r="T174" s="575"/>
    </row>
    <row r="175">
      <c r="A175" s="575"/>
      <c r="B175" s="575"/>
      <c r="C175" s="612"/>
      <c r="D175" s="575"/>
      <c r="E175" s="575"/>
      <c r="F175" s="575"/>
      <c r="G175" s="575"/>
      <c r="H175" s="575"/>
      <c r="I175" s="575"/>
      <c r="J175" s="575"/>
      <c r="K175" s="575"/>
      <c r="L175" s="575"/>
      <c r="M175" s="575"/>
      <c r="N175" s="575"/>
      <c r="O175" s="575"/>
      <c r="P175" s="575"/>
      <c r="Q175" s="575"/>
      <c r="R175" s="575"/>
      <c r="S175" s="575"/>
      <c r="T175" s="575"/>
    </row>
    <row r="176">
      <c r="A176" s="575"/>
      <c r="B176" s="575"/>
      <c r="C176" s="612"/>
      <c r="D176" s="575"/>
      <c r="E176" s="575"/>
      <c r="F176" s="575"/>
      <c r="G176" s="575"/>
      <c r="H176" s="575"/>
      <c r="I176" s="575"/>
      <c r="J176" s="575"/>
      <c r="K176" s="575"/>
      <c r="L176" s="575"/>
      <c r="M176" s="575"/>
      <c r="N176" s="575"/>
      <c r="O176" s="575"/>
      <c r="P176" s="575"/>
      <c r="Q176" s="575"/>
      <c r="R176" s="575"/>
      <c r="S176" s="575"/>
      <c r="T176" s="575"/>
    </row>
    <row r="177">
      <c r="A177" s="575"/>
      <c r="B177" s="575"/>
      <c r="C177" s="612"/>
      <c r="D177" s="575"/>
      <c r="E177" s="575"/>
      <c r="F177" s="575"/>
      <c r="G177" s="575"/>
      <c r="H177" s="575"/>
      <c r="I177" s="575"/>
      <c r="J177" s="575"/>
      <c r="K177" s="575"/>
      <c r="L177" s="575"/>
      <c r="M177" s="575"/>
      <c r="N177" s="575"/>
      <c r="O177" s="575"/>
      <c r="P177" s="575"/>
      <c r="Q177" s="575"/>
      <c r="R177" s="575"/>
      <c r="S177" s="575"/>
      <c r="T177" s="575"/>
    </row>
    <row r="178">
      <c r="A178" s="575"/>
      <c r="B178" s="575"/>
      <c r="C178" s="612"/>
      <c r="D178" s="575"/>
      <c r="E178" s="575"/>
      <c r="F178" s="575"/>
      <c r="G178" s="575"/>
      <c r="H178" s="575"/>
      <c r="I178" s="575"/>
      <c r="J178" s="575"/>
      <c r="K178" s="575"/>
      <c r="L178" s="575"/>
      <c r="M178" s="575"/>
      <c r="N178" s="575"/>
      <c r="O178" s="575"/>
      <c r="P178" s="575"/>
      <c r="Q178" s="575"/>
      <c r="R178" s="575"/>
      <c r="S178" s="575"/>
      <c r="T178" s="575"/>
    </row>
    <row r="179">
      <c r="A179" s="575"/>
      <c r="B179" s="575"/>
      <c r="C179" s="612"/>
      <c r="D179" s="575"/>
      <c r="E179" s="575"/>
      <c r="F179" s="575"/>
      <c r="G179" s="575"/>
      <c r="H179" s="575"/>
      <c r="I179" s="575"/>
      <c r="J179" s="575"/>
      <c r="K179" s="575"/>
      <c r="L179" s="575"/>
      <c r="M179" s="575"/>
      <c r="N179" s="575"/>
      <c r="O179" s="575"/>
      <c r="P179" s="575"/>
      <c r="Q179" s="575"/>
      <c r="R179" s="575"/>
      <c r="S179" s="575"/>
      <c r="T179" s="575"/>
    </row>
    <row r="180">
      <c r="A180" s="575"/>
      <c r="B180" s="575"/>
      <c r="C180" s="612"/>
      <c r="D180" s="575"/>
      <c r="E180" s="575"/>
      <c r="F180" s="575"/>
      <c r="G180" s="575"/>
      <c r="H180" s="575"/>
      <c r="I180" s="575"/>
      <c r="J180" s="575"/>
      <c r="K180" s="575"/>
      <c r="L180" s="575"/>
      <c r="M180" s="575"/>
      <c r="N180" s="575"/>
      <c r="O180" s="575"/>
      <c r="P180" s="575"/>
      <c r="Q180" s="575"/>
      <c r="R180" s="575"/>
      <c r="S180" s="575"/>
      <c r="T180" s="575"/>
    </row>
    <row r="181">
      <c r="A181" s="575"/>
      <c r="B181" s="575"/>
      <c r="C181" s="612"/>
      <c r="D181" s="575"/>
      <c r="E181" s="575"/>
      <c r="F181" s="575"/>
      <c r="G181" s="575"/>
      <c r="H181" s="575"/>
      <c r="I181" s="575"/>
      <c r="J181" s="575"/>
      <c r="K181" s="575"/>
      <c r="L181" s="575"/>
      <c r="M181" s="575"/>
      <c r="N181" s="575"/>
      <c r="O181" s="575"/>
      <c r="P181" s="575"/>
      <c r="Q181" s="575"/>
      <c r="R181" s="575"/>
      <c r="S181" s="575"/>
      <c r="T181" s="575"/>
    </row>
    <row r="182">
      <c r="A182" s="575"/>
      <c r="B182" s="575"/>
      <c r="C182" s="612"/>
      <c r="D182" s="575"/>
      <c r="E182" s="575"/>
      <c r="F182" s="575"/>
      <c r="G182" s="575"/>
      <c r="H182" s="575"/>
      <c r="I182" s="575"/>
      <c r="J182" s="575"/>
      <c r="K182" s="575"/>
      <c r="L182" s="575"/>
      <c r="M182" s="575"/>
      <c r="N182" s="575"/>
      <c r="O182" s="575"/>
      <c r="P182" s="575"/>
      <c r="Q182" s="575"/>
      <c r="R182" s="575"/>
      <c r="S182" s="575"/>
      <c r="T182" s="575"/>
    </row>
    <row r="183">
      <c r="A183" s="575"/>
      <c r="B183" s="575"/>
      <c r="C183" s="612"/>
      <c r="D183" s="575"/>
      <c r="E183" s="575"/>
      <c r="F183" s="575"/>
      <c r="G183" s="575"/>
      <c r="H183" s="575"/>
      <c r="I183" s="575"/>
      <c r="J183" s="575"/>
      <c r="K183" s="575"/>
      <c r="L183" s="575"/>
      <c r="M183" s="575"/>
      <c r="N183" s="575"/>
      <c r="O183" s="575"/>
      <c r="P183" s="575"/>
      <c r="Q183" s="575"/>
      <c r="R183" s="575"/>
      <c r="S183" s="575"/>
      <c r="T183" s="575"/>
    </row>
    <row r="184">
      <c r="A184" s="575"/>
      <c r="B184" s="575"/>
      <c r="C184" s="612"/>
      <c r="D184" s="575"/>
      <c r="E184" s="575"/>
      <c r="F184" s="575"/>
      <c r="G184" s="575"/>
      <c r="H184" s="575"/>
      <c r="I184" s="575"/>
      <c r="J184" s="575"/>
      <c r="K184" s="575"/>
      <c r="L184" s="575"/>
      <c r="M184" s="575"/>
      <c r="N184" s="575"/>
      <c r="O184" s="575"/>
      <c r="P184" s="575"/>
      <c r="Q184" s="575"/>
      <c r="R184" s="575"/>
      <c r="S184" s="575"/>
      <c r="T184" s="575"/>
    </row>
    <row r="185">
      <c r="A185" s="575"/>
      <c r="B185" s="575"/>
      <c r="C185" s="612"/>
      <c r="D185" s="575"/>
      <c r="E185" s="575"/>
      <c r="F185" s="575"/>
      <c r="G185" s="575"/>
      <c r="H185" s="575"/>
      <c r="I185" s="575"/>
      <c r="J185" s="575"/>
      <c r="K185" s="575"/>
      <c r="L185" s="575"/>
      <c r="M185" s="575"/>
      <c r="N185" s="575"/>
      <c r="O185" s="575"/>
      <c r="P185" s="575"/>
      <c r="Q185" s="575"/>
      <c r="R185" s="575"/>
      <c r="S185" s="575"/>
      <c r="T185" s="575"/>
    </row>
    <row r="186">
      <c r="A186" s="575"/>
      <c r="B186" s="575"/>
      <c r="C186" s="612"/>
      <c r="D186" s="575"/>
      <c r="E186" s="575"/>
      <c r="F186" s="575"/>
      <c r="G186" s="575"/>
      <c r="H186" s="575"/>
      <c r="I186" s="575"/>
      <c r="J186" s="575"/>
      <c r="K186" s="575"/>
      <c r="L186" s="575"/>
      <c r="M186" s="575"/>
      <c r="N186" s="575"/>
      <c r="O186" s="575"/>
      <c r="P186" s="575"/>
      <c r="Q186" s="575"/>
      <c r="R186" s="575"/>
      <c r="S186" s="575"/>
      <c r="T186" s="575"/>
    </row>
    <row r="187">
      <c r="A187" s="575"/>
      <c r="B187" s="575"/>
      <c r="C187" s="612"/>
      <c r="D187" s="575"/>
      <c r="E187" s="575"/>
      <c r="F187" s="575"/>
      <c r="G187" s="575"/>
      <c r="H187" s="575"/>
      <c r="I187" s="575"/>
      <c r="J187" s="575"/>
      <c r="K187" s="575"/>
      <c r="L187" s="575"/>
      <c r="M187" s="575"/>
      <c r="N187" s="575"/>
      <c r="O187" s="575"/>
      <c r="P187" s="575"/>
      <c r="Q187" s="575"/>
      <c r="R187" s="575"/>
      <c r="S187" s="575"/>
      <c r="T187" s="575"/>
    </row>
    <row r="188">
      <c r="A188" s="575"/>
      <c r="B188" s="575"/>
      <c r="C188" s="612"/>
      <c r="D188" s="575"/>
      <c r="E188" s="575"/>
      <c r="F188" s="575"/>
      <c r="G188" s="575"/>
      <c r="H188" s="575"/>
      <c r="I188" s="575"/>
      <c r="J188" s="575"/>
      <c r="K188" s="575"/>
      <c r="L188" s="575"/>
      <c r="M188" s="575"/>
      <c r="N188" s="575"/>
      <c r="O188" s="575"/>
      <c r="P188" s="575"/>
      <c r="Q188" s="575"/>
      <c r="R188" s="575"/>
      <c r="S188" s="575"/>
      <c r="T188" s="575"/>
    </row>
    <row r="189">
      <c r="A189" s="575"/>
      <c r="B189" s="575"/>
      <c r="C189" s="612"/>
      <c r="D189" s="575"/>
      <c r="E189" s="575"/>
      <c r="F189" s="575"/>
      <c r="G189" s="575"/>
      <c r="H189" s="575"/>
      <c r="I189" s="575"/>
      <c r="J189" s="575"/>
      <c r="K189" s="575"/>
      <c r="L189" s="575"/>
      <c r="M189" s="575"/>
      <c r="N189" s="575"/>
      <c r="O189" s="575"/>
      <c r="P189" s="575"/>
      <c r="Q189" s="575"/>
      <c r="R189" s="575"/>
      <c r="S189" s="575"/>
      <c r="T189" s="575"/>
    </row>
    <row r="190">
      <c r="A190" s="575"/>
      <c r="B190" s="575"/>
      <c r="C190" s="612"/>
      <c r="D190" s="575"/>
      <c r="E190" s="575"/>
      <c r="F190" s="575"/>
      <c r="G190" s="575"/>
      <c r="H190" s="575"/>
      <c r="I190" s="575"/>
      <c r="J190" s="575"/>
      <c r="K190" s="575"/>
      <c r="L190" s="575"/>
      <c r="M190" s="575"/>
      <c r="N190" s="575"/>
      <c r="O190" s="575"/>
      <c r="P190" s="575"/>
      <c r="Q190" s="575"/>
      <c r="R190" s="575"/>
      <c r="S190" s="575"/>
      <c r="T190" s="575"/>
    </row>
    <row r="191">
      <c r="A191" s="575"/>
      <c r="B191" s="575"/>
      <c r="C191" s="612"/>
      <c r="D191" s="575"/>
      <c r="E191" s="575"/>
      <c r="F191" s="575"/>
      <c r="G191" s="575"/>
      <c r="H191" s="575"/>
      <c r="I191" s="575"/>
      <c r="J191" s="575"/>
      <c r="K191" s="575"/>
      <c r="L191" s="575"/>
      <c r="M191" s="575"/>
      <c r="N191" s="575"/>
      <c r="O191" s="575"/>
      <c r="P191" s="575"/>
      <c r="Q191" s="575"/>
      <c r="R191" s="575"/>
      <c r="S191" s="575"/>
      <c r="T191" s="575"/>
    </row>
    <row r="192">
      <c r="A192" s="575"/>
      <c r="B192" s="575"/>
      <c r="C192" s="612"/>
      <c r="D192" s="575"/>
      <c r="E192" s="575"/>
      <c r="F192" s="575"/>
      <c r="G192" s="575"/>
      <c r="H192" s="575"/>
      <c r="I192" s="575"/>
      <c r="J192" s="575"/>
      <c r="K192" s="575"/>
      <c r="L192" s="575"/>
      <c r="M192" s="575"/>
      <c r="N192" s="575"/>
      <c r="O192" s="575"/>
      <c r="P192" s="575"/>
      <c r="Q192" s="575"/>
      <c r="R192" s="575"/>
      <c r="S192" s="575"/>
      <c r="T192" s="575"/>
    </row>
    <row r="193">
      <c r="A193" s="575"/>
      <c r="B193" s="575"/>
      <c r="C193" s="612"/>
      <c r="D193" s="575"/>
      <c r="E193" s="575"/>
      <c r="F193" s="575"/>
      <c r="G193" s="575"/>
      <c r="H193" s="575"/>
      <c r="I193" s="575"/>
      <c r="J193" s="575"/>
      <c r="K193" s="575"/>
      <c r="L193" s="575"/>
      <c r="M193" s="575"/>
      <c r="N193" s="575"/>
      <c r="O193" s="575"/>
      <c r="P193" s="575"/>
      <c r="Q193" s="575"/>
      <c r="R193" s="575"/>
      <c r="S193" s="575"/>
      <c r="T193" s="575"/>
    </row>
    <row r="194">
      <c r="A194" s="575"/>
      <c r="B194" s="575"/>
      <c r="C194" s="612"/>
      <c r="D194" s="575"/>
      <c r="E194" s="575"/>
      <c r="F194" s="575"/>
      <c r="G194" s="575"/>
      <c r="H194" s="575"/>
      <c r="I194" s="575"/>
      <c r="J194" s="575"/>
      <c r="K194" s="575"/>
      <c r="L194" s="575"/>
      <c r="M194" s="575"/>
      <c r="N194" s="575"/>
      <c r="O194" s="575"/>
      <c r="P194" s="575"/>
      <c r="Q194" s="575"/>
      <c r="R194" s="575"/>
      <c r="S194" s="575"/>
      <c r="T194" s="575"/>
    </row>
    <row r="195">
      <c r="A195" s="575"/>
      <c r="B195" s="575"/>
      <c r="C195" s="612"/>
      <c r="D195" s="575"/>
      <c r="E195" s="575"/>
      <c r="F195" s="575"/>
      <c r="G195" s="575"/>
      <c r="H195" s="575"/>
      <c r="I195" s="575"/>
      <c r="J195" s="575"/>
      <c r="K195" s="575"/>
      <c r="L195" s="575"/>
      <c r="M195" s="575"/>
      <c r="N195" s="575"/>
      <c r="O195" s="575"/>
      <c r="P195" s="575"/>
      <c r="Q195" s="575"/>
      <c r="R195" s="575"/>
      <c r="S195" s="575"/>
      <c r="T195" s="575"/>
    </row>
    <row r="196">
      <c r="A196" s="575"/>
      <c r="B196" s="575"/>
      <c r="C196" s="612"/>
      <c r="D196" s="575"/>
      <c r="E196" s="575"/>
      <c r="F196" s="575"/>
      <c r="G196" s="575"/>
      <c r="H196" s="575"/>
      <c r="I196" s="575"/>
      <c r="J196" s="575"/>
      <c r="K196" s="575"/>
      <c r="L196" s="575"/>
      <c r="M196" s="575"/>
      <c r="N196" s="575"/>
      <c r="O196" s="575"/>
      <c r="P196" s="575"/>
      <c r="Q196" s="575"/>
      <c r="R196" s="575"/>
      <c r="S196" s="575"/>
      <c r="T196" s="575"/>
    </row>
    <row r="197">
      <c r="A197" s="575"/>
      <c r="B197" s="575"/>
      <c r="C197" s="612"/>
      <c r="D197" s="575"/>
      <c r="E197" s="575"/>
      <c r="F197" s="575"/>
      <c r="G197" s="575"/>
      <c r="H197" s="575"/>
      <c r="I197" s="575"/>
      <c r="J197" s="575"/>
      <c r="K197" s="575"/>
      <c r="L197" s="575"/>
      <c r="M197" s="575"/>
      <c r="N197" s="575"/>
      <c r="O197" s="575"/>
      <c r="P197" s="575"/>
      <c r="Q197" s="575"/>
      <c r="R197" s="575"/>
      <c r="S197" s="575"/>
      <c r="T197" s="575"/>
    </row>
    <row r="198">
      <c r="A198" s="575"/>
      <c r="B198" s="575"/>
      <c r="C198" s="612"/>
      <c r="D198" s="575"/>
      <c r="E198" s="575"/>
      <c r="F198" s="575"/>
      <c r="G198" s="575"/>
      <c r="H198" s="575"/>
      <c r="I198" s="575"/>
      <c r="J198" s="575"/>
      <c r="K198" s="575"/>
      <c r="L198" s="575"/>
      <c r="M198" s="575"/>
      <c r="N198" s="575"/>
      <c r="O198" s="575"/>
      <c r="P198" s="575"/>
      <c r="Q198" s="575"/>
      <c r="R198" s="575"/>
      <c r="S198" s="575"/>
      <c r="T198" s="575"/>
    </row>
    <row r="199">
      <c r="A199" s="575"/>
      <c r="B199" s="575"/>
      <c r="C199" s="612"/>
      <c r="D199" s="575"/>
      <c r="E199" s="575"/>
      <c r="F199" s="575"/>
      <c r="G199" s="575"/>
      <c r="H199" s="575"/>
      <c r="I199" s="575"/>
      <c r="J199" s="575"/>
      <c r="K199" s="575"/>
      <c r="L199" s="575"/>
      <c r="M199" s="575"/>
      <c r="N199" s="575"/>
      <c r="O199" s="575"/>
      <c r="P199" s="575"/>
      <c r="Q199" s="575"/>
      <c r="R199" s="575"/>
      <c r="S199" s="575"/>
      <c r="T199" s="575"/>
    </row>
    <row r="200">
      <c r="A200" s="575"/>
      <c r="B200" s="575"/>
      <c r="C200" s="612"/>
      <c r="D200" s="575"/>
      <c r="E200" s="575"/>
      <c r="F200" s="575"/>
      <c r="G200" s="575"/>
      <c r="H200" s="575"/>
      <c r="I200" s="575"/>
      <c r="J200" s="575"/>
      <c r="K200" s="575"/>
      <c r="L200" s="575"/>
      <c r="M200" s="575"/>
      <c r="N200" s="575"/>
      <c r="O200" s="575"/>
      <c r="P200" s="575"/>
      <c r="Q200" s="575"/>
      <c r="R200" s="575"/>
      <c r="S200" s="575"/>
      <c r="T200" s="575"/>
    </row>
    <row r="201">
      <c r="A201" s="575"/>
      <c r="B201" s="575"/>
      <c r="C201" s="612"/>
      <c r="D201" s="575"/>
      <c r="E201" s="575"/>
      <c r="F201" s="575"/>
      <c r="G201" s="575"/>
      <c r="H201" s="575"/>
      <c r="I201" s="575"/>
      <c r="J201" s="575"/>
      <c r="K201" s="575"/>
      <c r="L201" s="575"/>
      <c r="M201" s="575"/>
      <c r="N201" s="575"/>
      <c r="O201" s="575"/>
      <c r="P201" s="575"/>
      <c r="Q201" s="575"/>
      <c r="R201" s="575"/>
      <c r="S201" s="575"/>
      <c r="T201" s="575"/>
    </row>
    <row r="202">
      <c r="A202" s="575"/>
      <c r="B202" s="575"/>
      <c r="C202" s="612"/>
      <c r="D202" s="575"/>
      <c r="E202" s="575"/>
      <c r="F202" s="575"/>
      <c r="G202" s="575"/>
      <c r="H202" s="575"/>
      <c r="I202" s="575"/>
      <c r="J202" s="575"/>
      <c r="K202" s="575"/>
      <c r="L202" s="575"/>
      <c r="M202" s="575"/>
      <c r="N202" s="575"/>
      <c r="O202" s="575"/>
      <c r="P202" s="575"/>
      <c r="Q202" s="575"/>
      <c r="R202" s="575"/>
      <c r="S202" s="575"/>
      <c r="T202" s="575"/>
    </row>
    <row r="203">
      <c r="A203" s="575"/>
      <c r="B203" s="575"/>
      <c r="C203" s="612"/>
      <c r="D203" s="575"/>
      <c r="E203" s="575"/>
      <c r="F203" s="575"/>
      <c r="G203" s="575"/>
      <c r="H203" s="575"/>
      <c r="I203" s="575"/>
      <c r="J203" s="575"/>
      <c r="K203" s="575"/>
      <c r="L203" s="575"/>
      <c r="M203" s="575"/>
      <c r="N203" s="575"/>
      <c r="O203" s="575"/>
      <c r="P203" s="575"/>
      <c r="Q203" s="575"/>
      <c r="R203" s="575"/>
      <c r="S203" s="575"/>
      <c r="T203" s="575"/>
    </row>
    <row r="204">
      <c r="A204" s="575"/>
      <c r="B204" s="575"/>
      <c r="C204" s="612"/>
      <c r="D204" s="575"/>
      <c r="E204" s="575"/>
      <c r="F204" s="575"/>
      <c r="G204" s="575"/>
      <c r="H204" s="575"/>
      <c r="I204" s="575"/>
      <c r="J204" s="575"/>
      <c r="K204" s="575"/>
      <c r="L204" s="575"/>
      <c r="M204" s="575"/>
      <c r="N204" s="575"/>
      <c r="O204" s="575"/>
      <c r="P204" s="575"/>
      <c r="Q204" s="575"/>
      <c r="R204" s="575"/>
      <c r="S204" s="575"/>
      <c r="T204" s="575"/>
    </row>
    <row r="205">
      <c r="A205" s="575"/>
      <c r="B205" s="575"/>
      <c r="C205" s="612"/>
      <c r="D205" s="575"/>
      <c r="E205" s="575"/>
      <c r="F205" s="575"/>
      <c r="G205" s="575"/>
      <c r="H205" s="575"/>
      <c r="I205" s="575"/>
      <c r="J205" s="575"/>
      <c r="K205" s="575"/>
      <c r="L205" s="575"/>
      <c r="M205" s="575"/>
      <c r="N205" s="575"/>
      <c r="O205" s="575"/>
      <c r="P205" s="575"/>
      <c r="Q205" s="575"/>
      <c r="R205" s="575"/>
      <c r="S205" s="575"/>
      <c r="T205" s="575"/>
    </row>
    <row r="206">
      <c r="A206" s="575"/>
      <c r="B206" s="575"/>
      <c r="C206" s="612"/>
      <c r="D206" s="575"/>
      <c r="E206" s="575"/>
      <c r="F206" s="575"/>
      <c r="G206" s="575"/>
      <c r="H206" s="575"/>
      <c r="I206" s="575"/>
      <c r="J206" s="575"/>
      <c r="K206" s="575"/>
      <c r="L206" s="575"/>
      <c r="M206" s="575"/>
      <c r="N206" s="575"/>
      <c r="O206" s="575"/>
      <c r="P206" s="575"/>
      <c r="Q206" s="575"/>
      <c r="R206" s="575"/>
      <c r="S206" s="575"/>
      <c r="T206" s="575"/>
    </row>
    <row r="207">
      <c r="A207" s="575"/>
      <c r="B207" s="575"/>
      <c r="C207" s="612"/>
      <c r="D207" s="575"/>
      <c r="E207" s="575"/>
      <c r="F207" s="575"/>
      <c r="G207" s="575"/>
      <c r="H207" s="575"/>
      <c r="I207" s="575"/>
      <c r="J207" s="575"/>
      <c r="K207" s="575"/>
      <c r="L207" s="575"/>
      <c r="M207" s="575"/>
      <c r="N207" s="575"/>
      <c r="O207" s="575"/>
      <c r="P207" s="575"/>
      <c r="Q207" s="575"/>
      <c r="R207" s="575"/>
      <c r="S207" s="575"/>
      <c r="T207" s="575"/>
    </row>
    <row r="208">
      <c r="A208" s="575"/>
      <c r="B208" s="575"/>
      <c r="C208" s="612"/>
      <c r="D208" s="575"/>
      <c r="E208" s="575"/>
      <c r="F208" s="575"/>
      <c r="G208" s="575"/>
      <c r="H208" s="575"/>
      <c r="I208" s="575"/>
      <c r="J208" s="575"/>
      <c r="K208" s="575"/>
      <c r="L208" s="575"/>
      <c r="M208" s="575"/>
      <c r="N208" s="575"/>
      <c r="O208" s="575"/>
      <c r="P208" s="575"/>
      <c r="Q208" s="575"/>
      <c r="R208" s="575"/>
      <c r="S208" s="575"/>
      <c r="T208" s="575"/>
    </row>
    <row r="209">
      <c r="A209" s="575"/>
      <c r="B209" s="575"/>
      <c r="C209" s="612"/>
      <c r="D209" s="575"/>
      <c r="E209" s="575"/>
      <c r="F209" s="575"/>
      <c r="G209" s="575"/>
      <c r="H209" s="575"/>
      <c r="I209" s="575"/>
      <c r="J209" s="575"/>
      <c r="K209" s="575"/>
      <c r="L209" s="575"/>
      <c r="M209" s="575"/>
      <c r="N209" s="575"/>
      <c r="O209" s="575"/>
      <c r="P209" s="575"/>
      <c r="Q209" s="575"/>
      <c r="R209" s="575"/>
      <c r="S209" s="575"/>
      <c r="T209" s="575"/>
    </row>
    <row r="210">
      <c r="A210" s="575"/>
      <c r="B210" s="575"/>
      <c r="C210" s="612"/>
      <c r="D210" s="575"/>
      <c r="E210" s="575"/>
      <c r="F210" s="575"/>
      <c r="G210" s="575"/>
      <c r="H210" s="575"/>
      <c r="I210" s="575"/>
      <c r="J210" s="575"/>
      <c r="K210" s="575"/>
      <c r="L210" s="575"/>
      <c r="M210" s="575"/>
      <c r="N210" s="575"/>
      <c r="O210" s="575"/>
      <c r="P210" s="575"/>
      <c r="Q210" s="575"/>
      <c r="R210" s="575"/>
      <c r="S210" s="575"/>
      <c r="T210" s="575"/>
    </row>
    <row r="211">
      <c r="A211" s="575"/>
      <c r="B211" s="575"/>
      <c r="C211" s="612"/>
      <c r="D211" s="575"/>
      <c r="E211" s="575"/>
      <c r="F211" s="575"/>
      <c r="G211" s="575"/>
      <c r="H211" s="575"/>
      <c r="I211" s="575"/>
      <c r="J211" s="575"/>
      <c r="K211" s="575"/>
      <c r="L211" s="575"/>
      <c r="M211" s="575"/>
      <c r="N211" s="575"/>
      <c r="O211" s="575"/>
      <c r="P211" s="575"/>
      <c r="Q211" s="575"/>
      <c r="R211" s="575"/>
      <c r="S211" s="575"/>
      <c r="T211" s="575"/>
    </row>
    <row r="212">
      <c r="A212" s="575"/>
      <c r="B212" s="575"/>
      <c r="C212" s="612"/>
      <c r="D212" s="575"/>
      <c r="E212" s="575"/>
      <c r="F212" s="575"/>
      <c r="G212" s="575"/>
      <c r="H212" s="575"/>
      <c r="I212" s="575"/>
      <c r="J212" s="575"/>
      <c r="K212" s="575"/>
      <c r="L212" s="575"/>
      <c r="M212" s="575"/>
      <c r="N212" s="575"/>
      <c r="O212" s="575"/>
      <c r="P212" s="575"/>
      <c r="Q212" s="575"/>
      <c r="R212" s="575"/>
      <c r="S212" s="575"/>
      <c r="T212" s="575"/>
    </row>
    <row r="213">
      <c r="A213" s="575"/>
      <c r="B213" s="575"/>
      <c r="C213" s="612"/>
      <c r="D213" s="575"/>
      <c r="E213" s="575"/>
      <c r="F213" s="575"/>
      <c r="G213" s="575"/>
      <c r="H213" s="575"/>
      <c r="I213" s="575"/>
      <c r="J213" s="575"/>
      <c r="K213" s="575"/>
      <c r="L213" s="575"/>
      <c r="M213" s="575"/>
      <c r="N213" s="575"/>
      <c r="O213" s="575"/>
      <c r="P213" s="575"/>
      <c r="Q213" s="575"/>
      <c r="R213" s="575"/>
      <c r="S213" s="575"/>
      <c r="T213" s="575"/>
    </row>
    <row r="214">
      <c r="A214" s="575"/>
      <c r="B214" s="575"/>
      <c r="C214" s="612"/>
      <c r="D214" s="575"/>
      <c r="E214" s="575"/>
      <c r="F214" s="575"/>
      <c r="G214" s="575"/>
      <c r="H214" s="575"/>
      <c r="I214" s="575"/>
      <c r="J214" s="575"/>
      <c r="K214" s="575"/>
      <c r="L214" s="575"/>
      <c r="M214" s="575"/>
      <c r="N214" s="575"/>
      <c r="O214" s="575"/>
      <c r="P214" s="575"/>
      <c r="Q214" s="575"/>
      <c r="R214" s="575"/>
      <c r="S214" s="575"/>
      <c r="T214" s="575"/>
    </row>
    <row r="215">
      <c r="A215" s="575"/>
      <c r="B215" s="575"/>
      <c r="C215" s="612"/>
      <c r="D215" s="575"/>
      <c r="E215" s="575"/>
      <c r="F215" s="575"/>
      <c r="G215" s="575"/>
      <c r="H215" s="575"/>
      <c r="I215" s="575"/>
      <c r="J215" s="575"/>
      <c r="K215" s="575"/>
      <c r="L215" s="575"/>
      <c r="M215" s="575"/>
      <c r="N215" s="575"/>
      <c r="O215" s="575"/>
      <c r="P215" s="575"/>
      <c r="Q215" s="575"/>
      <c r="R215" s="575"/>
      <c r="S215" s="575"/>
      <c r="T215" s="575"/>
    </row>
    <row r="216">
      <c r="A216" s="575"/>
      <c r="B216" s="575"/>
      <c r="C216" s="612"/>
      <c r="D216" s="575"/>
      <c r="E216" s="575"/>
      <c r="F216" s="575"/>
      <c r="G216" s="575"/>
      <c r="H216" s="575"/>
      <c r="I216" s="575"/>
      <c r="J216" s="575"/>
      <c r="K216" s="575"/>
      <c r="L216" s="575"/>
      <c r="M216" s="575"/>
      <c r="N216" s="575"/>
      <c r="O216" s="575"/>
      <c r="P216" s="575"/>
      <c r="Q216" s="575"/>
      <c r="R216" s="575"/>
      <c r="S216" s="575"/>
      <c r="T216" s="575"/>
    </row>
    <row r="217">
      <c r="A217" s="575"/>
      <c r="B217" s="575"/>
      <c r="C217" s="612"/>
      <c r="D217" s="575"/>
      <c r="E217" s="575"/>
      <c r="F217" s="575"/>
      <c r="G217" s="575"/>
      <c r="H217" s="575"/>
      <c r="I217" s="575"/>
      <c r="J217" s="575"/>
      <c r="K217" s="575"/>
      <c r="L217" s="575"/>
      <c r="M217" s="575"/>
      <c r="N217" s="575"/>
      <c r="O217" s="575"/>
      <c r="P217" s="575"/>
      <c r="Q217" s="575"/>
      <c r="R217" s="575"/>
      <c r="S217" s="575"/>
      <c r="T217" s="575"/>
    </row>
    <row r="218">
      <c r="A218" s="575"/>
      <c r="B218" s="575"/>
      <c r="C218" s="612"/>
      <c r="D218" s="575"/>
      <c r="E218" s="575"/>
      <c r="F218" s="575"/>
      <c r="G218" s="575"/>
      <c r="H218" s="575"/>
      <c r="I218" s="575"/>
      <c r="J218" s="575"/>
      <c r="K218" s="575"/>
      <c r="L218" s="575"/>
      <c r="M218" s="575"/>
      <c r="N218" s="575"/>
      <c r="O218" s="575"/>
      <c r="P218" s="575"/>
      <c r="Q218" s="575"/>
      <c r="R218" s="575"/>
      <c r="S218" s="575"/>
      <c r="T218" s="575"/>
    </row>
    <row r="219">
      <c r="A219" s="575"/>
      <c r="B219" s="575"/>
      <c r="C219" s="612"/>
      <c r="D219" s="575"/>
      <c r="E219" s="575"/>
      <c r="F219" s="575"/>
      <c r="G219" s="575"/>
      <c r="H219" s="575"/>
      <c r="I219" s="575"/>
      <c r="J219" s="575"/>
      <c r="K219" s="575"/>
      <c r="L219" s="575"/>
      <c r="M219" s="575"/>
      <c r="N219" s="575"/>
      <c r="O219" s="575"/>
      <c r="P219" s="575"/>
      <c r="Q219" s="575"/>
      <c r="R219" s="575"/>
      <c r="S219" s="575"/>
      <c r="T219" s="575"/>
    </row>
    <row r="220">
      <c r="A220" s="575"/>
      <c r="B220" s="575"/>
      <c r="C220" s="612"/>
      <c r="D220" s="575"/>
      <c r="E220" s="575"/>
      <c r="F220" s="575"/>
      <c r="G220" s="575"/>
      <c r="H220" s="575"/>
      <c r="I220" s="575"/>
      <c r="J220" s="575"/>
      <c r="K220" s="575"/>
      <c r="L220" s="575"/>
      <c r="M220" s="575"/>
      <c r="N220" s="575"/>
      <c r="O220" s="575"/>
      <c r="P220" s="575"/>
      <c r="Q220" s="575"/>
      <c r="R220" s="575"/>
      <c r="S220" s="575"/>
      <c r="T220" s="575"/>
    </row>
    <row r="221">
      <c r="A221" s="575"/>
      <c r="B221" s="575"/>
      <c r="C221" s="612"/>
      <c r="D221" s="575"/>
      <c r="E221" s="575"/>
      <c r="F221" s="575"/>
      <c r="G221" s="575"/>
      <c r="H221" s="575"/>
      <c r="I221" s="575"/>
      <c r="J221" s="575"/>
      <c r="K221" s="575"/>
      <c r="L221" s="575"/>
      <c r="M221" s="575"/>
      <c r="N221" s="575"/>
      <c r="O221" s="575"/>
      <c r="P221" s="575"/>
      <c r="Q221" s="575"/>
      <c r="R221" s="575"/>
      <c r="S221" s="575"/>
      <c r="T221" s="575"/>
    </row>
    <row r="222">
      <c r="A222" s="575"/>
      <c r="B222" s="575"/>
      <c r="C222" s="612"/>
      <c r="D222" s="575"/>
      <c r="E222" s="575"/>
      <c r="F222" s="575"/>
      <c r="G222" s="575"/>
      <c r="H222" s="575"/>
      <c r="I222" s="575"/>
      <c r="J222" s="575"/>
      <c r="K222" s="575"/>
      <c r="L222" s="575"/>
      <c r="M222" s="575"/>
      <c r="N222" s="575"/>
      <c r="O222" s="575"/>
      <c r="P222" s="575"/>
      <c r="Q222" s="575"/>
      <c r="R222" s="575"/>
      <c r="S222" s="575"/>
      <c r="T222" s="575"/>
    </row>
    <row r="223">
      <c r="A223" s="575"/>
      <c r="B223" s="575"/>
      <c r="C223" s="612"/>
      <c r="D223" s="575"/>
      <c r="E223" s="575"/>
      <c r="F223" s="575"/>
      <c r="G223" s="575"/>
      <c r="H223" s="575"/>
      <c r="I223" s="575"/>
      <c r="J223" s="575"/>
      <c r="K223" s="575"/>
      <c r="L223" s="575"/>
      <c r="M223" s="575"/>
      <c r="N223" s="575"/>
      <c r="O223" s="575"/>
      <c r="P223" s="575"/>
      <c r="Q223" s="575"/>
      <c r="R223" s="575"/>
      <c r="S223" s="575"/>
      <c r="T223" s="575"/>
    </row>
    <row r="224">
      <c r="A224" s="575"/>
      <c r="B224" s="575"/>
      <c r="C224" s="612"/>
      <c r="D224" s="575"/>
      <c r="E224" s="575"/>
      <c r="F224" s="575"/>
      <c r="G224" s="575"/>
      <c r="H224" s="575"/>
      <c r="I224" s="575"/>
      <c r="J224" s="575"/>
      <c r="K224" s="575"/>
      <c r="L224" s="575"/>
      <c r="M224" s="575"/>
      <c r="N224" s="575"/>
      <c r="O224" s="575"/>
      <c r="P224" s="575"/>
      <c r="Q224" s="575"/>
      <c r="R224" s="575"/>
      <c r="S224" s="575"/>
      <c r="T224" s="575"/>
    </row>
    <row r="225">
      <c r="A225" s="575"/>
      <c r="B225" s="575"/>
      <c r="C225" s="612"/>
      <c r="D225" s="575"/>
      <c r="E225" s="575"/>
      <c r="F225" s="575"/>
      <c r="G225" s="575"/>
      <c r="H225" s="575"/>
      <c r="I225" s="575"/>
      <c r="J225" s="575"/>
      <c r="K225" s="575"/>
      <c r="L225" s="575"/>
      <c r="M225" s="575"/>
      <c r="N225" s="575"/>
      <c r="O225" s="575"/>
      <c r="P225" s="575"/>
      <c r="Q225" s="575"/>
      <c r="R225" s="575"/>
      <c r="S225" s="575"/>
      <c r="T225" s="575"/>
    </row>
    <row r="226">
      <c r="A226" s="575"/>
      <c r="B226" s="575"/>
      <c r="C226" s="612"/>
      <c r="D226" s="575"/>
      <c r="E226" s="575"/>
      <c r="F226" s="575"/>
      <c r="G226" s="575"/>
      <c r="H226" s="575"/>
      <c r="I226" s="575"/>
      <c r="J226" s="575"/>
      <c r="K226" s="575"/>
      <c r="L226" s="575"/>
      <c r="M226" s="575"/>
      <c r="N226" s="575"/>
      <c r="O226" s="575"/>
      <c r="P226" s="575"/>
      <c r="Q226" s="575"/>
      <c r="R226" s="575"/>
      <c r="S226" s="575"/>
      <c r="T226" s="575"/>
    </row>
    <row r="227">
      <c r="A227" s="575"/>
      <c r="B227" s="575"/>
      <c r="C227" s="612"/>
      <c r="D227" s="575"/>
      <c r="E227" s="575"/>
      <c r="F227" s="575"/>
      <c r="G227" s="575"/>
      <c r="H227" s="575"/>
      <c r="I227" s="575"/>
      <c r="J227" s="575"/>
      <c r="K227" s="575"/>
      <c r="L227" s="575"/>
      <c r="M227" s="575"/>
      <c r="N227" s="575"/>
      <c r="O227" s="575"/>
      <c r="P227" s="575"/>
      <c r="Q227" s="575"/>
      <c r="R227" s="575"/>
      <c r="S227" s="575"/>
      <c r="T227" s="575"/>
    </row>
    <row r="228">
      <c r="A228" s="575"/>
      <c r="B228" s="575"/>
      <c r="C228" s="612"/>
      <c r="D228" s="575"/>
      <c r="E228" s="575"/>
      <c r="F228" s="575"/>
      <c r="G228" s="575"/>
      <c r="H228" s="575"/>
      <c r="I228" s="575"/>
      <c r="J228" s="575"/>
      <c r="K228" s="575"/>
      <c r="L228" s="575"/>
      <c r="M228" s="575"/>
      <c r="N228" s="575"/>
      <c r="O228" s="575"/>
      <c r="P228" s="575"/>
      <c r="Q228" s="575"/>
      <c r="R228" s="575"/>
      <c r="S228" s="575"/>
      <c r="T228" s="575"/>
    </row>
    <row r="229">
      <c r="A229" s="575"/>
      <c r="B229" s="575"/>
      <c r="C229" s="612"/>
      <c r="D229" s="575"/>
      <c r="E229" s="575"/>
      <c r="F229" s="575"/>
      <c r="G229" s="575"/>
      <c r="H229" s="575"/>
      <c r="I229" s="575"/>
      <c r="J229" s="575"/>
      <c r="K229" s="575"/>
      <c r="L229" s="575"/>
      <c r="M229" s="575"/>
      <c r="N229" s="575"/>
      <c r="O229" s="575"/>
      <c r="P229" s="575"/>
      <c r="Q229" s="575"/>
      <c r="R229" s="575"/>
      <c r="S229" s="575"/>
      <c r="T229" s="575"/>
    </row>
    <row r="230">
      <c r="A230" s="575"/>
      <c r="B230" s="575"/>
      <c r="C230" s="612"/>
      <c r="D230" s="575"/>
      <c r="E230" s="575"/>
      <c r="F230" s="575"/>
      <c r="G230" s="575"/>
      <c r="H230" s="575"/>
      <c r="I230" s="575"/>
      <c r="J230" s="575"/>
      <c r="K230" s="575"/>
      <c r="L230" s="575"/>
      <c r="M230" s="575"/>
      <c r="N230" s="575"/>
      <c r="O230" s="575"/>
      <c r="P230" s="575"/>
      <c r="Q230" s="575"/>
      <c r="R230" s="575"/>
      <c r="S230" s="575"/>
      <c r="T230" s="575"/>
    </row>
    <row r="231">
      <c r="A231" s="575"/>
      <c r="B231" s="575"/>
      <c r="C231" s="612"/>
      <c r="D231" s="575"/>
      <c r="E231" s="575"/>
      <c r="F231" s="575"/>
      <c r="G231" s="575"/>
      <c r="H231" s="575"/>
      <c r="I231" s="575"/>
      <c r="J231" s="575"/>
      <c r="K231" s="575"/>
      <c r="L231" s="575"/>
      <c r="M231" s="575"/>
      <c r="N231" s="575"/>
      <c r="O231" s="575"/>
      <c r="P231" s="575"/>
      <c r="Q231" s="575"/>
      <c r="R231" s="575"/>
      <c r="S231" s="575"/>
      <c r="T231" s="575"/>
    </row>
    <row r="232">
      <c r="A232" s="575"/>
      <c r="B232" s="575"/>
      <c r="C232" s="612"/>
      <c r="D232" s="575"/>
      <c r="E232" s="575"/>
      <c r="F232" s="575"/>
      <c r="G232" s="575"/>
      <c r="H232" s="575"/>
      <c r="I232" s="575"/>
      <c r="J232" s="575"/>
      <c r="K232" s="575"/>
      <c r="L232" s="575"/>
      <c r="M232" s="575"/>
      <c r="N232" s="575"/>
      <c r="O232" s="575"/>
      <c r="P232" s="575"/>
      <c r="Q232" s="575"/>
      <c r="R232" s="575"/>
      <c r="S232" s="575"/>
      <c r="T232" s="575"/>
    </row>
    <row r="233">
      <c r="A233" s="575"/>
      <c r="B233" s="575"/>
      <c r="C233" s="612"/>
      <c r="D233" s="575"/>
      <c r="E233" s="575"/>
      <c r="F233" s="575"/>
      <c r="G233" s="575"/>
      <c r="H233" s="575"/>
      <c r="I233" s="575"/>
      <c r="J233" s="575"/>
      <c r="K233" s="575"/>
      <c r="L233" s="575"/>
      <c r="M233" s="575"/>
      <c r="N233" s="575"/>
      <c r="O233" s="575"/>
      <c r="P233" s="575"/>
      <c r="Q233" s="575"/>
      <c r="R233" s="575"/>
      <c r="S233" s="575"/>
      <c r="T233" s="575"/>
    </row>
    <row r="234">
      <c r="A234" s="575"/>
      <c r="B234" s="575"/>
      <c r="C234" s="612"/>
      <c r="D234" s="575"/>
      <c r="E234" s="575"/>
      <c r="F234" s="575"/>
      <c r="G234" s="575"/>
      <c r="H234" s="575"/>
      <c r="I234" s="575"/>
      <c r="J234" s="575"/>
      <c r="K234" s="575"/>
      <c r="L234" s="575"/>
      <c r="M234" s="575"/>
      <c r="N234" s="575"/>
      <c r="O234" s="575"/>
      <c r="P234" s="575"/>
      <c r="Q234" s="575"/>
      <c r="R234" s="575"/>
      <c r="S234" s="575"/>
      <c r="T234" s="575"/>
    </row>
    <row r="235">
      <c r="A235" s="575"/>
      <c r="B235" s="575"/>
      <c r="C235" s="612"/>
      <c r="D235" s="575"/>
      <c r="E235" s="575"/>
      <c r="F235" s="575"/>
      <c r="G235" s="575"/>
      <c r="H235" s="575"/>
      <c r="I235" s="575"/>
      <c r="J235" s="575"/>
      <c r="K235" s="575"/>
      <c r="L235" s="575"/>
      <c r="M235" s="575"/>
      <c r="N235" s="575"/>
      <c r="O235" s="575"/>
      <c r="P235" s="575"/>
      <c r="Q235" s="575"/>
      <c r="R235" s="575"/>
      <c r="S235" s="575"/>
      <c r="T235" s="575"/>
    </row>
    <row r="236">
      <c r="A236" s="575"/>
      <c r="B236" s="575"/>
      <c r="C236" s="612"/>
      <c r="D236" s="575"/>
      <c r="E236" s="575"/>
      <c r="F236" s="575"/>
      <c r="G236" s="575"/>
      <c r="H236" s="575"/>
      <c r="I236" s="575"/>
      <c r="J236" s="575"/>
      <c r="K236" s="575"/>
      <c r="L236" s="575"/>
      <c r="M236" s="575"/>
      <c r="N236" s="575"/>
      <c r="O236" s="575"/>
      <c r="P236" s="575"/>
      <c r="Q236" s="575"/>
      <c r="R236" s="575"/>
      <c r="S236" s="575"/>
      <c r="T236" s="575"/>
    </row>
    <row r="237">
      <c r="A237" s="575"/>
      <c r="B237" s="575"/>
      <c r="C237" s="612"/>
      <c r="D237" s="575"/>
      <c r="E237" s="575"/>
      <c r="F237" s="575"/>
      <c r="G237" s="575"/>
      <c r="H237" s="575"/>
      <c r="I237" s="575"/>
      <c r="J237" s="575"/>
      <c r="K237" s="575"/>
      <c r="L237" s="575"/>
      <c r="M237" s="575"/>
      <c r="N237" s="575"/>
      <c r="O237" s="575"/>
      <c r="P237" s="575"/>
      <c r="Q237" s="575"/>
      <c r="R237" s="575"/>
      <c r="S237" s="575"/>
      <c r="T237" s="575"/>
    </row>
    <row r="238">
      <c r="A238" s="575"/>
      <c r="B238" s="575"/>
      <c r="C238" s="612"/>
      <c r="D238" s="575"/>
      <c r="E238" s="575"/>
      <c r="F238" s="575"/>
      <c r="G238" s="575"/>
      <c r="H238" s="575"/>
      <c r="I238" s="575"/>
      <c r="J238" s="575"/>
      <c r="K238" s="575"/>
      <c r="L238" s="575"/>
      <c r="M238" s="575"/>
      <c r="N238" s="575"/>
      <c r="O238" s="575"/>
      <c r="P238" s="575"/>
      <c r="Q238" s="575"/>
      <c r="R238" s="575"/>
      <c r="S238" s="575"/>
      <c r="T238" s="575"/>
    </row>
    <row r="239">
      <c r="A239" s="575"/>
      <c r="B239" s="575"/>
      <c r="C239" s="612"/>
      <c r="D239" s="575"/>
      <c r="E239" s="575"/>
      <c r="F239" s="575"/>
      <c r="G239" s="575"/>
      <c r="H239" s="575"/>
      <c r="I239" s="575"/>
      <c r="J239" s="575"/>
      <c r="K239" s="575"/>
      <c r="L239" s="575"/>
      <c r="M239" s="575"/>
      <c r="N239" s="575"/>
      <c r="O239" s="575"/>
      <c r="P239" s="575"/>
      <c r="Q239" s="575"/>
      <c r="R239" s="575"/>
      <c r="S239" s="575"/>
      <c r="T239" s="575"/>
    </row>
    <row r="240">
      <c r="A240" s="575"/>
      <c r="B240" s="575"/>
      <c r="C240" s="612"/>
      <c r="D240" s="575"/>
      <c r="E240" s="575"/>
      <c r="F240" s="575"/>
      <c r="G240" s="575"/>
      <c r="H240" s="575"/>
      <c r="I240" s="575"/>
      <c r="J240" s="575"/>
      <c r="K240" s="575"/>
      <c r="L240" s="575"/>
      <c r="M240" s="575"/>
      <c r="N240" s="575"/>
      <c r="O240" s="575"/>
      <c r="P240" s="575"/>
      <c r="Q240" s="575"/>
      <c r="R240" s="575"/>
      <c r="S240" s="575"/>
      <c r="T240" s="575"/>
    </row>
    <row r="241">
      <c r="A241" s="575"/>
      <c r="B241" s="575"/>
      <c r="C241" s="612"/>
      <c r="D241" s="575"/>
      <c r="E241" s="575"/>
      <c r="F241" s="575"/>
      <c r="G241" s="575"/>
      <c r="H241" s="575"/>
      <c r="I241" s="575"/>
      <c r="J241" s="575"/>
      <c r="K241" s="575"/>
      <c r="L241" s="575"/>
      <c r="M241" s="575"/>
      <c r="N241" s="575"/>
      <c r="O241" s="575"/>
      <c r="P241" s="575"/>
      <c r="Q241" s="575"/>
      <c r="R241" s="575"/>
      <c r="S241" s="575"/>
      <c r="T241" s="575"/>
    </row>
    <row r="242">
      <c r="A242" s="575"/>
      <c r="B242" s="575"/>
      <c r="C242" s="612"/>
      <c r="D242" s="575"/>
      <c r="E242" s="575"/>
      <c r="F242" s="575"/>
      <c r="G242" s="575"/>
      <c r="H242" s="575"/>
      <c r="I242" s="575"/>
      <c r="J242" s="575"/>
      <c r="K242" s="575"/>
      <c r="L242" s="575"/>
      <c r="M242" s="575"/>
      <c r="N242" s="575"/>
      <c r="O242" s="575"/>
      <c r="P242" s="575"/>
      <c r="Q242" s="575"/>
      <c r="R242" s="575"/>
      <c r="S242" s="575"/>
      <c r="T242" s="575"/>
    </row>
    <row r="243">
      <c r="A243" s="575"/>
      <c r="B243" s="575"/>
      <c r="C243" s="612"/>
      <c r="D243" s="575"/>
      <c r="E243" s="575"/>
      <c r="F243" s="575"/>
      <c r="G243" s="575"/>
      <c r="H243" s="575"/>
      <c r="I243" s="575"/>
      <c r="J243" s="575"/>
      <c r="K243" s="575"/>
      <c r="L243" s="575"/>
      <c r="M243" s="575"/>
      <c r="N243" s="575"/>
      <c r="O243" s="575"/>
      <c r="P243" s="575"/>
      <c r="Q243" s="575"/>
      <c r="R243" s="575"/>
      <c r="S243" s="575"/>
      <c r="T243" s="575"/>
    </row>
    <row r="244">
      <c r="A244" s="575"/>
      <c r="B244" s="575"/>
      <c r="C244" s="612"/>
      <c r="D244" s="575"/>
      <c r="E244" s="575"/>
      <c r="F244" s="575"/>
      <c r="G244" s="575"/>
      <c r="H244" s="575"/>
      <c r="I244" s="575"/>
      <c r="J244" s="575"/>
      <c r="K244" s="575"/>
      <c r="L244" s="575"/>
      <c r="M244" s="575"/>
      <c r="N244" s="575"/>
      <c r="O244" s="575"/>
      <c r="P244" s="575"/>
      <c r="Q244" s="575"/>
      <c r="R244" s="575"/>
      <c r="S244" s="575"/>
      <c r="T244" s="575"/>
    </row>
    <row r="245">
      <c r="A245" s="575"/>
      <c r="B245" s="575"/>
      <c r="C245" s="612"/>
      <c r="D245" s="575"/>
      <c r="E245" s="575"/>
      <c r="F245" s="575"/>
      <c r="G245" s="575"/>
      <c r="H245" s="575"/>
      <c r="I245" s="575"/>
      <c r="J245" s="575"/>
      <c r="K245" s="575"/>
      <c r="L245" s="575"/>
      <c r="M245" s="575"/>
      <c r="N245" s="575"/>
      <c r="O245" s="575"/>
      <c r="P245" s="575"/>
      <c r="Q245" s="575"/>
      <c r="R245" s="575"/>
      <c r="S245" s="575"/>
      <c r="T245" s="575"/>
    </row>
    <row r="246">
      <c r="A246" s="575"/>
      <c r="B246" s="575"/>
      <c r="C246" s="612"/>
      <c r="D246" s="575"/>
      <c r="E246" s="575"/>
      <c r="F246" s="575"/>
      <c r="G246" s="575"/>
      <c r="H246" s="575"/>
      <c r="I246" s="575"/>
      <c r="J246" s="575"/>
      <c r="K246" s="575"/>
      <c r="L246" s="575"/>
      <c r="M246" s="575"/>
      <c r="N246" s="575"/>
      <c r="O246" s="575"/>
      <c r="P246" s="575"/>
      <c r="Q246" s="575"/>
      <c r="R246" s="575"/>
      <c r="S246" s="575"/>
      <c r="T246" s="575"/>
    </row>
    <row r="247">
      <c r="A247" s="575"/>
      <c r="B247" s="575"/>
      <c r="C247" s="612"/>
      <c r="D247" s="575"/>
      <c r="E247" s="575"/>
      <c r="F247" s="575"/>
      <c r="G247" s="575"/>
      <c r="H247" s="575"/>
      <c r="I247" s="575"/>
      <c r="J247" s="575"/>
      <c r="K247" s="575"/>
      <c r="L247" s="575"/>
      <c r="M247" s="575"/>
      <c r="N247" s="575"/>
      <c r="O247" s="575"/>
      <c r="P247" s="575"/>
      <c r="Q247" s="575"/>
      <c r="R247" s="575"/>
      <c r="S247" s="575"/>
      <c r="T247" s="575"/>
    </row>
    <row r="248">
      <c r="A248" s="575"/>
      <c r="B248" s="575"/>
      <c r="C248" s="612"/>
      <c r="D248" s="575"/>
      <c r="E248" s="575"/>
      <c r="F248" s="575"/>
      <c r="G248" s="575"/>
      <c r="H248" s="575"/>
      <c r="I248" s="575"/>
      <c r="J248" s="575"/>
      <c r="K248" s="575"/>
      <c r="L248" s="575"/>
      <c r="M248" s="575"/>
      <c r="N248" s="575"/>
      <c r="O248" s="575"/>
      <c r="P248" s="575"/>
      <c r="Q248" s="575"/>
      <c r="R248" s="575"/>
      <c r="S248" s="575"/>
      <c r="T248" s="575"/>
    </row>
    <row r="249">
      <c r="A249" s="575"/>
      <c r="B249" s="575"/>
      <c r="C249" s="612"/>
      <c r="D249" s="575"/>
      <c r="E249" s="575"/>
      <c r="F249" s="575"/>
      <c r="G249" s="575"/>
      <c r="H249" s="575"/>
      <c r="I249" s="575"/>
      <c r="J249" s="575"/>
      <c r="K249" s="575"/>
      <c r="L249" s="575"/>
      <c r="M249" s="575"/>
      <c r="N249" s="575"/>
      <c r="O249" s="575"/>
      <c r="P249" s="575"/>
      <c r="Q249" s="575"/>
      <c r="R249" s="575"/>
      <c r="S249" s="575"/>
      <c r="T249" s="575"/>
    </row>
    <row r="250">
      <c r="A250" s="575"/>
      <c r="B250" s="575"/>
      <c r="C250" s="612"/>
      <c r="D250" s="575"/>
      <c r="E250" s="575"/>
      <c r="F250" s="575"/>
      <c r="G250" s="575"/>
      <c r="H250" s="575"/>
      <c r="I250" s="575"/>
      <c r="J250" s="575"/>
      <c r="K250" s="575"/>
      <c r="L250" s="575"/>
      <c r="M250" s="575"/>
      <c r="N250" s="575"/>
      <c r="O250" s="575"/>
      <c r="P250" s="575"/>
      <c r="Q250" s="575"/>
      <c r="R250" s="575"/>
      <c r="S250" s="575"/>
      <c r="T250" s="575"/>
    </row>
    <row r="251">
      <c r="A251" s="575"/>
      <c r="B251" s="575"/>
      <c r="C251" s="612"/>
      <c r="D251" s="575"/>
      <c r="E251" s="575"/>
      <c r="F251" s="575"/>
      <c r="G251" s="575"/>
      <c r="H251" s="575"/>
      <c r="I251" s="575"/>
      <c r="J251" s="575"/>
      <c r="K251" s="575"/>
      <c r="L251" s="575"/>
      <c r="M251" s="575"/>
      <c r="N251" s="575"/>
      <c r="O251" s="575"/>
      <c r="P251" s="575"/>
      <c r="Q251" s="575"/>
      <c r="R251" s="575"/>
      <c r="S251" s="575"/>
      <c r="T251" s="575"/>
    </row>
    <row r="252">
      <c r="A252" s="575"/>
      <c r="B252" s="575"/>
      <c r="C252" s="612"/>
      <c r="D252" s="575"/>
      <c r="E252" s="575"/>
      <c r="F252" s="575"/>
      <c r="G252" s="575"/>
      <c r="H252" s="575"/>
      <c r="I252" s="575"/>
      <c r="J252" s="575"/>
      <c r="K252" s="575"/>
      <c r="L252" s="575"/>
      <c r="M252" s="575"/>
      <c r="N252" s="575"/>
      <c r="O252" s="575"/>
      <c r="P252" s="575"/>
      <c r="Q252" s="575"/>
      <c r="R252" s="575"/>
      <c r="S252" s="575"/>
      <c r="T252" s="575"/>
    </row>
    <row r="253">
      <c r="A253" s="575"/>
      <c r="B253" s="575"/>
      <c r="C253" s="612"/>
      <c r="D253" s="575"/>
      <c r="E253" s="575"/>
      <c r="F253" s="575"/>
      <c r="G253" s="575"/>
      <c r="H253" s="575"/>
      <c r="I253" s="575"/>
      <c r="J253" s="575"/>
      <c r="K253" s="575"/>
      <c r="L253" s="575"/>
      <c r="M253" s="575"/>
      <c r="N253" s="575"/>
      <c r="O253" s="575"/>
      <c r="P253" s="575"/>
      <c r="Q253" s="575"/>
      <c r="R253" s="575"/>
      <c r="S253" s="575"/>
      <c r="T253" s="575"/>
    </row>
    <row r="254">
      <c r="A254" s="575"/>
      <c r="B254" s="575"/>
      <c r="C254" s="612"/>
      <c r="D254" s="575"/>
      <c r="E254" s="575"/>
      <c r="F254" s="575"/>
      <c r="G254" s="575"/>
      <c r="H254" s="575"/>
      <c r="I254" s="575"/>
      <c r="J254" s="575"/>
      <c r="K254" s="575"/>
      <c r="L254" s="575"/>
      <c r="M254" s="575"/>
      <c r="N254" s="575"/>
      <c r="O254" s="575"/>
      <c r="P254" s="575"/>
      <c r="Q254" s="575"/>
      <c r="R254" s="575"/>
      <c r="S254" s="575"/>
      <c r="T254" s="575"/>
    </row>
    <row r="255">
      <c r="A255" s="575"/>
      <c r="B255" s="575"/>
      <c r="C255" s="612"/>
      <c r="D255" s="575"/>
      <c r="E255" s="575"/>
      <c r="F255" s="575"/>
      <c r="G255" s="575"/>
      <c r="H255" s="575"/>
      <c r="I255" s="575"/>
      <c r="J255" s="575"/>
      <c r="K255" s="575"/>
      <c r="L255" s="575"/>
      <c r="M255" s="575"/>
      <c r="N255" s="575"/>
      <c r="O255" s="575"/>
      <c r="P255" s="575"/>
      <c r="Q255" s="575"/>
      <c r="R255" s="575"/>
      <c r="S255" s="575"/>
      <c r="T255" s="575"/>
    </row>
    <row r="256">
      <c r="A256" s="575"/>
      <c r="B256" s="575"/>
      <c r="C256" s="612"/>
      <c r="D256" s="575"/>
      <c r="E256" s="575"/>
      <c r="F256" s="575"/>
      <c r="G256" s="575"/>
      <c r="H256" s="575"/>
      <c r="I256" s="575"/>
      <c r="J256" s="575"/>
      <c r="K256" s="575"/>
      <c r="L256" s="575"/>
      <c r="M256" s="575"/>
      <c r="N256" s="575"/>
      <c r="O256" s="575"/>
      <c r="P256" s="575"/>
      <c r="Q256" s="575"/>
      <c r="R256" s="575"/>
      <c r="S256" s="575"/>
      <c r="T256" s="575"/>
    </row>
    <row r="257">
      <c r="A257" s="575"/>
      <c r="B257" s="575"/>
      <c r="C257" s="612"/>
      <c r="D257" s="575"/>
      <c r="E257" s="575"/>
      <c r="F257" s="575"/>
      <c r="G257" s="575"/>
      <c r="H257" s="575"/>
      <c r="I257" s="575"/>
      <c r="J257" s="575"/>
      <c r="K257" s="575"/>
      <c r="L257" s="575"/>
      <c r="M257" s="575"/>
      <c r="N257" s="575"/>
      <c r="O257" s="575"/>
      <c r="P257" s="575"/>
      <c r="Q257" s="575"/>
      <c r="R257" s="575"/>
      <c r="S257" s="575"/>
      <c r="T257" s="575"/>
    </row>
    <row r="258">
      <c r="A258" s="575"/>
      <c r="B258" s="575"/>
      <c r="C258" s="612"/>
      <c r="D258" s="575"/>
      <c r="E258" s="575"/>
      <c r="F258" s="575"/>
      <c r="G258" s="575"/>
      <c r="H258" s="575"/>
      <c r="I258" s="575"/>
      <c r="J258" s="575"/>
      <c r="K258" s="575"/>
      <c r="L258" s="575"/>
      <c r="M258" s="575"/>
      <c r="N258" s="575"/>
      <c r="O258" s="575"/>
      <c r="P258" s="575"/>
      <c r="Q258" s="575"/>
      <c r="R258" s="575"/>
      <c r="S258" s="575"/>
      <c r="T258" s="575"/>
    </row>
    <row r="259">
      <c r="A259" s="575"/>
      <c r="B259" s="575"/>
      <c r="C259" s="612"/>
      <c r="D259" s="575"/>
      <c r="E259" s="575"/>
      <c r="F259" s="575"/>
      <c r="G259" s="575"/>
      <c r="H259" s="575"/>
      <c r="I259" s="575"/>
      <c r="J259" s="575"/>
      <c r="K259" s="575"/>
      <c r="L259" s="575"/>
      <c r="M259" s="575"/>
      <c r="N259" s="575"/>
      <c r="O259" s="575"/>
      <c r="P259" s="575"/>
      <c r="Q259" s="575"/>
      <c r="R259" s="575"/>
      <c r="S259" s="575"/>
      <c r="T259" s="575"/>
    </row>
    <row r="260">
      <c r="A260" s="575"/>
      <c r="B260" s="575"/>
      <c r="C260" s="612"/>
      <c r="D260" s="575"/>
      <c r="E260" s="575"/>
      <c r="F260" s="575"/>
      <c r="G260" s="575"/>
      <c r="H260" s="575"/>
      <c r="I260" s="575"/>
      <c r="J260" s="575"/>
      <c r="K260" s="575"/>
      <c r="L260" s="575"/>
      <c r="M260" s="575"/>
      <c r="N260" s="575"/>
      <c r="O260" s="575"/>
      <c r="P260" s="575"/>
      <c r="Q260" s="575"/>
      <c r="R260" s="575"/>
      <c r="S260" s="575"/>
      <c r="T260" s="575"/>
    </row>
    <row r="261">
      <c r="A261" s="575"/>
      <c r="B261" s="575"/>
      <c r="C261" s="612"/>
      <c r="D261" s="575"/>
      <c r="E261" s="575"/>
      <c r="F261" s="575"/>
      <c r="G261" s="575"/>
      <c r="H261" s="575"/>
      <c r="I261" s="575"/>
      <c r="J261" s="575"/>
      <c r="K261" s="575"/>
      <c r="L261" s="575"/>
      <c r="M261" s="575"/>
      <c r="N261" s="575"/>
      <c r="O261" s="575"/>
      <c r="P261" s="575"/>
      <c r="Q261" s="575"/>
      <c r="R261" s="575"/>
      <c r="S261" s="575"/>
      <c r="T261" s="575"/>
    </row>
    <row r="262">
      <c r="A262" s="575"/>
      <c r="B262" s="575"/>
      <c r="C262" s="612"/>
      <c r="D262" s="575"/>
      <c r="E262" s="575"/>
      <c r="F262" s="575"/>
      <c r="G262" s="575"/>
      <c r="H262" s="575"/>
      <c r="I262" s="575"/>
      <c r="J262" s="575"/>
      <c r="K262" s="575"/>
      <c r="L262" s="575"/>
      <c r="M262" s="575"/>
      <c r="N262" s="575"/>
      <c r="O262" s="575"/>
      <c r="P262" s="575"/>
      <c r="Q262" s="575"/>
      <c r="R262" s="575"/>
      <c r="S262" s="575"/>
      <c r="T262" s="575"/>
    </row>
    <row r="263">
      <c r="A263" s="575"/>
      <c r="B263" s="575"/>
      <c r="C263" s="612"/>
      <c r="D263" s="575"/>
      <c r="E263" s="575"/>
      <c r="F263" s="575"/>
      <c r="G263" s="575"/>
      <c r="H263" s="575"/>
      <c r="I263" s="575"/>
      <c r="J263" s="575"/>
      <c r="K263" s="575"/>
      <c r="L263" s="575"/>
      <c r="M263" s="575"/>
      <c r="N263" s="575"/>
      <c r="O263" s="575"/>
      <c r="P263" s="575"/>
      <c r="Q263" s="575"/>
      <c r="R263" s="575"/>
      <c r="S263" s="575"/>
      <c r="T263" s="575"/>
    </row>
    <row r="264">
      <c r="A264" s="575"/>
      <c r="B264" s="575"/>
      <c r="C264" s="612"/>
      <c r="D264" s="575"/>
      <c r="E264" s="575"/>
      <c r="F264" s="575"/>
      <c r="G264" s="575"/>
      <c r="H264" s="575"/>
      <c r="I264" s="575"/>
      <c r="J264" s="575"/>
      <c r="K264" s="575"/>
      <c r="L264" s="575"/>
      <c r="M264" s="575"/>
      <c r="N264" s="575"/>
      <c r="O264" s="575"/>
      <c r="P264" s="575"/>
      <c r="Q264" s="575"/>
      <c r="R264" s="575"/>
      <c r="S264" s="575"/>
      <c r="T264" s="575"/>
    </row>
    <row r="265">
      <c r="A265" s="575"/>
      <c r="B265" s="575"/>
      <c r="C265" s="612"/>
      <c r="D265" s="575"/>
      <c r="E265" s="575"/>
      <c r="F265" s="575"/>
      <c r="G265" s="575"/>
      <c r="H265" s="575"/>
      <c r="I265" s="575"/>
      <c r="J265" s="575"/>
      <c r="K265" s="575"/>
      <c r="L265" s="575"/>
      <c r="M265" s="575"/>
      <c r="N265" s="575"/>
      <c r="O265" s="575"/>
      <c r="P265" s="575"/>
      <c r="Q265" s="575"/>
      <c r="R265" s="575"/>
      <c r="S265" s="575"/>
      <c r="T265" s="575"/>
    </row>
    <row r="266">
      <c r="A266" s="575"/>
      <c r="B266" s="575"/>
      <c r="C266" s="612"/>
      <c r="D266" s="575"/>
      <c r="E266" s="575"/>
      <c r="F266" s="575"/>
      <c r="G266" s="575"/>
      <c r="H266" s="575"/>
      <c r="I266" s="575"/>
      <c r="J266" s="575"/>
      <c r="K266" s="575"/>
      <c r="L266" s="575"/>
      <c r="M266" s="575"/>
      <c r="N266" s="575"/>
      <c r="O266" s="575"/>
      <c r="P266" s="575"/>
      <c r="Q266" s="575"/>
      <c r="R266" s="575"/>
      <c r="S266" s="575"/>
      <c r="T266" s="575"/>
    </row>
    <row r="267">
      <c r="A267" s="575"/>
      <c r="B267" s="575"/>
      <c r="C267" s="612"/>
      <c r="D267" s="575"/>
      <c r="E267" s="575"/>
      <c r="F267" s="575"/>
      <c r="G267" s="575"/>
      <c r="H267" s="575"/>
      <c r="I267" s="575"/>
      <c r="J267" s="575"/>
      <c r="K267" s="575"/>
      <c r="L267" s="575"/>
      <c r="M267" s="575"/>
      <c r="N267" s="575"/>
      <c r="O267" s="575"/>
      <c r="P267" s="575"/>
      <c r="Q267" s="575"/>
      <c r="R267" s="575"/>
      <c r="S267" s="575"/>
      <c r="T267" s="575"/>
    </row>
    <row r="268">
      <c r="A268" s="575"/>
      <c r="B268" s="575"/>
      <c r="C268" s="612"/>
      <c r="D268" s="575"/>
      <c r="E268" s="575"/>
      <c r="F268" s="575"/>
      <c r="G268" s="575"/>
      <c r="H268" s="575"/>
      <c r="I268" s="575"/>
      <c r="J268" s="575"/>
      <c r="K268" s="575"/>
      <c r="L268" s="575"/>
      <c r="M268" s="575"/>
      <c r="N268" s="575"/>
      <c r="O268" s="575"/>
      <c r="P268" s="575"/>
      <c r="Q268" s="575"/>
      <c r="R268" s="575"/>
      <c r="S268" s="575"/>
      <c r="T268" s="575"/>
    </row>
    <row r="269">
      <c r="A269" s="575"/>
      <c r="B269" s="575"/>
      <c r="C269" s="612"/>
      <c r="D269" s="575"/>
      <c r="E269" s="575"/>
      <c r="F269" s="575"/>
      <c r="G269" s="575"/>
      <c r="H269" s="575"/>
      <c r="I269" s="575"/>
      <c r="J269" s="575"/>
      <c r="K269" s="575"/>
      <c r="L269" s="575"/>
      <c r="M269" s="575"/>
      <c r="N269" s="575"/>
      <c r="O269" s="575"/>
      <c r="P269" s="575"/>
      <c r="Q269" s="575"/>
      <c r="R269" s="575"/>
      <c r="S269" s="575"/>
      <c r="T269" s="575"/>
    </row>
    <row r="270">
      <c r="A270" s="575"/>
      <c r="B270" s="575"/>
      <c r="C270" s="612"/>
      <c r="D270" s="575"/>
      <c r="E270" s="575"/>
      <c r="F270" s="575"/>
      <c r="G270" s="575"/>
      <c r="H270" s="575"/>
      <c r="I270" s="575"/>
      <c r="J270" s="575"/>
      <c r="K270" s="575"/>
      <c r="L270" s="575"/>
      <c r="M270" s="575"/>
      <c r="N270" s="575"/>
      <c r="O270" s="575"/>
      <c r="P270" s="575"/>
      <c r="Q270" s="575"/>
      <c r="R270" s="575"/>
      <c r="S270" s="575"/>
      <c r="T270" s="575"/>
    </row>
    <row r="271">
      <c r="A271" s="575"/>
      <c r="B271" s="575"/>
      <c r="C271" s="612"/>
      <c r="D271" s="575"/>
      <c r="E271" s="575"/>
      <c r="F271" s="575"/>
      <c r="G271" s="575"/>
      <c r="H271" s="575"/>
      <c r="I271" s="575"/>
      <c r="J271" s="575"/>
      <c r="K271" s="575"/>
      <c r="L271" s="575"/>
      <c r="M271" s="575"/>
      <c r="N271" s="575"/>
      <c r="O271" s="575"/>
      <c r="P271" s="575"/>
      <c r="Q271" s="575"/>
      <c r="R271" s="575"/>
      <c r="S271" s="575"/>
      <c r="T271" s="575"/>
    </row>
    <row r="272">
      <c r="A272" s="575"/>
      <c r="B272" s="575"/>
      <c r="C272" s="612"/>
      <c r="D272" s="575"/>
      <c r="E272" s="575"/>
      <c r="F272" s="575"/>
      <c r="G272" s="575"/>
      <c r="H272" s="575"/>
      <c r="I272" s="575"/>
      <c r="J272" s="575"/>
      <c r="K272" s="575"/>
      <c r="L272" s="575"/>
      <c r="M272" s="575"/>
      <c r="N272" s="575"/>
      <c r="O272" s="575"/>
      <c r="P272" s="575"/>
      <c r="Q272" s="575"/>
      <c r="R272" s="575"/>
      <c r="S272" s="575"/>
      <c r="T272" s="575"/>
    </row>
    <row r="273">
      <c r="A273" s="575"/>
      <c r="B273" s="575"/>
      <c r="C273" s="612"/>
      <c r="D273" s="575"/>
      <c r="E273" s="575"/>
      <c r="F273" s="575"/>
      <c r="G273" s="575"/>
      <c r="H273" s="575"/>
      <c r="I273" s="575"/>
      <c r="J273" s="575"/>
      <c r="K273" s="575"/>
      <c r="L273" s="575"/>
      <c r="M273" s="575"/>
      <c r="N273" s="575"/>
      <c r="O273" s="575"/>
      <c r="P273" s="575"/>
      <c r="Q273" s="575"/>
      <c r="R273" s="575"/>
      <c r="S273" s="575"/>
      <c r="T273" s="575"/>
    </row>
    <row r="274">
      <c r="A274" s="575"/>
      <c r="B274" s="575"/>
      <c r="C274" s="612"/>
      <c r="D274" s="575"/>
      <c r="E274" s="575"/>
      <c r="F274" s="575"/>
      <c r="G274" s="575"/>
      <c r="H274" s="575"/>
      <c r="I274" s="575"/>
      <c r="J274" s="575"/>
      <c r="K274" s="575"/>
      <c r="L274" s="575"/>
      <c r="M274" s="575"/>
      <c r="N274" s="575"/>
      <c r="O274" s="575"/>
      <c r="P274" s="575"/>
      <c r="Q274" s="575"/>
      <c r="R274" s="575"/>
      <c r="S274" s="575"/>
      <c r="T274" s="575"/>
    </row>
    <row r="275">
      <c r="A275" s="575"/>
      <c r="B275" s="575"/>
      <c r="C275" s="612"/>
      <c r="D275" s="575"/>
      <c r="E275" s="575"/>
      <c r="F275" s="575"/>
      <c r="G275" s="575"/>
      <c r="H275" s="575"/>
      <c r="I275" s="575"/>
      <c r="J275" s="575"/>
      <c r="K275" s="575"/>
      <c r="L275" s="575"/>
      <c r="M275" s="575"/>
      <c r="N275" s="575"/>
      <c r="O275" s="575"/>
      <c r="P275" s="575"/>
      <c r="Q275" s="575"/>
      <c r="R275" s="575"/>
      <c r="S275" s="575"/>
      <c r="T275" s="575"/>
    </row>
    <row r="276">
      <c r="A276" s="575"/>
      <c r="B276" s="575"/>
      <c r="C276" s="612"/>
      <c r="D276" s="575"/>
      <c r="E276" s="575"/>
      <c r="F276" s="575"/>
      <c r="G276" s="575"/>
      <c r="H276" s="575"/>
      <c r="I276" s="575"/>
      <c r="J276" s="575"/>
      <c r="K276" s="575"/>
      <c r="L276" s="575"/>
      <c r="M276" s="575"/>
      <c r="N276" s="575"/>
      <c r="O276" s="575"/>
      <c r="P276" s="575"/>
      <c r="Q276" s="575"/>
      <c r="R276" s="575"/>
      <c r="S276" s="575"/>
      <c r="T276" s="575"/>
    </row>
    <row r="277">
      <c r="A277" s="575"/>
      <c r="B277" s="575"/>
      <c r="C277" s="612"/>
      <c r="D277" s="575"/>
      <c r="E277" s="575"/>
      <c r="F277" s="575"/>
      <c r="G277" s="575"/>
      <c r="H277" s="575"/>
      <c r="I277" s="575"/>
      <c r="J277" s="575"/>
      <c r="K277" s="575"/>
      <c r="L277" s="575"/>
      <c r="M277" s="575"/>
      <c r="N277" s="575"/>
      <c r="O277" s="575"/>
      <c r="P277" s="575"/>
      <c r="Q277" s="575"/>
      <c r="R277" s="575"/>
      <c r="S277" s="575"/>
      <c r="T277" s="575"/>
    </row>
    <row r="278">
      <c r="A278" s="575"/>
      <c r="B278" s="575"/>
      <c r="C278" s="612"/>
      <c r="D278" s="575"/>
      <c r="E278" s="575"/>
      <c r="F278" s="575"/>
      <c r="G278" s="575"/>
      <c r="H278" s="575"/>
      <c r="I278" s="575"/>
      <c r="J278" s="575"/>
      <c r="K278" s="575"/>
      <c r="L278" s="575"/>
      <c r="M278" s="575"/>
      <c r="N278" s="575"/>
      <c r="O278" s="575"/>
      <c r="P278" s="575"/>
      <c r="Q278" s="575"/>
      <c r="R278" s="575"/>
      <c r="S278" s="575"/>
      <c r="T278" s="575"/>
    </row>
    <row r="279">
      <c r="A279" s="575"/>
      <c r="B279" s="575"/>
      <c r="C279" s="612"/>
      <c r="D279" s="575"/>
      <c r="E279" s="575"/>
      <c r="F279" s="575"/>
      <c r="G279" s="575"/>
      <c r="H279" s="575"/>
      <c r="I279" s="575"/>
      <c r="J279" s="575"/>
      <c r="K279" s="575"/>
      <c r="L279" s="575"/>
      <c r="M279" s="575"/>
      <c r="N279" s="575"/>
      <c r="O279" s="575"/>
      <c r="P279" s="575"/>
      <c r="Q279" s="575"/>
      <c r="R279" s="575"/>
      <c r="S279" s="575"/>
      <c r="T279" s="575"/>
    </row>
    <row r="280">
      <c r="A280" s="575"/>
      <c r="B280" s="575"/>
      <c r="C280" s="612"/>
      <c r="D280" s="575"/>
      <c r="E280" s="575"/>
      <c r="F280" s="575"/>
      <c r="G280" s="575"/>
      <c r="H280" s="575"/>
      <c r="I280" s="575"/>
      <c r="J280" s="575"/>
      <c r="K280" s="575"/>
      <c r="L280" s="575"/>
      <c r="M280" s="575"/>
      <c r="N280" s="575"/>
      <c r="O280" s="575"/>
      <c r="P280" s="575"/>
      <c r="Q280" s="575"/>
      <c r="R280" s="575"/>
      <c r="S280" s="575"/>
      <c r="T280" s="575"/>
    </row>
    <row r="281">
      <c r="A281" s="575"/>
      <c r="B281" s="575"/>
      <c r="C281" s="612"/>
      <c r="D281" s="575"/>
      <c r="E281" s="575"/>
      <c r="F281" s="575"/>
      <c r="G281" s="575"/>
      <c r="H281" s="575"/>
      <c r="I281" s="575"/>
      <c r="J281" s="575"/>
      <c r="K281" s="575"/>
      <c r="L281" s="575"/>
      <c r="M281" s="575"/>
      <c r="N281" s="575"/>
      <c r="O281" s="575"/>
      <c r="P281" s="575"/>
      <c r="Q281" s="575"/>
      <c r="R281" s="575"/>
      <c r="S281" s="575"/>
      <c r="T281" s="575"/>
    </row>
    <row r="282">
      <c r="A282" s="575"/>
      <c r="B282" s="575"/>
      <c r="C282" s="612"/>
      <c r="D282" s="575"/>
      <c r="E282" s="575"/>
      <c r="F282" s="575"/>
      <c r="G282" s="575"/>
      <c r="H282" s="575"/>
      <c r="I282" s="575"/>
      <c r="J282" s="575"/>
      <c r="K282" s="575"/>
      <c r="L282" s="575"/>
      <c r="M282" s="575"/>
      <c r="N282" s="575"/>
      <c r="O282" s="575"/>
      <c r="P282" s="575"/>
      <c r="Q282" s="575"/>
      <c r="R282" s="575"/>
      <c r="S282" s="575"/>
      <c r="T282" s="575"/>
    </row>
    <row r="283">
      <c r="A283" s="575"/>
      <c r="B283" s="575"/>
      <c r="C283" s="612"/>
      <c r="D283" s="575"/>
      <c r="E283" s="575"/>
      <c r="F283" s="575"/>
      <c r="G283" s="575"/>
      <c r="H283" s="575"/>
      <c r="I283" s="575"/>
      <c r="J283" s="575"/>
      <c r="K283" s="575"/>
      <c r="L283" s="575"/>
      <c r="M283" s="575"/>
      <c r="N283" s="575"/>
      <c r="O283" s="575"/>
      <c r="P283" s="575"/>
      <c r="Q283" s="575"/>
      <c r="R283" s="575"/>
      <c r="S283" s="575"/>
      <c r="T283" s="575"/>
    </row>
    <row r="284">
      <c r="A284" s="575"/>
      <c r="B284" s="575"/>
      <c r="C284" s="612"/>
      <c r="D284" s="575"/>
      <c r="E284" s="575"/>
      <c r="F284" s="575"/>
      <c r="G284" s="575"/>
      <c r="H284" s="575"/>
      <c r="I284" s="575"/>
      <c r="J284" s="575"/>
      <c r="K284" s="575"/>
      <c r="L284" s="575"/>
      <c r="M284" s="575"/>
      <c r="N284" s="575"/>
      <c r="O284" s="575"/>
      <c r="P284" s="575"/>
      <c r="Q284" s="575"/>
      <c r="R284" s="575"/>
      <c r="S284" s="575"/>
      <c r="T284" s="575"/>
    </row>
    <row r="285">
      <c r="A285" s="575"/>
      <c r="B285" s="575"/>
      <c r="C285" s="612"/>
      <c r="D285" s="575"/>
      <c r="E285" s="575"/>
      <c r="F285" s="575"/>
      <c r="G285" s="575"/>
      <c r="H285" s="575"/>
      <c r="I285" s="575"/>
      <c r="J285" s="575"/>
      <c r="K285" s="575"/>
      <c r="L285" s="575"/>
      <c r="M285" s="575"/>
      <c r="N285" s="575"/>
      <c r="O285" s="575"/>
      <c r="P285" s="575"/>
      <c r="Q285" s="575"/>
      <c r="R285" s="575"/>
      <c r="S285" s="575"/>
      <c r="T285" s="575"/>
    </row>
    <row r="286">
      <c r="A286" s="575"/>
      <c r="B286" s="575"/>
      <c r="C286" s="612"/>
      <c r="D286" s="575"/>
      <c r="E286" s="575"/>
      <c r="F286" s="575"/>
      <c r="G286" s="575"/>
      <c r="H286" s="575"/>
      <c r="I286" s="575"/>
      <c r="J286" s="575"/>
      <c r="K286" s="575"/>
      <c r="L286" s="575"/>
      <c r="M286" s="575"/>
      <c r="N286" s="575"/>
      <c r="O286" s="575"/>
      <c r="P286" s="575"/>
      <c r="Q286" s="575"/>
      <c r="R286" s="575"/>
      <c r="S286" s="575"/>
      <c r="T286" s="575"/>
    </row>
    <row r="287">
      <c r="A287" s="575"/>
      <c r="B287" s="575"/>
      <c r="C287" s="612"/>
      <c r="D287" s="575"/>
      <c r="E287" s="575"/>
      <c r="F287" s="575"/>
      <c r="G287" s="575"/>
      <c r="H287" s="575"/>
      <c r="I287" s="575"/>
      <c r="J287" s="575"/>
      <c r="K287" s="575"/>
      <c r="L287" s="575"/>
      <c r="M287" s="575"/>
      <c r="N287" s="575"/>
      <c r="O287" s="575"/>
      <c r="P287" s="575"/>
      <c r="Q287" s="575"/>
      <c r="R287" s="575"/>
      <c r="S287" s="575"/>
      <c r="T287" s="575"/>
    </row>
    <row r="288">
      <c r="A288" s="575"/>
      <c r="B288" s="575"/>
      <c r="C288" s="612"/>
      <c r="D288" s="575"/>
      <c r="E288" s="575"/>
      <c r="F288" s="575"/>
      <c r="G288" s="575"/>
      <c r="H288" s="575"/>
      <c r="I288" s="575"/>
      <c r="J288" s="575"/>
      <c r="K288" s="575"/>
      <c r="L288" s="575"/>
      <c r="M288" s="575"/>
      <c r="N288" s="575"/>
      <c r="O288" s="575"/>
      <c r="P288" s="575"/>
      <c r="Q288" s="575"/>
      <c r="R288" s="575"/>
      <c r="S288" s="575"/>
      <c r="T288" s="575"/>
    </row>
    <row r="289">
      <c r="A289" s="575"/>
      <c r="B289" s="575"/>
      <c r="C289" s="612"/>
      <c r="D289" s="575"/>
      <c r="E289" s="575"/>
      <c r="F289" s="575"/>
      <c r="G289" s="575"/>
      <c r="H289" s="575"/>
      <c r="I289" s="575"/>
      <c r="J289" s="575"/>
      <c r="K289" s="575"/>
      <c r="L289" s="575"/>
      <c r="M289" s="575"/>
      <c r="N289" s="575"/>
      <c r="O289" s="575"/>
      <c r="P289" s="575"/>
      <c r="Q289" s="575"/>
      <c r="R289" s="575"/>
      <c r="S289" s="575"/>
      <c r="T289" s="575"/>
    </row>
    <row r="290">
      <c r="A290" s="575"/>
      <c r="B290" s="575"/>
      <c r="C290" s="612"/>
      <c r="D290" s="575"/>
      <c r="E290" s="575"/>
      <c r="F290" s="575"/>
      <c r="G290" s="575"/>
      <c r="H290" s="575"/>
      <c r="I290" s="575"/>
      <c r="J290" s="575"/>
      <c r="K290" s="575"/>
      <c r="L290" s="575"/>
      <c r="M290" s="575"/>
      <c r="N290" s="575"/>
      <c r="O290" s="575"/>
      <c r="P290" s="575"/>
      <c r="Q290" s="575"/>
      <c r="R290" s="575"/>
      <c r="S290" s="575"/>
      <c r="T290" s="575"/>
    </row>
    <row r="291">
      <c r="A291" s="575"/>
      <c r="B291" s="575"/>
      <c r="C291" s="612"/>
      <c r="D291" s="575"/>
      <c r="E291" s="575"/>
      <c r="F291" s="575"/>
      <c r="G291" s="575"/>
      <c r="H291" s="575"/>
      <c r="I291" s="575"/>
      <c r="J291" s="575"/>
      <c r="K291" s="575"/>
      <c r="L291" s="575"/>
      <c r="M291" s="575"/>
      <c r="N291" s="575"/>
      <c r="O291" s="575"/>
      <c r="P291" s="575"/>
      <c r="Q291" s="575"/>
      <c r="R291" s="575"/>
      <c r="S291" s="575"/>
      <c r="T291" s="575"/>
    </row>
    <row r="292">
      <c r="A292" s="575"/>
      <c r="B292" s="575"/>
      <c r="C292" s="612"/>
      <c r="D292" s="575"/>
      <c r="E292" s="575"/>
      <c r="F292" s="575"/>
      <c r="G292" s="575"/>
      <c r="H292" s="575"/>
      <c r="I292" s="575"/>
      <c r="J292" s="575"/>
      <c r="K292" s="575"/>
      <c r="L292" s="575"/>
      <c r="M292" s="575"/>
      <c r="N292" s="575"/>
      <c r="O292" s="575"/>
      <c r="P292" s="575"/>
      <c r="Q292" s="575"/>
      <c r="R292" s="575"/>
      <c r="S292" s="575"/>
      <c r="T292" s="575"/>
    </row>
    <row r="293">
      <c r="A293" s="575"/>
      <c r="B293" s="575"/>
      <c r="C293" s="612"/>
      <c r="D293" s="575"/>
      <c r="E293" s="575"/>
      <c r="F293" s="575"/>
      <c r="G293" s="575"/>
      <c r="H293" s="575"/>
      <c r="I293" s="575"/>
      <c r="J293" s="575"/>
      <c r="K293" s="575"/>
      <c r="L293" s="575"/>
      <c r="M293" s="575"/>
      <c r="N293" s="575"/>
      <c r="O293" s="575"/>
      <c r="P293" s="575"/>
      <c r="Q293" s="575"/>
      <c r="R293" s="575"/>
      <c r="S293" s="575"/>
      <c r="T293" s="575"/>
    </row>
    <row r="294">
      <c r="A294" s="575"/>
      <c r="B294" s="575"/>
      <c r="C294" s="612"/>
      <c r="D294" s="575"/>
      <c r="E294" s="575"/>
      <c r="F294" s="575"/>
      <c r="G294" s="575"/>
      <c r="H294" s="575"/>
      <c r="I294" s="575"/>
      <c r="J294" s="575"/>
      <c r="K294" s="575"/>
      <c r="L294" s="575"/>
      <c r="M294" s="575"/>
      <c r="N294" s="575"/>
      <c r="O294" s="575"/>
      <c r="P294" s="575"/>
      <c r="Q294" s="575"/>
      <c r="R294" s="575"/>
      <c r="S294" s="575"/>
      <c r="T294" s="575"/>
    </row>
    <row r="295">
      <c r="A295" s="575"/>
      <c r="B295" s="575"/>
      <c r="C295" s="612"/>
      <c r="D295" s="575"/>
      <c r="E295" s="575"/>
      <c r="F295" s="575"/>
      <c r="G295" s="575"/>
      <c r="H295" s="575"/>
      <c r="I295" s="575"/>
      <c r="J295" s="575"/>
      <c r="K295" s="575"/>
      <c r="L295" s="575"/>
      <c r="M295" s="575"/>
      <c r="N295" s="575"/>
      <c r="O295" s="575"/>
      <c r="P295" s="575"/>
      <c r="Q295" s="575"/>
      <c r="R295" s="575"/>
      <c r="S295" s="575"/>
      <c r="T295" s="575"/>
    </row>
    <row r="296">
      <c r="A296" s="575"/>
      <c r="B296" s="575"/>
      <c r="C296" s="612"/>
      <c r="D296" s="575"/>
      <c r="E296" s="575"/>
      <c r="F296" s="575"/>
      <c r="G296" s="575"/>
      <c r="H296" s="575"/>
      <c r="I296" s="575"/>
      <c r="J296" s="575"/>
      <c r="K296" s="575"/>
      <c r="L296" s="575"/>
      <c r="M296" s="575"/>
      <c r="N296" s="575"/>
      <c r="O296" s="575"/>
      <c r="P296" s="575"/>
      <c r="Q296" s="575"/>
      <c r="R296" s="575"/>
      <c r="S296" s="575"/>
      <c r="T296" s="575"/>
    </row>
    <row r="297">
      <c r="A297" s="575"/>
      <c r="B297" s="575"/>
      <c r="C297" s="612"/>
      <c r="D297" s="575"/>
      <c r="E297" s="575"/>
      <c r="F297" s="575"/>
      <c r="G297" s="575"/>
      <c r="H297" s="575"/>
      <c r="I297" s="575"/>
      <c r="J297" s="575"/>
      <c r="K297" s="575"/>
      <c r="L297" s="575"/>
      <c r="M297" s="575"/>
      <c r="N297" s="575"/>
      <c r="O297" s="575"/>
      <c r="P297" s="575"/>
      <c r="Q297" s="575"/>
      <c r="R297" s="575"/>
      <c r="S297" s="575"/>
      <c r="T297" s="575"/>
    </row>
    <row r="298">
      <c r="A298" s="575"/>
      <c r="B298" s="575"/>
      <c r="C298" s="612"/>
      <c r="D298" s="575"/>
      <c r="E298" s="575"/>
      <c r="F298" s="575"/>
      <c r="G298" s="575"/>
      <c r="H298" s="575"/>
      <c r="I298" s="575"/>
      <c r="J298" s="575"/>
      <c r="K298" s="575"/>
      <c r="L298" s="575"/>
      <c r="M298" s="575"/>
      <c r="N298" s="575"/>
      <c r="O298" s="575"/>
      <c r="P298" s="575"/>
      <c r="Q298" s="575"/>
      <c r="R298" s="575"/>
      <c r="S298" s="575"/>
      <c r="T298" s="575"/>
    </row>
    <row r="299">
      <c r="A299" s="575"/>
      <c r="B299" s="575"/>
      <c r="C299" s="612"/>
      <c r="D299" s="575"/>
      <c r="E299" s="575"/>
      <c r="F299" s="575"/>
      <c r="G299" s="575"/>
      <c r="H299" s="575"/>
      <c r="I299" s="575"/>
      <c r="J299" s="575"/>
      <c r="K299" s="575"/>
      <c r="L299" s="575"/>
      <c r="M299" s="575"/>
      <c r="N299" s="575"/>
      <c r="O299" s="575"/>
      <c r="P299" s="575"/>
      <c r="Q299" s="575"/>
      <c r="R299" s="575"/>
      <c r="S299" s="575"/>
      <c r="T299" s="575"/>
    </row>
    <row r="300">
      <c r="A300" s="575"/>
      <c r="B300" s="575"/>
      <c r="C300" s="612"/>
      <c r="D300" s="575"/>
      <c r="E300" s="575"/>
      <c r="F300" s="575"/>
      <c r="G300" s="575"/>
      <c r="H300" s="575"/>
      <c r="I300" s="575"/>
      <c r="J300" s="575"/>
      <c r="K300" s="575"/>
      <c r="L300" s="575"/>
      <c r="M300" s="575"/>
      <c r="N300" s="575"/>
      <c r="O300" s="575"/>
      <c r="P300" s="575"/>
      <c r="Q300" s="575"/>
      <c r="R300" s="575"/>
      <c r="S300" s="575"/>
      <c r="T300" s="575"/>
    </row>
    <row r="301">
      <c r="A301" s="575"/>
      <c r="B301" s="575"/>
      <c r="C301" s="612"/>
      <c r="D301" s="575"/>
      <c r="E301" s="575"/>
      <c r="F301" s="575"/>
      <c r="G301" s="575"/>
      <c r="H301" s="575"/>
      <c r="I301" s="575"/>
      <c r="J301" s="575"/>
      <c r="K301" s="575"/>
      <c r="L301" s="575"/>
      <c r="M301" s="575"/>
      <c r="N301" s="575"/>
      <c r="O301" s="575"/>
      <c r="P301" s="575"/>
      <c r="Q301" s="575"/>
      <c r="R301" s="575"/>
      <c r="S301" s="575"/>
      <c r="T301" s="575"/>
    </row>
    <row r="302">
      <c r="A302" s="575"/>
      <c r="B302" s="575"/>
      <c r="C302" s="612"/>
      <c r="D302" s="575"/>
      <c r="E302" s="575"/>
      <c r="F302" s="575"/>
      <c r="G302" s="575"/>
      <c r="H302" s="575"/>
      <c r="I302" s="575"/>
      <c r="J302" s="575"/>
      <c r="K302" s="575"/>
      <c r="L302" s="575"/>
      <c r="M302" s="575"/>
      <c r="N302" s="575"/>
      <c r="O302" s="575"/>
      <c r="P302" s="575"/>
      <c r="Q302" s="575"/>
      <c r="R302" s="575"/>
      <c r="S302" s="575"/>
      <c r="T302" s="575"/>
    </row>
    <row r="303">
      <c r="A303" s="575"/>
      <c r="B303" s="575"/>
      <c r="C303" s="612"/>
      <c r="D303" s="575"/>
      <c r="E303" s="575"/>
      <c r="F303" s="575"/>
      <c r="G303" s="575"/>
      <c r="H303" s="575"/>
      <c r="I303" s="575"/>
      <c r="J303" s="575"/>
      <c r="K303" s="575"/>
      <c r="L303" s="575"/>
      <c r="M303" s="575"/>
      <c r="N303" s="575"/>
      <c r="O303" s="575"/>
      <c r="P303" s="575"/>
      <c r="Q303" s="575"/>
      <c r="R303" s="575"/>
      <c r="S303" s="575"/>
      <c r="T303" s="575"/>
    </row>
    <row r="304">
      <c r="A304" s="575"/>
      <c r="B304" s="575"/>
      <c r="C304" s="612"/>
      <c r="D304" s="575"/>
      <c r="E304" s="575"/>
      <c r="F304" s="575"/>
      <c r="G304" s="575"/>
      <c r="H304" s="575"/>
      <c r="I304" s="575"/>
      <c r="J304" s="575"/>
      <c r="K304" s="575"/>
      <c r="L304" s="575"/>
      <c r="M304" s="575"/>
      <c r="N304" s="575"/>
      <c r="O304" s="575"/>
      <c r="P304" s="575"/>
      <c r="Q304" s="575"/>
      <c r="R304" s="575"/>
      <c r="S304" s="575"/>
      <c r="T304" s="575"/>
    </row>
    <row r="305">
      <c r="A305" s="575"/>
      <c r="B305" s="575"/>
      <c r="C305" s="612"/>
      <c r="D305" s="575"/>
      <c r="E305" s="575"/>
      <c r="F305" s="575"/>
      <c r="G305" s="575"/>
      <c r="H305" s="575"/>
      <c r="I305" s="575"/>
      <c r="J305" s="575"/>
      <c r="K305" s="575"/>
      <c r="L305" s="575"/>
      <c r="M305" s="575"/>
      <c r="N305" s="575"/>
      <c r="O305" s="575"/>
      <c r="P305" s="575"/>
      <c r="Q305" s="575"/>
      <c r="R305" s="575"/>
      <c r="S305" s="575"/>
      <c r="T305" s="575"/>
    </row>
    <row r="306">
      <c r="A306" s="575"/>
      <c r="B306" s="575"/>
      <c r="C306" s="612"/>
      <c r="D306" s="575"/>
      <c r="E306" s="575"/>
      <c r="F306" s="575"/>
      <c r="G306" s="575"/>
      <c r="H306" s="575"/>
      <c r="I306" s="575"/>
      <c r="J306" s="575"/>
      <c r="K306" s="575"/>
      <c r="L306" s="575"/>
      <c r="M306" s="575"/>
      <c r="N306" s="575"/>
      <c r="O306" s="575"/>
      <c r="P306" s="575"/>
      <c r="Q306" s="575"/>
      <c r="R306" s="575"/>
      <c r="S306" s="575"/>
      <c r="T306" s="575"/>
    </row>
    <row r="307">
      <c r="A307" s="575"/>
      <c r="B307" s="575"/>
      <c r="C307" s="612"/>
      <c r="D307" s="575"/>
      <c r="E307" s="575"/>
      <c r="F307" s="575"/>
      <c r="G307" s="575"/>
      <c r="H307" s="575"/>
      <c r="I307" s="575"/>
      <c r="J307" s="575"/>
      <c r="K307" s="575"/>
      <c r="L307" s="575"/>
      <c r="M307" s="575"/>
      <c r="N307" s="575"/>
      <c r="O307" s="575"/>
      <c r="P307" s="575"/>
      <c r="Q307" s="575"/>
      <c r="R307" s="575"/>
      <c r="S307" s="575"/>
      <c r="T307" s="575"/>
    </row>
    <row r="308">
      <c r="A308" s="575"/>
      <c r="B308" s="575"/>
      <c r="C308" s="612"/>
      <c r="D308" s="575"/>
      <c r="E308" s="575"/>
      <c r="F308" s="575"/>
      <c r="G308" s="575"/>
      <c r="H308" s="575"/>
      <c r="I308" s="575"/>
      <c r="J308" s="575"/>
      <c r="K308" s="575"/>
      <c r="L308" s="575"/>
      <c r="M308" s="575"/>
      <c r="N308" s="575"/>
      <c r="O308" s="575"/>
      <c r="P308" s="575"/>
      <c r="Q308" s="575"/>
      <c r="R308" s="575"/>
      <c r="S308" s="575"/>
      <c r="T308" s="575"/>
    </row>
    <row r="309">
      <c r="A309" s="575"/>
      <c r="B309" s="575"/>
      <c r="C309" s="612"/>
      <c r="D309" s="575"/>
      <c r="E309" s="575"/>
      <c r="F309" s="575"/>
      <c r="G309" s="575"/>
      <c r="H309" s="575"/>
      <c r="I309" s="575"/>
      <c r="J309" s="575"/>
      <c r="K309" s="575"/>
      <c r="L309" s="575"/>
      <c r="M309" s="575"/>
      <c r="N309" s="575"/>
      <c r="O309" s="575"/>
      <c r="P309" s="575"/>
      <c r="Q309" s="575"/>
      <c r="R309" s="575"/>
      <c r="S309" s="575"/>
      <c r="T309" s="575"/>
    </row>
    <row r="310">
      <c r="A310" s="575"/>
      <c r="B310" s="575"/>
      <c r="C310" s="612"/>
      <c r="D310" s="575"/>
      <c r="E310" s="575"/>
      <c r="F310" s="575"/>
      <c r="G310" s="575"/>
      <c r="H310" s="575"/>
      <c r="I310" s="575"/>
      <c r="J310" s="575"/>
      <c r="K310" s="575"/>
      <c r="L310" s="575"/>
      <c r="M310" s="575"/>
      <c r="N310" s="575"/>
      <c r="O310" s="575"/>
      <c r="P310" s="575"/>
      <c r="Q310" s="575"/>
      <c r="R310" s="575"/>
      <c r="S310" s="575"/>
      <c r="T310" s="575"/>
    </row>
    <row r="311">
      <c r="A311" s="575"/>
      <c r="B311" s="575"/>
      <c r="C311" s="612"/>
      <c r="D311" s="575"/>
      <c r="E311" s="575"/>
      <c r="F311" s="575"/>
      <c r="G311" s="575"/>
      <c r="H311" s="575"/>
      <c r="I311" s="575"/>
      <c r="J311" s="575"/>
      <c r="K311" s="575"/>
      <c r="L311" s="575"/>
      <c r="M311" s="575"/>
      <c r="N311" s="575"/>
      <c r="O311" s="575"/>
      <c r="P311" s="575"/>
      <c r="Q311" s="575"/>
      <c r="R311" s="575"/>
      <c r="S311" s="575"/>
      <c r="T311" s="575"/>
    </row>
    <row r="312">
      <c r="A312" s="575"/>
      <c r="B312" s="575"/>
      <c r="C312" s="612"/>
      <c r="D312" s="575"/>
      <c r="E312" s="575"/>
      <c r="F312" s="575"/>
      <c r="G312" s="575"/>
      <c r="H312" s="575"/>
      <c r="I312" s="575"/>
      <c r="J312" s="575"/>
      <c r="K312" s="575"/>
      <c r="L312" s="575"/>
      <c r="M312" s="575"/>
      <c r="N312" s="575"/>
      <c r="O312" s="575"/>
      <c r="P312" s="575"/>
      <c r="Q312" s="575"/>
      <c r="R312" s="575"/>
      <c r="S312" s="575"/>
      <c r="T312" s="575"/>
    </row>
    <row r="313">
      <c r="A313" s="575"/>
      <c r="B313" s="575"/>
      <c r="C313" s="612"/>
      <c r="D313" s="575"/>
      <c r="E313" s="575"/>
      <c r="F313" s="575"/>
      <c r="G313" s="575"/>
      <c r="H313" s="575"/>
      <c r="I313" s="575"/>
      <c r="J313" s="575"/>
      <c r="K313" s="575"/>
      <c r="L313" s="575"/>
      <c r="M313" s="575"/>
      <c r="N313" s="575"/>
      <c r="O313" s="575"/>
      <c r="P313" s="575"/>
      <c r="Q313" s="575"/>
      <c r="R313" s="575"/>
      <c r="S313" s="575"/>
      <c r="T313" s="575"/>
    </row>
    <row r="314">
      <c r="A314" s="575"/>
      <c r="B314" s="575"/>
      <c r="C314" s="612"/>
      <c r="D314" s="575"/>
      <c r="E314" s="575"/>
      <c r="F314" s="575"/>
      <c r="G314" s="575"/>
      <c r="H314" s="575"/>
      <c r="I314" s="575"/>
      <c r="J314" s="575"/>
      <c r="K314" s="575"/>
      <c r="L314" s="575"/>
      <c r="M314" s="575"/>
      <c r="N314" s="575"/>
      <c r="O314" s="575"/>
      <c r="P314" s="575"/>
      <c r="Q314" s="575"/>
      <c r="R314" s="575"/>
      <c r="S314" s="575"/>
      <c r="T314" s="575"/>
    </row>
    <row r="315">
      <c r="A315" s="575"/>
      <c r="B315" s="575"/>
      <c r="C315" s="612"/>
      <c r="D315" s="575"/>
      <c r="E315" s="575"/>
      <c r="F315" s="575"/>
      <c r="G315" s="575"/>
      <c r="H315" s="575"/>
      <c r="I315" s="575"/>
      <c r="J315" s="575"/>
      <c r="K315" s="575"/>
      <c r="L315" s="575"/>
      <c r="M315" s="575"/>
      <c r="N315" s="575"/>
      <c r="O315" s="575"/>
      <c r="P315" s="575"/>
      <c r="Q315" s="575"/>
      <c r="R315" s="575"/>
      <c r="S315" s="575"/>
      <c r="T315" s="575"/>
    </row>
    <row r="316">
      <c r="A316" s="575"/>
      <c r="B316" s="575"/>
      <c r="C316" s="612"/>
      <c r="D316" s="575"/>
      <c r="E316" s="575"/>
      <c r="F316" s="575"/>
      <c r="G316" s="575"/>
      <c r="H316" s="575"/>
      <c r="I316" s="575"/>
      <c r="J316" s="575"/>
      <c r="K316" s="575"/>
      <c r="L316" s="575"/>
      <c r="M316" s="575"/>
      <c r="N316" s="575"/>
      <c r="O316" s="575"/>
      <c r="P316" s="575"/>
      <c r="Q316" s="575"/>
      <c r="R316" s="575"/>
      <c r="S316" s="575"/>
      <c r="T316" s="575"/>
    </row>
    <row r="317">
      <c r="A317" s="575"/>
      <c r="B317" s="575"/>
      <c r="C317" s="612"/>
      <c r="D317" s="575"/>
      <c r="E317" s="575"/>
      <c r="F317" s="575"/>
      <c r="G317" s="575"/>
      <c r="H317" s="575"/>
      <c r="I317" s="575"/>
      <c r="J317" s="575"/>
      <c r="K317" s="575"/>
      <c r="L317" s="575"/>
      <c r="M317" s="575"/>
      <c r="N317" s="575"/>
      <c r="O317" s="575"/>
      <c r="P317" s="575"/>
      <c r="Q317" s="575"/>
      <c r="R317" s="575"/>
      <c r="S317" s="575"/>
      <c r="T317" s="575"/>
    </row>
    <row r="318">
      <c r="A318" s="575"/>
      <c r="B318" s="575"/>
      <c r="C318" s="612"/>
      <c r="D318" s="575"/>
      <c r="E318" s="575"/>
      <c r="F318" s="575"/>
      <c r="G318" s="575"/>
      <c r="H318" s="575"/>
      <c r="I318" s="575"/>
      <c r="J318" s="575"/>
      <c r="K318" s="575"/>
      <c r="L318" s="575"/>
      <c r="M318" s="575"/>
      <c r="N318" s="575"/>
      <c r="O318" s="575"/>
      <c r="P318" s="575"/>
      <c r="Q318" s="575"/>
      <c r="R318" s="575"/>
      <c r="S318" s="575"/>
      <c r="T318" s="575"/>
    </row>
    <row r="319">
      <c r="A319" s="575"/>
      <c r="B319" s="575"/>
      <c r="C319" s="612"/>
      <c r="D319" s="575"/>
      <c r="E319" s="575"/>
      <c r="F319" s="575"/>
      <c r="G319" s="575"/>
      <c r="H319" s="575"/>
      <c r="I319" s="575"/>
      <c r="J319" s="575"/>
      <c r="K319" s="575"/>
      <c r="L319" s="575"/>
      <c r="M319" s="575"/>
      <c r="N319" s="575"/>
      <c r="O319" s="575"/>
      <c r="P319" s="575"/>
      <c r="Q319" s="575"/>
      <c r="R319" s="575"/>
      <c r="S319" s="575"/>
      <c r="T319" s="575"/>
    </row>
    <row r="320">
      <c r="A320" s="575"/>
      <c r="B320" s="575"/>
      <c r="C320" s="612"/>
      <c r="D320" s="575"/>
      <c r="E320" s="575"/>
      <c r="F320" s="575"/>
      <c r="G320" s="575"/>
      <c r="H320" s="575"/>
      <c r="I320" s="575"/>
      <c r="J320" s="575"/>
      <c r="K320" s="575"/>
      <c r="L320" s="575"/>
      <c r="M320" s="575"/>
      <c r="N320" s="575"/>
      <c r="O320" s="575"/>
      <c r="P320" s="575"/>
      <c r="Q320" s="575"/>
      <c r="R320" s="575"/>
      <c r="S320" s="575"/>
      <c r="T320" s="575"/>
    </row>
    <row r="321">
      <c r="A321" s="575"/>
      <c r="B321" s="575"/>
      <c r="C321" s="612"/>
      <c r="D321" s="575"/>
      <c r="E321" s="575"/>
      <c r="F321" s="575"/>
      <c r="G321" s="575"/>
      <c r="H321" s="575"/>
      <c r="I321" s="575"/>
      <c r="J321" s="575"/>
      <c r="K321" s="575"/>
      <c r="L321" s="575"/>
      <c r="M321" s="575"/>
      <c r="N321" s="575"/>
      <c r="O321" s="575"/>
      <c r="P321" s="575"/>
      <c r="Q321" s="575"/>
      <c r="R321" s="575"/>
      <c r="S321" s="575"/>
      <c r="T321" s="575"/>
    </row>
    <row r="322">
      <c r="A322" s="575"/>
      <c r="B322" s="575"/>
      <c r="C322" s="612"/>
      <c r="D322" s="575"/>
      <c r="E322" s="575"/>
      <c r="F322" s="575"/>
      <c r="G322" s="575"/>
      <c r="H322" s="575"/>
      <c r="I322" s="575"/>
      <c r="J322" s="575"/>
      <c r="K322" s="575"/>
      <c r="L322" s="575"/>
      <c r="M322" s="575"/>
      <c r="N322" s="575"/>
      <c r="O322" s="575"/>
      <c r="P322" s="575"/>
      <c r="Q322" s="575"/>
      <c r="R322" s="575"/>
      <c r="S322" s="575"/>
      <c r="T322" s="575"/>
    </row>
    <row r="323">
      <c r="A323" s="575"/>
      <c r="B323" s="575"/>
      <c r="C323" s="612"/>
      <c r="D323" s="575"/>
      <c r="E323" s="575"/>
      <c r="F323" s="575"/>
      <c r="G323" s="575"/>
      <c r="H323" s="575"/>
      <c r="I323" s="575"/>
      <c r="J323" s="575"/>
      <c r="K323" s="575"/>
      <c r="L323" s="575"/>
      <c r="M323" s="575"/>
      <c r="N323" s="575"/>
      <c r="O323" s="575"/>
      <c r="P323" s="575"/>
      <c r="Q323" s="575"/>
      <c r="R323" s="575"/>
      <c r="S323" s="575"/>
      <c r="T323" s="575"/>
    </row>
    <row r="324">
      <c r="A324" s="575"/>
      <c r="B324" s="575"/>
      <c r="C324" s="612"/>
      <c r="D324" s="575"/>
      <c r="E324" s="575"/>
      <c r="F324" s="575"/>
      <c r="G324" s="575"/>
      <c r="H324" s="575"/>
      <c r="I324" s="575"/>
      <c r="J324" s="575"/>
      <c r="K324" s="575"/>
      <c r="L324" s="575"/>
      <c r="M324" s="575"/>
      <c r="N324" s="575"/>
      <c r="O324" s="575"/>
      <c r="P324" s="575"/>
      <c r="Q324" s="575"/>
      <c r="R324" s="575"/>
      <c r="S324" s="575"/>
      <c r="T324" s="575"/>
    </row>
    <row r="325">
      <c r="A325" s="575"/>
      <c r="B325" s="575"/>
      <c r="C325" s="612"/>
      <c r="D325" s="575"/>
      <c r="E325" s="575"/>
      <c r="F325" s="575"/>
      <c r="G325" s="575"/>
      <c r="H325" s="575"/>
      <c r="I325" s="575"/>
      <c r="J325" s="575"/>
      <c r="K325" s="575"/>
      <c r="L325" s="575"/>
      <c r="M325" s="575"/>
      <c r="N325" s="575"/>
      <c r="O325" s="575"/>
      <c r="P325" s="575"/>
      <c r="Q325" s="575"/>
      <c r="R325" s="575"/>
      <c r="S325" s="575"/>
      <c r="T325" s="575"/>
    </row>
    <row r="326">
      <c r="A326" s="575"/>
      <c r="B326" s="575"/>
      <c r="C326" s="612"/>
      <c r="D326" s="575"/>
      <c r="E326" s="575"/>
      <c r="F326" s="575"/>
      <c r="G326" s="575"/>
      <c r="H326" s="575"/>
      <c r="I326" s="575"/>
      <c r="J326" s="575"/>
      <c r="K326" s="575"/>
      <c r="L326" s="575"/>
      <c r="M326" s="575"/>
      <c r="N326" s="575"/>
      <c r="O326" s="575"/>
      <c r="P326" s="575"/>
      <c r="Q326" s="575"/>
      <c r="R326" s="575"/>
      <c r="S326" s="575"/>
      <c r="T326" s="575"/>
    </row>
    <row r="327">
      <c r="A327" s="575"/>
      <c r="B327" s="575"/>
      <c r="C327" s="612"/>
      <c r="D327" s="575"/>
      <c r="E327" s="575"/>
      <c r="F327" s="575"/>
      <c r="G327" s="575"/>
      <c r="H327" s="575"/>
      <c r="I327" s="575"/>
      <c r="J327" s="575"/>
      <c r="K327" s="575"/>
      <c r="L327" s="575"/>
      <c r="M327" s="575"/>
      <c r="N327" s="575"/>
      <c r="O327" s="575"/>
      <c r="P327" s="575"/>
      <c r="Q327" s="575"/>
      <c r="R327" s="575"/>
      <c r="S327" s="575"/>
      <c r="T327" s="575"/>
    </row>
    <row r="328">
      <c r="A328" s="575"/>
      <c r="B328" s="575"/>
      <c r="C328" s="612"/>
      <c r="D328" s="575"/>
      <c r="E328" s="575"/>
      <c r="F328" s="575"/>
      <c r="G328" s="575"/>
      <c r="H328" s="575"/>
      <c r="I328" s="575"/>
      <c r="J328" s="575"/>
      <c r="K328" s="575"/>
      <c r="L328" s="575"/>
      <c r="M328" s="575"/>
      <c r="N328" s="575"/>
      <c r="O328" s="575"/>
      <c r="P328" s="575"/>
      <c r="Q328" s="575"/>
      <c r="R328" s="575"/>
      <c r="S328" s="575"/>
      <c r="T328" s="575"/>
    </row>
    <row r="329">
      <c r="A329" s="575"/>
      <c r="B329" s="575"/>
      <c r="C329" s="612"/>
      <c r="D329" s="575"/>
      <c r="E329" s="575"/>
      <c r="F329" s="575"/>
      <c r="G329" s="575"/>
      <c r="H329" s="575"/>
      <c r="I329" s="575"/>
      <c r="J329" s="575"/>
      <c r="K329" s="575"/>
      <c r="L329" s="575"/>
      <c r="M329" s="575"/>
      <c r="N329" s="575"/>
      <c r="O329" s="575"/>
      <c r="P329" s="575"/>
      <c r="Q329" s="575"/>
      <c r="R329" s="575"/>
      <c r="S329" s="575"/>
      <c r="T329" s="575"/>
    </row>
    <row r="330">
      <c r="A330" s="575"/>
      <c r="B330" s="575"/>
      <c r="C330" s="612"/>
      <c r="D330" s="575"/>
      <c r="E330" s="575"/>
      <c r="F330" s="575"/>
      <c r="G330" s="575"/>
      <c r="H330" s="575"/>
      <c r="I330" s="575"/>
      <c r="J330" s="575"/>
      <c r="K330" s="575"/>
      <c r="L330" s="575"/>
      <c r="M330" s="575"/>
      <c r="N330" s="575"/>
      <c r="O330" s="575"/>
      <c r="P330" s="575"/>
      <c r="Q330" s="575"/>
      <c r="R330" s="575"/>
      <c r="S330" s="575"/>
      <c r="T330" s="575"/>
    </row>
    <row r="331">
      <c r="A331" s="575"/>
      <c r="B331" s="575"/>
      <c r="C331" s="612"/>
      <c r="D331" s="575"/>
      <c r="E331" s="575"/>
      <c r="F331" s="575"/>
      <c r="G331" s="575"/>
      <c r="H331" s="575"/>
      <c r="I331" s="575"/>
      <c r="J331" s="575"/>
      <c r="K331" s="575"/>
      <c r="L331" s="575"/>
      <c r="M331" s="575"/>
      <c r="N331" s="575"/>
      <c r="O331" s="575"/>
      <c r="P331" s="575"/>
      <c r="Q331" s="575"/>
      <c r="R331" s="575"/>
      <c r="S331" s="575"/>
      <c r="T331" s="575"/>
    </row>
    <row r="332">
      <c r="A332" s="575"/>
      <c r="B332" s="575"/>
      <c r="C332" s="612"/>
      <c r="D332" s="575"/>
      <c r="E332" s="575"/>
      <c r="F332" s="575"/>
      <c r="G332" s="575"/>
      <c r="H332" s="575"/>
      <c r="I332" s="575"/>
      <c r="J332" s="575"/>
      <c r="K332" s="575"/>
      <c r="L332" s="575"/>
      <c r="M332" s="575"/>
      <c r="N332" s="575"/>
      <c r="O332" s="575"/>
      <c r="P332" s="575"/>
      <c r="Q332" s="575"/>
      <c r="R332" s="575"/>
      <c r="S332" s="575"/>
      <c r="T332" s="575"/>
    </row>
    <row r="333">
      <c r="A333" s="575"/>
      <c r="B333" s="575"/>
      <c r="C333" s="612"/>
      <c r="D333" s="575"/>
      <c r="E333" s="575"/>
      <c r="F333" s="575"/>
      <c r="G333" s="575"/>
      <c r="H333" s="575"/>
      <c r="I333" s="575"/>
      <c r="J333" s="575"/>
      <c r="K333" s="575"/>
      <c r="L333" s="575"/>
      <c r="M333" s="575"/>
      <c r="N333" s="575"/>
      <c r="O333" s="575"/>
      <c r="P333" s="575"/>
      <c r="Q333" s="575"/>
      <c r="R333" s="575"/>
      <c r="S333" s="575"/>
      <c r="T333" s="575"/>
    </row>
    <row r="334">
      <c r="A334" s="575"/>
      <c r="B334" s="575"/>
      <c r="C334" s="612"/>
      <c r="D334" s="575"/>
      <c r="E334" s="575"/>
      <c r="F334" s="575"/>
      <c r="G334" s="575"/>
      <c r="H334" s="575"/>
      <c r="I334" s="575"/>
      <c r="J334" s="575"/>
      <c r="K334" s="575"/>
      <c r="L334" s="575"/>
      <c r="M334" s="575"/>
      <c r="N334" s="575"/>
      <c r="O334" s="575"/>
      <c r="P334" s="575"/>
      <c r="Q334" s="575"/>
      <c r="R334" s="575"/>
      <c r="S334" s="575"/>
      <c r="T334" s="575"/>
    </row>
    <row r="335">
      <c r="A335" s="575"/>
      <c r="B335" s="575"/>
      <c r="C335" s="612"/>
      <c r="D335" s="575"/>
      <c r="E335" s="575"/>
      <c r="F335" s="575"/>
      <c r="G335" s="575"/>
      <c r="H335" s="575"/>
      <c r="I335" s="575"/>
      <c r="J335" s="575"/>
      <c r="K335" s="575"/>
      <c r="L335" s="575"/>
      <c r="M335" s="575"/>
      <c r="N335" s="575"/>
      <c r="O335" s="575"/>
      <c r="P335" s="575"/>
      <c r="Q335" s="575"/>
      <c r="R335" s="575"/>
      <c r="S335" s="575"/>
      <c r="T335" s="575"/>
    </row>
    <row r="336">
      <c r="A336" s="575"/>
      <c r="B336" s="575"/>
      <c r="C336" s="612"/>
      <c r="D336" s="575"/>
      <c r="E336" s="575"/>
      <c r="F336" s="575"/>
      <c r="G336" s="575"/>
      <c r="H336" s="575"/>
      <c r="I336" s="575"/>
      <c r="J336" s="575"/>
      <c r="K336" s="575"/>
      <c r="L336" s="575"/>
      <c r="M336" s="575"/>
      <c r="N336" s="575"/>
      <c r="O336" s="575"/>
      <c r="P336" s="575"/>
      <c r="Q336" s="575"/>
      <c r="R336" s="575"/>
      <c r="S336" s="575"/>
      <c r="T336" s="575"/>
    </row>
    <row r="337">
      <c r="A337" s="575"/>
      <c r="B337" s="575"/>
      <c r="C337" s="612"/>
      <c r="D337" s="575"/>
      <c r="E337" s="575"/>
      <c r="F337" s="575"/>
      <c r="G337" s="575"/>
      <c r="H337" s="575"/>
      <c r="I337" s="575"/>
      <c r="J337" s="575"/>
      <c r="K337" s="575"/>
      <c r="L337" s="575"/>
      <c r="M337" s="575"/>
      <c r="N337" s="575"/>
      <c r="O337" s="575"/>
      <c r="P337" s="575"/>
      <c r="Q337" s="575"/>
      <c r="R337" s="575"/>
      <c r="S337" s="575"/>
      <c r="T337" s="575"/>
    </row>
    <row r="338">
      <c r="A338" s="575"/>
      <c r="B338" s="575"/>
      <c r="C338" s="612"/>
      <c r="D338" s="575"/>
      <c r="E338" s="575"/>
      <c r="F338" s="575"/>
      <c r="G338" s="575"/>
      <c r="H338" s="575"/>
      <c r="I338" s="575"/>
      <c r="J338" s="575"/>
      <c r="K338" s="575"/>
      <c r="L338" s="575"/>
      <c r="M338" s="575"/>
      <c r="N338" s="575"/>
      <c r="O338" s="575"/>
      <c r="P338" s="575"/>
      <c r="Q338" s="575"/>
      <c r="R338" s="575"/>
      <c r="S338" s="575"/>
      <c r="T338" s="575"/>
    </row>
    <row r="339">
      <c r="A339" s="575"/>
      <c r="B339" s="575"/>
      <c r="C339" s="612"/>
      <c r="D339" s="575"/>
      <c r="E339" s="575"/>
      <c r="F339" s="575"/>
      <c r="G339" s="575"/>
      <c r="H339" s="575"/>
      <c r="I339" s="575"/>
      <c r="J339" s="575"/>
      <c r="K339" s="575"/>
      <c r="L339" s="575"/>
      <c r="M339" s="575"/>
      <c r="N339" s="575"/>
      <c r="O339" s="575"/>
      <c r="P339" s="575"/>
      <c r="Q339" s="575"/>
      <c r="R339" s="575"/>
      <c r="S339" s="575"/>
      <c r="T339" s="575"/>
    </row>
    <row r="340">
      <c r="A340" s="575"/>
      <c r="B340" s="575"/>
      <c r="C340" s="612"/>
      <c r="D340" s="575"/>
      <c r="E340" s="575"/>
      <c r="F340" s="575"/>
      <c r="G340" s="575"/>
      <c r="H340" s="575"/>
      <c r="I340" s="575"/>
      <c r="J340" s="575"/>
      <c r="K340" s="575"/>
      <c r="L340" s="575"/>
      <c r="M340" s="575"/>
      <c r="N340" s="575"/>
      <c r="O340" s="575"/>
      <c r="P340" s="575"/>
      <c r="Q340" s="575"/>
      <c r="R340" s="575"/>
      <c r="S340" s="575"/>
      <c r="T340" s="575"/>
    </row>
    <row r="341">
      <c r="A341" s="575"/>
      <c r="B341" s="575"/>
      <c r="C341" s="612"/>
      <c r="D341" s="575"/>
      <c r="E341" s="575"/>
      <c r="F341" s="575"/>
      <c r="G341" s="575"/>
      <c r="H341" s="575"/>
      <c r="I341" s="575"/>
      <c r="J341" s="575"/>
      <c r="K341" s="575"/>
      <c r="L341" s="575"/>
      <c r="M341" s="575"/>
      <c r="N341" s="575"/>
      <c r="O341" s="575"/>
      <c r="P341" s="575"/>
      <c r="Q341" s="575"/>
      <c r="R341" s="575"/>
      <c r="S341" s="575"/>
      <c r="T341" s="575"/>
    </row>
    <row r="342">
      <c r="A342" s="575"/>
      <c r="B342" s="575"/>
      <c r="C342" s="612"/>
      <c r="D342" s="575"/>
      <c r="E342" s="575"/>
      <c r="F342" s="575"/>
      <c r="G342" s="575"/>
      <c r="H342" s="575"/>
      <c r="I342" s="575"/>
      <c r="J342" s="575"/>
      <c r="K342" s="575"/>
      <c r="L342" s="575"/>
      <c r="M342" s="575"/>
      <c r="N342" s="575"/>
      <c r="O342" s="575"/>
      <c r="P342" s="575"/>
      <c r="Q342" s="575"/>
      <c r="R342" s="575"/>
      <c r="S342" s="575"/>
      <c r="T342" s="575"/>
    </row>
    <row r="343">
      <c r="A343" s="575"/>
      <c r="B343" s="575"/>
      <c r="C343" s="612"/>
      <c r="D343" s="575"/>
      <c r="E343" s="575"/>
      <c r="F343" s="575"/>
      <c r="G343" s="575"/>
      <c r="H343" s="575"/>
      <c r="I343" s="575"/>
      <c r="J343" s="575"/>
      <c r="K343" s="575"/>
      <c r="L343" s="575"/>
      <c r="M343" s="575"/>
      <c r="N343" s="575"/>
      <c r="O343" s="575"/>
      <c r="P343" s="575"/>
      <c r="Q343" s="575"/>
      <c r="R343" s="575"/>
      <c r="S343" s="575"/>
      <c r="T343" s="575"/>
    </row>
    <row r="344">
      <c r="A344" s="575"/>
      <c r="B344" s="575"/>
      <c r="C344" s="612"/>
      <c r="D344" s="575"/>
      <c r="E344" s="575"/>
      <c r="F344" s="575"/>
      <c r="G344" s="575"/>
      <c r="H344" s="575"/>
      <c r="I344" s="575"/>
      <c r="J344" s="575"/>
      <c r="K344" s="575"/>
      <c r="L344" s="575"/>
      <c r="M344" s="575"/>
      <c r="N344" s="575"/>
      <c r="O344" s="575"/>
      <c r="P344" s="575"/>
      <c r="Q344" s="575"/>
      <c r="R344" s="575"/>
      <c r="S344" s="575"/>
      <c r="T344" s="575"/>
    </row>
    <row r="345">
      <c r="A345" s="575"/>
      <c r="B345" s="575"/>
      <c r="C345" s="612"/>
      <c r="D345" s="575"/>
      <c r="E345" s="575"/>
      <c r="F345" s="575"/>
      <c r="G345" s="575"/>
      <c r="H345" s="575"/>
      <c r="I345" s="575"/>
      <c r="J345" s="575"/>
      <c r="K345" s="575"/>
      <c r="L345" s="575"/>
      <c r="M345" s="575"/>
      <c r="N345" s="575"/>
      <c r="O345" s="575"/>
      <c r="P345" s="575"/>
      <c r="Q345" s="575"/>
      <c r="R345" s="575"/>
      <c r="S345" s="575"/>
      <c r="T345" s="575"/>
    </row>
    <row r="346">
      <c r="A346" s="575"/>
      <c r="B346" s="575"/>
      <c r="C346" s="612"/>
      <c r="D346" s="575"/>
      <c r="E346" s="575"/>
      <c r="F346" s="575"/>
      <c r="G346" s="575"/>
      <c r="H346" s="575"/>
      <c r="I346" s="575"/>
      <c r="J346" s="575"/>
      <c r="K346" s="575"/>
      <c r="L346" s="575"/>
      <c r="M346" s="575"/>
      <c r="N346" s="575"/>
      <c r="O346" s="575"/>
      <c r="P346" s="575"/>
      <c r="Q346" s="575"/>
      <c r="R346" s="575"/>
      <c r="S346" s="575"/>
      <c r="T346" s="575"/>
    </row>
    <row r="347">
      <c r="A347" s="575"/>
      <c r="B347" s="575"/>
      <c r="C347" s="612"/>
      <c r="D347" s="575"/>
      <c r="E347" s="575"/>
      <c r="F347" s="575"/>
      <c r="G347" s="575"/>
      <c r="H347" s="575"/>
      <c r="I347" s="575"/>
      <c r="J347" s="575"/>
      <c r="K347" s="575"/>
      <c r="L347" s="575"/>
      <c r="M347" s="575"/>
      <c r="N347" s="575"/>
      <c r="O347" s="575"/>
      <c r="P347" s="575"/>
      <c r="Q347" s="575"/>
      <c r="R347" s="575"/>
      <c r="S347" s="575"/>
      <c r="T347" s="575"/>
    </row>
    <row r="348">
      <c r="A348" s="575"/>
      <c r="B348" s="575"/>
      <c r="C348" s="612"/>
      <c r="D348" s="575"/>
      <c r="E348" s="575"/>
      <c r="F348" s="575"/>
      <c r="G348" s="575"/>
      <c r="H348" s="575"/>
      <c r="I348" s="575"/>
      <c r="J348" s="575"/>
      <c r="K348" s="575"/>
      <c r="L348" s="575"/>
      <c r="M348" s="575"/>
      <c r="N348" s="575"/>
      <c r="O348" s="575"/>
      <c r="P348" s="575"/>
      <c r="Q348" s="575"/>
      <c r="R348" s="575"/>
      <c r="S348" s="575"/>
      <c r="T348" s="575"/>
    </row>
    <row r="349">
      <c r="A349" s="575"/>
      <c r="B349" s="575"/>
      <c r="C349" s="612"/>
      <c r="D349" s="575"/>
      <c r="E349" s="575"/>
      <c r="F349" s="575"/>
      <c r="G349" s="575"/>
      <c r="H349" s="575"/>
      <c r="I349" s="575"/>
      <c r="J349" s="575"/>
      <c r="K349" s="575"/>
      <c r="L349" s="575"/>
      <c r="M349" s="575"/>
      <c r="N349" s="575"/>
      <c r="O349" s="575"/>
      <c r="P349" s="575"/>
      <c r="Q349" s="575"/>
      <c r="R349" s="575"/>
      <c r="S349" s="575"/>
      <c r="T349" s="575"/>
    </row>
    <row r="350">
      <c r="A350" s="575"/>
      <c r="B350" s="575"/>
      <c r="C350" s="612"/>
      <c r="D350" s="575"/>
      <c r="E350" s="575"/>
      <c r="F350" s="575"/>
      <c r="G350" s="575"/>
      <c r="H350" s="575"/>
      <c r="I350" s="575"/>
      <c r="J350" s="575"/>
      <c r="K350" s="575"/>
      <c r="L350" s="575"/>
      <c r="M350" s="575"/>
      <c r="N350" s="575"/>
      <c r="O350" s="575"/>
      <c r="P350" s="575"/>
      <c r="Q350" s="575"/>
      <c r="R350" s="575"/>
      <c r="S350" s="575"/>
      <c r="T350" s="575"/>
    </row>
    <row r="351">
      <c r="A351" s="575"/>
      <c r="B351" s="575"/>
      <c r="C351" s="612"/>
      <c r="D351" s="575"/>
      <c r="E351" s="575"/>
      <c r="F351" s="575"/>
      <c r="G351" s="575"/>
      <c r="H351" s="575"/>
      <c r="I351" s="575"/>
      <c r="J351" s="575"/>
      <c r="K351" s="575"/>
      <c r="L351" s="575"/>
      <c r="M351" s="575"/>
      <c r="N351" s="575"/>
      <c r="O351" s="575"/>
      <c r="P351" s="575"/>
      <c r="Q351" s="575"/>
      <c r="R351" s="575"/>
      <c r="S351" s="575"/>
      <c r="T351" s="575"/>
    </row>
    <row r="352">
      <c r="A352" s="575"/>
      <c r="B352" s="575"/>
      <c r="C352" s="612"/>
      <c r="D352" s="575"/>
      <c r="E352" s="575"/>
      <c r="F352" s="575"/>
      <c r="G352" s="575"/>
      <c r="H352" s="575"/>
      <c r="I352" s="575"/>
      <c r="J352" s="575"/>
      <c r="K352" s="575"/>
      <c r="L352" s="575"/>
      <c r="M352" s="575"/>
      <c r="N352" s="575"/>
      <c r="O352" s="575"/>
      <c r="P352" s="575"/>
      <c r="Q352" s="575"/>
      <c r="R352" s="575"/>
      <c r="S352" s="575"/>
      <c r="T352" s="575"/>
    </row>
    <row r="353">
      <c r="A353" s="575"/>
      <c r="B353" s="575"/>
      <c r="C353" s="612"/>
      <c r="D353" s="575"/>
      <c r="E353" s="575"/>
      <c r="F353" s="575"/>
      <c r="G353" s="575"/>
      <c r="H353" s="575"/>
      <c r="I353" s="575"/>
      <c r="J353" s="575"/>
      <c r="K353" s="575"/>
      <c r="L353" s="575"/>
      <c r="M353" s="575"/>
      <c r="N353" s="575"/>
      <c r="O353" s="575"/>
      <c r="P353" s="575"/>
      <c r="Q353" s="575"/>
      <c r="R353" s="575"/>
      <c r="S353" s="575"/>
      <c r="T353" s="575"/>
    </row>
    <row r="354">
      <c r="A354" s="575"/>
      <c r="B354" s="575"/>
      <c r="C354" s="612"/>
      <c r="D354" s="575"/>
      <c r="E354" s="575"/>
      <c r="F354" s="575"/>
      <c r="G354" s="575"/>
      <c r="H354" s="575"/>
      <c r="I354" s="575"/>
      <c r="J354" s="575"/>
      <c r="K354" s="575"/>
      <c r="L354" s="575"/>
      <c r="M354" s="575"/>
      <c r="N354" s="575"/>
      <c r="O354" s="575"/>
      <c r="P354" s="575"/>
      <c r="Q354" s="575"/>
      <c r="R354" s="575"/>
      <c r="S354" s="575"/>
      <c r="T354" s="575"/>
    </row>
    <row r="355">
      <c r="A355" s="575"/>
      <c r="B355" s="575"/>
      <c r="C355" s="612"/>
      <c r="D355" s="575"/>
      <c r="E355" s="575"/>
      <c r="F355" s="575"/>
      <c r="G355" s="575"/>
      <c r="H355" s="575"/>
      <c r="I355" s="575"/>
      <c r="J355" s="575"/>
      <c r="K355" s="575"/>
      <c r="L355" s="575"/>
      <c r="M355" s="575"/>
      <c r="N355" s="575"/>
      <c r="O355" s="575"/>
      <c r="P355" s="575"/>
      <c r="Q355" s="575"/>
      <c r="R355" s="575"/>
      <c r="S355" s="575"/>
      <c r="T355" s="575"/>
    </row>
    <row r="356">
      <c r="A356" s="575"/>
      <c r="B356" s="575"/>
      <c r="C356" s="612"/>
      <c r="D356" s="575"/>
      <c r="E356" s="575"/>
      <c r="F356" s="575"/>
      <c r="G356" s="575"/>
      <c r="H356" s="575"/>
      <c r="I356" s="575"/>
      <c r="J356" s="575"/>
      <c r="K356" s="575"/>
      <c r="L356" s="575"/>
      <c r="M356" s="575"/>
      <c r="N356" s="575"/>
      <c r="O356" s="575"/>
      <c r="P356" s="575"/>
      <c r="Q356" s="575"/>
      <c r="R356" s="575"/>
      <c r="S356" s="575"/>
      <c r="T356" s="575"/>
    </row>
    <row r="357">
      <c r="A357" s="575"/>
      <c r="B357" s="575"/>
      <c r="C357" s="612"/>
      <c r="D357" s="575"/>
      <c r="E357" s="575"/>
      <c r="F357" s="575"/>
      <c r="G357" s="575"/>
      <c r="H357" s="575"/>
      <c r="I357" s="575"/>
      <c r="J357" s="575"/>
      <c r="K357" s="575"/>
      <c r="L357" s="575"/>
      <c r="M357" s="575"/>
      <c r="N357" s="575"/>
      <c r="O357" s="575"/>
      <c r="P357" s="575"/>
      <c r="Q357" s="575"/>
      <c r="R357" s="575"/>
      <c r="S357" s="575"/>
      <c r="T357" s="575"/>
    </row>
    <row r="358">
      <c r="A358" s="575"/>
      <c r="B358" s="575"/>
      <c r="C358" s="612"/>
      <c r="D358" s="575"/>
      <c r="E358" s="575"/>
      <c r="F358" s="575"/>
      <c r="G358" s="575"/>
      <c r="H358" s="575"/>
      <c r="I358" s="575"/>
      <c r="J358" s="575"/>
      <c r="K358" s="575"/>
      <c r="L358" s="575"/>
      <c r="M358" s="575"/>
      <c r="N358" s="575"/>
      <c r="O358" s="575"/>
      <c r="P358" s="575"/>
      <c r="Q358" s="575"/>
      <c r="R358" s="575"/>
      <c r="S358" s="575"/>
      <c r="T358" s="575"/>
    </row>
    <row r="359">
      <c r="A359" s="575"/>
      <c r="B359" s="575"/>
      <c r="C359" s="612"/>
      <c r="D359" s="575"/>
      <c r="E359" s="575"/>
      <c r="F359" s="575"/>
      <c r="G359" s="575"/>
      <c r="H359" s="575"/>
      <c r="I359" s="575"/>
      <c r="J359" s="575"/>
      <c r="K359" s="575"/>
      <c r="L359" s="575"/>
      <c r="M359" s="575"/>
      <c r="N359" s="575"/>
      <c r="O359" s="575"/>
      <c r="P359" s="575"/>
      <c r="Q359" s="575"/>
      <c r="R359" s="575"/>
      <c r="S359" s="575"/>
      <c r="T359" s="575"/>
    </row>
    <row r="360">
      <c r="A360" s="575"/>
      <c r="B360" s="575"/>
      <c r="C360" s="612"/>
      <c r="D360" s="575"/>
      <c r="E360" s="575"/>
      <c r="F360" s="575"/>
      <c r="G360" s="575"/>
      <c r="H360" s="575"/>
      <c r="I360" s="575"/>
      <c r="J360" s="575"/>
      <c r="K360" s="575"/>
      <c r="L360" s="575"/>
      <c r="M360" s="575"/>
      <c r="N360" s="575"/>
      <c r="O360" s="575"/>
      <c r="P360" s="575"/>
      <c r="Q360" s="575"/>
      <c r="R360" s="575"/>
      <c r="S360" s="575"/>
      <c r="T360" s="575"/>
    </row>
    <row r="361">
      <c r="A361" s="575"/>
      <c r="B361" s="575"/>
      <c r="C361" s="612"/>
      <c r="D361" s="575"/>
      <c r="E361" s="575"/>
      <c r="F361" s="575"/>
      <c r="G361" s="575"/>
      <c r="H361" s="575"/>
      <c r="I361" s="575"/>
      <c r="J361" s="575"/>
      <c r="K361" s="575"/>
      <c r="L361" s="575"/>
      <c r="M361" s="575"/>
      <c r="N361" s="575"/>
      <c r="O361" s="575"/>
      <c r="P361" s="575"/>
      <c r="Q361" s="575"/>
      <c r="R361" s="575"/>
      <c r="S361" s="575"/>
      <c r="T361" s="575"/>
    </row>
    <row r="362">
      <c r="A362" s="575"/>
      <c r="B362" s="575"/>
      <c r="C362" s="612"/>
      <c r="D362" s="575"/>
      <c r="E362" s="575"/>
      <c r="F362" s="575"/>
      <c r="G362" s="575"/>
      <c r="H362" s="575"/>
      <c r="I362" s="575"/>
      <c r="J362" s="575"/>
      <c r="K362" s="575"/>
      <c r="L362" s="575"/>
      <c r="M362" s="575"/>
      <c r="N362" s="575"/>
      <c r="O362" s="575"/>
      <c r="P362" s="575"/>
      <c r="Q362" s="575"/>
      <c r="R362" s="575"/>
      <c r="S362" s="575"/>
      <c r="T362" s="575"/>
    </row>
    <row r="363">
      <c r="A363" s="575"/>
      <c r="B363" s="575"/>
      <c r="C363" s="612"/>
      <c r="D363" s="575"/>
      <c r="E363" s="575"/>
      <c r="F363" s="575"/>
      <c r="G363" s="575"/>
      <c r="H363" s="575"/>
      <c r="I363" s="575"/>
      <c r="J363" s="575"/>
      <c r="K363" s="575"/>
      <c r="L363" s="575"/>
      <c r="M363" s="575"/>
      <c r="N363" s="575"/>
      <c r="O363" s="575"/>
      <c r="P363" s="575"/>
      <c r="Q363" s="575"/>
      <c r="R363" s="575"/>
      <c r="S363" s="575"/>
      <c r="T363" s="575"/>
    </row>
    <row r="364">
      <c r="A364" s="575"/>
      <c r="B364" s="575"/>
      <c r="C364" s="612"/>
      <c r="D364" s="575"/>
      <c r="E364" s="575"/>
      <c r="F364" s="575"/>
      <c r="G364" s="575"/>
      <c r="H364" s="575"/>
      <c r="I364" s="575"/>
      <c r="J364" s="575"/>
      <c r="K364" s="575"/>
      <c r="L364" s="575"/>
      <c r="M364" s="575"/>
      <c r="N364" s="575"/>
      <c r="O364" s="575"/>
      <c r="P364" s="575"/>
      <c r="Q364" s="575"/>
      <c r="R364" s="575"/>
      <c r="S364" s="575"/>
      <c r="T364" s="575"/>
    </row>
    <row r="365">
      <c r="A365" s="575"/>
      <c r="B365" s="575"/>
      <c r="C365" s="612"/>
      <c r="D365" s="575"/>
      <c r="E365" s="575"/>
      <c r="F365" s="575"/>
      <c r="G365" s="575"/>
      <c r="H365" s="575"/>
      <c r="I365" s="575"/>
      <c r="J365" s="575"/>
      <c r="K365" s="575"/>
      <c r="L365" s="575"/>
      <c r="M365" s="575"/>
      <c r="N365" s="575"/>
      <c r="O365" s="575"/>
      <c r="P365" s="575"/>
      <c r="Q365" s="575"/>
      <c r="R365" s="575"/>
      <c r="S365" s="575"/>
      <c r="T365" s="575"/>
    </row>
    <row r="366">
      <c r="A366" s="575"/>
      <c r="B366" s="575"/>
      <c r="C366" s="612"/>
      <c r="D366" s="575"/>
      <c r="E366" s="575"/>
      <c r="F366" s="575"/>
      <c r="G366" s="575"/>
      <c r="H366" s="575"/>
      <c r="I366" s="575"/>
      <c r="J366" s="575"/>
      <c r="K366" s="575"/>
      <c r="L366" s="575"/>
      <c r="M366" s="575"/>
      <c r="N366" s="575"/>
      <c r="O366" s="575"/>
      <c r="P366" s="575"/>
      <c r="Q366" s="575"/>
      <c r="R366" s="575"/>
      <c r="S366" s="575"/>
      <c r="T366" s="575"/>
    </row>
    <row r="367">
      <c r="A367" s="575"/>
      <c r="B367" s="575"/>
      <c r="C367" s="612"/>
      <c r="D367" s="575"/>
      <c r="E367" s="575"/>
      <c r="F367" s="575"/>
      <c r="G367" s="575"/>
      <c r="H367" s="575"/>
      <c r="I367" s="575"/>
      <c r="J367" s="575"/>
      <c r="K367" s="575"/>
      <c r="L367" s="575"/>
      <c r="M367" s="575"/>
      <c r="N367" s="575"/>
      <c r="O367" s="575"/>
      <c r="P367" s="575"/>
      <c r="Q367" s="575"/>
      <c r="R367" s="575"/>
      <c r="S367" s="575"/>
      <c r="T367" s="575"/>
    </row>
    <row r="368">
      <c r="A368" s="575"/>
      <c r="B368" s="575"/>
      <c r="C368" s="612"/>
      <c r="D368" s="575"/>
      <c r="E368" s="575"/>
      <c r="F368" s="575"/>
      <c r="G368" s="575"/>
      <c r="H368" s="575"/>
      <c r="I368" s="575"/>
      <c r="J368" s="575"/>
      <c r="K368" s="575"/>
      <c r="L368" s="575"/>
      <c r="M368" s="575"/>
      <c r="N368" s="575"/>
      <c r="O368" s="575"/>
      <c r="P368" s="575"/>
      <c r="Q368" s="575"/>
      <c r="R368" s="575"/>
      <c r="S368" s="575"/>
      <c r="T368" s="575"/>
    </row>
    <row r="369">
      <c r="A369" s="575"/>
      <c r="B369" s="575"/>
      <c r="C369" s="612"/>
      <c r="D369" s="575"/>
      <c r="E369" s="575"/>
      <c r="F369" s="575"/>
      <c r="G369" s="575"/>
      <c r="H369" s="575"/>
      <c r="I369" s="575"/>
      <c r="J369" s="575"/>
      <c r="K369" s="575"/>
      <c r="L369" s="575"/>
      <c r="M369" s="575"/>
      <c r="N369" s="575"/>
      <c r="O369" s="575"/>
      <c r="P369" s="575"/>
      <c r="Q369" s="575"/>
      <c r="R369" s="575"/>
      <c r="S369" s="575"/>
      <c r="T369" s="575"/>
    </row>
    <row r="370">
      <c r="A370" s="575"/>
      <c r="B370" s="575"/>
      <c r="C370" s="612"/>
      <c r="D370" s="575"/>
      <c r="E370" s="575"/>
      <c r="F370" s="575"/>
      <c r="G370" s="575"/>
      <c r="H370" s="575"/>
      <c r="I370" s="575"/>
      <c r="J370" s="575"/>
      <c r="K370" s="575"/>
      <c r="L370" s="575"/>
      <c r="M370" s="575"/>
      <c r="N370" s="575"/>
      <c r="O370" s="575"/>
      <c r="P370" s="575"/>
      <c r="Q370" s="575"/>
      <c r="R370" s="575"/>
      <c r="S370" s="575"/>
      <c r="T370" s="575"/>
    </row>
    <row r="371">
      <c r="A371" s="575"/>
      <c r="B371" s="575"/>
      <c r="C371" s="612"/>
      <c r="D371" s="575"/>
      <c r="E371" s="575"/>
      <c r="F371" s="575"/>
      <c r="G371" s="575"/>
      <c r="H371" s="575"/>
      <c r="I371" s="575"/>
      <c r="J371" s="575"/>
      <c r="K371" s="575"/>
      <c r="L371" s="575"/>
      <c r="M371" s="575"/>
      <c r="N371" s="575"/>
      <c r="O371" s="575"/>
      <c r="P371" s="575"/>
      <c r="Q371" s="575"/>
      <c r="R371" s="575"/>
      <c r="S371" s="575"/>
      <c r="T371" s="575"/>
    </row>
    <row r="372">
      <c r="A372" s="575"/>
      <c r="B372" s="575"/>
      <c r="C372" s="612"/>
      <c r="D372" s="575"/>
      <c r="E372" s="575"/>
      <c r="F372" s="575"/>
      <c r="G372" s="575"/>
      <c r="H372" s="575"/>
      <c r="I372" s="575"/>
      <c r="J372" s="575"/>
      <c r="K372" s="575"/>
      <c r="L372" s="575"/>
      <c r="M372" s="575"/>
      <c r="N372" s="575"/>
      <c r="O372" s="575"/>
      <c r="P372" s="575"/>
      <c r="Q372" s="575"/>
      <c r="R372" s="575"/>
      <c r="S372" s="575"/>
      <c r="T372" s="575"/>
    </row>
    <row r="373">
      <c r="A373" s="575"/>
      <c r="B373" s="575"/>
      <c r="C373" s="612"/>
      <c r="D373" s="575"/>
      <c r="E373" s="575"/>
      <c r="F373" s="575"/>
      <c r="G373" s="575"/>
      <c r="H373" s="575"/>
      <c r="I373" s="575"/>
      <c r="J373" s="575"/>
      <c r="K373" s="575"/>
      <c r="L373" s="575"/>
      <c r="M373" s="575"/>
      <c r="N373" s="575"/>
      <c r="O373" s="575"/>
      <c r="P373" s="575"/>
      <c r="Q373" s="575"/>
      <c r="R373" s="575"/>
      <c r="S373" s="575"/>
      <c r="T373" s="575"/>
    </row>
    <row r="374">
      <c r="A374" s="575"/>
      <c r="B374" s="575"/>
      <c r="C374" s="612"/>
      <c r="D374" s="575"/>
      <c r="E374" s="575"/>
      <c r="F374" s="575"/>
      <c r="G374" s="575"/>
      <c r="H374" s="575"/>
      <c r="I374" s="575"/>
      <c r="J374" s="575"/>
      <c r="K374" s="575"/>
      <c r="L374" s="575"/>
      <c r="M374" s="575"/>
      <c r="N374" s="575"/>
      <c r="O374" s="575"/>
      <c r="P374" s="575"/>
      <c r="Q374" s="575"/>
      <c r="R374" s="575"/>
      <c r="S374" s="575"/>
      <c r="T374" s="575"/>
    </row>
    <row r="375">
      <c r="A375" s="575"/>
      <c r="B375" s="575"/>
      <c r="C375" s="612"/>
      <c r="D375" s="575"/>
      <c r="E375" s="575"/>
      <c r="F375" s="575"/>
      <c r="G375" s="575"/>
      <c r="H375" s="575"/>
      <c r="I375" s="575"/>
      <c r="J375" s="575"/>
      <c r="K375" s="575"/>
      <c r="L375" s="575"/>
      <c r="M375" s="575"/>
      <c r="N375" s="575"/>
      <c r="O375" s="575"/>
      <c r="P375" s="575"/>
      <c r="Q375" s="575"/>
      <c r="R375" s="575"/>
      <c r="S375" s="575"/>
      <c r="T375" s="575"/>
    </row>
    <row r="376">
      <c r="A376" s="575"/>
      <c r="B376" s="575"/>
      <c r="C376" s="612"/>
      <c r="D376" s="575"/>
      <c r="E376" s="575"/>
      <c r="F376" s="575"/>
      <c r="G376" s="575"/>
      <c r="H376" s="575"/>
      <c r="I376" s="575"/>
      <c r="J376" s="575"/>
      <c r="K376" s="575"/>
      <c r="L376" s="575"/>
      <c r="M376" s="575"/>
      <c r="N376" s="575"/>
      <c r="O376" s="575"/>
      <c r="P376" s="575"/>
      <c r="Q376" s="575"/>
      <c r="R376" s="575"/>
      <c r="S376" s="575"/>
      <c r="T376" s="575"/>
    </row>
    <row r="377">
      <c r="A377" s="575"/>
      <c r="B377" s="575"/>
      <c r="C377" s="612"/>
      <c r="D377" s="575"/>
      <c r="E377" s="575"/>
      <c r="F377" s="575"/>
      <c r="G377" s="575"/>
      <c r="H377" s="575"/>
      <c r="I377" s="575"/>
      <c r="J377" s="575"/>
      <c r="K377" s="575"/>
      <c r="L377" s="575"/>
      <c r="M377" s="575"/>
      <c r="N377" s="575"/>
      <c r="O377" s="575"/>
      <c r="P377" s="575"/>
      <c r="Q377" s="575"/>
      <c r="R377" s="575"/>
      <c r="S377" s="575"/>
      <c r="T377" s="575"/>
    </row>
    <row r="378">
      <c r="A378" s="575"/>
      <c r="B378" s="575"/>
      <c r="C378" s="612"/>
      <c r="D378" s="575"/>
      <c r="E378" s="575"/>
      <c r="F378" s="575"/>
      <c r="G378" s="575"/>
      <c r="H378" s="575"/>
      <c r="I378" s="575"/>
      <c r="J378" s="575"/>
      <c r="K378" s="575"/>
      <c r="L378" s="575"/>
      <c r="M378" s="575"/>
      <c r="N378" s="575"/>
      <c r="O378" s="575"/>
      <c r="P378" s="575"/>
      <c r="Q378" s="575"/>
      <c r="R378" s="575"/>
      <c r="S378" s="575"/>
      <c r="T378" s="575"/>
    </row>
    <row r="379">
      <c r="A379" s="575"/>
      <c r="B379" s="575"/>
      <c r="C379" s="612"/>
      <c r="D379" s="575"/>
      <c r="E379" s="575"/>
      <c r="F379" s="575"/>
      <c r="G379" s="575"/>
      <c r="H379" s="575"/>
      <c r="I379" s="575"/>
      <c r="J379" s="575"/>
      <c r="K379" s="575"/>
      <c r="L379" s="575"/>
      <c r="M379" s="575"/>
      <c r="N379" s="575"/>
      <c r="O379" s="575"/>
      <c r="P379" s="575"/>
      <c r="Q379" s="575"/>
      <c r="R379" s="575"/>
      <c r="S379" s="575"/>
      <c r="T379" s="575"/>
    </row>
    <row r="380">
      <c r="A380" s="575"/>
      <c r="B380" s="575"/>
      <c r="C380" s="612"/>
      <c r="D380" s="575"/>
      <c r="E380" s="575"/>
      <c r="F380" s="575"/>
      <c r="G380" s="575"/>
      <c r="H380" s="575"/>
      <c r="I380" s="575"/>
      <c r="J380" s="575"/>
      <c r="K380" s="575"/>
      <c r="L380" s="575"/>
      <c r="M380" s="575"/>
      <c r="N380" s="575"/>
      <c r="O380" s="575"/>
      <c r="P380" s="575"/>
      <c r="Q380" s="575"/>
      <c r="R380" s="575"/>
      <c r="S380" s="575"/>
      <c r="T380" s="575"/>
    </row>
    <row r="381">
      <c r="A381" s="575"/>
      <c r="B381" s="575"/>
      <c r="C381" s="612"/>
      <c r="D381" s="575"/>
      <c r="E381" s="575"/>
      <c r="F381" s="575"/>
      <c r="G381" s="575"/>
      <c r="H381" s="575"/>
      <c r="I381" s="575"/>
      <c r="J381" s="575"/>
      <c r="K381" s="575"/>
      <c r="L381" s="575"/>
      <c r="M381" s="575"/>
      <c r="N381" s="575"/>
      <c r="O381" s="575"/>
      <c r="P381" s="575"/>
      <c r="Q381" s="575"/>
      <c r="R381" s="575"/>
      <c r="S381" s="575"/>
      <c r="T381" s="575"/>
    </row>
    <row r="382">
      <c r="A382" s="575"/>
      <c r="B382" s="575"/>
      <c r="C382" s="612"/>
      <c r="D382" s="575"/>
      <c r="E382" s="575"/>
      <c r="F382" s="575"/>
      <c r="G382" s="575"/>
      <c r="H382" s="575"/>
      <c r="I382" s="575"/>
      <c r="J382" s="575"/>
      <c r="K382" s="575"/>
      <c r="L382" s="575"/>
      <c r="M382" s="575"/>
      <c r="N382" s="575"/>
      <c r="O382" s="575"/>
      <c r="P382" s="575"/>
      <c r="Q382" s="575"/>
      <c r="R382" s="575"/>
      <c r="S382" s="575"/>
      <c r="T382" s="575"/>
    </row>
    <row r="383">
      <c r="A383" s="575"/>
      <c r="B383" s="575"/>
      <c r="C383" s="612"/>
      <c r="D383" s="575"/>
      <c r="E383" s="575"/>
      <c r="F383" s="575"/>
      <c r="G383" s="575"/>
      <c r="H383" s="575"/>
      <c r="I383" s="575"/>
      <c r="J383" s="575"/>
      <c r="K383" s="575"/>
      <c r="L383" s="575"/>
      <c r="M383" s="575"/>
      <c r="N383" s="575"/>
      <c r="O383" s="575"/>
      <c r="P383" s="575"/>
      <c r="Q383" s="575"/>
      <c r="R383" s="575"/>
      <c r="S383" s="575"/>
      <c r="T383" s="575"/>
    </row>
    <row r="384">
      <c r="A384" s="575"/>
      <c r="B384" s="575"/>
      <c r="C384" s="612"/>
      <c r="D384" s="575"/>
      <c r="E384" s="575"/>
      <c r="F384" s="575"/>
      <c r="G384" s="575"/>
      <c r="H384" s="575"/>
      <c r="I384" s="575"/>
      <c r="J384" s="575"/>
      <c r="K384" s="575"/>
      <c r="L384" s="575"/>
      <c r="M384" s="575"/>
      <c r="N384" s="575"/>
      <c r="O384" s="575"/>
      <c r="P384" s="575"/>
      <c r="Q384" s="575"/>
      <c r="R384" s="575"/>
      <c r="S384" s="575"/>
      <c r="T384" s="575"/>
    </row>
    <row r="385">
      <c r="A385" s="575"/>
      <c r="B385" s="575"/>
      <c r="C385" s="612"/>
      <c r="D385" s="575"/>
      <c r="E385" s="575"/>
      <c r="F385" s="575"/>
      <c r="G385" s="575"/>
      <c r="H385" s="575"/>
      <c r="I385" s="575"/>
      <c r="J385" s="575"/>
      <c r="K385" s="575"/>
      <c r="L385" s="575"/>
      <c r="M385" s="575"/>
      <c r="N385" s="575"/>
      <c r="O385" s="575"/>
      <c r="P385" s="575"/>
      <c r="Q385" s="575"/>
      <c r="R385" s="575"/>
      <c r="S385" s="575"/>
      <c r="T385" s="575"/>
    </row>
    <row r="386">
      <c r="A386" s="575"/>
      <c r="B386" s="575"/>
      <c r="C386" s="612"/>
      <c r="D386" s="575"/>
      <c r="E386" s="575"/>
      <c r="F386" s="575"/>
      <c r="G386" s="575"/>
      <c r="H386" s="575"/>
      <c r="I386" s="575"/>
      <c r="J386" s="575"/>
      <c r="K386" s="575"/>
      <c r="L386" s="575"/>
      <c r="M386" s="575"/>
      <c r="N386" s="575"/>
      <c r="O386" s="575"/>
      <c r="P386" s="575"/>
      <c r="Q386" s="575"/>
      <c r="R386" s="575"/>
      <c r="S386" s="575"/>
      <c r="T386" s="575"/>
    </row>
    <row r="387">
      <c r="A387" s="575"/>
      <c r="B387" s="575"/>
      <c r="C387" s="612"/>
      <c r="D387" s="575"/>
      <c r="E387" s="575"/>
      <c r="F387" s="575"/>
      <c r="G387" s="575"/>
      <c r="H387" s="575"/>
      <c r="I387" s="575"/>
      <c r="J387" s="575"/>
      <c r="K387" s="575"/>
      <c r="L387" s="575"/>
      <c r="M387" s="575"/>
      <c r="N387" s="575"/>
      <c r="O387" s="575"/>
      <c r="P387" s="575"/>
      <c r="Q387" s="575"/>
      <c r="R387" s="575"/>
      <c r="S387" s="575"/>
      <c r="T387" s="575"/>
    </row>
    <row r="388">
      <c r="A388" s="575"/>
      <c r="B388" s="575"/>
      <c r="C388" s="612"/>
      <c r="D388" s="575"/>
      <c r="E388" s="575"/>
      <c r="F388" s="575"/>
      <c r="G388" s="575"/>
      <c r="H388" s="575"/>
      <c r="I388" s="575"/>
      <c r="J388" s="575"/>
      <c r="K388" s="575"/>
      <c r="L388" s="575"/>
      <c r="M388" s="575"/>
      <c r="N388" s="575"/>
      <c r="O388" s="575"/>
      <c r="P388" s="575"/>
      <c r="Q388" s="575"/>
      <c r="R388" s="575"/>
      <c r="S388" s="575"/>
      <c r="T388" s="575"/>
    </row>
    <row r="389">
      <c r="A389" s="575"/>
      <c r="B389" s="575"/>
      <c r="C389" s="612"/>
      <c r="D389" s="575"/>
      <c r="E389" s="575"/>
      <c r="F389" s="575"/>
      <c r="G389" s="575"/>
      <c r="H389" s="575"/>
      <c r="I389" s="575"/>
      <c r="J389" s="575"/>
      <c r="K389" s="575"/>
      <c r="L389" s="575"/>
      <c r="M389" s="575"/>
      <c r="N389" s="575"/>
      <c r="O389" s="575"/>
      <c r="P389" s="575"/>
      <c r="Q389" s="575"/>
      <c r="R389" s="575"/>
      <c r="S389" s="575"/>
      <c r="T389" s="575"/>
    </row>
    <row r="390">
      <c r="A390" s="575"/>
      <c r="B390" s="575"/>
      <c r="C390" s="612"/>
      <c r="D390" s="575"/>
      <c r="E390" s="575"/>
      <c r="F390" s="575"/>
      <c r="G390" s="575"/>
      <c r="H390" s="575"/>
      <c r="I390" s="575"/>
      <c r="J390" s="575"/>
      <c r="K390" s="575"/>
      <c r="L390" s="575"/>
      <c r="M390" s="575"/>
      <c r="N390" s="575"/>
      <c r="O390" s="575"/>
      <c r="P390" s="575"/>
      <c r="Q390" s="575"/>
      <c r="R390" s="575"/>
      <c r="S390" s="575"/>
      <c r="T390" s="575"/>
    </row>
    <row r="391">
      <c r="A391" s="575"/>
      <c r="B391" s="575"/>
      <c r="C391" s="612"/>
      <c r="D391" s="575"/>
      <c r="E391" s="575"/>
      <c r="F391" s="575"/>
      <c r="G391" s="575"/>
      <c r="H391" s="575"/>
      <c r="I391" s="575"/>
      <c r="J391" s="575"/>
      <c r="K391" s="575"/>
      <c r="L391" s="575"/>
      <c r="M391" s="575"/>
      <c r="N391" s="575"/>
      <c r="O391" s="575"/>
      <c r="P391" s="575"/>
      <c r="Q391" s="575"/>
      <c r="R391" s="575"/>
      <c r="S391" s="575"/>
      <c r="T391" s="575"/>
    </row>
    <row r="392">
      <c r="A392" s="575"/>
      <c r="B392" s="575"/>
      <c r="C392" s="612"/>
      <c r="D392" s="575"/>
      <c r="E392" s="575"/>
      <c r="F392" s="575"/>
      <c r="G392" s="575"/>
      <c r="H392" s="575"/>
      <c r="I392" s="575"/>
      <c r="J392" s="575"/>
      <c r="K392" s="575"/>
      <c r="L392" s="575"/>
      <c r="M392" s="575"/>
      <c r="N392" s="575"/>
      <c r="O392" s="575"/>
      <c r="P392" s="575"/>
      <c r="Q392" s="575"/>
      <c r="R392" s="575"/>
      <c r="S392" s="575"/>
      <c r="T392" s="575"/>
    </row>
    <row r="393">
      <c r="A393" s="575"/>
      <c r="B393" s="575"/>
      <c r="C393" s="612"/>
      <c r="D393" s="575"/>
      <c r="E393" s="575"/>
      <c r="F393" s="575"/>
      <c r="G393" s="575"/>
      <c r="H393" s="575"/>
      <c r="I393" s="575"/>
      <c r="J393" s="575"/>
      <c r="K393" s="575"/>
      <c r="L393" s="575"/>
      <c r="M393" s="575"/>
      <c r="N393" s="575"/>
      <c r="O393" s="575"/>
      <c r="P393" s="575"/>
      <c r="Q393" s="575"/>
      <c r="R393" s="575"/>
      <c r="S393" s="575"/>
      <c r="T393" s="575"/>
    </row>
    <row r="394">
      <c r="A394" s="575"/>
      <c r="B394" s="575"/>
      <c r="C394" s="612"/>
      <c r="D394" s="575"/>
      <c r="E394" s="575"/>
      <c r="F394" s="575"/>
      <c r="G394" s="575"/>
      <c r="H394" s="575"/>
      <c r="I394" s="575"/>
      <c r="J394" s="575"/>
      <c r="K394" s="575"/>
      <c r="L394" s="575"/>
      <c r="M394" s="575"/>
      <c r="N394" s="575"/>
      <c r="O394" s="575"/>
      <c r="P394" s="575"/>
      <c r="Q394" s="575"/>
      <c r="R394" s="575"/>
      <c r="S394" s="575"/>
      <c r="T394" s="575"/>
    </row>
    <row r="395">
      <c r="A395" s="575"/>
      <c r="B395" s="575"/>
      <c r="C395" s="612"/>
      <c r="D395" s="575"/>
      <c r="E395" s="575"/>
      <c r="F395" s="575"/>
      <c r="G395" s="575"/>
      <c r="H395" s="575"/>
      <c r="I395" s="575"/>
      <c r="J395" s="575"/>
      <c r="K395" s="575"/>
      <c r="L395" s="575"/>
      <c r="M395" s="575"/>
      <c r="N395" s="575"/>
      <c r="O395" s="575"/>
      <c r="P395" s="575"/>
      <c r="Q395" s="575"/>
      <c r="R395" s="575"/>
      <c r="S395" s="575"/>
      <c r="T395" s="575"/>
    </row>
    <row r="396">
      <c r="A396" s="575"/>
      <c r="B396" s="575"/>
      <c r="C396" s="612"/>
      <c r="D396" s="575"/>
      <c r="E396" s="575"/>
      <c r="F396" s="575"/>
      <c r="G396" s="575"/>
      <c r="H396" s="575"/>
      <c r="I396" s="575"/>
      <c r="J396" s="575"/>
      <c r="K396" s="575"/>
      <c r="L396" s="575"/>
      <c r="M396" s="575"/>
      <c r="N396" s="575"/>
      <c r="O396" s="575"/>
      <c r="P396" s="575"/>
      <c r="Q396" s="575"/>
      <c r="R396" s="575"/>
      <c r="S396" s="575"/>
      <c r="T396" s="575"/>
    </row>
    <row r="397">
      <c r="A397" s="575"/>
      <c r="B397" s="575"/>
      <c r="C397" s="612"/>
      <c r="D397" s="575"/>
      <c r="E397" s="575"/>
      <c r="F397" s="575"/>
      <c r="G397" s="575"/>
      <c r="H397" s="575"/>
      <c r="I397" s="575"/>
      <c r="J397" s="575"/>
      <c r="K397" s="575"/>
      <c r="L397" s="575"/>
      <c r="M397" s="575"/>
      <c r="N397" s="575"/>
      <c r="O397" s="575"/>
      <c r="P397" s="575"/>
      <c r="Q397" s="575"/>
      <c r="R397" s="575"/>
      <c r="S397" s="575"/>
      <c r="T397" s="575"/>
    </row>
    <row r="398">
      <c r="A398" s="575"/>
      <c r="B398" s="575"/>
      <c r="C398" s="612"/>
      <c r="D398" s="575"/>
      <c r="E398" s="575"/>
      <c r="F398" s="575"/>
      <c r="G398" s="575"/>
      <c r="H398" s="575"/>
      <c r="I398" s="575"/>
      <c r="J398" s="575"/>
      <c r="K398" s="575"/>
      <c r="L398" s="575"/>
      <c r="M398" s="575"/>
      <c r="N398" s="575"/>
      <c r="O398" s="575"/>
      <c r="P398" s="575"/>
      <c r="Q398" s="575"/>
      <c r="R398" s="575"/>
      <c r="S398" s="575"/>
      <c r="T398" s="575"/>
    </row>
    <row r="399">
      <c r="A399" s="575"/>
      <c r="B399" s="575"/>
      <c r="C399" s="612"/>
      <c r="D399" s="575"/>
      <c r="E399" s="575"/>
      <c r="F399" s="575"/>
      <c r="G399" s="575"/>
      <c r="H399" s="575"/>
      <c r="I399" s="575"/>
      <c r="J399" s="575"/>
      <c r="K399" s="575"/>
      <c r="L399" s="575"/>
      <c r="M399" s="575"/>
      <c r="N399" s="575"/>
      <c r="O399" s="575"/>
      <c r="P399" s="575"/>
      <c r="Q399" s="575"/>
      <c r="R399" s="575"/>
      <c r="S399" s="575"/>
      <c r="T399" s="575"/>
    </row>
    <row r="400">
      <c r="A400" s="575"/>
      <c r="B400" s="575"/>
      <c r="C400" s="612"/>
      <c r="D400" s="575"/>
      <c r="E400" s="575"/>
      <c r="F400" s="575"/>
      <c r="G400" s="575"/>
      <c r="H400" s="575"/>
      <c r="I400" s="575"/>
      <c r="J400" s="575"/>
      <c r="K400" s="575"/>
      <c r="L400" s="575"/>
      <c r="M400" s="575"/>
      <c r="N400" s="575"/>
      <c r="O400" s="575"/>
      <c r="P400" s="575"/>
      <c r="Q400" s="575"/>
      <c r="R400" s="575"/>
      <c r="S400" s="575"/>
      <c r="T400" s="575"/>
    </row>
    <row r="401">
      <c r="A401" s="575"/>
      <c r="B401" s="575"/>
      <c r="C401" s="612"/>
      <c r="D401" s="575"/>
      <c r="E401" s="575"/>
      <c r="F401" s="575"/>
      <c r="G401" s="575"/>
      <c r="H401" s="575"/>
      <c r="I401" s="575"/>
      <c r="J401" s="575"/>
      <c r="K401" s="575"/>
      <c r="L401" s="575"/>
      <c r="M401" s="575"/>
      <c r="N401" s="575"/>
      <c r="O401" s="575"/>
      <c r="P401" s="575"/>
      <c r="Q401" s="575"/>
      <c r="R401" s="575"/>
      <c r="S401" s="575"/>
      <c r="T401" s="575"/>
    </row>
    <row r="402">
      <c r="A402" s="575"/>
      <c r="B402" s="575"/>
      <c r="C402" s="612"/>
      <c r="D402" s="575"/>
      <c r="E402" s="575"/>
      <c r="F402" s="575"/>
      <c r="G402" s="575"/>
      <c r="H402" s="575"/>
      <c r="I402" s="575"/>
      <c r="J402" s="575"/>
      <c r="K402" s="575"/>
      <c r="L402" s="575"/>
      <c r="M402" s="575"/>
      <c r="N402" s="575"/>
      <c r="O402" s="575"/>
      <c r="P402" s="575"/>
      <c r="Q402" s="575"/>
      <c r="R402" s="575"/>
      <c r="S402" s="575"/>
      <c r="T402" s="575"/>
    </row>
    <row r="403">
      <c r="A403" s="575"/>
      <c r="B403" s="575"/>
      <c r="C403" s="612"/>
      <c r="D403" s="575"/>
      <c r="E403" s="575"/>
      <c r="F403" s="575"/>
      <c r="G403" s="575"/>
      <c r="H403" s="575"/>
      <c r="I403" s="575"/>
      <c r="J403" s="575"/>
      <c r="K403" s="575"/>
      <c r="L403" s="575"/>
      <c r="M403" s="575"/>
      <c r="N403" s="575"/>
      <c r="O403" s="575"/>
      <c r="P403" s="575"/>
      <c r="Q403" s="575"/>
      <c r="R403" s="575"/>
      <c r="S403" s="575"/>
      <c r="T403" s="575"/>
    </row>
    <row r="404">
      <c r="A404" s="575"/>
      <c r="B404" s="575"/>
      <c r="C404" s="612"/>
      <c r="D404" s="575"/>
      <c r="E404" s="575"/>
      <c r="F404" s="575"/>
      <c r="G404" s="575"/>
      <c r="H404" s="575"/>
      <c r="I404" s="575"/>
      <c r="J404" s="575"/>
      <c r="K404" s="575"/>
      <c r="L404" s="575"/>
      <c r="M404" s="575"/>
      <c r="N404" s="575"/>
      <c r="O404" s="575"/>
      <c r="P404" s="575"/>
      <c r="Q404" s="575"/>
      <c r="R404" s="575"/>
      <c r="S404" s="575"/>
      <c r="T404" s="575"/>
    </row>
    <row r="405">
      <c r="A405" s="575"/>
      <c r="B405" s="575"/>
      <c r="C405" s="612"/>
      <c r="D405" s="575"/>
      <c r="E405" s="575"/>
      <c r="F405" s="575"/>
      <c r="G405" s="575"/>
      <c r="H405" s="575"/>
      <c r="I405" s="575"/>
      <c r="J405" s="575"/>
      <c r="K405" s="575"/>
      <c r="L405" s="575"/>
      <c r="M405" s="575"/>
      <c r="N405" s="575"/>
      <c r="O405" s="575"/>
      <c r="P405" s="575"/>
      <c r="Q405" s="575"/>
      <c r="R405" s="575"/>
      <c r="S405" s="575"/>
      <c r="T405" s="575"/>
    </row>
    <row r="406">
      <c r="A406" s="575"/>
      <c r="B406" s="575"/>
      <c r="C406" s="612"/>
      <c r="D406" s="575"/>
      <c r="E406" s="575"/>
      <c r="F406" s="575"/>
      <c r="G406" s="575"/>
      <c r="H406" s="575"/>
      <c r="I406" s="575"/>
      <c r="J406" s="575"/>
      <c r="K406" s="575"/>
      <c r="L406" s="575"/>
      <c r="M406" s="575"/>
      <c r="N406" s="575"/>
      <c r="O406" s="575"/>
      <c r="P406" s="575"/>
      <c r="Q406" s="575"/>
      <c r="R406" s="575"/>
      <c r="S406" s="575"/>
      <c r="T406" s="575"/>
    </row>
    <row r="407">
      <c r="A407" s="575"/>
      <c r="B407" s="575"/>
      <c r="C407" s="612"/>
      <c r="D407" s="575"/>
      <c r="E407" s="575"/>
      <c r="F407" s="575"/>
      <c r="G407" s="575"/>
      <c r="H407" s="575"/>
      <c r="I407" s="575"/>
      <c r="J407" s="575"/>
      <c r="K407" s="575"/>
      <c r="L407" s="575"/>
      <c r="M407" s="575"/>
      <c r="N407" s="575"/>
      <c r="O407" s="575"/>
      <c r="P407" s="575"/>
      <c r="Q407" s="575"/>
      <c r="R407" s="575"/>
      <c r="S407" s="575"/>
      <c r="T407" s="575"/>
    </row>
    <row r="408">
      <c r="A408" s="575"/>
      <c r="B408" s="575"/>
      <c r="C408" s="612"/>
      <c r="D408" s="575"/>
      <c r="E408" s="575"/>
      <c r="F408" s="575"/>
      <c r="G408" s="575"/>
      <c r="H408" s="575"/>
      <c r="I408" s="575"/>
      <c r="J408" s="575"/>
      <c r="K408" s="575"/>
      <c r="L408" s="575"/>
      <c r="M408" s="575"/>
      <c r="N408" s="575"/>
      <c r="O408" s="575"/>
      <c r="P408" s="575"/>
      <c r="Q408" s="575"/>
      <c r="R408" s="575"/>
      <c r="S408" s="575"/>
      <c r="T408" s="575"/>
    </row>
    <row r="409">
      <c r="A409" s="575"/>
      <c r="B409" s="575"/>
      <c r="C409" s="612"/>
      <c r="D409" s="575"/>
      <c r="E409" s="575"/>
      <c r="F409" s="575"/>
      <c r="G409" s="575"/>
      <c r="H409" s="575"/>
      <c r="I409" s="575"/>
      <c r="J409" s="575"/>
      <c r="K409" s="575"/>
      <c r="L409" s="575"/>
      <c r="M409" s="575"/>
      <c r="N409" s="575"/>
      <c r="O409" s="575"/>
      <c r="P409" s="575"/>
      <c r="Q409" s="575"/>
      <c r="R409" s="575"/>
      <c r="S409" s="575"/>
      <c r="T409" s="575"/>
    </row>
    <row r="410">
      <c r="A410" s="575"/>
      <c r="B410" s="575"/>
      <c r="C410" s="612"/>
      <c r="D410" s="575"/>
      <c r="E410" s="575"/>
      <c r="F410" s="575"/>
      <c r="G410" s="575"/>
      <c r="H410" s="575"/>
      <c r="I410" s="575"/>
      <c r="J410" s="575"/>
      <c r="K410" s="575"/>
      <c r="L410" s="575"/>
      <c r="M410" s="575"/>
      <c r="N410" s="575"/>
      <c r="O410" s="575"/>
      <c r="P410" s="575"/>
      <c r="Q410" s="575"/>
      <c r="R410" s="575"/>
      <c r="S410" s="575"/>
      <c r="T410" s="575"/>
    </row>
    <row r="411">
      <c r="A411" s="575"/>
      <c r="B411" s="575"/>
      <c r="C411" s="612"/>
      <c r="D411" s="575"/>
      <c r="E411" s="575"/>
      <c r="F411" s="575"/>
      <c r="G411" s="575"/>
      <c r="H411" s="575"/>
      <c r="I411" s="575"/>
      <c r="J411" s="575"/>
      <c r="K411" s="575"/>
      <c r="L411" s="575"/>
      <c r="M411" s="575"/>
      <c r="N411" s="575"/>
      <c r="O411" s="575"/>
      <c r="P411" s="575"/>
      <c r="Q411" s="575"/>
      <c r="R411" s="575"/>
      <c r="S411" s="575"/>
      <c r="T411" s="575"/>
    </row>
    <row r="412">
      <c r="A412" s="575"/>
      <c r="B412" s="575"/>
      <c r="C412" s="612"/>
      <c r="D412" s="575"/>
      <c r="E412" s="575"/>
      <c r="F412" s="575"/>
      <c r="G412" s="575"/>
      <c r="H412" s="575"/>
      <c r="I412" s="575"/>
      <c r="J412" s="575"/>
      <c r="K412" s="575"/>
      <c r="L412" s="575"/>
      <c r="M412" s="575"/>
      <c r="N412" s="575"/>
      <c r="O412" s="575"/>
      <c r="P412" s="575"/>
      <c r="Q412" s="575"/>
      <c r="R412" s="575"/>
      <c r="S412" s="575"/>
      <c r="T412" s="575"/>
    </row>
    <row r="413">
      <c r="A413" s="575"/>
      <c r="B413" s="575"/>
      <c r="C413" s="612"/>
      <c r="D413" s="575"/>
      <c r="E413" s="575"/>
      <c r="F413" s="575"/>
      <c r="G413" s="575"/>
      <c r="H413" s="575"/>
      <c r="I413" s="575"/>
      <c r="J413" s="575"/>
      <c r="K413" s="575"/>
      <c r="L413" s="575"/>
      <c r="M413" s="575"/>
      <c r="N413" s="575"/>
      <c r="O413" s="575"/>
      <c r="P413" s="575"/>
      <c r="Q413" s="575"/>
      <c r="R413" s="575"/>
      <c r="S413" s="575"/>
      <c r="T413" s="575"/>
    </row>
    <row r="414">
      <c r="A414" s="575"/>
      <c r="B414" s="575"/>
      <c r="C414" s="612"/>
      <c r="D414" s="575"/>
      <c r="E414" s="575"/>
      <c r="F414" s="575"/>
      <c r="G414" s="575"/>
      <c r="H414" s="575"/>
      <c r="I414" s="575"/>
      <c r="J414" s="575"/>
      <c r="K414" s="575"/>
      <c r="L414" s="575"/>
      <c r="M414" s="575"/>
      <c r="N414" s="575"/>
      <c r="O414" s="575"/>
      <c r="P414" s="575"/>
      <c r="Q414" s="575"/>
      <c r="R414" s="575"/>
      <c r="S414" s="575"/>
      <c r="T414" s="575"/>
    </row>
    <row r="415">
      <c r="A415" s="575"/>
      <c r="B415" s="575"/>
      <c r="C415" s="612"/>
      <c r="D415" s="575"/>
      <c r="E415" s="575"/>
      <c r="F415" s="575"/>
      <c r="G415" s="575"/>
      <c r="H415" s="575"/>
      <c r="I415" s="575"/>
      <c r="J415" s="575"/>
      <c r="K415" s="575"/>
      <c r="L415" s="575"/>
      <c r="M415" s="575"/>
      <c r="N415" s="575"/>
      <c r="O415" s="575"/>
      <c r="P415" s="575"/>
      <c r="Q415" s="575"/>
      <c r="R415" s="575"/>
      <c r="S415" s="575"/>
      <c r="T415" s="575"/>
    </row>
    <row r="416">
      <c r="A416" s="575"/>
      <c r="B416" s="575"/>
      <c r="C416" s="612"/>
      <c r="D416" s="575"/>
      <c r="E416" s="575"/>
      <c r="F416" s="575"/>
      <c r="G416" s="575"/>
      <c r="H416" s="575"/>
      <c r="I416" s="575"/>
      <c r="J416" s="575"/>
      <c r="K416" s="575"/>
      <c r="L416" s="575"/>
      <c r="M416" s="575"/>
      <c r="N416" s="575"/>
      <c r="O416" s="575"/>
      <c r="P416" s="575"/>
      <c r="Q416" s="575"/>
      <c r="R416" s="575"/>
      <c r="S416" s="575"/>
      <c r="T416" s="575"/>
    </row>
    <row r="417">
      <c r="A417" s="575"/>
      <c r="B417" s="575"/>
      <c r="C417" s="612"/>
      <c r="D417" s="575"/>
      <c r="E417" s="575"/>
      <c r="F417" s="575"/>
      <c r="G417" s="575"/>
      <c r="H417" s="575"/>
      <c r="I417" s="575"/>
      <c r="J417" s="575"/>
      <c r="K417" s="575"/>
      <c r="L417" s="575"/>
      <c r="M417" s="575"/>
      <c r="N417" s="575"/>
      <c r="O417" s="575"/>
      <c r="P417" s="575"/>
      <c r="Q417" s="575"/>
      <c r="R417" s="575"/>
      <c r="S417" s="575"/>
      <c r="T417" s="575"/>
    </row>
    <row r="418">
      <c r="A418" s="575"/>
      <c r="B418" s="575"/>
      <c r="C418" s="612"/>
      <c r="D418" s="575"/>
      <c r="E418" s="575"/>
      <c r="F418" s="575"/>
      <c r="G418" s="575"/>
      <c r="H418" s="575"/>
      <c r="I418" s="575"/>
      <c r="J418" s="575"/>
      <c r="K418" s="575"/>
      <c r="L418" s="575"/>
      <c r="M418" s="575"/>
      <c r="N418" s="575"/>
      <c r="O418" s="575"/>
      <c r="P418" s="575"/>
      <c r="Q418" s="575"/>
      <c r="R418" s="575"/>
      <c r="S418" s="575"/>
      <c r="T418" s="575"/>
    </row>
    <row r="419">
      <c r="A419" s="575"/>
      <c r="B419" s="575"/>
      <c r="C419" s="612"/>
      <c r="D419" s="575"/>
      <c r="E419" s="575"/>
      <c r="F419" s="575"/>
      <c r="G419" s="575"/>
      <c r="H419" s="575"/>
      <c r="I419" s="575"/>
      <c r="J419" s="575"/>
      <c r="K419" s="575"/>
      <c r="L419" s="575"/>
      <c r="M419" s="575"/>
      <c r="N419" s="575"/>
      <c r="O419" s="575"/>
      <c r="P419" s="575"/>
      <c r="Q419" s="575"/>
      <c r="R419" s="575"/>
      <c r="S419" s="575"/>
      <c r="T419" s="575"/>
    </row>
    <row r="420">
      <c r="A420" s="575"/>
      <c r="B420" s="575"/>
      <c r="C420" s="612"/>
      <c r="D420" s="575"/>
      <c r="E420" s="575"/>
      <c r="F420" s="575"/>
      <c r="G420" s="575"/>
      <c r="H420" s="575"/>
      <c r="I420" s="575"/>
      <c r="J420" s="575"/>
      <c r="K420" s="575"/>
      <c r="L420" s="575"/>
      <c r="M420" s="575"/>
      <c r="N420" s="575"/>
      <c r="O420" s="575"/>
      <c r="P420" s="575"/>
      <c r="Q420" s="575"/>
      <c r="R420" s="575"/>
      <c r="S420" s="575"/>
      <c r="T420" s="575"/>
    </row>
    <row r="421">
      <c r="A421" s="575"/>
      <c r="B421" s="575"/>
      <c r="C421" s="612"/>
      <c r="D421" s="575"/>
      <c r="E421" s="575"/>
      <c r="F421" s="575"/>
      <c r="G421" s="575"/>
      <c r="H421" s="575"/>
      <c r="I421" s="575"/>
      <c r="J421" s="575"/>
      <c r="K421" s="575"/>
      <c r="L421" s="575"/>
      <c r="M421" s="575"/>
      <c r="N421" s="575"/>
      <c r="O421" s="575"/>
      <c r="P421" s="575"/>
      <c r="Q421" s="575"/>
      <c r="R421" s="575"/>
      <c r="S421" s="575"/>
      <c r="T421" s="575"/>
    </row>
    <row r="422">
      <c r="A422" s="575"/>
      <c r="B422" s="575"/>
      <c r="C422" s="612"/>
      <c r="D422" s="575"/>
      <c r="E422" s="575"/>
      <c r="F422" s="575"/>
      <c r="G422" s="575"/>
      <c r="H422" s="575"/>
      <c r="I422" s="575"/>
      <c r="J422" s="575"/>
      <c r="K422" s="575"/>
      <c r="L422" s="575"/>
      <c r="M422" s="575"/>
      <c r="N422" s="575"/>
      <c r="O422" s="575"/>
      <c r="P422" s="575"/>
      <c r="Q422" s="575"/>
      <c r="R422" s="575"/>
      <c r="S422" s="575"/>
      <c r="T422" s="575"/>
    </row>
    <row r="423">
      <c r="A423" s="575"/>
      <c r="B423" s="575"/>
      <c r="C423" s="612"/>
      <c r="D423" s="575"/>
      <c r="E423" s="575"/>
      <c r="F423" s="575"/>
      <c r="G423" s="575"/>
      <c r="H423" s="575"/>
      <c r="I423" s="575"/>
      <c r="J423" s="575"/>
      <c r="K423" s="575"/>
      <c r="L423" s="575"/>
      <c r="M423" s="575"/>
      <c r="N423" s="575"/>
      <c r="O423" s="575"/>
      <c r="P423" s="575"/>
      <c r="Q423" s="575"/>
      <c r="R423" s="575"/>
      <c r="S423" s="575"/>
      <c r="T423" s="575"/>
    </row>
    <row r="424">
      <c r="A424" s="575"/>
      <c r="B424" s="575"/>
      <c r="C424" s="612"/>
      <c r="D424" s="575"/>
      <c r="E424" s="575"/>
      <c r="F424" s="575"/>
      <c r="G424" s="575"/>
      <c r="H424" s="575"/>
      <c r="I424" s="575"/>
      <c r="J424" s="575"/>
      <c r="K424" s="575"/>
      <c r="L424" s="575"/>
      <c r="M424" s="575"/>
      <c r="N424" s="575"/>
      <c r="O424" s="575"/>
      <c r="P424" s="575"/>
      <c r="Q424" s="575"/>
      <c r="R424" s="575"/>
      <c r="S424" s="575"/>
      <c r="T424" s="575"/>
    </row>
    <row r="425">
      <c r="A425" s="575"/>
      <c r="B425" s="575"/>
      <c r="C425" s="612"/>
      <c r="D425" s="575"/>
      <c r="E425" s="575"/>
      <c r="F425" s="575"/>
      <c r="G425" s="575"/>
      <c r="H425" s="575"/>
      <c r="I425" s="575"/>
      <c r="J425" s="575"/>
      <c r="K425" s="575"/>
      <c r="L425" s="575"/>
      <c r="M425" s="575"/>
      <c r="N425" s="575"/>
      <c r="O425" s="575"/>
      <c r="P425" s="575"/>
      <c r="Q425" s="575"/>
      <c r="R425" s="575"/>
      <c r="S425" s="575"/>
      <c r="T425" s="575"/>
    </row>
    <row r="426">
      <c r="A426" s="575"/>
      <c r="B426" s="575"/>
      <c r="C426" s="612"/>
      <c r="D426" s="575"/>
      <c r="E426" s="575"/>
      <c r="F426" s="575"/>
      <c r="G426" s="575"/>
      <c r="H426" s="575"/>
      <c r="I426" s="575"/>
      <c r="J426" s="575"/>
      <c r="K426" s="575"/>
      <c r="L426" s="575"/>
      <c r="M426" s="575"/>
      <c r="N426" s="575"/>
      <c r="O426" s="575"/>
      <c r="P426" s="575"/>
      <c r="Q426" s="575"/>
      <c r="R426" s="575"/>
      <c r="S426" s="575"/>
      <c r="T426" s="575"/>
    </row>
    <row r="427">
      <c r="A427" s="575"/>
      <c r="B427" s="575"/>
      <c r="C427" s="612"/>
      <c r="D427" s="575"/>
      <c r="E427" s="575"/>
      <c r="F427" s="575"/>
      <c r="G427" s="575"/>
      <c r="H427" s="575"/>
      <c r="I427" s="575"/>
      <c r="J427" s="575"/>
      <c r="K427" s="575"/>
      <c r="L427" s="575"/>
      <c r="M427" s="575"/>
      <c r="N427" s="575"/>
      <c r="O427" s="575"/>
      <c r="P427" s="575"/>
      <c r="Q427" s="575"/>
      <c r="R427" s="575"/>
      <c r="S427" s="575"/>
      <c r="T427" s="575"/>
    </row>
    <row r="428">
      <c r="A428" s="575"/>
      <c r="B428" s="575"/>
      <c r="C428" s="612"/>
      <c r="D428" s="575"/>
      <c r="E428" s="575"/>
      <c r="F428" s="575"/>
      <c r="G428" s="575"/>
      <c r="H428" s="575"/>
      <c r="I428" s="575"/>
      <c r="J428" s="575"/>
      <c r="K428" s="575"/>
      <c r="L428" s="575"/>
      <c r="M428" s="575"/>
      <c r="N428" s="575"/>
      <c r="O428" s="575"/>
      <c r="P428" s="575"/>
      <c r="Q428" s="575"/>
      <c r="R428" s="575"/>
      <c r="S428" s="575"/>
      <c r="T428" s="575"/>
    </row>
    <row r="429">
      <c r="A429" s="575"/>
      <c r="B429" s="575"/>
      <c r="C429" s="612"/>
      <c r="D429" s="575"/>
      <c r="E429" s="575"/>
      <c r="F429" s="575"/>
      <c r="G429" s="575"/>
      <c r="H429" s="575"/>
      <c r="I429" s="575"/>
      <c r="J429" s="575"/>
      <c r="K429" s="575"/>
      <c r="L429" s="575"/>
      <c r="M429" s="575"/>
      <c r="N429" s="575"/>
      <c r="O429" s="575"/>
      <c r="P429" s="575"/>
      <c r="Q429" s="575"/>
      <c r="R429" s="575"/>
      <c r="S429" s="575"/>
      <c r="T429" s="575"/>
    </row>
    <row r="430">
      <c r="A430" s="575"/>
      <c r="B430" s="575"/>
      <c r="C430" s="612"/>
      <c r="D430" s="575"/>
      <c r="E430" s="575"/>
      <c r="F430" s="575"/>
      <c r="G430" s="575"/>
      <c r="H430" s="575"/>
      <c r="I430" s="575"/>
      <c r="J430" s="575"/>
      <c r="K430" s="575"/>
      <c r="L430" s="575"/>
      <c r="M430" s="575"/>
      <c r="N430" s="575"/>
      <c r="O430" s="575"/>
      <c r="P430" s="575"/>
      <c r="Q430" s="575"/>
      <c r="R430" s="575"/>
      <c r="S430" s="575"/>
      <c r="T430" s="575"/>
    </row>
    <row r="431">
      <c r="A431" s="575"/>
      <c r="B431" s="575"/>
      <c r="C431" s="612"/>
      <c r="D431" s="575"/>
      <c r="E431" s="575"/>
      <c r="F431" s="575"/>
      <c r="G431" s="575"/>
      <c r="H431" s="575"/>
      <c r="I431" s="575"/>
      <c r="J431" s="575"/>
      <c r="K431" s="575"/>
      <c r="L431" s="575"/>
      <c r="M431" s="575"/>
      <c r="N431" s="575"/>
      <c r="O431" s="575"/>
      <c r="P431" s="575"/>
      <c r="Q431" s="575"/>
      <c r="R431" s="575"/>
      <c r="S431" s="575"/>
      <c r="T431" s="575"/>
    </row>
    <row r="432">
      <c r="A432" s="575"/>
      <c r="B432" s="575"/>
      <c r="C432" s="612"/>
      <c r="D432" s="575"/>
      <c r="E432" s="575"/>
      <c r="F432" s="575"/>
      <c r="G432" s="575"/>
      <c r="H432" s="575"/>
      <c r="I432" s="575"/>
      <c r="J432" s="575"/>
      <c r="K432" s="575"/>
      <c r="L432" s="575"/>
      <c r="M432" s="575"/>
      <c r="N432" s="575"/>
      <c r="O432" s="575"/>
      <c r="P432" s="575"/>
      <c r="Q432" s="575"/>
      <c r="R432" s="575"/>
      <c r="S432" s="575"/>
      <c r="T432" s="575"/>
    </row>
    <row r="433">
      <c r="A433" s="575"/>
      <c r="B433" s="575"/>
      <c r="C433" s="612"/>
      <c r="D433" s="575"/>
      <c r="E433" s="575"/>
      <c r="F433" s="575"/>
      <c r="G433" s="575"/>
      <c r="H433" s="575"/>
      <c r="I433" s="575"/>
      <c r="J433" s="575"/>
      <c r="K433" s="575"/>
      <c r="L433" s="575"/>
      <c r="M433" s="575"/>
      <c r="N433" s="575"/>
      <c r="O433" s="575"/>
      <c r="P433" s="575"/>
      <c r="Q433" s="575"/>
      <c r="R433" s="575"/>
      <c r="S433" s="575"/>
      <c r="T433" s="575"/>
    </row>
    <row r="434">
      <c r="A434" s="575"/>
      <c r="B434" s="575"/>
      <c r="C434" s="612"/>
      <c r="D434" s="575"/>
      <c r="E434" s="575"/>
      <c r="F434" s="575"/>
      <c r="G434" s="575"/>
      <c r="H434" s="575"/>
      <c r="I434" s="575"/>
      <c r="J434" s="575"/>
      <c r="K434" s="575"/>
      <c r="L434" s="575"/>
      <c r="M434" s="575"/>
      <c r="N434" s="575"/>
      <c r="O434" s="575"/>
      <c r="P434" s="575"/>
      <c r="Q434" s="575"/>
      <c r="R434" s="575"/>
      <c r="S434" s="575"/>
      <c r="T434" s="575"/>
    </row>
    <row r="435">
      <c r="A435" s="575"/>
      <c r="B435" s="575"/>
      <c r="C435" s="612"/>
      <c r="D435" s="575"/>
      <c r="E435" s="575"/>
      <c r="F435" s="575"/>
      <c r="G435" s="575"/>
      <c r="H435" s="575"/>
      <c r="I435" s="575"/>
      <c r="J435" s="575"/>
      <c r="K435" s="575"/>
      <c r="L435" s="575"/>
      <c r="M435" s="575"/>
      <c r="N435" s="575"/>
      <c r="O435" s="575"/>
      <c r="P435" s="575"/>
      <c r="Q435" s="575"/>
      <c r="R435" s="575"/>
      <c r="S435" s="575"/>
      <c r="T435" s="575"/>
    </row>
    <row r="436">
      <c r="A436" s="575"/>
      <c r="B436" s="575"/>
      <c r="C436" s="612"/>
      <c r="D436" s="575"/>
      <c r="E436" s="575"/>
      <c r="F436" s="575"/>
      <c r="G436" s="575"/>
      <c r="H436" s="575"/>
      <c r="I436" s="575"/>
      <c r="J436" s="575"/>
      <c r="K436" s="575"/>
      <c r="L436" s="575"/>
      <c r="M436" s="575"/>
      <c r="N436" s="575"/>
      <c r="O436" s="575"/>
      <c r="P436" s="575"/>
      <c r="Q436" s="575"/>
      <c r="R436" s="575"/>
      <c r="S436" s="575"/>
      <c r="T436" s="575"/>
    </row>
    <row r="437">
      <c r="A437" s="575"/>
      <c r="B437" s="575"/>
      <c r="C437" s="612"/>
      <c r="D437" s="575"/>
      <c r="E437" s="575"/>
      <c r="F437" s="575"/>
      <c r="G437" s="575"/>
      <c r="H437" s="575"/>
      <c r="I437" s="575"/>
      <c r="J437" s="575"/>
      <c r="K437" s="575"/>
      <c r="L437" s="575"/>
      <c r="M437" s="575"/>
      <c r="N437" s="575"/>
      <c r="O437" s="575"/>
      <c r="P437" s="575"/>
      <c r="Q437" s="575"/>
      <c r="R437" s="575"/>
      <c r="S437" s="575"/>
      <c r="T437" s="575"/>
    </row>
    <row r="438">
      <c r="A438" s="575"/>
      <c r="B438" s="575"/>
      <c r="C438" s="612"/>
      <c r="D438" s="575"/>
      <c r="E438" s="575"/>
      <c r="F438" s="575"/>
      <c r="G438" s="575"/>
      <c r="H438" s="575"/>
      <c r="I438" s="575"/>
      <c r="J438" s="575"/>
      <c r="K438" s="575"/>
      <c r="L438" s="575"/>
      <c r="M438" s="575"/>
      <c r="N438" s="575"/>
      <c r="O438" s="575"/>
      <c r="P438" s="575"/>
      <c r="Q438" s="575"/>
      <c r="R438" s="575"/>
      <c r="S438" s="575"/>
      <c r="T438" s="575"/>
    </row>
    <row r="439">
      <c r="A439" s="575"/>
      <c r="B439" s="575"/>
      <c r="C439" s="612"/>
      <c r="D439" s="575"/>
      <c r="E439" s="575"/>
      <c r="F439" s="575"/>
      <c r="G439" s="575"/>
      <c r="H439" s="575"/>
      <c r="I439" s="575"/>
      <c r="J439" s="575"/>
      <c r="K439" s="575"/>
      <c r="L439" s="575"/>
      <c r="M439" s="575"/>
      <c r="N439" s="575"/>
      <c r="O439" s="575"/>
      <c r="P439" s="575"/>
      <c r="Q439" s="575"/>
      <c r="R439" s="575"/>
      <c r="S439" s="575"/>
      <c r="T439" s="575"/>
    </row>
    <row r="440">
      <c r="A440" s="575"/>
      <c r="B440" s="575"/>
      <c r="C440" s="612"/>
      <c r="D440" s="575"/>
      <c r="E440" s="575"/>
      <c r="F440" s="575"/>
      <c r="G440" s="575"/>
      <c r="H440" s="575"/>
      <c r="I440" s="575"/>
      <c r="J440" s="575"/>
      <c r="K440" s="575"/>
      <c r="L440" s="575"/>
      <c r="M440" s="575"/>
      <c r="N440" s="575"/>
      <c r="O440" s="575"/>
      <c r="P440" s="575"/>
      <c r="Q440" s="575"/>
      <c r="R440" s="575"/>
      <c r="S440" s="575"/>
      <c r="T440" s="575"/>
    </row>
    <row r="441">
      <c r="A441" s="575"/>
      <c r="B441" s="575"/>
      <c r="C441" s="612"/>
      <c r="D441" s="575"/>
      <c r="E441" s="575"/>
      <c r="F441" s="575"/>
      <c r="G441" s="575"/>
      <c r="H441" s="575"/>
      <c r="I441" s="575"/>
      <c r="J441" s="575"/>
      <c r="K441" s="575"/>
      <c r="L441" s="575"/>
      <c r="M441" s="575"/>
      <c r="N441" s="575"/>
      <c r="O441" s="575"/>
      <c r="P441" s="575"/>
      <c r="Q441" s="575"/>
      <c r="R441" s="575"/>
      <c r="S441" s="575"/>
      <c r="T441" s="575"/>
    </row>
    <row r="442">
      <c r="A442" s="575"/>
      <c r="B442" s="575"/>
      <c r="C442" s="612"/>
      <c r="D442" s="575"/>
      <c r="E442" s="575"/>
      <c r="F442" s="575"/>
      <c r="G442" s="575"/>
      <c r="H442" s="575"/>
      <c r="I442" s="575"/>
      <c r="J442" s="575"/>
      <c r="K442" s="575"/>
      <c r="L442" s="575"/>
      <c r="M442" s="575"/>
      <c r="N442" s="575"/>
      <c r="O442" s="575"/>
      <c r="P442" s="575"/>
      <c r="Q442" s="575"/>
      <c r="R442" s="575"/>
      <c r="S442" s="575"/>
      <c r="T442" s="575"/>
    </row>
    <row r="443">
      <c r="A443" s="575"/>
      <c r="B443" s="575"/>
      <c r="C443" s="612"/>
      <c r="D443" s="575"/>
      <c r="E443" s="575"/>
      <c r="F443" s="575"/>
      <c r="G443" s="575"/>
      <c r="H443" s="575"/>
      <c r="I443" s="575"/>
      <c r="J443" s="575"/>
      <c r="K443" s="575"/>
      <c r="L443" s="575"/>
      <c r="M443" s="575"/>
      <c r="N443" s="575"/>
      <c r="O443" s="575"/>
      <c r="P443" s="575"/>
      <c r="Q443" s="575"/>
      <c r="R443" s="575"/>
      <c r="S443" s="575"/>
      <c r="T443" s="575"/>
    </row>
    <row r="444">
      <c r="A444" s="575"/>
      <c r="B444" s="575"/>
      <c r="C444" s="612"/>
      <c r="D444" s="575"/>
      <c r="E444" s="575"/>
      <c r="F444" s="575"/>
      <c r="G444" s="575"/>
      <c r="H444" s="575"/>
      <c r="I444" s="575"/>
      <c r="J444" s="575"/>
      <c r="K444" s="575"/>
      <c r="L444" s="575"/>
      <c r="M444" s="575"/>
      <c r="N444" s="575"/>
      <c r="O444" s="575"/>
      <c r="P444" s="575"/>
      <c r="Q444" s="575"/>
      <c r="R444" s="575"/>
      <c r="S444" s="575"/>
      <c r="T444" s="575"/>
    </row>
    <row r="445">
      <c r="A445" s="575"/>
      <c r="B445" s="575"/>
      <c r="C445" s="612"/>
      <c r="D445" s="575"/>
      <c r="E445" s="575"/>
      <c r="F445" s="575"/>
      <c r="G445" s="575"/>
      <c r="H445" s="575"/>
      <c r="I445" s="575"/>
      <c r="J445" s="575"/>
      <c r="K445" s="575"/>
      <c r="L445" s="575"/>
      <c r="M445" s="575"/>
      <c r="N445" s="575"/>
      <c r="O445" s="575"/>
      <c r="P445" s="575"/>
      <c r="Q445" s="575"/>
      <c r="R445" s="575"/>
      <c r="S445" s="575"/>
      <c r="T445" s="575"/>
    </row>
    <row r="446">
      <c r="A446" s="575"/>
      <c r="B446" s="575"/>
      <c r="C446" s="612"/>
      <c r="D446" s="575"/>
      <c r="E446" s="575"/>
      <c r="F446" s="575"/>
      <c r="G446" s="575"/>
      <c r="H446" s="575"/>
      <c r="I446" s="575"/>
      <c r="J446" s="575"/>
      <c r="K446" s="575"/>
      <c r="L446" s="575"/>
      <c r="M446" s="575"/>
      <c r="N446" s="575"/>
      <c r="O446" s="575"/>
      <c r="P446" s="575"/>
      <c r="Q446" s="575"/>
      <c r="R446" s="575"/>
      <c r="S446" s="575"/>
      <c r="T446" s="575"/>
    </row>
    <row r="447">
      <c r="A447" s="575"/>
      <c r="B447" s="575"/>
      <c r="C447" s="612"/>
      <c r="D447" s="575"/>
      <c r="E447" s="575"/>
      <c r="F447" s="575"/>
      <c r="G447" s="575"/>
      <c r="H447" s="575"/>
      <c r="I447" s="575"/>
      <c r="J447" s="575"/>
      <c r="K447" s="575"/>
      <c r="L447" s="575"/>
      <c r="M447" s="575"/>
      <c r="N447" s="575"/>
      <c r="O447" s="575"/>
      <c r="P447" s="575"/>
      <c r="Q447" s="575"/>
      <c r="R447" s="575"/>
      <c r="S447" s="575"/>
      <c r="T447" s="575"/>
    </row>
    <row r="448">
      <c r="A448" s="575"/>
      <c r="B448" s="575"/>
      <c r="C448" s="612"/>
      <c r="D448" s="575"/>
      <c r="E448" s="575"/>
      <c r="F448" s="575"/>
      <c r="G448" s="575"/>
      <c r="H448" s="575"/>
      <c r="I448" s="575"/>
      <c r="J448" s="575"/>
      <c r="K448" s="575"/>
      <c r="L448" s="575"/>
      <c r="M448" s="575"/>
      <c r="N448" s="575"/>
      <c r="O448" s="575"/>
      <c r="P448" s="575"/>
      <c r="Q448" s="575"/>
      <c r="R448" s="575"/>
      <c r="S448" s="575"/>
      <c r="T448" s="575"/>
    </row>
    <row r="449">
      <c r="A449" s="575"/>
      <c r="B449" s="575"/>
      <c r="C449" s="612"/>
      <c r="D449" s="575"/>
      <c r="E449" s="575"/>
      <c r="F449" s="575"/>
      <c r="G449" s="575"/>
      <c r="H449" s="575"/>
      <c r="I449" s="575"/>
      <c r="J449" s="575"/>
      <c r="K449" s="575"/>
      <c r="L449" s="575"/>
      <c r="M449" s="575"/>
      <c r="N449" s="575"/>
      <c r="O449" s="575"/>
      <c r="P449" s="575"/>
      <c r="Q449" s="575"/>
      <c r="R449" s="575"/>
      <c r="S449" s="575"/>
      <c r="T449" s="575"/>
    </row>
    <row r="450">
      <c r="A450" s="575"/>
      <c r="B450" s="575"/>
      <c r="C450" s="612"/>
      <c r="D450" s="575"/>
      <c r="E450" s="575"/>
      <c r="F450" s="575"/>
      <c r="G450" s="575"/>
      <c r="H450" s="575"/>
      <c r="I450" s="575"/>
      <c r="J450" s="575"/>
      <c r="K450" s="575"/>
      <c r="L450" s="575"/>
      <c r="M450" s="575"/>
      <c r="N450" s="575"/>
      <c r="O450" s="575"/>
      <c r="P450" s="575"/>
      <c r="Q450" s="575"/>
      <c r="R450" s="575"/>
      <c r="S450" s="575"/>
      <c r="T450" s="575"/>
    </row>
    <row r="451">
      <c r="A451" s="575"/>
      <c r="B451" s="575"/>
      <c r="C451" s="612"/>
      <c r="D451" s="575"/>
      <c r="E451" s="575"/>
      <c r="F451" s="575"/>
      <c r="G451" s="575"/>
      <c r="H451" s="575"/>
      <c r="I451" s="575"/>
      <c r="J451" s="575"/>
      <c r="K451" s="575"/>
      <c r="L451" s="575"/>
      <c r="M451" s="575"/>
      <c r="N451" s="575"/>
      <c r="O451" s="575"/>
      <c r="P451" s="575"/>
      <c r="Q451" s="575"/>
      <c r="R451" s="575"/>
      <c r="S451" s="575"/>
      <c r="T451" s="575"/>
    </row>
    <row r="452">
      <c r="A452" s="575"/>
      <c r="B452" s="575"/>
      <c r="C452" s="612"/>
      <c r="D452" s="575"/>
      <c r="E452" s="575"/>
      <c r="F452" s="575"/>
      <c r="G452" s="575"/>
      <c r="H452" s="575"/>
      <c r="I452" s="575"/>
      <c r="J452" s="575"/>
      <c r="K452" s="575"/>
      <c r="L452" s="575"/>
      <c r="M452" s="575"/>
      <c r="N452" s="575"/>
      <c r="O452" s="575"/>
      <c r="P452" s="575"/>
      <c r="Q452" s="575"/>
      <c r="R452" s="575"/>
      <c r="S452" s="575"/>
      <c r="T452" s="575"/>
    </row>
    <row r="453">
      <c r="A453" s="575"/>
      <c r="B453" s="575"/>
      <c r="C453" s="612"/>
      <c r="D453" s="575"/>
      <c r="E453" s="575"/>
      <c r="F453" s="575"/>
      <c r="G453" s="575"/>
      <c r="H453" s="575"/>
      <c r="I453" s="575"/>
      <c r="J453" s="575"/>
      <c r="K453" s="575"/>
      <c r="L453" s="575"/>
      <c r="M453" s="575"/>
      <c r="N453" s="575"/>
      <c r="O453" s="575"/>
      <c r="P453" s="575"/>
      <c r="Q453" s="575"/>
      <c r="R453" s="575"/>
      <c r="S453" s="575"/>
      <c r="T453" s="575"/>
    </row>
    <row r="454">
      <c r="A454" s="575"/>
      <c r="B454" s="575"/>
      <c r="C454" s="612"/>
      <c r="D454" s="575"/>
      <c r="E454" s="575"/>
      <c r="F454" s="575"/>
      <c r="G454" s="575"/>
      <c r="H454" s="575"/>
      <c r="I454" s="575"/>
      <c r="J454" s="575"/>
      <c r="K454" s="575"/>
      <c r="L454" s="575"/>
      <c r="M454" s="575"/>
      <c r="N454" s="575"/>
      <c r="O454" s="575"/>
      <c r="P454" s="575"/>
      <c r="Q454" s="575"/>
      <c r="R454" s="575"/>
      <c r="S454" s="575"/>
      <c r="T454" s="575"/>
    </row>
    <row r="455">
      <c r="A455" s="575"/>
      <c r="B455" s="575"/>
      <c r="C455" s="612"/>
      <c r="D455" s="575"/>
      <c r="E455" s="575"/>
      <c r="F455" s="575"/>
      <c r="G455" s="575"/>
      <c r="H455" s="575"/>
      <c r="I455" s="575"/>
      <c r="J455" s="575"/>
      <c r="K455" s="575"/>
      <c r="L455" s="575"/>
      <c r="M455" s="575"/>
      <c r="N455" s="575"/>
      <c r="O455" s="575"/>
      <c r="P455" s="575"/>
      <c r="Q455" s="575"/>
      <c r="R455" s="575"/>
      <c r="S455" s="575"/>
      <c r="T455" s="575"/>
    </row>
    <row r="456">
      <c r="A456" s="575"/>
      <c r="B456" s="575"/>
      <c r="C456" s="612"/>
      <c r="D456" s="575"/>
      <c r="E456" s="575"/>
      <c r="F456" s="575"/>
      <c r="G456" s="575"/>
      <c r="H456" s="575"/>
      <c r="I456" s="575"/>
      <c r="J456" s="575"/>
      <c r="K456" s="575"/>
      <c r="L456" s="575"/>
      <c r="M456" s="575"/>
      <c r="N456" s="575"/>
      <c r="O456" s="575"/>
      <c r="P456" s="575"/>
      <c r="Q456" s="575"/>
      <c r="R456" s="575"/>
      <c r="S456" s="575"/>
      <c r="T456" s="575"/>
    </row>
    <row r="457">
      <c r="A457" s="575"/>
      <c r="B457" s="575"/>
      <c r="C457" s="612"/>
      <c r="D457" s="575"/>
      <c r="E457" s="575"/>
      <c r="F457" s="575"/>
      <c r="G457" s="575"/>
      <c r="H457" s="575"/>
      <c r="I457" s="575"/>
      <c r="J457" s="575"/>
      <c r="K457" s="575"/>
      <c r="L457" s="575"/>
      <c r="M457" s="575"/>
      <c r="N457" s="575"/>
      <c r="O457" s="575"/>
      <c r="P457" s="575"/>
      <c r="Q457" s="575"/>
      <c r="R457" s="575"/>
      <c r="S457" s="575"/>
      <c r="T457" s="575"/>
    </row>
    <row r="458">
      <c r="A458" s="575"/>
      <c r="B458" s="575"/>
      <c r="C458" s="612"/>
      <c r="D458" s="575"/>
      <c r="E458" s="575"/>
      <c r="F458" s="575"/>
      <c r="G458" s="575"/>
      <c r="H458" s="575"/>
      <c r="I458" s="575"/>
      <c r="J458" s="575"/>
      <c r="K458" s="575"/>
      <c r="L458" s="575"/>
      <c r="M458" s="575"/>
      <c r="N458" s="575"/>
      <c r="O458" s="575"/>
      <c r="P458" s="575"/>
      <c r="Q458" s="575"/>
      <c r="R458" s="575"/>
      <c r="S458" s="575"/>
      <c r="T458" s="575"/>
    </row>
    <row r="459">
      <c r="A459" s="575"/>
      <c r="B459" s="575"/>
      <c r="C459" s="612"/>
      <c r="D459" s="575"/>
      <c r="E459" s="575"/>
      <c r="F459" s="575"/>
      <c r="G459" s="575"/>
      <c r="H459" s="575"/>
      <c r="I459" s="575"/>
      <c r="J459" s="575"/>
      <c r="K459" s="575"/>
      <c r="L459" s="575"/>
      <c r="M459" s="575"/>
      <c r="N459" s="575"/>
      <c r="O459" s="575"/>
      <c r="P459" s="575"/>
      <c r="Q459" s="575"/>
      <c r="R459" s="575"/>
      <c r="S459" s="575"/>
      <c r="T459" s="575"/>
    </row>
    <row r="460">
      <c r="A460" s="575"/>
      <c r="B460" s="575"/>
      <c r="C460" s="612"/>
      <c r="D460" s="575"/>
      <c r="E460" s="575"/>
      <c r="F460" s="575"/>
      <c r="G460" s="575"/>
      <c r="H460" s="575"/>
      <c r="I460" s="575"/>
      <c r="J460" s="575"/>
      <c r="K460" s="575"/>
      <c r="L460" s="575"/>
      <c r="M460" s="575"/>
      <c r="N460" s="575"/>
      <c r="O460" s="575"/>
      <c r="P460" s="575"/>
      <c r="Q460" s="575"/>
      <c r="R460" s="575"/>
      <c r="S460" s="575"/>
      <c r="T460" s="575"/>
    </row>
    <row r="461">
      <c r="A461" s="575"/>
      <c r="B461" s="575"/>
      <c r="C461" s="612"/>
      <c r="D461" s="575"/>
      <c r="E461" s="575"/>
      <c r="F461" s="575"/>
      <c r="G461" s="575"/>
      <c r="H461" s="575"/>
      <c r="I461" s="575"/>
      <c r="J461" s="575"/>
      <c r="K461" s="575"/>
      <c r="L461" s="575"/>
      <c r="M461" s="575"/>
      <c r="N461" s="575"/>
      <c r="O461" s="575"/>
      <c r="P461" s="575"/>
      <c r="Q461" s="575"/>
      <c r="R461" s="575"/>
      <c r="S461" s="575"/>
      <c r="T461" s="575"/>
    </row>
    <row r="462">
      <c r="A462" s="575"/>
      <c r="B462" s="575"/>
      <c r="C462" s="612"/>
      <c r="D462" s="575"/>
      <c r="E462" s="575"/>
      <c r="F462" s="575"/>
      <c r="G462" s="575"/>
      <c r="H462" s="575"/>
      <c r="I462" s="575"/>
      <c r="J462" s="575"/>
      <c r="K462" s="575"/>
      <c r="L462" s="575"/>
      <c r="M462" s="575"/>
      <c r="N462" s="575"/>
      <c r="O462" s="575"/>
      <c r="P462" s="575"/>
      <c r="Q462" s="575"/>
      <c r="R462" s="575"/>
      <c r="S462" s="575"/>
      <c r="T462" s="575"/>
    </row>
    <row r="463">
      <c r="A463" s="575"/>
      <c r="B463" s="575"/>
      <c r="C463" s="612"/>
      <c r="D463" s="575"/>
      <c r="E463" s="575"/>
      <c r="F463" s="575"/>
      <c r="G463" s="575"/>
      <c r="H463" s="575"/>
      <c r="I463" s="575"/>
      <c r="J463" s="575"/>
      <c r="K463" s="575"/>
      <c r="L463" s="575"/>
      <c r="M463" s="575"/>
      <c r="N463" s="575"/>
      <c r="O463" s="575"/>
      <c r="P463" s="575"/>
      <c r="Q463" s="575"/>
      <c r="R463" s="575"/>
      <c r="S463" s="575"/>
      <c r="T463" s="575"/>
    </row>
    <row r="464">
      <c r="A464" s="575"/>
      <c r="B464" s="575"/>
      <c r="C464" s="612"/>
      <c r="D464" s="575"/>
      <c r="E464" s="575"/>
      <c r="F464" s="575"/>
      <c r="G464" s="575"/>
      <c r="H464" s="575"/>
      <c r="I464" s="575"/>
      <c r="J464" s="575"/>
      <c r="K464" s="575"/>
      <c r="L464" s="575"/>
      <c r="M464" s="575"/>
      <c r="N464" s="575"/>
      <c r="O464" s="575"/>
      <c r="P464" s="575"/>
      <c r="Q464" s="575"/>
      <c r="R464" s="575"/>
      <c r="S464" s="575"/>
      <c r="T464" s="575"/>
    </row>
    <row r="465">
      <c r="A465" s="575"/>
      <c r="B465" s="575"/>
      <c r="C465" s="612"/>
      <c r="D465" s="575"/>
      <c r="E465" s="575"/>
      <c r="F465" s="575"/>
      <c r="G465" s="575"/>
      <c r="H465" s="575"/>
      <c r="I465" s="575"/>
      <c r="J465" s="575"/>
      <c r="K465" s="575"/>
      <c r="L465" s="575"/>
      <c r="M465" s="575"/>
      <c r="N465" s="575"/>
      <c r="O465" s="575"/>
      <c r="P465" s="575"/>
      <c r="Q465" s="575"/>
      <c r="R465" s="575"/>
      <c r="S465" s="575"/>
      <c r="T465" s="575"/>
    </row>
    <row r="466">
      <c r="A466" s="575"/>
      <c r="B466" s="575"/>
      <c r="C466" s="612"/>
      <c r="D466" s="575"/>
      <c r="E466" s="575"/>
      <c r="F466" s="575"/>
      <c r="G466" s="575"/>
      <c r="H466" s="575"/>
      <c r="I466" s="575"/>
      <c r="J466" s="575"/>
      <c r="K466" s="575"/>
      <c r="L466" s="575"/>
      <c r="M466" s="575"/>
      <c r="N466" s="575"/>
      <c r="O466" s="575"/>
      <c r="P466" s="575"/>
      <c r="Q466" s="575"/>
      <c r="R466" s="575"/>
      <c r="S466" s="575"/>
      <c r="T466" s="575"/>
    </row>
    <row r="467">
      <c r="A467" s="575"/>
      <c r="B467" s="575"/>
      <c r="C467" s="612"/>
      <c r="D467" s="575"/>
      <c r="E467" s="575"/>
      <c r="F467" s="575"/>
      <c r="G467" s="575"/>
      <c r="H467" s="575"/>
      <c r="I467" s="575"/>
      <c r="J467" s="575"/>
      <c r="K467" s="575"/>
      <c r="L467" s="575"/>
      <c r="M467" s="575"/>
      <c r="N467" s="575"/>
      <c r="O467" s="575"/>
      <c r="P467" s="575"/>
      <c r="Q467" s="575"/>
      <c r="R467" s="575"/>
      <c r="S467" s="575"/>
      <c r="T467" s="575"/>
    </row>
    <row r="468">
      <c r="A468" s="575"/>
      <c r="B468" s="575"/>
      <c r="C468" s="612"/>
      <c r="D468" s="575"/>
      <c r="E468" s="575"/>
      <c r="F468" s="575"/>
      <c r="G468" s="575"/>
      <c r="H468" s="575"/>
      <c r="I468" s="575"/>
      <c r="J468" s="575"/>
      <c r="K468" s="575"/>
      <c r="L468" s="575"/>
      <c r="M468" s="575"/>
      <c r="N468" s="575"/>
      <c r="O468" s="575"/>
      <c r="P468" s="575"/>
      <c r="Q468" s="575"/>
      <c r="R468" s="575"/>
      <c r="S468" s="575"/>
      <c r="T468" s="575"/>
    </row>
    <row r="469">
      <c r="A469" s="575"/>
      <c r="B469" s="575"/>
      <c r="C469" s="612"/>
      <c r="D469" s="575"/>
      <c r="E469" s="575"/>
      <c r="F469" s="575"/>
      <c r="G469" s="575"/>
      <c r="H469" s="575"/>
      <c r="I469" s="575"/>
      <c r="J469" s="575"/>
      <c r="K469" s="575"/>
      <c r="L469" s="575"/>
      <c r="M469" s="575"/>
      <c r="N469" s="575"/>
      <c r="O469" s="575"/>
      <c r="P469" s="575"/>
      <c r="Q469" s="575"/>
      <c r="R469" s="575"/>
      <c r="S469" s="575"/>
      <c r="T469" s="575"/>
    </row>
    <row r="470">
      <c r="A470" s="575"/>
      <c r="B470" s="575"/>
      <c r="C470" s="612"/>
      <c r="D470" s="575"/>
      <c r="E470" s="575"/>
      <c r="F470" s="575"/>
      <c r="G470" s="575"/>
      <c r="H470" s="575"/>
      <c r="I470" s="575"/>
      <c r="J470" s="575"/>
      <c r="K470" s="575"/>
      <c r="L470" s="575"/>
      <c r="M470" s="575"/>
      <c r="N470" s="575"/>
      <c r="O470" s="575"/>
      <c r="P470" s="575"/>
      <c r="Q470" s="575"/>
      <c r="R470" s="575"/>
      <c r="S470" s="575"/>
      <c r="T470" s="575"/>
    </row>
    <row r="471">
      <c r="A471" s="575"/>
      <c r="B471" s="575"/>
      <c r="C471" s="612"/>
      <c r="D471" s="575"/>
      <c r="E471" s="575"/>
      <c r="F471" s="575"/>
      <c r="G471" s="575"/>
      <c r="H471" s="575"/>
      <c r="I471" s="575"/>
      <c r="J471" s="575"/>
      <c r="K471" s="575"/>
      <c r="L471" s="575"/>
      <c r="M471" s="575"/>
      <c r="N471" s="575"/>
      <c r="O471" s="575"/>
      <c r="P471" s="575"/>
      <c r="Q471" s="575"/>
      <c r="R471" s="575"/>
      <c r="S471" s="575"/>
      <c r="T471" s="575"/>
    </row>
    <row r="472">
      <c r="A472" s="575"/>
      <c r="B472" s="575"/>
      <c r="C472" s="612"/>
      <c r="D472" s="575"/>
      <c r="E472" s="575"/>
      <c r="F472" s="575"/>
      <c r="G472" s="575"/>
      <c r="H472" s="575"/>
      <c r="I472" s="575"/>
      <c r="J472" s="575"/>
      <c r="K472" s="575"/>
      <c r="L472" s="575"/>
      <c r="M472" s="575"/>
      <c r="N472" s="575"/>
      <c r="O472" s="575"/>
      <c r="P472" s="575"/>
      <c r="Q472" s="575"/>
      <c r="R472" s="575"/>
      <c r="S472" s="575"/>
      <c r="T472" s="575"/>
    </row>
    <row r="473">
      <c r="A473" s="575"/>
      <c r="B473" s="575"/>
      <c r="C473" s="612"/>
      <c r="D473" s="575"/>
      <c r="E473" s="575"/>
      <c r="F473" s="575"/>
      <c r="G473" s="575"/>
      <c r="H473" s="575"/>
      <c r="I473" s="575"/>
      <c r="J473" s="575"/>
      <c r="K473" s="575"/>
      <c r="L473" s="575"/>
      <c r="M473" s="575"/>
      <c r="N473" s="575"/>
      <c r="O473" s="575"/>
      <c r="P473" s="575"/>
      <c r="Q473" s="575"/>
      <c r="R473" s="575"/>
      <c r="S473" s="575"/>
      <c r="T473" s="575"/>
    </row>
    <row r="474">
      <c r="A474" s="575"/>
      <c r="B474" s="575"/>
      <c r="C474" s="612"/>
      <c r="D474" s="575"/>
      <c r="E474" s="575"/>
      <c r="F474" s="575"/>
      <c r="G474" s="575"/>
      <c r="H474" s="575"/>
      <c r="I474" s="575"/>
      <c r="J474" s="575"/>
      <c r="K474" s="575"/>
      <c r="L474" s="575"/>
      <c r="M474" s="575"/>
      <c r="N474" s="575"/>
      <c r="O474" s="575"/>
      <c r="P474" s="575"/>
      <c r="Q474" s="575"/>
      <c r="R474" s="575"/>
      <c r="S474" s="575"/>
      <c r="T474" s="575"/>
    </row>
    <row r="475">
      <c r="A475" s="575"/>
      <c r="B475" s="575"/>
      <c r="C475" s="612"/>
      <c r="D475" s="575"/>
      <c r="E475" s="575"/>
      <c r="F475" s="575"/>
      <c r="G475" s="575"/>
      <c r="H475" s="575"/>
      <c r="I475" s="575"/>
      <c r="J475" s="575"/>
      <c r="K475" s="575"/>
      <c r="L475" s="575"/>
      <c r="M475" s="575"/>
      <c r="N475" s="575"/>
      <c r="O475" s="575"/>
      <c r="P475" s="575"/>
      <c r="Q475" s="575"/>
      <c r="R475" s="575"/>
      <c r="S475" s="575"/>
      <c r="T475" s="575"/>
    </row>
    <row r="476">
      <c r="A476" s="575"/>
      <c r="B476" s="575"/>
      <c r="C476" s="612"/>
      <c r="D476" s="575"/>
      <c r="E476" s="575"/>
      <c r="F476" s="575"/>
      <c r="G476" s="575"/>
      <c r="H476" s="575"/>
      <c r="I476" s="575"/>
      <c r="J476" s="575"/>
      <c r="K476" s="575"/>
      <c r="L476" s="575"/>
      <c r="M476" s="575"/>
      <c r="N476" s="575"/>
      <c r="O476" s="575"/>
      <c r="P476" s="575"/>
      <c r="Q476" s="575"/>
      <c r="R476" s="575"/>
      <c r="S476" s="575"/>
      <c r="T476" s="575"/>
    </row>
    <row r="477">
      <c r="A477" s="575"/>
      <c r="B477" s="575"/>
      <c r="C477" s="612"/>
      <c r="D477" s="575"/>
      <c r="E477" s="575"/>
      <c r="F477" s="575"/>
      <c r="G477" s="575"/>
      <c r="H477" s="575"/>
      <c r="I477" s="575"/>
      <c r="J477" s="575"/>
      <c r="K477" s="575"/>
      <c r="L477" s="575"/>
      <c r="M477" s="575"/>
      <c r="N477" s="575"/>
      <c r="O477" s="575"/>
      <c r="P477" s="575"/>
      <c r="Q477" s="575"/>
      <c r="R477" s="575"/>
      <c r="S477" s="575"/>
      <c r="T477" s="575"/>
    </row>
    <row r="478">
      <c r="A478" s="575"/>
      <c r="B478" s="575"/>
      <c r="C478" s="612"/>
      <c r="D478" s="575"/>
      <c r="E478" s="575"/>
      <c r="F478" s="575"/>
      <c r="G478" s="575"/>
      <c r="H478" s="575"/>
      <c r="I478" s="575"/>
      <c r="J478" s="575"/>
      <c r="K478" s="575"/>
      <c r="L478" s="575"/>
      <c r="M478" s="575"/>
      <c r="N478" s="575"/>
      <c r="O478" s="575"/>
      <c r="P478" s="575"/>
      <c r="Q478" s="575"/>
      <c r="R478" s="575"/>
      <c r="S478" s="575"/>
      <c r="T478" s="575"/>
    </row>
    <row r="479">
      <c r="A479" s="575"/>
      <c r="B479" s="575"/>
      <c r="C479" s="612"/>
      <c r="D479" s="575"/>
      <c r="E479" s="575"/>
      <c r="F479" s="575"/>
      <c r="G479" s="575"/>
      <c r="H479" s="575"/>
      <c r="I479" s="575"/>
      <c r="J479" s="575"/>
      <c r="K479" s="575"/>
      <c r="L479" s="575"/>
      <c r="M479" s="575"/>
      <c r="N479" s="575"/>
      <c r="O479" s="575"/>
      <c r="P479" s="575"/>
      <c r="Q479" s="575"/>
      <c r="R479" s="575"/>
      <c r="S479" s="575"/>
      <c r="T479" s="575"/>
    </row>
    <row r="480">
      <c r="A480" s="575"/>
      <c r="B480" s="575"/>
      <c r="C480" s="612"/>
      <c r="D480" s="575"/>
      <c r="E480" s="575"/>
      <c r="F480" s="575"/>
      <c r="G480" s="575"/>
      <c r="H480" s="575"/>
      <c r="I480" s="575"/>
      <c r="J480" s="575"/>
      <c r="K480" s="575"/>
      <c r="L480" s="575"/>
      <c r="M480" s="575"/>
      <c r="N480" s="575"/>
      <c r="O480" s="575"/>
      <c r="P480" s="575"/>
      <c r="Q480" s="575"/>
      <c r="R480" s="575"/>
      <c r="S480" s="575"/>
      <c r="T480" s="575"/>
    </row>
    <row r="481">
      <c r="A481" s="575"/>
      <c r="B481" s="575"/>
      <c r="C481" s="612"/>
      <c r="D481" s="575"/>
      <c r="E481" s="575"/>
      <c r="F481" s="575"/>
      <c r="G481" s="575"/>
      <c r="H481" s="575"/>
      <c r="I481" s="575"/>
      <c r="J481" s="575"/>
      <c r="K481" s="575"/>
      <c r="L481" s="575"/>
      <c r="M481" s="575"/>
      <c r="N481" s="575"/>
      <c r="O481" s="575"/>
      <c r="P481" s="575"/>
      <c r="Q481" s="575"/>
      <c r="R481" s="575"/>
      <c r="S481" s="575"/>
      <c r="T481" s="575"/>
    </row>
    <row r="482">
      <c r="A482" s="575"/>
      <c r="B482" s="575"/>
      <c r="C482" s="612"/>
      <c r="D482" s="575"/>
      <c r="E482" s="575"/>
      <c r="F482" s="575"/>
      <c r="G482" s="575"/>
      <c r="H482" s="575"/>
      <c r="I482" s="575"/>
      <c r="J482" s="575"/>
      <c r="K482" s="575"/>
      <c r="L482" s="575"/>
      <c r="M482" s="575"/>
      <c r="N482" s="575"/>
      <c r="O482" s="575"/>
      <c r="P482" s="575"/>
      <c r="Q482" s="575"/>
      <c r="R482" s="575"/>
      <c r="S482" s="575"/>
      <c r="T482" s="575"/>
    </row>
    <row r="483">
      <c r="A483" s="575"/>
      <c r="B483" s="575"/>
      <c r="C483" s="612"/>
      <c r="D483" s="575"/>
      <c r="E483" s="575"/>
      <c r="F483" s="575"/>
      <c r="G483" s="575"/>
      <c r="H483" s="575"/>
      <c r="I483" s="575"/>
      <c r="J483" s="575"/>
      <c r="K483" s="575"/>
      <c r="L483" s="575"/>
      <c r="M483" s="575"/>
      <c r="N483" s="575"/>
      <c r="O483" s="575"/>
      <c r="P483" s="575"/>
      <c r="Q483" s="575"/>
      <c r="R483" s="575"/>
      <c r="S483" s="575"/>
      <c r="T483" s="575"/>
    </row>
    <row r="484">
      <c r="A484" s="575"/>
      <c r="B484" s="575"/>
      <c r="C484" s="612"/>
      <c r="D484" s="575"/>
      <c r="E484" s="575"/>
      <c r="F484" s="575"/>
      <c r="G484" s="575"/>
      <c r="H484" s="575"/>
      <c r="I484" s="575"/>
      <c r="J484" s="575"/>
      <c r="K484" s="575"/>
      <c r="L484" s="575"/>
      <c r="M484" s="575"/>
      <c r="N484" s="575"/>
      <c r="O484" s="575"/>
      <c r="P484" s="575"/>
      <c r="Q484" s="575"/>
      <c r="R484" s="575"/>
      <c r="S484" s="575"/>
      <c r="T484" s="575"/>
    </row>
    <row r="485">
      <c r="A485" s="575"/>
      <c r="B485" s="575"/>
      <c r="C485" s="612"/>
      <c r="D485" s="575"/>
      <c r="E485" s="575"/>
      <c r="F485" s="575"/>
      <c r="G485" s="575"/>
      <c r="H485" s="575"/>
      <c r="I485" s="575"/>
      <c r="J485" s="575"/>
      <c r="K485" s="575"/>
      <c r="L485" s="575"/>
      <c r="M485" s="575"/>
      <c r="N485" s="575"/>
      <c r="O485" s="575"/>
      <c r="P485" s="575"/>
      <c r="Q485" s="575"/>
      <c r="R485" s="575"/>
      <c r="S485" s="575"/>
      <c r="T485" s="575"/>
    </row>
    <row r="486">
      <c r="A486" s="575"/>
      <c r="B486" s="575"/>
      <c r="C486" s="612"/>
      <c r="D486" s="575"/>
      <c r="E486" s="575"/>
      <c r="F486" s="575"/>
      <c r="G486" s="575"/>
      <c r="H486" s="575"/>
      <c r="I486" s="575"/>
      <c r="J486" s="575"/>
      <c r="K486" s="575"/>
      <c r="L486" s="575"/>
      <c r="M486" s="575"/>
      <c r="N486" s="575"/>
      <c r="O486" s="575"/>
      <c r="P486" s="575"/>
      <c r="Q486" s="575"/>
      <c r="R486" s="575"/>
      <c r="S486" s="575"/>
      <c r="T486" s="575"/>
    </row>
    <row r="487">
      <c r="A487" s="575"/>
      <c r="B487" s="575"/>
      <c r="C487" s="612"/>
      <c r="D487" s="575"/>
      <c r="E487" s="575"/>
      <c r="F487" s="575"/>
      <c r="G487" s="575"/>
      <c r="H487" s="575"/>
      <c r="I487" s="575"/>
      <c r="J487" s="575"/>
      <c r="K487" s="575"/>
      <c r="L487" s="575"/>
      <c r="M487" s="575"/>
      <c r="N487" s="575"/>
      <c r="O487" s="575"/>
      <c r="P487" s="575"/>
      <c r="Q487" s="575"/>
      <c r="R487" s="575"/>
      <c r="S487" s="575"/>
      <c r="T487" s="575"/>
    </row>
    <row r="488">
      <c r="A488" s="575"/>
      <c r="B488" s="575"/>
      <c r="C488" s="612"/>
      <c r="D488" s="575"/>
      <c r="E488" s="575"/>
      <c r="F488" s="575"/>
      <c r="G488" s="575"/>
      <c r="H488" s="575"/>
      <c r="I488" s="575"/>
      <c r="J488" s="575"/>
      <c r="K488" s="575"/>
      <c r="L488" s="575"/>
      <c r="M488" s="575"/>
      <c r="N488" s="575"/>
      <c r="O488" s="575"/>
      <c r="P488" s="575"/>
      <c r="Q488" s="575"/>
      <c r="R488" s="575"/>
      <c r="S488" s="575"/>
      <c r="T488" s="575"/>
    </row>
    <row r="489">
      <c r="A489" s="575"/>
      <c r="B489" s="575"/>
      <c r="C489" s="612"/>
      <c r="D489" s="575"/>
      <c r="E489" s="575"/>
      <c r="F489" s="575"/>
      <c r="G489" s="575"/>
      <c r="H489" s="575"/>
      <c r="I489" s="575"/>
      <c r="J489" s="575"/>
      <c r="K489" s="575"/>
      <c r="L489" s="575"/>
      <c r="M489" s="575"/>
      <c r="N489" s="575"/>
      <c r="O489" s="575"/>
      <c r="P489" s="575"/>
      <c r="Q489" s="575"/>
      <c r="R489" s="575"/>
      <c r="S489" s="575"/>
      <c r="T489" s="575"/>
    </row>
    <row r="490">
      <c r="A490" s="575"/>
      <c r="B490" s="575"/>
      <c r="C490" s="612"/>
      <c r="D490" s="575"/>
      <c r="E490" s="575"/>
      <c r="F490" s="575"/>
      <c r="G490" s="575"/>
      <c r="H490" s="575"/>
      <c r="I490" s="575"/>
      <c r="J490" s="575"/>
      <c r="K490" s="575"/>
      <c r="L490" s="575"/>
      <c r="M490" s="575"/>
      <c r="N490" s="575"/>
      <c r="O490" s="575"/>
      <c r="P490" s="575"/>
      <c r="Q490" s="575"/>
      <c r="R490" s="575"/>
      <c r="S490" s="575"/>
      <c r="T490" s="575"/>
    </row>
    <row r="491">
      <c r="A491" s="575"/>
      <c r="B491" s="575"/>
      <c r="C491" s="612"/>
      <c r="D491" s="575"/>
      <c r="E491" s="575"/>
      <c r="F491" s="575"/>
      <c r="G491" s="575"/>
      <c r="H491" s="575"/>
      <c r="I491" s="575"/>
      <c r="J491" s="575"/>
      <c r="K491" s="575"/>
      <c r="L491" s="575"/>
      <c r="M491" s="575"/>
      <c r="N491" s="575"/>
      <c r="O491" s="575"/>
      <c r="P491" s="575"/>
      <c r="Q491" s="575"/>
      <c r="R491" s="575"/>
      <c r="S491" s="575"/>
      <c r="T491" s="575"/>
    </row>
    <row r="492">
      <c r="A492" s="575"/>
      <c r="B492" s="575"/>
      <c r="C492" s="612"/>
      <c r="D492" s="575"/>
      <c r="E492" s="575"/>
      <c r="F492" s="575"/>
      <c r="G492" s="575"/>
      <c r="H492" s="575"/>
      <c r="I492" s="575"/>
      <c r="J492" s="575"/>
      <c r="K492" s="575"/>
      <c r="L492" s="575"/>
      <c r="M492" s="575"/>
      <c r="N492" s="575"/>
      <c r="O492" s="575"/>
      <c r="P492" s="575"/>
      <c r="Q492" s="575"/>
      <c r="R492" s="575"/>
      <c r="S492" s="575"/>
      <c r="T492" s="575"/>
    </row>
    <row r="493">
      <c r="A493" s="575"/>
      <c r="B493" s="575"/>
      <c r="C493" s="612"/>
      <c r="D493" s="575"/>
      <c r="E493" s="575"/>
      <c r="F493" s="575"/>
      <c r="G493" s="575"/>
      <c r="H493" s="575"/>
      <c r="I493" s="575"/>
      <c r="J493" s="575"/>
      <c r="K493" s="575"/>
      <c r="L493" s="575"/>
      <c r="M493" s="575"/>
      <c r="N493" s="575"/>
      <c r="O493" s="575"/>
      <c r="P493" s="575"/>
      <c r="Q493" s="575"/>
      <c r="R493" s="575"/>
      <c r="S493" s="575"/>
      <c r="T493" s="575"/>
    </row>
    <row r="494">
      <c r="A494" s="575"/>
      <c r="B494" s="575"/>
      <c r="C494" s="612"/>
      <c r="D494" s="575"/>
      <c r="E494" s="575"/>
      <c r="F494" s="575"/>
      <c r="G494" s="575"/>
      <c r="H494" s="575"/>
      <c r="I494" s="575"/>
      <c r="J494" s="575"/>
      <c r="K494" s="575"/>
      <c r="L494" s="575"/>
      <c r="M494" s="575"/>
      <c r="N494" s="575"/>
      <c r="O494" s="575"/>
      <c r="P494" s="575"/>
      <c r="Q494" s="575"/>
      <c r="R494" s="575"/>
      <c r="S494" s="575"/>
      <c r="T494" s="575"/>
    </row>
    <row r="495">
      <c r="A495" s="575"/>
      <c r="B495" s="575"/>
      <c r="C495" s="612"/>
      <c r="D495" s="575"/>
      <c r="E495" s="575"/>
      <c r="F495" s="575"/>
      <c r="G495" s="575"/>
      <c r="H495" s="575"/>
      <c r="I495" s="575"/>
      <c r="J495" s="575"/>
      <c r="K495" s="575"/>
      <c r="L495" s="575"/>
      <c r="M495" s="575"/>
      <c r="N495" s="575"/>
      <c r="O495" s="575"/>
      <c r="P495" s="575"/>
      <c r="Q495" s="575"/>
      <c r="R495" s="575"/>
      <c r="S495" s="575"/>
      <c r="T495" s="575"/>
    </row>
    <row r="496">
      <c r="A496" s="575"/>
      <c r="B496" s="575"/>
      <c r="C496" s="612"/>
      <c r="D496" s="575"/>
      <c r="E496" s="575"/>
      <c r="F496" s="575"/>
      <c r="G496" s="575"/>
      <c r="H496" s="575"/>
      <c r="I496" s="575"/>
      <c r="J496" s="575"/>
      <c r="K496" s="575"/>
      <c r="L496" s="575"/>
      <c r="M496" s="575"/>
      <c r="N496" s="575"/>
      <c r="O496" s="575"/>
      <c r="P496" s="575"/>
      <c r="Q496" s="575"/>
      <c r="R496" s="575"/>
      <c r="S496" s="575"/>
      <c r="T496" s="575"/>
    </row>
    <row r="497">
      <c r="A497" s="575"/>
      <c r="B497" s="575"/>
      <c r="C497" s="612"/>
      <c r="D497" s="575"/>
      <c r="E497" s="575"/>
      <c r="F497" s="575"/>
      <c r="G497" s="575"/>
      <c r="H497" s="575"/>
      <c r="I497" s="575"/>
      <c r="J497" s="575"/>
      <c r="K497" s="575"/>
      <c r="L497" s="575"/>
      <c r="M497" s="575"/>
      <c r="N497" s="575"/>
      <c r="O497" s="575"/>
      <c r="P497" s="575"/>
      <c r="Q497" s="575"/>
      <c r="R497" s="575"/>
      <c r="S497" s="575"/>
      <c r="T497" s="575"/>
    </row>
    <row r="498">
      <c r="A498" s="575"/>
      <c r="B498" s="575"/>
      <c r="C498" s="612"/>
      <c r="D498" s="575"/>
      <c r="E498" s="575"/>
      <c r="F498" s="575"/>
      <c r="G498" s="575"/>
      <c r="H498" s="575"/>
      <c r="I498" s="575"/>
      <c r="J498" s="575"/>
      <c r="K498" s="575"/>
      <c r="L498" s="575"/>
      <c r="M498" s="575"/>
      <c r="N498" s="575"/>
      <c r="O498" s="575"/>
      <c r="P498" s="575"/>
      <c r="Q498" s="575"/>
      <c r="R498" s="575"/>
      <c r="S498" s="575"/>
      <c r="T498" s="575"/>
    </row>
    <row r="499">
      <c r="A499" s="575"/>
      <c r="B499" s="575"/>
      <c r="C499" s="612"/>
      <c r="D499" s="575"/>
      <c r="E499" s="575"/>
      <c r="F499" s="575"/>
      <c r="G499" s="575"/>
      <c r="H499" s="575"/>
      <c r="I499" s="575"/>
      <c r="J499" s="575"/>
      <c r="K499" s="575"/>
      <c r="L499" s="575"/>
      <c r="M499" s="575"/>
      <c r="N499" s="575"/>
      <c r="O499" s="575"/>
      <c r="P499" s="575"/>
      <c r="Q499" s="575"/>
      <c r="R499" s="575"/>
      <c r="S499" s="575"/>
      <c r="T499" s="575"/>
    </row>
    <row r="500">
      <c r="A500" s="575"/>
      <c r="B500" s="575"/>
      <c r="C500" s="612"/>
      <c r="D500" s="575"/>
      <c r="E500" s="575"/>
      <c r="F500" s="575"/>
      <c r="G500" s="575"/>
      <c r="H500" s="575"/>
      <c r="I500" s="575"/>
      <c r="J500" s="575"/>
      <c r="K500" s="575"/>
      <c r="L500" s="575"/>
      <c r="M500" s="575"/>
      <c r="N500" s="575"/>
      <c r="O500" s="575"/>
      <c r="P500" s="575"/>
      <c r="Q500" s="575"/>
      <c r="R500" s="575"/>
      <c r="S500" s="575"/>
      <c r="T500" s="575"/>
    </row>
    <row r="501">
      <c r="A501" s="575"/>
      <c r="B501" s="575"/>
      <c r="C501" s="612"/>
      <c r="D501" s="575"/>
      <c r="E501" s="575"/>
      <c r="F501" s="575"/>
      <c r="G501" s="575"/>
      <c r="H501" s="575"/>
      <c r="I501" s="575"/>
      <c r="J501" s="575"/>
      <c r="K501" s="575"/>
      <c r="L501" s="575"/>
      <c r="M501" s="575"/>
      <c r="N501" s="575"/>
      <c r="O501" s="575"/>
      <c r="P501" s="575"/>
      <c r="Q501" s="575"/>
      <c r="R501" s="575"/>
      <c r="S501" s="575"/>
      <c r="T501" s="575"/>
    </row>
    <row r="502">
      <c r="A502" s="575"/>
      <c r="B502" s="575"/>
      <c r="C502" s="612"/>
      <c r="D502" s="575"/>
      <c r="E502" s="575"/>
      <c r="F502" s="575"/>
      <c r="G502" s="575"/>
      <c r="H502" s="575"/>
      <c r="I502" s="575"/>
      <c r="J502" s="575"/>
      <c r="K502" s="575"/>
      <c r="L502" s="575"/>
      <c r="M502" s="575"/>
      <c r="N502" s="575"/>
      <c r="O502" s="575"/>
      <c r="P502" s="575"/>
      <c r="Q502" s="575"/>
      <c r="R502" s="575"/>
      <c r="S502" s="575"/>
      <c r="T502" s="575"/>
    </row>
    <row r="503">
      <c r="A503" s="575"/>
      <c r="B503" s="575"/>
      <c r="C503" s="612"/>
      <c r="D503" s="575"/>
      <c r="E503" s="575"/>
      <c r="F503" s="575"/>
      <c r="G503" s="575"/>
      <c r="H503" s="575"/>
      <c r="I503" s="575"/>
      <c r="J503" s="575"/>
      <c r="K503" s="575"/>
      <c r="L503" s="575"/>
      <c r="M503" s="575"/>
      <c r="N503" s="575"/>
      <c r="O503" s="575"/>
      <c r="P503" s="575"/>
      <c r="Q503" s="575"/>
      <c r="R503" s="575"/>
      <c r="S503" s="575"/>
      <c r="T503" s="575"/>
    </row>
    <row r="504">
      <c r="A504" s="575"/>
      <c r="B504" s="575"/>
      <c r="C504" s="612"/>
      <c r="D504" s="575"/>
      <c r="E504" s="575"/>
      <c r="F504" s="575"/>
      <c r="G504" s="575"/>
      <c r="H504" s="575"/>
      <c r="I504" s="575"/>
      <c r="J504" s="575"/>
      <c r="K504" s="575"/>
      <c r="L504" s="575"/>
      <c r="M504" s="575"/>
      <c r="N504" s="575"/>
      <c r="O504" s="575"/>
      <c r="P504" s="575"/>
      <c r="Q504" s="575"/>
      <c r="R504" s="575"/>
      <c r="S504" s="575"/>
      <c r="T504" s="575"/>
    </row>
    <row r="505">
      <c r="A505" s="575"/>
      <c r="B505" s="575"/>
      <c r="C505" s="612"/>
      <c r="D505" s="575"/>
      <c r="E505" s="575"/>
      <c r="F505" s="575"/>
      <c r="G505" s="575"/>
      <c r="H505" s="575"/>
      <c r="I505" s="575"/>
      <c r="J505" s="575"/>
      <c r="K505" s="575"/>
      <c r="L505" s="575"/>
      <c r="M505" s="575"/>
      <c r="N505" s="575"/>
      <c r="O505" s="575"/>
      <c r="P505" s="575"/>
      <c r="Q505" s="575"/>
      <c r="R505" s="575"/>
      <c r="S505" s="575"/>
      <c r="T505" s="575"/>
    </row>
    <row r="506">
      <c r="A506" s="575"/>
      <c r="B506" s="575"/>
      <c r="C506" s="612"/>
      <c r="D506" s="575"/>
      <c r="E506" s="575"/>
      <c r="F506" s="575"/>
      <c r="G506" s="575"/>
      <c r="H506" s="575"/>
      <c r="I506" s="575"/>
      <c r="J506" s="575"/>
      <c r="K506" s="575"/>
      <c r="L506" s="575"/>
      <c r="M506" s="575"/>
      <c r="N506" s="575"/>
      <c r="O506" s="575"/>
      <c r="P506" s="575"/>
      <c r="Q506" s="575"/>
      <c r="R506" s="575"/>
      <c r="S506" s="575"/>
      <c r="T506" s="575"/>
    </row>
    <row r="507">
      <c r="A507" s="575"/>
      <c r="B507" s="575"/>
      <c r="C507" s="612"/>
      <c r="D507" s="575"/>
      <c r="E507" s="575"/>
      <c r="F507" s="575"/>
      <c r="G507" s="575"/>
      <c r="H507" s="575"/>
      <c r="I507" s="575"/>
      <c r="J507" s="575"/>
      <c r="K507" s="575"/>
      <c r="L507" s="575"/>
      <c r="M507" s="575"/>
      <c r="N507" s="575"/>
      <c r="O507" s="575"/>
      <c r="P507" s="575"/>
      <c r="Q507" s="575"/>
      <c r="R507" s="575"/>
      <c r="S507" s="575"/>
      <c r="T507" s="575"/>
    </row>
    <row r="508">
      <c r="A508" s="575"/>
      <c r="B508" s="575"/>
      <c r="C508" s="612"/>
      <c r="D508" s="575"/>
      <c r="E508" s="575"/>
      <c r="F508" s="575"/>
      <c r="G508" s="575"/>
      <c r="H508" s="575"/>
      <c r="I508" s="575"/>
      <c r="J508" s="575"/>
      <c r="K508" s="575"/>
      <c r="L508" s="575"/>
      <c r="M508" s="575"/>
      <c r="N508" s="575"/>
      <c r="O508" s="575"/>
      <c r="P508" s="575"/>
      <c r="Q508" s="575"/>
      <c r="R508" s="575"/>
      <c r="S508" s="575"/>
      <c r="T508" s="575"/>
    </row>
    <row r="509">
      <c r="A509" s="575"/>
      <c r="B509" s="575"/>
      <c r="C509" s="612"/>
      <c r="D509" s="575"/>
      <c r="E509" s="575"/>
      <c r="F509" s="575"/>
      <c r="G509" s="575"/>
      <c r="H509" s="575"/>
      <c r="I509" s="575"/>
      <c r="J509" s="575"/>
      <c r="K509" s="575"/>
      <c r="L509" s="575"/>
      <c r="M509" s="575"/>
      <c r="N509" s="575"/>
      <c r="O509" s="575"/>
      <c r="P509" s="575"/>
      <c r="Q509" s="575"/>
      <c r="R509" s="575"/>
      <c r="S509" s="575"/>
      <c r="T509" s="575"/>
    </row>
    <row r="510">
      <c r="A510" s="575"/>
      <c r="B510" s="575"/>
      <c r="C510" s="612"/>
      <c r="D510" s="575"/>
      <c r="E510" s="575"/>
      <c r="F510" s="575"/>
      <c r="G510" s="575"/>
      <c r="H510" s="575"/>
      <c r="I510" s="575"/>
      <c r="J510" s="575"/>
      <c r="K510" s="575"/>
      <c r="L510" s="575"/>
      <c r="M510" s="575"/>
      <c r="N510" s="575"/>
      <c r="O510" s="575"/>
      <c r="P510" s="575"/>
      <c r="Q510" s="575"/>
      <c r="R510" s="575"/>
      <c r="S510" s="575"/>
      <c r="T510" s="575"/>
    </row>
    <row r="511">
      <c r="A511" s="575"/>
      <c r="B511" s="575"/>
      <c r="C511" s="612"/>
      <c r="D511" s="575"/>
      <c r="E511" s="575"/>
      <c r="F511" s="575"/>
      <c r="G511" s="575"/>
      <c r="H511" s="575"/>
      <c r="I511" s="575"/>
      <c r="J511" s="575"/>
      <c r="K511" s="575"/>
      <c r="L511" s="575"/>
      <c r="M511" s="575"/>
      <c r="N511" s="575"/>
      <c r="O511" s="575"/>
      <c r="P511" s="575"/>
      <c r="Q511" s="575"/>
      <c r="R511" s="575"/>
      <c r="S511" s="575"/>
      <c r="T511" s="575"/>
    </row>
    <row r="512">
      <c r="A512" s="575"/>
      <c r="B512" s="575"/>
      <c r="C512" s="612"/>
      <c r="D512" s="575"/>
      <c r="E512" s="575"/>
      <c r="F512" s="575"/>
      <c r="G512" s="575"/>
      <c r="H512" s="575"/>
      <c r="I512" s="575"/>
      <c r="J512" s="575"/>
      <c r="K512" s="575"/>
      <c r="L512" s="575"/>
      <c r="M512" s="575"/>
      <c r="N512" s="575"/>
      <c r="O512" s="575"/>
      <c r="P512" s="575"/>
      <c r="Q512" s="575"/>
      <c r="R512" s="575"/>
      <c r="S512" s="575"/>
      <c r="T512" s="575"/>
    </row>
    <row r="513">
      <c r="A513" s="575"/>
      <c r="B513" s="575"/>
      <c r="C513" s="612"/>
      <c r="D513" s="575"/>
      <c r="E513" s="575"/>
      <c r="F513" s="575"/>
      <c r="G513" s="575"/>
      <c r="H513" s="575"/>
      <c r="I513" s="575"/>
      <c r="J513" s="575"/>
      <c r="K513" s="575"/>
      <c r="L513" s="575"/>
      <c r="M513" s="575"/>
      <c r="N513" s="575"/>
      <c r="O513" s="575"/>
      <c r="P513" s="575"/>
      <c r="Q513" s="575"/>
      <c r="R513" s="575"/>
      <c r="S513" s="575"/>
      <c r="T513" s="575"/>
    </row>
    <row r="514">
      <c r="A514" s="575"/>
      <c r="B514" s="575"/>
      <c r="C514" s="612"/>
      <c r="D514" s="575"/>
      <c r="E514" s="575"/>
      <c r="F514" s="575"/>
      <c r="G514" s="575"/>
      <c r="H514" s="575"/>
      <c r="I514" s="575"/>
      <c r="J514" s="575"/>
      <c r="K514" s="575"/>
      <c r="L514" s="575"/>
      <c r="M514" s="575"/>
      <c r="N514" s="575"/>
      <c r="O514" s="575"/>
      <c r="P514" s="575"/>
      <c r="Q514" s="575"/>
      <c r="R514" s="575"/>
      <c r="S514" s="575"/>
      <c r="T514" s="575"/>
    </row>
    <row r="515">
      <c r="A515" s="575"/>
      <c r="B515" s="575"/>
      <c r="C515" s="612"/>
      <c r="D515" s="575"/>
      <c r="E515" s="575"/>
      <c r="F515" s="575"/>
      <c r="G515" s="575"/>
      <c r="H515" s="575"/>
      <c r="I515" s="575"/>
      <c r="J515" s="575"/>
      <c r="K515" s="575"/>
      <c r="L515" s="575"/>
      <c r="M515" s="575"/>
      <c r="N515" s="575"/>
      <c r="O515" s="575"/>
      <c r="P515" s="575"/>
      <c r="Q515" s="575"/>
      <c r="R515" s="575"/>
      <c r="S515" s="575"/>
      <c r="T515" s="575"/>
    </row>
    <row r="516">
      <c r="A516" s="575"/>
      <c r="B516" s="575"/>
      <c r="C516" s="612"/>
      <c r="D516" s="575"/>
      <c r="E516" s="575"/>
      <c r="F516" s="575"/>
      <c r="G516" s="575"/>
      <c r="H516" s="575"/>
      <c r="I516" s="575"/>
      <c r="J516" s="575"/>
      <c r="K516" s="575"/>
      <c r="L516" s="575"/>
      <c r="M516" s="575"/>
      <c r="N516" s="575"/>
      <c r="O516" s="575"/>
      <c r="P516" s="575"/>
      <c r="Q516" s="575"/>
      <c r="R516" s="575"/>
      <c r="S516" s="575"/>
      <c r="T516" s="575"/>
    </row>
    <row r="517">
      <c r="A517" s="575"/>
      <c r="B517" s="575"/>
      <c r="C517" s="612"/>
      <c r="D517" s="575"/>
      <c r="E517" s="575"/>
      <c r="F517" s="575"/>
      <c r="G517" s="575"/>
      <c r="H517" s="575"/>
      <c r="I517" s="575"/>
      <c r="J517" s="575"/>
      <c r="K517" s="575"/>
      <c r="L517" s="575"/>
      <c r="M517" s="575"/>
      <c r="N517" s="575"/>
      <c r="O517" s="575"/>
      <c r="P517" s="575"/>
      <c r="Q517" s="575"/>
      <c r="R517" s="575"/>
      <c r="S517" s="575"/>
      <c r="T517" s="575"/>
    </row>
    <row r="518">
      <c r="A518" s="575"/>
      <c r="B518" s="575"/>
      <c r="C518" s="612"/>
      <c r="D518" s="575"/>
      <c r="E518" s="575"/>
      <c r="F518" s="575"/>
      <c r="G518" s="575"/>
      <c r="H518" s="575"/>
      <c r="I518" s="575"/>
      <c r="J518" s="575"/>
      <c r="K518" s="575"/>
      <c r="L518" s="575"/>
      <c r="M518" s="575"/>
      <c r="N518" s="575"/>
      <c r="O518" s="575"/>
      <c r="P518" s="575"/>
      <c r="Q518" s="575"/>
      <c r="R518" s="575"/>
      <c r="S518" s="575"/>
      <c r="T518" s="575"/>
    </row>
    <row r="519">
      <c r="A519" s="575"/>
      <c r="B519" s="575"/>
      <c r="C519" s="612"/>
      <c r="D519" s="575"/>
      <c r="E519" s="575"/>
      <c r="F519" s="575"/>
      <c r="G519" s="575"/>
      <c r="H519" s="575"/>
      <c r="I519" s="575"/>
      <c r="J519" s="575"/>
      <c r="K519" s="575"/>
      <c r="L519" s="575"/>
      <c r="M519" s="575"/>
      <c r="N519" s="575"/>
      <c r="O519" s="575"/>
      <c r="P519" s="575"/>
      <c r="Q519" s="575"/>
      <c r="R519" s="575"/>
      <c r="S519" s="575"/>
      <c r="T519" s="575"/>
    </row>
    <row r="520">
      <c r="A520" s="575"/>
      <c r="B520" s="575"/>
      <c r="C520" s="612"/>
      <c r="D520" s="575"/>
      <c r="E520" s="575"/>
      <c r="F520" s="575"/>
      <c r="G520" s="575"/>
      <c r="H520" s="575"/>
      <c r="I520" s="575"/>
      <c r="J520" s="575"/>
      <c r="K520" s="575"/>
      <c r="L520" s="575"/>
      <c r="M520" s="575"/>
      <c r="N520" s="575"/>
      <c r="O520" s="575"/>
      <c r="P520" s="575"/>
      <c r="Q520" s="575"/>
      <c r="R520" s="575"/>
      <c r="S520" s="575"/>
      <c r="T520" s="575"/>
    </row>
    <row r="521">
      <c r="A521" s="575"/>
      <c r="B521" s="575"/>
      <c r="C521" s="612"/>
      <c r="D521" s="575"/>
      <c r="E521" s="575"/>
      <c r="F521" s="575"/>
      <c r="G521" s="575"/>
      <c r="H521" s="575"/>
      <c r="I521" s="575"/>
      <c r="J521" s="575"/>
      <c r="K521" s="575"/>
      <c r="L521" s="575"/>
      <c r="M521" s="575"/>
      <c r="N521" s="575"/>
      <c r="O521" s="575"/>
      <c r="P521" s="575"/>
      <c r="Q521" s="575"/>
      <c r="R521" s="575"/>
      <c r="S521" s="575"/>
      <c r="T521" s="575"/>
    </row>
    <row r="522">
      <c r="A522" s="575"/>
      <c r="B522" s="575"/>
      <c r="C522" s="612"/>
      <c r="D522" s="575"/>
      <c r="E522" s="575"/>
      <c r="F522" s="575"/>
      <c r="G522" s="575"/>
      <c r="H522" s="575"/>
      <c r="I522" s="575"/>
      <c r="J522" s="575"/>
      <c r="K522" s="575"/>
      <c r="L522" s="575"/>
      <c r="M522" s="575"/>
      <c r="N522" s="575"/>
      <c r="O522" s="575"/>
      <c r="P522" s="575"/>
      <c r="Q522" s="575"/>
      <c r="R522" s="575"/>
      <c r="S522" s="575"/>
      <c r="T522" s="575"/>
    </row>
    <row r="523">
      <c r="A523" s="575"/>
      <c r="B523" s="575"/>
      <c r="C523" s="612"/>
      <c r="D523" s="575"/>
      <c r="E523" s="575"/>
      <c r="F523" s="575"/>
      <c r="G523" s="575"/>
      <c r="H523" s="575"/>
      <c r="I523" s="575"/>
      <c r="J523" s="575"/>
      <c r="K523" s="575"/>
      <c r="L523" s="575"/>
      <c r="M523" s="575"/>
      <c r="N523" s="575"/>
      <c r="O523" s="575"/>
      <c r="P523" s="575"/>
      <c r="Q523" s="575"/>
      <c r="R523" s="575"/>
      <c r="S523" s="575"/>
      <c r="T523" s="575"/>
    </row>
    <row r="524">
      <c r="A524" s="575"/>
      <c r="B524" s="575"/>
      <c r="C524" s="612"/>
      <c r="D524" s="575"/>
      <c r="E524" s="575"/>
      <c r="F524" s="575"/>
      <c r="G524" s="575"/>
      <c r="H524" s="575"/>
      <c r="I524" s="575"/>
      <c r="J524" s="575"/>
      <c r="K524" s="575"/>
      <c r="L524" s="575"/>
      <c r="M524" s="575"/>
      <c r="N524" s="575"/>
      <c r="O524" s="575"/>
      <c r="P524" s="575"/>
      <c r="Q524" s="575"/>
      <c r="R524" s="575"/>
      <c r="S524" s="575"/>
      <c r="T524" s="575"/>
    </row>
    <row r="525">
      <c r="A525" s="575"/>
      <c r="B525" s="575"/>
      <c r="C525" s="612"/>
      <c r="D525" s="575"/>
      <c r="E525" s="575"/>
      <c r="F525" s="575"/>
      <c r="G525" s="575"/>
      <c r="H525" s="575"/>
      <c r="I525" s="575"/>
      <c r="J525" s="575"/>
      <c r="K525" s="575"/>
      <c r="L525" s="575"/>
      <c r="M525" s="575"/>
      <c r="N525" s="575"/>
      <c r="O525" s="575"/>
      <c r="P525" s="575"/>
      <c r="Q525" s="575"/>
      <c r="R525" s="575"/>
      <c r="S525" s="575"/>
      <c r="T525" s="575"/>
    </row>
    <row r="526">
      <c r="A526" s="575"/>
      <c r="B526" s="575"/>
      <c r="C526" s="612"/>
      <c r="D526" s="575"/>
      <c r="E526" s="575"/>
      <c r="F526" s="575"/>
      <c r="G526" s="575"/>
      <c r="H526" s="575"/>
      <c r="I526" s="575"/>
      <c r="J526" s="575"/>
      <c r="K526" s="575"/>
      <c r="L526" s="575"/>
      <c r="M526" s="575"/>
      <c r="N526" s="575"/>
      <c r="O526" s="575"/>
      <c r="P526" s="575"/>
      <c r="Q526" s="575"/>
      <c r="R526" s="575"/>
      <c r="S526" s="575"/>
      <c r="T526" s="575"/>
    </row>
    <row r="527">
      <c r="A527" s="575"/>
      <c r="B527" s="575"/>
      <c r="C527" s="612"/>
      <c r="D527" s="575"/>
      <c r="E527" s="575"/>
      <c r="F527" s="575"/>
      <c r="G527" s="575"/>
      <c r="H527" s="575"/>
      <c r="I527" s="575"/>
      <c r="J527" s="575"/>
      <c r="K527" s="575"/>
      <c r="L527" s="575"/>
      <c r="M527" s="575"/>
      <c r="N527" s="575"/>
      <c r="O527" s="575"/>
      <c r="P527" s="575"/>
      <c r="Q527" s="575"/>
      <c r="R527" s="575"/>
      <c r="S527" s="575"/>
      <c r="T527" s="575"/>
    </row>
    <row r="528">
      <c r="A528" s="575"/>
      <c r="B528" s="575"/>
      <c r="C528" s="612"/>
      <c r="D528" s="575"/>
      <c r="E528" s="575"/>
      <c r="F528" s="575"/>
      <c r="G528" s="575"/>
      <c r="H528" s="575"/>
      <c r="I528" s="575"/>
      <c r="J528" s="575"/>
      <c r="K528" s="575"/>
      <c r="L528" s="575"/>
      <c r="M528" s="575"/>
      <c r="N528" s="575"/>
      <c r="O528" s="575"/>
      <c r="P528" s="575"/>
      <c r="Q528" s="575"/>
      <c r="R528" s="575"/>
      <c r="S528" s="575"/>
      <c r="T528" s="575"/>
    </row>
    <row r="529">
      <c r="A529" s="575"/>
      <c r="B529" s="575"/>
      <c r="C529" s="612"/>
      <c r="D529" s="575"/>
      <c r="E529" s="575"/>
      <c r="F529" s="575"/>
      <c r="G529" s="575"/>
      <c r="H529" s="575"/>
      <c r="I529" s="575"/>
      <c r="J529" s="575"/>
      <c r="K529" s="575"/>
      <c r="L529" s="575"/>
      <c r="M529" s="575"/>
      <c r="N529" s="575"/>
      <c r="O529" s="575"/>
      <c r="P529" s="575"/>
      <c r="Q529" s="575"/>
      <c r="R529" s="575"/>
      <c r="S529" s="575"/>
      <c r="T529" s="575"/>
    </row>
    <row r="530">
      <c r="A530" s="575"/>
      <c r="B530" s="575"/>
      <c r="C530" s="612"/>
      <c r="D530" s="575"/>
      <c r="E530" s="575"/>
      <c r="F530" s="575"/>
      <c r="G530" s="575"/>
      <c r="H530" s="575"/>
      <c r="I530" s="575"/>
      <c r="J530" s="575"/>
      <c r="K530" s="575"/>
      <c r="L530" s="575"/>
      <c r="M530" s="575"/>
      <c r="N530" s="575"/>
      <c r="O530" s="575"/>
      <c r="P530" s="575"/>
      <c r="Q530" s="575"/>
      <c r="R530" s="575"/>
      <c r="S530" s="575"/>
      <c r="T530" s="575"/>
    </row>
    <row r="531">
      <c r="A531" s="575"/>
      <c r="B531" s="575"/>
      <c r="C531" s="612"/>
      <c r="D531" s="575"/>
      <c r="E531" s="575"/>
      <c r="F531" s="575"/>
      <c r="G531" s="575"/>
      <c r="H531" s="575"/>
      <c r="I531" s="575"/>
      <c r="J531" s="575"/>
      <c r="K531" s="575"/>
      <c r="L531" s="575"/>
      <c r="M531" s="575"/>
      <c r="N531" s="575"/>
      <c r="O531" s="575"/>
      <c r="P531" s="575"/>
      <c r="Q531" s="575"/>
      <c r="R531" s="575"/>
      <c r="S531" s="575"/>
      <c r="T531" s="575"/>
    </row>
    <row r="532">
      <c r="A532" s="575"/>
      <c r="B532" s="575"/>
      <c r="C532" s="612"/>
      <c r="D532" s="575"/>
      <c r="E532" s="575"/>
      <c r="F532" s="575"/>
      <c r="G532" s="575"/>
      <c r="H532" s="575"/>
      <c r="I532" s="575"/>
      <c r="J532" s="575"/>
      <c r="K532" s="575"/>
      <c r="L532" s="575"/>
      <c r="M532" s="575"/>
      <c r="N532" s="575"/>
      <c r="O532" s="575"/>
      <c r="P532" s="575"/>
      <c r="Q532" s="575"/>
      <c r="R532" s="575"/>
      <c r="S532" s="575"/>
      <c r="T532" s="575"/>
    </row>
    <row r="533">
      <c r="A533" s="575"/>
      <c r="B533" s="575"/>
      <c r="C533" s="612"/>
      <c r="D533" s="575"/>
      <c r="E533" s="575"/>
      <c r="F533" s="575"/>
      <c r="G533" s="575"/>
      <c r="H533" s="575"/>
      <c r="I533" s="575"/>
      <c r="J533" s="575"/>
      <c r="K533" s="575"/>
      <c r="L533" s="575"/>
      <c r="M533" s="575"/>
      <c r="N533" s="575"/>
      <c r="O533" s="575"/>
      <c r="P533" s="575"/>
      <c r="Q533" s="575"/>
      <c r="R533" s="575"/>
      <c r="S533" s="575"/>
      <c r="T533" s="575"/>
    </row>
    <row r="534">
      <c r="A534" s="575"/>
      <c r="B534" s="575"/>
      <c r="C534" s="612"/>
      <c r="D534" s="575"/>
      <c r="E534" s="575"/>
      <c r="F534" s="575"/>
      <c r="G534" s="575"/>
      <c r="H534" s="575"/>
      <c r="I534" s="575"/>
      <c r="J534" s="575"/>
      <c r="K534" s="575"/>
      <c r="L534" s="575"/>
      <c r="M534" s="575"/>
      <c r="N534" s="575"/>
      <c r="O534" s="575"/>
      <c r="P534" s="575"/>
      <c r="Q534" s="575"/>
      <c r="R534" s="575"/>
      <c r="S534" s="575"/>
      <c r="T534" s="575"/>
    </row>
    <row r="535">
      <c r="A535" s="575"/>
      <c r="B535" s="575"/>
      <c r="C535" s="612"/>
      <c r="D535" s="575"/>
      <c r="E535" s="575"/>
      <c r="F535" s="575"/>
      <c r="G535" s="575"/>
      <c r="H535" s="575"/>
      <c r="I535" s="575"/>
      <c r="J535" s="575"/>
      <c r="K535" s="575"/>
      <c r="L535" s="575"/>
      <c r="M535" s="575"/>
      <c r="N535" s="575"/>
      <c r="O535" s="575"/>
      <c r="P535" s="575"/>
      <c r="Q535" s="575"/>
      <c r="R535" s="575"/>
      <c r="S535" s="575"/>
      <c r="T535" s="575"/>
    </row>
    <row r="536">
      <c r="A536" s="575"/>
      <c r="B536" s="575"/>
      <c r="C536" s="612"/>
      <c r="D536" s="575"/>
      <c r="E536" s="575"/>
      <c r="F536" s="575"/>
      <c r="G536" s="575"/>
      <c r="H536" s="575"/>
      <c r="I536" s="575"/>
      <c r="J536" s="575"/>
      <c r="K536" s="575"/>
      <c r="L536" s="575"/>
      <c r="M536" s="575"/>
      <c r="N536" s="575"/>
      <c r="O536" s="575"/>
      <c r="P536" s="575"/>
      <c r="Q536" s="575"/>
      <c r="R536" s="575"/>
      <c r="S536" s="575"/>
      <c r="T536" s="575"/>
    </row>
    <row r="537">
      <c r="A537" s="575"/>
      <c r="B537" s="575"/>
      <c r="C537" s="612"/>
      <c r="D537" s="575"/>
      <c r="E537" s="575"/>
      <c r="F537" s="575"/>
      <c r="G537" s="575"/>
      <c r="H537" s="575"/>
      <c r="I537" s="575"/>
      <c r="J537" s="575"/>
      <c r="K537" s="575"/>
      <c r="L537" s="575"/>
      <c r="M537" s="575"/>
      <c r="N537" s="575"/>
      <c r="O537" s="575"/>
      <c r="P537" s="575"/>
      <c r="Q537" s="575"/>
      <c r="R537" s="575"/>
      <c r="S537" s="575"/>
      <c r="T537" s="575"/>
    </row>
    <row r="538">
      <c r="A538" s="575"/>
      <c r="B538" s="575"/>
      <c r="C538" s="612"/>
      <c r="D538" s="575"/>
      <c r="E538" s="575"/>
      <c r="F538" s="575"/>
      <c r="G538" s="575"/>
      <c r="H538" s="575"/>
      <c r="I538" s="575"/>
      <c r="J538" s="575"/>
      <c r="K538" s="575"/>
      <c r="L538" s="575"/>
      <c r="M538" s="575"/>
      <c r="N538" s="575"/>
      <c r="O538" s="575"/>
      <c r="P538" s="575"/>
      <c r="Q538" s="575"/>
      <c r="R538" s="575"/>
      <c r="S538" s="575"/>
      <c r="T538" s="575"/>
    </row>
    <row r="539">
      <c r="A539" s="575"/>
      <c r="B539" s="575"/>
      <c r="C539" s="612"/>
      <c r="D539" s="575"/>
      <c r="E539" s="575"/>
      <c r="F539" s="575"/>
      <c r="G539" s="575"/>
      <c r="H539" s="575"/>
      <c r="I539" s="575"/>
      <c r="J539" s="575"/>
      <c r="K539" s="575"/>
      <c r="L539" s="575"/>
      <c r="M539" s="575"/>
      <c r="N539" s="575"/>
      <c r="O539" s="575"/>
      <c r="P539" s="575"/>
      <c r="Q539" s="575"/>
      <c r="R539" s="575"/>
      <c r="S539" s="575"/>
      <c r="T539" s="575"/>
    </row>
    <row r="540">
      <c r="A540" s="575"/>
      <c r="B540" s="575"/>
      <c r="C540" s="612"/>
      <c r="D540" s="575"/>
      <c r="E540" s="575"/>
      <c r="F540" s="575"/>
      <c r="G540" s="575"/>
      <c r="H540" s="575"/>
      <c r="I540" s="575"/>
      <c r="J540" s="575"/>
      <c r="K540" s="575"/>
      <c r="L540" s="575"/>
      <c r="M540" s="575"/>
      <c r="N540" s="575"/>
      <c r="O540" s="575"/>
      <c r="P540" s="575"/>
      <c r="Q540" s="575"/>
      <c r="R540" s="575"/>
      <c r="S540" s="575"/>
      <c r="T540" s="575"/>
    </row>
    <row r="541">
      <c r="A541" s="575"/>
      <c r="B541" s="575"/>
      <c r="C541" s="612"/>
      <c r="D541" s="575"/>
      <c r="E541" s="575"/>
      <c r="F541" s="575"/>
      <c r="G541" s="575"/>
      <c r="H541" s="575"/>
      <c r="I541" s="575"/>
      <c r="J541" s="575"/>
      <c r="K541" s="575"/>
      <c r="L541" s="575"/>
      <c r="M541" s="575"/>
      <c r="N541" s="575"/>
      <c r="O541" s="575"/>
      <c r="P541" s="575"/>
      <c r="Q541" s="575"/>
      <c r="R541" s="575"/>
      <c r="S541" s="575"/>
      <c r="T541" s="575"/>
    </row>
    <row r="542">
      <c r="A542" s="575"/>
      <c r="B542" s="575"/>
      <c r="C542" s="612"/>
      <c r="D542" s="575"/>
      <c r="E542" s="575"/>
      <c r="F542" s="575"/>
      <c r="G542" s="575"/>
      <c r="H542" s="575"/>
      <c r="I542" s="575"/>
      <c r="J542" s="575"/>
      <c r="K542" s="575"/>
      <c r="L542" s="575"/>
      <c r="M542" s="575"/>
      <c r="N542" s="575"/>
      <c r="O542" s="575"/>
      <c r="P542" s="575"/>
      <c r="Q542" s="575"/>
      <c r="R542" s="575"/>
      <c r="S542" s="575"/>
      <c r="T542" s="575"/>
    </row>
    <row r="543">
      <c r="A543" s="575"/>
      <c r="B543" s="575"/>
      <c r="C543" s="612"/>
      <c r="D543" s="575"/>
      <c r="E543" s="575"/>
      <c r="F543" s="575"/>
      <c r="G543" s="575"/>
      <c r="H543" s="575"/>
      <c r="I543" s="575"/>
      <c r="J543" s="575"/>
      <c r="K543" s="575"/>
      <c r="L543" s="575"/>
      <c r="M543" s="575"/>
      <c r="N543" s="575"/>
      <c r="O543" s="575"/>
      <c r="P543" s="575"/>
      <c r="Q543" s="575"/>
      <c r="R543" s="575"/>
      <c r="S543" s="575"/>
      <c r="T543" s="575"/>
    </row>
    <row r="544">
      <c r="A544" s="575"/>
      <c r="B544" s="575"/>
      <c r="C544" s="612"/>
      <c r="D544" s="575"/>
      <c r="E544" s="575"/>
      <c r="F544" s="575"/>
      <c r="G544" s="575"/>
      <c r="H544" s="575"/>
      <c r="I544" s="575"/>
      <c r="J544" s="575"/>
      <c r="K544" s="575"/>
      <c r="L544" s="575"/>
      <c r="M544" s="575"/>
      <c r="N544" s="575"/>
      <c r="O544" s="575"/>
      <c r="P544" s="575"/>
      <c r="Q544" s="575"/>
      <c r="R544" s="575"/>
      <c r="S544" s="575"/>
      <c r="T544" s="575"/>
    </row>
    <row r="545">
      <c r="A545" s="575"/>
      <c r="B545" s="575"/>
      <c r="C545" s="612"/>
      <c r="D545" s="575"/>
      <c r="E545" s="575"/>
      <c r="F545" s="575"/>
      <c r="G545" s="575"/>
      <c r="H545" s="575"/>
      <c r="I545" s="575"/>
      <c r="J545" s="575"/>
      <c r="K545" s="575"/>
      <c r="L545" s="575"/>
      <c r="M545" s="575"/>
      <c r="N545" s="575"/>
      <c r="O545" s="575"/>
      <c r="P545" s="575"/>
      <c r="Q545" s="575"/>
      <c r="R545" s="575"/>
      <c r="S545" s="575"/>
      <c r="T545" s="575"/>
    </row>
    <row r="546">
      <c r="A546" s="575"/>
      <c r="B546" s="575"/>
      <c r="C546" s="612"/>
      <c r="D546" s="575"/>
      <c r="E546" s="575"/>
      <c r="F546" s="575"/>
      <c r="G546" s="575"/>
      <c r="H546" s="575"/>
      <c r="I546" s="575"/>
      <c r="J546" s="575"/>
      <c r="K546" s="575"/>
      <c r="L546" s="575"/>
      <c r="M546" s="575"/>
      <c r="N546" s="575"/>
      <c r="O546" s="575"/>
      <c r="P546" s="575"/>
      <c r="Q546" s="575"/>
      <c r="R546" s="575"/>
      <c r="S546" s="575"/>
      <c r="T546" s="575"/>
    </row>
    <row r="547">
      <c r="A547" s="575"/>
      <c r="B547" s="575"/>
      <c r="C547" s="612"/>
      <c r="D547" s="575"/>
      <c r="E547" s="575"/>
      <c r="F547" s="575"/>
      <c r="G547" s="575"/>
      <c r="H547" s="575"/>
      <c r="I547" s="575"/>
      <c r="J547" s="575"/>
      <c r="K547" s="575"/>
      <c r="L547" s="575"/>
      <c r="M547" s="575"/>
      <c r="N547" s="575"/>
      <c r="O547" s="575"/>
      <c r="P547" s="575"/>
      <c r="Q547" s="575"/>
      <c r="R547" s="575"/>
      <c r="S547" s="575"/>
      <c r="T547" s="575"/>
    </row>
    <row r="548">
      <c r="A548" s="575"/>
      <c r="B548" s="575"/>
      <c r="C548" s="612"/>
      <c r="D548" s="575"/>
      <c r="E548" s="575"/>
      <c r="F548" s="575"/>
      <c r="G548" s="575"/>
      <c r="H548" s="575"/>
      <c r="I548" s="575"/>
      <c r="J548" s="575"/>
      <c r="K548" s="575"/>
      <c r="L548" s="575"/>
      <c r="M548" s="575"/>
      <c r="N548" s="575"/>
      <c r="O548" s="575"/>
      <c r="P548" s="575"/>
      <c r="Q548" s="575"/>
      <c r="R548" s="575"/>
      <c r="S548" s="575"/>
      <c r="T548" s="575"/>
    </row>
    <row r="549">
      <c r="A549" s="575"/>
      <c r="B549" s="575"/>
      <c r="C549" s="612"/>
      <c r="D549" s="575"/>
      <c r="E549" s="575"/>
      <c r="F549" s="575"/>
      <c r="G549" s="575"/>
      <c r="H549" s="575"/>
      <c r="I549" s="575"/>
      <c r="J549" s="575"/>
      <c r="K549" s="575"/>
      <c r="L549" s="575"/>
      <c r="M549" s="575"/>
      <c r="N549" s="575"/>
      <c r="O549" s="575"/>
      <c r="P549" s="575"/>
      <c r="Q549" s="575"/>
      <c r="R549" s="575"/>
      <c r="S549" s="575"/>
      <c r="T549" s="575"/>
    </row>
    <row r="550">
      <c r="A550" s="575"/>
      <c r="B550" s="575"/>
      <c r="C550" s="612"/>
      <c r="D550" s="575"/>
      <c r="E550" s="575"/>
      <c r="F550" s="575"/>
      <c r="G550" s="575"/>
      <c r="H550" s="575"/>
      <c r="I550" s="575"/>
      <c r="J550" s="575"/>
      <c r="K550" s="575"/>
      <c r="L550" s="575"/>
      <c r="M550" s="575"/>
      <c r="N550" s="575"/>
      <c r="O550" s="575"/>
      <c r="P550" s="575"/>
      <c r="Q550" s="575"/>
      <c r="R550" s="575"/>
      <c r="S550" s="575"/>
      <c r="T550" s="575"/>
    </row>
    <row r="551">
      <c r="A551" s="575"/>
      <c r="B551" s="575"/>
      <c r="C551" s="612"/>
      <c r="D551" s="575"/>
      <c r="E551" s="575"/>
      <c r="F551" s="575"/>
      <c r="G551" s="575"/>
      <c r="H551" s="575"/>
      <c r="I551" s="575"/>
      <c r="J551" s="575"/>
      <c r="K551" s="575"/>
      <c r="L551" s="575"/>
      <c r="M551" s="575"/>
      <c r="N551" s="575"/>
      <c r="O551" s="575"/>
      <c r="P551" s="575"/>
      <c r="Q551" s="575"/>
      <c r="R551" s="575"/>
      <c r="S551" s="575"/>
      <c r="T551" s="575"/>
    </row>
    <row r="552">
      <c r="A552" s="575"/>
      <c r="B552" s="575"/>
      <c r="C552" s="612"/>
      <c r="D552" s="575"/>
      <c r="E552" s="575"/>
      <c r="F552" s="575"/>
      <c r="G552" s="575"/>
      <c r="H552" s="575"/>
      <c r="I552" s="575"/>
      <c r="J552" s="575"/>
      <c r="K552" s="575"/>
      <c r="L552" s="575"/>
      <c r="M552" s="575"/>
      <c r="N552" s="575"/>
      <c r="O552" s="575"/>
      <c r="P552" s="575"/>
      <c r="Q552" s="575"/>
      <c r="R552" s="575"/>
      <c r="S552" s="575"/>
      <c r="T552" s="575"/>
    </row>
    <row r="553">
      <c r="A553" s="575"/>
      <c r="B553" s="575"/>
      <c r="C553" s="612"/>
      <c r="D553" s="575"/>
      <c r="E553" s="575"/>
      <c r="F553" s="575"/>
      <c r="G553" s="575"/>
      <c r="H553" s="575"/>
      <c r="I553" s="575"/>
      <c r="J553" s="575"/>
      <c r="K553" s="575"/>
      <c r="L553" s="575"/>
      <c r="M553" s="575"/>
      <c r="N553" s="575"/>
      <c r="O553" s="575"/>
      <c r="P553" s="575"/>
      <c r="Q553" s="575"/>
      <c r="R553" s="575"/>
      <c r="S553" s="575"/>
      <c r="T553" s="575"/>
    </row>
    <row r="554">
      <c r="A554" s="575"/>
      <c r="B554" s="575"/>
      <c r="C554" s="612"/>
      <c r="D554" s="575"/>
      <c r="E554" s="575"/>
      <c r="F554" s="575"/>
      <c r="G554" s="575"/>
      <c r="H554" s="575"/>
      <c r="I554" s="575"/>
      <c r="J554" s="575"/>
      <c r="K554" s="575"/>
      <c r="L554" s="575"/>
      <c r="M554" s="575"/>
      <c r="N554" s="575"/>
      <c r="O554" s="575"/>
      <c r="P554" s="575"/>
      <c r="Q554" s="575"/>
      <c r="R554" s="575"/>
      <c r="S554" s="575"/>
      <c r="T554" s="575"/>
    </row>
    <row r="555">
      <c r="A555" s="575"/>
      <c r="B555" s="575"/>
      <c r="C555" s="612"/>
      <c r="D555" s="575"/>
      <c r="E555" s="575"/>
      <c r="F555" s="575"/>
      <c r="G555" s="575"/>
      <c r="H555" s="575"/>
      <c r="I555" s="575"/>
      <c r="J555" s="575"/>
      <c r="K555" s="575"/>
      <c r="L555" s="575"/>
      <c r="M555" s="575"/>
      <c r="N555" s="575"/>
      <c r="O555" s="575"/>
      <c r="P555" s="575"/>
      <c r="Q555" s="575"/>
      <c r="R555" s="575"/>
      <c r="S555" s="575"/>
      <c r="T555" s="575"/>
    </row>
    <row r="556">
      <c r="A556" s="575"/>
      <c r="B556" s="575"/>
      <c r="C556" s="612"/>
      <c r="D556" s="575"/>
      <c r="E556" s="575"/>
      <c r="F556" s="575"/>
      <c r="G556" s="575"/>
      <c r="H556" s="575"/>
      <c r="I556" s="575"/>
      <c r="J556" s="575"/>
      <c r="K556" s="575"/>
      <c r="L556" s="575"/>
      <c r="M556" s="575"/>
      <c r="N556" s="575"/>
      <c r="O556" s="575"/>
      <c r="P556" s="575"/>
      <c r="Q556" s="575"/>
      <c r="R556" s="575"/>
      <c r="S556" s="575"/>
      <c r="T556" s="575"/>
    </row>
    <row r="557">
      <c r="A557" s="575"/>
      <c r="B557" s="575"/>
      <c r="C557" s="612"/>
      <c r="D557" s="575"/>
      <c r="E557" s="575"/>
      <c r="F557" s="575"/>
      <c r="G557" s="575"/>
      <c r="H557" s="575"/>
      <c r="I557" s="575"/>
      <c r="J557" s="575"/>
      <c r="K557" s="575"/>
      <c r="L557" s="575"/>
      <c r="M557" s="575"/>
      <c r="N557" s="575"/>
      <c r="O557" s="575"/>
      <c r="P557" s="575"/>
      <c r="Q557" s="575"/>
      <c r="R557" s="575"/>
      <c r="S557" s="575"/>
      <c r="T557" s="575"/>
    </row>
    <row r="558">
      <c r="A558" s="575"/>
      <c r="B558" s="575"/>
      <c r="C558" s="612"/>
      <c r="D558" s="575"/>
      <c r="E558" s="575"/>
      <c r="F558" s="575"/>
      <c r="G558" s="575"/>
      <c r="H558" s="575"/>
      <c r="I558" s="575"/>
      <c r="J558" s="575"/>
      <c r="K558" s="575"/>
      <c r="L558" s="575"/>
      <c r="M558" s="575"/>
      <c r="N558" s="575"/>
      <c r="O558" s="575"/>
      <c r="P558" s="575"/>
      <c r="Q558" s="575"/>
      <c r="R558" s="575"/>
      <c r="S558" s="575"/>
      <c r="T558" s="575"/>
    </row>
    <row r="559">
      <c r="A559" s="575"/>
      <c r="B559" s="575"/>
      <c r="C559" s="612"/>
      <c r="D559" s="575"/>
      <c r="E559" s="575"/>
      <c r="F559" s="575"/>
      <c r="G559" s="575"/>
      <c r="H559" s="575"/>
      <c r="I559" s="575"/>
      <c r="J559" s="575"/>
      <c r="K559" s="575"/>
      <c r="L559" s="575"/>
      <c r="M559" s="575"/>
      <c r="N559" s="575"/>
      <c r="O559" s="575"/>
      <c r="P559" s="575"/>
      <c r="Q559" s="575"/>
      <c r="R559" s="575"/>
      <c r="S559" s="575"/>
      <c r="T559" s="575"/>
    </row>
    <row r="560">
      <c r="A560" s="575"/>
      <c r="B560" s="575"/>
      <c r="C560" s="612"/>
      <c r="D560" s="575"/>
      <c r="E560" s="575"/>
      <c r="F560" s="575"/>
      <c r="G560" s="575"/>
      <c r="H560" s="575"/>
      <c r="I560" s="575"/>
      <c r="J560" s="575"/>
      <c r="K560" s="575"/>
      <c r="L560" s="575"/>
      <c r="M560" s="575"/>
      <c r="N560" s="575"/>
      <c r="O560" s="575"/>
      <c r="P560" s="575"/>
      <c r="Q560" s="575"/>
      <c r="R560" s="575"/>
      <c r="S560" s="575"/>
      <c r="T560" s="575"/>
    </row>
    <row r="561">
      <c r="A561" s="575"/>
      <c r="B561" s="575"/>
      <c r="C561" s="612"/>
      <c r="D561" s="575"/>
      <c r="E561" s="575"/>
      <c r="F561" s="575"/>
      <c r="G561" s="575"/>
      <c r="H561" s="575"/>
      <c r="I561" s="575"/>
      <c r="J561" s="575"/>
      <c r="K561" s="575"/>
      <c r="L561" s="575"/>
      <c r="M561" s="575"/>
      <c r="N561" s="575"/>
      <c r="O561" s="575"/>
      <c r="P561" s="575"/>
      <c r="Q561" s="575"/>
      <c r="R561" s="575"/>
      <c r="S561" s="575"/>
      <c r="T561" s="575"/>
    </row>
    <row r="562">
      <c r="A562" s="575"/>
      <c r="B562" s="575"/>
      <c r="C562" s="612"/>
      <c r="D562" s="575"/>
      <c r="E562" s="575"/>
      <c r="F562" s="575"/>
      <c r="G562" s="575"/>
      <c r="H562" s="575"/>
      <c r="I562" s="575"/>
      <c r="J562" s="575"/>
      <c r="K562" s="575"/>
      <c r="L562" s="575"/>
      <c r="M562" s="575"/>
      <c r="N562" s="575"/>
      <c r="O562" s="575"/>
      <c r="P562" s="575"/>
      <c r="Q562" s="575"/>
      <c r="R562" s="575"/>
      <c r="S562" s="575"/>
      <c r="T562" s="575"/>
    </row>
    <row r="563">
      <c r="A563" s="575"/>
      <c r="B563" s="575"/>
      <c r="C563" s="612"/>
      <c r="D563" s="575"/>
      <c r="E563" s="575"/>
      <c r="F563" s="575"/>
      <c r="G563" s="575"/>
      <c r="H563" s="575"/>
      <c r="I563" s="575"/>
      <c r="J563" s="575"/>
      <c r="K563" s="575"/>
      <c r="L563" s="575"/>
      <c r="M563" s="575"/>
      <c r="N563" s="575"/>
      <c r="O563" s="575"/>
      <c r="P563" s="575"/>
      <c r="Q563" s="575"/>
      <c r="R563" s="575"/>
      <c r="S563" s="575"/>
      <c r="T563" s="575"/>
    </row>
    <row r="564">
      <c r="A564" s="575"/>
      <c r="B564" s="575"/>
      <c r="C564" s="612"/>
      <c r="D564" s="575"/>
      <c r="E564" s="575"/>
      <c r="F564" s="575"/>
      <c r="G564" s="575"/>
      <c r="H564" s="575"/>
      <c r="I564" s="575"/>
      <c r="J564" s="575"/>
      <c r="K564" s="575"/>
      <c r="L564" s="575"/>
      <c r="M564" s="575"/>
      <c r="N564" s="575"/>
      <c r="O564" s="575"/>
      <c r="P564" s="575"/>
      <c r="Q564" s="575"/>
      <c r="R564" s="575"/>
      <c r="S564" s="575"/>
      <c r="T564" s="575"/>
    </row>
    <row r="565">
      <c r="A565" s="575"/>
      <c r="B565" s="575"/>
      <c r="C565" s="612"/>
      <c r="D565" s="575"/>
      <c r="E565" s="575"/>
      <c r="F565" s="575"/>
      <c r="G565" s="575"/>
      <c r="H565" s="575"/>
      <c r="I565" s="575"/>
      <c r="J565" s="575"/>
      <c r="K565" s="575"/>
      <c r="L565" s="575"/>
      <c r="M565" s="575"/>
      <c r="N565" s="575"/>
      <c r="O565" s="575"/>
      <c r="P565" s="575"/>
      <c r="Q565" s="575"/>
      <c r="R565" s="575"/>
      <c r="S565" s="575"/>
      <c r="T565" s="575"/>
    </row>
    <row r="566">
      <c r="A566" s="575"/>
      <c r="B566" s="575"/>
      <c r="C566" s="612"/>
      <c r="D566" s="575"/>
      <c r="E566" s="575"/>
      <c r="F566" s="575"/>
      <c r="G566" s="575"/>
      <c r="H566" s="575"/>
      <c r="I566" s="575"/>
      <c r="J566" s="575"/>
      <c r="K566" s="575"/>
      <c r="L566" s="575"/>
      <c r="M566" s="575"/>
      <c r="N566" s="575"/>
      <c r="O566" s="575"/>
      <c r="P566" s="575"/>
      <c r="Q566" s="575"/>
      <c r="R566" s="575"/>
      <c r="S566" s="575"/>
      <c r="T566" s="575"/>
    </row>
    <row r="567">
      <c r="A567" s="575"/>
      <c r="B567" s="575"/>
      <c r="C567" s="612"/>
      <c r="D567" s="575"/>
      <c r="E567" s="575"/>
      <c r="F567" s="575"/>
      <c r="G567" s="575"/>
      <c r="H567" s="575"/>
      <c r="I567" s="575"/>
      <c r="J567" s="575"/>
      <c r="K567" s="575"/>
      <c r="L567" s="575"/>
      <c r="M567" s="575"/>
      <c r="N567" s="575"/>
      <c r="O567" s="575"/>
      <c r="P567" s="575"/>
      <c r="Q567" s="575"/>
      <c r="R567" s="575"/>
      <c r="S567" s="575"/>
      <c r="T567" s="575"/>
    </row>
    <row r="568">
      <c r="A568" s="575"/>
      <c r="B568" s="575"/>
      <c r="C568" s="612"/>
      <c r="D568" s="575"/>
      <c r="E568" s="575"/>
      <c r="F568" s="575"/>
      <c r="G568" s="575"/>
      <c r="H568" s="575"/>
      <c r="I568" s="575"/>
      <c r="J568" s="575"/>
      <c r="K568" s="575"/>
      <c r="L568" s="575"/>
      <c r="M568" s="575"/>
      <c r="N568" s="575"/>
      <c r="O568" s="575"/>
      <c r="P568" s="575"/>
      <c r="Q568" s="575"/>
      <c r="R568" s="575"/>
      <c r="S568" s="575"/>
      <c r="T568" s="575"/>
    </row>
    <row r="569">
      <c r="A569" s="575"/>
      <c r="B569" s="575"/>
      <c r="C569" s="612"/>
      <c r="D569" s="575"/>
      <c r="E569" s="575"/>
      <c r="F569" s="575"/>
      <c r="G569" s="575"/>
      <c r="H569" s="575"/>
      <c r="I569" s="575"/>
      <c r="J569" s="575"/>
      <c r="K569" s="575"/>
      <c r="L569" s="575"/>
      <c r="M569" s="575"/>
      <c r="N569" s="575"/>
      <c r="O569" s="575"/>
      <c r="P569" s="575"/>
      <c r="Q569" s="575"/>
      <c r="R569" s="575"/>
      <c r="S569" s="575"/>
      <c r="T569" s="575"/>
    </row>
    <row r="570">
      <c r="A570" s="575"/>
      <c r="B570" s="575"/>
      <c r="C570" s="612"/>
      <c r="D570" s="575"/>
      <c r="E570" s="575"/>
      <c r="F570" s="575"/>
      <c r="G570" s="575"/>
      <c r="H570" s="575"/>
      <c r="I570" s="575"/>
      <c r="J570" s="575"/>
      <c r="K570" s="575"/>
      <c r="L570" s="575"/>
      <c r="M570" s="575"/>
      <c r="N570" s="575"/>
      <c r="O570" s="575"/>
      <c r="P570" s="575"/>
      <c r="Q570" s="575"/>
      <c r="R570" s="575"/>
      <c r="S570" s="575"/>
      <c r="T570" s="575"/>
    </row>
    <row r="571">
      <c r="A571" s="575"/>
      <c r="B571" s="575"/>
      <c r="C571" s="612"/>
      <c r="D571" s="575"/>
      <c r="E571" s="575"/>
      <c r="F571" s="575"/>
      <c r="G571" s="575"/>
      <c r="H571" s="575"/>
      <c r="I571" s="575"/>
      <c r="J571" s="575"/>
      <c r="K571" s="575"/>
      <c r="L571" s="575"/>
      <c r="M571" s="575"/>
      <c r="N571" s="575"/>
      <c r="O571" s="575"/>
      <c r="P571" s="575"/>
      <c r="Q571" s="575"/>
      <c r="R571" s="575"/>
      <c r="S571" s="575"/>
      <c r="T571" s="575"/>
    </row>
    <row r="572">
      <c r="A572" s="575"/>
      <c r="B572" s="575"/>
      <c r="C572" s="612"/>
      <c r="D572" s="575"/>
      <c r="E572" s="575"/>
      <c r="F572" s="575"/>
      <c r="G572" s="575"/>
      <c r="H572" s="575"/>
      <c r="I572" s="575"/>
      <c r="J572" s="575"/>
      <c r="K572" s="575"/>
      <c r="L572" s="575"/>
      <c r="M572" s="575"/>
      <c r="N572" s="575"/>
      <c r="O572" s="575"/>
      <c r="P572" s="575"/>
      <c r="Q572" s="575"/>
      <c r="R572" s="575"/>
      <c r="S572" s="575"/>
      <c r="T572" s="575"/>
    </row>
    <row r="573">
      <c r="A573" s="575"/>
      <c r="B573" s="575"/>
      <c r="C573" s="612"/>
      <c r="D573" s="575"/>
      <c r="E573" s="575"/>
      <c r="F573" s="575"/>
      <c r="G573" s="575"/>
      <c r="H573" s="575"/>
      <c r="I573" s="575"/>
      <c r="J573" s="575"/>
      <c r="K573" s="575"/>
      <c r="L573" s="575"/>
      <c r="M573" s="575"/>
      <c r="N573" s="575"/>
      <c r="O573" s="575"/>
      <c r="P573" s="575"/>
      <c r="Q573" s="575"/>
      <c r="R573" s="575"/>
      <c r="S573" s="575"/>
      <c r="T573" s="575"/>
    </row>
    <row r="574">
      <c r="A574" s="575"/>
      <c r="B574" s="575"/>
      <c r="C574" s="612"/>
      <c r="D574" s="575"/>
      <c r="E574" s="575"/>
      <c r="F574" s="575"/>
      <c r="G574" s="575"/>
      <c r="H574" s="575"/>
      <c r="I574" s="575"/>
      <c r="J574" s="575"/>
      <c r="K574" s="575"/>
      <c r="L574" s="575"/>
      <c r="M574" s="575"/>
      <c r="N574" s="575"/>
      <c r="O574" s="575"/>
      <c r="P574" s="575"/>
      <c r="Q574" s="575"/>
      <c r="R574" s="575"/>
      <c r="S574" s="575"/>
      <c r="T574" s="575"/>
    </row>
    <row r="575">
      <c r="A575" s="575"/>
      <c r="B575" s="575"/>
      <c r="C575" s="612"/>
      <c r="D575" s="575"/>
      <c r="E575" s="575"/>
      <c r="F575" s="575"/>
      <c r="G575" s="575"/>
      <c r="H575" s="575"/>
      <c r="I575" s="575"/>
      <c r="J575" s="575"/>
      <c r="K575" s="575"/>
      <c r="L575" s="575"/>
      <c r="M575" s="575"/>
      <c r="N575" s="575"/>
      <c r="O575" s="575"/>
      <c r="P575" s="575"/>
      <c r="Q575" s="575"/>
      <c r="R575" s="575"/>
      <c r="S575" s="575"/>
      <c r="T575" s="575"/>
    </row>
    <row r="576">
      <c r="A576" s="575"/>
      <c r="B576" s="575"/>
      <c r="C576" s="612"/>
      <c r="D576" s="575"/>
      <c r="E576" s="575"/>
      <c r="F576" s="575"/>
      <c r="G576" s="575"/>
      <c r="H576" s="575"/>
      <c r="I576" s="575"/>
      <c r="J576" s="575"/>
      <c r="K576" s="575"/>
      <c r="L576" s="575"/>
      <c r="M576" s="575"/>
      <c r="N576" s="575"/>
      <c r="O576" s="575"/>
      <c r="P576" s="575"/>
      <c r="Q576" s="575"/>
      <c r="R576" s="575"/>
      <c r="S576" s="575"/>
      <c r="T576" s="575"/>
    </row>
    <row r="577">
      <c r="A577" s="575"/>
      <c r="B577" s="575"/>
      <c r="C577" s="612"/>
      <c r="D577" s="575"/>
      <c r="E577" s="575"/>
      <c r="F577" s="575"/>
      <c r="G577" s="575"/>
      <c r="H577" s="575"/>
      <c r="I577" s="575"/>
      <c r="J577" s="575"/>
      <c r="K577" s="575"/>
      <c r="L577" s="575"/>
      <c r="M577" s="575"/>
      <c r="N577" s="575"/>
      <c r="O577" s="575"/>
      <c r="P577" s="575"/>
      <c r="Q577" s="575"/>
      <c r="R577" s="575"/>
      <c r="S577" s="575"/>
      <c r="T577" s="575"/>
    </row>
    <row r="578">
      <c r="A578" s="575"/>
      <c r="B578" s="575"/>
      <c r="C578" s="612"/>
      <c r="D578" s="575"/>
      <c r="E578" s="575"/>
      <c r="F578" s="575"/>
      <c r="G578" s="575"/>
      <c r="H578" s="575"/>
      <c r="I578" s="575"/>
      <c r="J578" s="575"/>
      <c r="K578" s="575"/>
      <c r="L578" s="575"/>
      <c r="M578" s="575"/>
      <c r="N578" s="575"/>
      <c r="O578" s="575"/>
      <c r="P578" s="575"/>
      <c r="Q578" s="575"/>
      <c r="R578" s="575"/>
      <c r="S578" s="575"/>
      <c r="T578" s="575"/>
    </row>
    <row r="579">
      <c r="A579" s="575"/>
      <c r="B579" s="575"/>
      <c r="C579" s="612"/>
      <c r="D579" s="575"/>
      <c r="E579" s="575"/>
      <c r="F579" s="575"/>
      <c r="G579" s="575"/>
      <c r="H579" s="575"/>
      <c r="I579" s="575"/>
      <c r="J579" s="575"/>
      <c r="K579" s="575"/>
      <c r="L579" s="575"/>
      <c r="M579" s="575"/>
      <c r="N579" s="575"/>
      <c r="O579" s="575"/>
      <c r="P579" s="575"/>
      <c r="Q579" s="575"/>
      <c r="R579" s="575"/>
      <c r="S579" s="575"/>
      <c r="T579" s="575"/>
    </row>
    <row r="580">
      <c r="A580" s="575"/>
      <c r="B580" s="575"/>
      <c r="C580" s="612"/>
      <c r="D580" s="575"/>
      <c r="E580" s="575"/>
      <c r="F580" s="575"/>
      <c r="G580" s="575"/>
      <c r="H580" s="575"/>
      <c r="I580" s="575"/>
      <c r="J580" s="575"/>
      <c r="K580" s="575"/>
      <c r="L580" s="575"/>
      <c r="M580" s="575"/>
      <c r="N580" s="575"/>
      <c r="O580" s="575"/>
      <c r="P580" s="575"/>
      <c r="Q580" s="575"/>
      <c r="R580" s="575"/>
      <c r="S580" s="575"/>
      <c r="T580" s="575"/>
    </row>
    <row r="581">
      <c r="A581" s="575"/>
      <c r="B581" s="575"/>
      <c r="C581" s="612"/>
      <c r="D581" s="575"/>
      <c r="E581" s="575"/>
      <c r="F581" s="575"/>
      <c r="G581" s="575"/>
      <c r="H581" s="575"/>
      <c r="I581" s="575"/>
      <c r="J581" s="575"/>
      <c r="K581" s="575"/>
      <c r="L581" s="575"/>
      <c r="M581" s="575"/>
      <c r="N581" s="575"/>
      <c r="O581" s="575"/>
      <c r="P581" s="575"/>
      <c r="Q581" s="575"/>
      <c r="R581" s="575"/>
      <c r="S581" s="575"/>
      <c r="T581" s="575"/>
    </row>
    <row r="582">
      <c r="A582" s="575"/>
      <c r="B582" s="575"/>
      <c r="C582" s="612"/>
      <c r="D582" s="575"/>
      <c r="E582" s="575"/>
      <c r="F582" s="575"/>
      <c r="G582" s="575"/>
      <c r="H582" s="575"/>
      <c r="I582" s="575"/>
      <c r="J582" s="575"/>
      <c r="K582" s="575"/>
      <c r="L582" s="575"/>
      <c r="M582" s="575"/>
      <c r="N582" s="575"/>
      <c r="O582" s="575"/>
      <c r="P582" s="575"/>
      <c r="Q582" s="575"/>
      <c r="R582" s="575"/>
      <c r="S582" s="575"/>
      <c r="T582" s="575"/>
    </row>
    <row r="583">
      <c r="A583" s="575"/>
      <c r="B583" s="575"/>
      <c r="C583" s="612"/>
      <c r="D583" s="575"/>
      <c r="E583" s="575"/>
      <c r="F583" s="575"/>
      <c r="G583" s="575"/>
      <c r="H583" s="575"/>
      <c r="I583" s="575"/>
      <c r="J583" s="575"/>
      <c r="K583" s="575"/>
      <c r="L583" s="575"/>
      <c r="M583" s="575"/>
      <c r="N583" s="575"/>
      <c r="O583" s="575"/>
      <c r="P583" s="575"/>
      <c r="Q583" s="575"/>
      <c r="R583" s="575"/>
      <c r="S583" s="575"/>
      <c r="T583" s="575"/>
    </row>
    <row r="584">
      <c r="A584" s="575"/>
      <c r="B584" s="575"/>
      <c r="C584" s="612"/>
      <c r="D584" s="575"/>
      <c r="E584" s="575"/>
      <c r="F584" s="575"/>
      <c r="G584" s="575"/>
      <c r="H584" s="575"/>
      <c r="I584" s="575"/>
      <c r="J584" s="575"/>
      <c r="K584" s="575"/>
      <c r="L584" s="575"/>
      <c r="M584" s="575"/>
      <c r="N584" s="575"/>
      <c r="O584" s="575"/>
      <c r="P584" s="575"/>
      <c r="Q584" s="575"/>
      <c r="R584" s="575"/>
      <c r="S584" s="575"/>
      <c r="T584" s="575"/>
    </row>
    <row r="585">
      <c r="A585" s="575"/>
      <c r="B585" s="575"/>
      <c r="C585" s="612"/>
      <c r="D585" s="575"/>
      <c r="E585" s="575"/>
      <c r="F585" s="575"/>
      <c r="G585" s="575"/>
      <c r="H585" s="575"/>
      <c r="I585" s="575"/>
      <c r="J585" s="575"/>
      <c r="K585" s="575"/>
      <c r="L585" s="575"/>
      <c r="M585" s="575"/>
      <c r="N585" s="575"/>
      <c r="O585" s="575"/>
      <c r="P585" s="575"/>
      <c r="Q585" s="575"/>
      <c r="R585" s="575"/>
      <c r="S585" s="575"/>
      <c r="T585" s="575"/>
    </row>
    <row r="586">
      <c r="A586" s="575"/>
      <c r="B586" s="575"/>
      <c r="C586" s="612"/>
      <c r="D586" s="575"/>
      <c r="E586" s="575"/>
      <c r="F586" s="575"/>
      <c r="G586" s="575"/>
      <c r="H586" s="575"/>
      <c r="I586" s="575"/>
      <c r="J586" s="575"/>
      <c r="K586" s="575"/>
      <c r="L586" s="575"/>
      <c r="M586" s="575"/>
      <c r="N586" s="575"/>
      <c r="O586" s="575"/>
      <c r="P586" s="575"/>
      <c r="Q586" s="575"/>
      <c r="R586" s="575"/>
      <c r="S586" s="575"/>
      <c r="T586" s="575"/>
    </row>
    <row r="587">
      <c r="A587" s="575"/>
      <c r="B587" s="575"/>
      <c r="C587" s="612"/>
      <c r="D587" s="575"/>
      <c r="E587" s="575"/>
      <c r="F587" s="575"/>
      <c r="G587" s="575"/>
      <c r="H587" s="575"/>
      <c r="I587" s="575"/>
      <c r="J587" s="575"/>
      <c r="K587" s="575"/>
      <c r="L587" s="575"/>
      <c r="M587" s="575"/>
      <c r="N587" s="575"/>
      <c r="O587" s="575"/>
      <c r="P587" s="575"/>
      <c r="Q587" s="575"/>
      <c r="R587" s="575"/>
      <c r="S587" s="575"/>
      <c r="T587" s="575"/>
    </row>
    <row r="588">
      <c r="A588" s="575"/>
      <c r="B588" s="575"/>
      <c r="C588" s="612"/>
      <c r="D588" s="575"/>
      <c r="E588" s="575"/>
      <c r="F588" s="575"/>
      <c r="G588" s="575"/>
      <c r="H588" s="575"/>
      <c r="I588" s="575"/>
      <c r="J588" s="575"/>
      <c r="K588" s="575"/>
      <c r="L588" s="575"/>
      <c r="M588" s="575"/>
      <c r="N588" s="575"/>
      <c r="O588" s="575"/>
      <c r="P588" s="575"/>
      <c r="Q588" s="575"/>
      <c r="R588" s="575"/>
      <c r="S588" s="575"/>
      <c r="T588" s="575"/>
    </row>
    <row r="589">
      <c r="A589" s="575"/>
      <c r="B589" s="575"/>
      <c r="C589" s="612"/>
      <c r="D589" s="575"/>
      <c r="E589" s="575"/>
      <c r="F589" s="575"/>
      <c r="G589" s="575"/>
      <c r="H589" s="575"/>
      <c r="I589" s="575"/>
      <c r="J589" s="575"/>
      <c r="K589" s="575"/>
      <c r="L589" s="575"/>
      <c r="M589" s="575"/>
      <c r="N589" s="575"/>
      <c r="O589" s="575"/>
      <c r="P589" s="575"/>
      <c r="Q589" s="575"/>
      <c r="R589" s="575"/>
      <c r="S589" s="575"/>
      <c r="T589" s="575"/>
    </row>
    <row r="590">
      <c r="A590" s="575"/>
      <c r="B590" s="575"/>
      <c r="C590" s="612"/>
      <c r="D590" s="575"/>
      <c r="E590" s="575"/>
      <c r="F590" s="575"/>
      <c r="G590" s="575"/>
      <c r="H590" s="575"/>
      <c r="I590" s="575"/>
      <c r="J590" s="575"/>
      <c r="K590" s="575"/>
      <c r="L590" s="575"/>
      <c r="M590" s="575"/>
      <c r="N590" s="575"/>
      <c r="O590" s="575"/>
      <c r="P590" s="575"/>
      <c r="Q590" s="575"/>
      <c r="R590" s="575"/>
      <c r="S590" s="575"/>
      <c r="T590" s="575"/>
    </row>
    <row r="591">
      <c r="A591" s="575"/>
      <c r="B591" s="575"/>
      <c r="C591" s="612"/>
      <c r="D591" s="575"/>
      <c r="E591" s="575"/>
      <c r="F591" s="575"/>
      <c r="G591" s="575"/>
      <c r="H591" s="575"/>
      <c r="I591" s="575"/>
      <c r="J591" s="575"/>
      <c r="K591" s="575"/>
      <c r="L591" s="575"/>
      <c r="M591" s="575"/>
      <c r="N591" s="575"/>
      <c r="O591" s="575"/>
      <c r="P591" s="575"/>
      <c r="Q591" s="575"/>
      <c r="R591" s="575"/>
      <c r="S591" s="575"/>
      <c r="T591" s="575"/>
    </row>
    <row r="592">
      <c r="A592" s="575"/>
      <c r="B592" s="575"/>
      <c r="C592" s="612"/>
      <c r="D592" s="575"/>
      <c r="E592" s="575"/>
      <c r="F592" s="575"/>
      <c r="G592" s="575"/>
      <c r="H592" s="575"/>
      <c r="I592" s="575"/>
      <c r="J592" s="575"/>
      <c r="K592" s="575"/>
      <c r="L592" s="575"/>
      <c r="M592" s="575"/>
      <c r="N592" s="575"/>
      <c r="O592" s="575"/>
      <c r="P592" s="575"/>
      <c r="Q592" s="575"/>
      <c r="R592" s="575"/>
      <c r="S592" s="575"/>
      <c r="T592" s="575"/>
    </row>
    <row r="593">
      <c r="A593" s="575"/>
      <c r="B593" s="575"/>
      <c r="C593" s="612"/>
      <c r="D593" s="575"/>
      <c r="E593" s="575"/>
      <c r="F593" s="575"/>
      <c r="G593" s="575"/>
      <c r="H593" s="575"/>
      <c r="I593" s="575"/>
      <c r="J593" s="575"/>
      <c r="K593" s="575"/>
      <c r="L593" s="575"/>
      <c r="M593" s="575"/>
      <c r="N593" s="575"/>
      <c r="O593" s="575"/>
      <c r="P593" s="575"/>
      <c r="Q593" s="575"/>
      <c r="R593" s="575"/>
      <c r="S593" s="575"/>
      <c r="T593" s="575"/>
    </row>
    <row r="594">
      <c r="A594" s="575"/>
      <c r="B594" s="575"/>
      <c r="C594" s="612"/>
      <c r="D594" s="575"/>
      <c r="E594" s="575"/>
      <c r="F594" s="575"/>
      <c r="G594" s="575"/>
      <c r="H594" s="575"/>
      <c r="I594" s="575"/>
      <c r="J594" s="575"/>
      <c r="K594" s="575"/>
      <c r="L594" s="575"/>
      <c r="M594" s="575"/>
      <c r="N594" s="575"/>
      <c r="O594" s="575"/>
      <c r="P594" s="575"/>
      <c r="Q594" s="575"/>
      <c r="R594" s="575"/>
      <c r="S594" s="575"/>
      <c r="T594" s="575"/>
    </row>
    <row r="595">
      <c r="A595" s="575"/>
      <c r="B595" s="575"/>
      <c r="C595" s="612"/>
      <c r="D595" s="575"/>
      <c r="E595" s="575"/>
      <c r="F595" s="575"/>
      <c r="G595" s="575"/>
      <c r="H595" s="575"/>
      <c r="I595" s="575"/>
      <c r="J595" s="575"/>
      <c r="K595" s="575"/>
      <c r="L595" s="575"/>
      <c r="M595" s="575"/>
      <c r="N595" s="575"/>
      <c r="O595" s="575"/>
      <c r="P595" s="575"/>
      <c r="Q595" s="575"/>
      <c r="R595" s="575"/>
      <c r="S595" s="575"/>
      <c r="T595" s="575"/>
    </row>
    <row r="596">
      <c r="A596" s="575"/>
      <c r="B596" s="575"/>
      <c r="C596" s="612"/>
      <c r="D596" s="575"/>
      <c r="E596" s="575"/>
      <c r="F596" s="575"/>
      <c r="G596" s="575"/>
      <c r="H596" s="575"/>
      <c r="I596" s="575"/>
      <c r="J596" s="575"/>
      <c r="K596" s="575"/>
      <c r="L596" s="575"/>
      <c r="M596" s="575"/>
      <c r="N596" s="575"/>
      <c r="O596" s="575"/>
      <c r="P596" s="575"/>
      <c r="Q596" s="575"/>
      <c r="R596" s="575"/>
      <c r="S596" s="575"/>
      <c r="T596" s="575"/>
    </row>
    <row r="597">
      <c r="A597" s="575"/>
      <c r="B597" s="575"/>
      <c r="C597" s="612"/>
      <c r="D597" s="575"/>
      <c r="E597" s="575"/>
      <c r="F597" s="575"/>
      <c r="G597" s="575"/>
      <c r="H597" s="575"/>
      <c r="I597" s="575"/>
      <c r="J597" s="575"/>
      <c r="K597" s="575"/>
      <c r="L597" s="575"/>
      <c r="M597" s="575"/>
      <c r="N597" s="575"/>
      <c r="O597" s="575"/>
      <c r="P597" s="575"/>
      <c r="Q597" s="575"/>
      <c r="R597" s="575"/>
      <c r="S597" s="575"/>
      <c r="T597" s="575"/>
    </row>
    <row r="598">
      <c r="A598" s="575"/>
      <c r="B598" s="575"/>
      <c r="C598" s="612"/>
      <c r="D598" s="575"/>
      <c r="E598" s="575"/>
      <c r="F598" s="575"/>
      <c r="G598" s="575"/>
      <c r="H598" s="575"/>
      <c r="I598" s="575"/>
      <c r="J598" s="575"/>
      <c r="K598" s="575"/>
      <c r="L598" s="575"/>
      <c r="M598" s="575"/>
      <c r="N598" s="575"/>
      <c r="O598" s="575"/>
      <c r="P598" s="575"/>
      <c r="Q598" s="575"/>
      <c r="R598" s="575"/>
      <c r="S598" s="575"/>
      <c r="T598" s="575"/>
    </row>
    <row r="599">
      <c r="A599" s="575"/>
      <c r="B599" s="575"/>
      <c r="C599" s="612"/>
      <c r="D599" s="575"/>
      <c r="E599" s="575"/>
      <c r="F599" s="575"/>
      <c r="G599" s="575"/>
      <c r="H599" s="575"/>
      <c r="I599" s="575"/>
      <c r="J599" s="575"/>
      <c r="K599" s="575"/>
      <c r="L599" s="575"/>
      <c r="M599" s="575"/>
      <c r="N599" s="575"/>
      <c r="O599" s="575"/>
      <c r="P599" s="575"/>
      <c r="Q599" s="575"/>
      <c r="R599" s="575"/>
      <c r="S599" s="575"/>
      <c r="T599" s="575"/>
    </row>
    <row r="600">
      <c r="A600" s="575"/>
      <c r="B600" s="575"/>
      <c r="C600" s="612"/>
      <c r="D600" s="575"/>
      <c r="E600" s="575"/>
      <c r="F600" s="575"/>
      <c r="G600" s="575"/>
      <c r="H600" s="575"/>
      <c r="I600" s="575"/>
      <c r="J600" s="575"/>
      <c r="K600" s="575"/>
      <c r="L600" s="575"/>
      <c r="M600" s="575"/>
      <c r="N600" s="575"/>
      <c r="O600" s="575"/>
      <c r="P600" s="575"/>
      <c r="Q600" s="575"/>
      <c r="R600" s="575"/>
      <c r="S600" s="575"/>
      <c r="T600" s="575"/>
    </row>
    <row r="601">
      <c r="A601" s="575"/>
      <c r="B601" s="575"/>
      <c r="C601" s="612"/>
      <c r="D601" s="575"/>
      <c r="E601" s="575"/>
      <c r="F601" s="575"/>
      <c r="G601" s="575"/>
      <c r="H601" s="575"/>
      <c r="I601" s="575"/>
      <c r="J601" s="575"/>
      <c r="K601" s="575"/>
      <c r="L601" s="575"/>
      <c r="M601" s="575"/>
      <c r="N601" s="575"/>
      <c r="O601" s="575"/>
      <c r="P601" s="575"/>
      <c r="Q601" s="575"/>
      <c r="R601" s="575"/>
      <c r="S601" s="575"/>
      <c r="T601" s="575"/>
    </row>
    <row r="602">
      <c r="A602" s="575"/>
      <c r="B602" s="575"/>
      <c r="C602" s="612"/>
      <c r="D602" s="575"/>
      <c r="E602" s="575"/>
      <c r="F602" s="575"/>
      <c r="G602" s="575"/>
      <c r="H602" s="575"/>
      <c r="I602" s="575"/>
      <c r="J602" s="575"/>
      <c r="K602" s="575"/>
      <c r="L602" s="575"/>
      <c r="M602" s="575"/>
      <c r="N602" s="575"/>
      <c r="O602" s="575"/>
      <c r="P602" s="575"/>
      <c r="Q602" s="575"/>
      <c r="R602" s="575"/>
      <c r="S602" s="575"/>
      <c r="T602" s="575"/>
    </row>
    <row r="603">
      <c r="A603" s="575"/>
      <c r="B603" s="575"/>
      <c r="C603" s="612"/>
      <c r="D603" s="575"/>
      <c r="E603" s="575"/>
      <c r="F603" s="575"/>
      <c r="G603" s="575"/>
      <c r="H603" s="575"/>
      <c r="I603" s="575"/>
      <c r="J603" s="575"/>
      <c r="K603" s="575"/>
      <c r="L603" s="575"/>
      <c r="M603" s="575"/>
      <c r="N603" s="575"/>
      <c r="O603" s="575"/>
      <c r="P603" s="575"/>
      <c r="Q603" s="575"/>
      <c r="R603" s="575"/>
      <c r="S603" s="575"/>
      <c r="T603" s="575"/>
    </row>
    <row r="604">
      <c r="A604" s="575"/>
      <c r="B604" s="575"/>
      <c r="C604" s="612"/>
      <c r="D604" s="575"/>
      <c r="E604" s="575"/>
      <c r="F604" s="575"/>
      <c r="G604" s="575"/>
      <c r="H604" s="575"/>
      <c r="I604" s="575"/>
      <c r="J604" s="575"/>
      <c r="K604" s="575"/>
      <c r="L604" s="575"/>
      <c r="M604" s="575"/>
      <c r="N604" s="575"/>
      <c r="O604" s="575"/>
      <c r="P604" s="575"/>
      <c r="Q604" s="575"/>
      <c r="R604" s="575"/>
      <c r="S604" s="575"/>
      <c r="T604" s="575"/>
    </row>
    <row r="605">
      <c r="A605" s="575"/>
      <c r="B605" s="575"/>
      <c r="C605" s="612"/>
      <c r="D605" s="575"/>
      <c r="E605" s="575"/>
      <c r="F605" s="575"/>
      <c r="G605" s="575"/>
      <c r="H605" s="575"/>
      <c r="I605" s="575"/>
      <c r="J605" s="575"/>
      <c r="K605" s="575"/>
      <c r="L605" s="575"/>
      <c r="M605" s="575"/>
      <c r="N605" s="575"/>
      <c r="O605" s="575"/>
      <c r="P605" s="575"/>
      <c r="Q605" s="575"/>
      <c r="R605" s="575"/>
      <c r="S605" s="575"/>
      <c r="T605" s="575"/>
    </row>
    <row r="606">
      <c r="A606" s="575"/>
      <c r="B606" s="575"/>
      <c r="C606" s="612"/>
      <c r="D606" s="575"/>
      <c r="E606" s="575"/>
      <c r="F606" s="575"/>
      <c r="G606" s="575"/>
      <c r="H606" s="575"/>
      <c r="I606" s="575"/>
      <c r="J606" s="575"/>
      <c r="K606" s="575"/>
      <c r="L606" s="575"/>
      <c r="M606" s="575"/>
      <c r="N606" s="575"/>
      <c r="O606" s="575"/>
      <c r="P606" s="575"/>
      <c r="Q606" s="575"/>
      <c r="R606" s="575"/>
      <c r="S606" s="575"/>
      <c r="T606" s="575"/>
    </row>
    <row r="607">
      <c r="A607" s="575"/>
      <c r="B607" s="575"/>
      <c r="C607" s="612"/>
      <c r="D607" s="575"/>
      <c r="E607" s="575"/>
      <c r="F607" s="575"/>
      <c r="G607" s="575"/>
      <c r="H607" s="575"/>
      <c r="I607" s="575"/>
      <c r="J607" s="575"/>
      <c r="K607" s="575"/>
      <c r="L607" s="575"/>
      <c r="M607" s="575"/>
      <c r="N607" s="575"/>
      <c r="O607" s="575"/>
      <c r="P607" s="575"/>
      <c r="Q607" s="575"/>
      <c r="R607" s="575"/>
      <c r="S607" s="575"/>
      <c r="T607" s="575"/>
    </row>
    <row r="608">
      <c r="A608" s="575"/>
      <c r="B608" s="575"/>
      <c r="C608" s="612"/>
      <c r="D608" s="575"/>
      <c r="E608" s="575"/>
      <c r="F608" s="575"/>
      <c r="G608" s="575"/>
      <c r="H608" s="575"/>
      <c r="I608" s="575"/>
      <c r="J608" s="575"/>
      <c r="K608" s="575"/>
      <c r="L608" s="575"/>
      <c r="M608" s="575"/>
      <c r="N608" s="575"/>
      <c r="O608" s="575"/>
      <c r="P608" s="575"/>
      <c r="Q608" s="575"/>
      <c r="R608" s="575"/>
      <c r="S608" s="575"/>
      <c r="T608" s="575"/>
    </row>
    <row r="609">
      <c r="A609" s="575"/>
      <c r="B609" s="575"/>
      <c r="C609" s="612"/>
      <c r="D609" s="575"/>
      <c r="E609" s="575"/>
      <c r="F609" s="575"/>
      <c r="G609" s="575"/>
      <c r="H609" s="575"/>
      <c r="I609" s="575"/>
      <c r="J609" s="575"/>
      <c r="K609" s="575"/>
      <c r="L609" s="575"/>
      <c r="M609" s="575"/>
      <c r="N609" s="575"/>
      <c r="O609" s="575"/>
      <c r="P609" s="575"/>
      <c r="Q609" s="575"/>
      <c r="R609" s="575"/>
      <c r="S609" s="575"/>
      <c r="T609" s="575"/>
    </row>
    <row r="610">
      <c r="A610" s="575"/>
      <c r="B610" s="575"/>
      <c r="C610" s="612"/>
      <c r="D610" s="575"/>
      <c r="E610" s="575"/>
      <c r="F610" s="575"/>
      <c r="G610" s="575"/>
      <c r="H610" s="575"/>
      <c r="I610" s="575"/>
      <c r="J610" s="575"/>
      <c r="K610" s="575"/>
      <c r="L610" s="575"/>
      <c r="M610" s="575"/>
      <c r="N610" s="575"/>
      <c r="O610" s="575"/>
      <c r="P610" s="575"/>
      <c r="Q610" s="575"/>
      <c r="R610" s="575"/>
      <c r="S610" s="575"/>
      <c r="T610" s="575"/>
    </row>
    <row r="611">
      <c r="A611" s="575"/>
      <c r="B611" s="575"/>
      <c r="C611" s="612"/>
      <c r="D611" s="575"/>
      <c r="E611" s="575"/>
      <c r="F611" s="575"/>
      <c r="G611" s="575"/>
      <c r="H611" s="575"/>
      <c r="I611" s="575"/>
      <c r="J611" s="575"/>
      <c r="K611" s="575"/>
      <c r="L611" s="575"/>
      <c r="M611" s="575"/>
      <c r="N611" s="575"/>
      <c r="O611" s="575"/>
      <c r="P611" s="575"/>
      <c r="Q611" s="575"/>
      <c r="R611" s="575"/>
      <c r="S611" s="575"/>
      <c r="T611" s="575"/>
    </row>
    <row r="612">
      <c r="A612" s="575"/>
      <c r="B612" s="575"/>
      <c r="C612" s="612"/>
      <c r="D612" s="575"/>
      <c r="E612" s="575"/>
      <c r="F612" s="575"/>
      <c r="G612" s="575"/>
      <c r="H612" s="575"/>
      <c r="I612" s="575"/>
      <c r="J612" s="575"/>
      <c r="K612" s="575"/>
      <c r="L612" s="575"/>
      <c r="M612" s="575"/>
      <c r="N612" s="575"/>
      <c r="O612" s="575"/>
      <c r="P612" s="575"/>
      <c r="Q612" s="575"/>
      <c r="R612" s="575"/>
      <c r="S612" s="575"/>
      <c r="T612" s="575"/>
    </row>
    <row r="613">
      <c r="A613" s="575"/>
      <c r="B613" s="575"/>
      <c r="C613" s="612"/>
      <c r="D613" s="575"/>
      <c r="E613" s="575"/>
      <c r="F613" s="575"/>
      <c r="G613" s="575"/>
      <c r="H613" s="575"/>
      <c r="I613" s="575"/>
      <c r="J613" s="575"/>
      <c r="K613" s="575"/>
      <c r="L613" s="575"/>
      <c r="M613" s="575"/>
      <c r="N613" s="575"/>
      <c r="O613" s="575"/>
      <c r="P613" s="575"/>
      <c r="Q613" s="575"/>
      <c r="R613" s="575"/>
      <c r="S613" s="575"/>
      <c r="T613" s="575"/>
    </row>
    <row r="614">
      <c r="A614" s="575"/>
      <c r="B614" s="575"/>
      <c r="C614" s="612"/>
      <c r="D614" s="575"/>
      <c r="E614" s="575"/>
      <c r="F614" s="575"/>
      <c r="G614" s="575"/>
      <c r="H614" s="575"/>
      <c r="I614" s="575"/>
      <c r="J614" s="575"/>
      <c r="K614" s="575"/>
      <c r="L614" s="575"/>
      <c r="M614" s="575"/>
      <c r="N614" s="575"/>
      <c r="O614" s="575"/>
      <c r="P614" s="575"/>
      <c r="Q614" s="575"/>
      <c r="R614" s="575"/>
      <c r="S614" s="575"/>
      <c r="T614" s="575"/>
    </row>
    <row r="615">
      <c r="A615" s="575"/>
      <c r="B615" s="575"/>
      <c r="C615" s="612"/>
      <c r="D615" s="575"/>
      <c r="E615" s="575"/>
      <c r="F615" s="575"/>
      <c r="G615" s="575"/>
      <c r="H615" s="575"/>
      <c r="I615" s="575"/>
      <c r="J615" s="575"/>
      <c r="K615" s="575"/>
      <c r="L615" s="575"/>
      <c r="M615" s="575"/>
      <c r="N615" s="575"/>
      <c r="O615" s="575"/>
      <c r="P615" s="575"/>
      <c r="Q615" s="575"/>
      <c r="R615" s="575"/>
      <c r="S615" s="575"/>
      <c r="T615" s="575"/>
    </row>
    <row r="616">
      <c r="A616" s="575"/>
      <c r="B616" s="575"/>
      <c r="C616" s="612"/>
      <c r="D616" s="575"/>
      <c r="E616" s="575"/>
      <c r="F616" s="575"/>
      <c r="G616" s="575"/>
      <c r="H616" s="575"/>
      <c r="I616" s="575"/>
      <c r="J616" s="575"/>
      <c r="K616" s="575"/>
      <c r="L616" s="575"/>
      <c r="M616" s="575"/>
      <c r="N616" s="575"/>
      <c r="O616" s="575"/>
      <c r="P616" s="575"/>
      <c r="Q616" s="575"/>
      <c r="R616" s="575"/>
      <c r="S616" s="575"/>
      <c r="T616" s="575"/>
    </row>
    <row r="617">
      <c r="A617" s="575"/>
      <c r="B617" s="575"/>
      <c r="C617" s="612"/>
      <c r="D617" s="575"/>
      <c r="E617" s="575"/>
      <c r="F617" s="575"/>
      <c r="G617" s="575"/>
      <c r="H617" s="575"/>
      <c r="I617" s="575"/>
      <c r="J617" s="575"/>
      <c r="K617" s="575"/>
      <c r="L617" s="575"/>
      <c r="M617" s="575"/>
      <c r="N617" s="575"/>
      <c r="O617" s="575"/>
      <c r="P617" s="575"/>
      <c r="Q617" s="575"/>
      <c r="R617" s="575"/>
      <c r="S617" s="575"/>
      <c r="T617" s="575"/>
    </row>
    <row r="618">
      <c r="A618" s="575"/>
      <c r="B618" s="575"/>
      <c r="C618" s="612"/>
      <c r="D618" s="575"/>
      <c r="E618" s="575"/>
      <c r="F618" s="575"/>
      <c r="G618" s="575"/>
      <c r="H618" s="575"/>
      <c r="I618" s="575"/>
      <c r="J618" s="575"/>
      <c r="K618" s="575"/>
      <c r="L618" s="575"/>
      <c r="M618" s="575"/>
      <c r="N618" s="575"/>
      <c r="O618" s="575"/>
      <c r="P618" s="575"/>
      <c r="Q618" s="575"/>
      <c r="R618" s="575"/>
      <c r="S618" s="575"/>
      <c r="T618" s="575"/>
    </row>
    <row r="619">
      <c r="A619" s="575"/>
      <c r="B619" s="575"/>
      <c r="C619" s="612"/>
      <c r="D619" s="575"/>
      <c r="E619" s="575"/>
      <c r="F619" s="575"/>
      <c r="G619" s="575"/>
      <c r="H619" s="575"/>
      <c r="I619" s="575"/>
      <c r="J619" s="575"/>
      <c r="K619" s="575"/>
      <c r="L619" s="575"/>
      <c r="M619" s="575"/>
      <c r="N619" s="575"/>
      <c r="O619" s="575"/>
      <c r="P619" s="575"/>
      <c r="Q619" s="575"/>
      <c r="R619" s="575"/>
      <c r="S619" s="575"/>
      <c r="T619" s="575"/>
    </row>
    <row r="620">
      <c r="A620" s="575"/>
      <c r="B620" s="575"/>
      <c r="C620" s="612"/>
      <c r="D620" s="575"/>
      <c r="E620" s="575"/>
      <c r="F620" s="575"/>
      <c r="G620" s="575"/>
      <c r="H620" s="575"/>
      <c r="I620" s="575"/>
      <c r="J620" s="575"/>
      <c r="K620" s="575"/>
      <c r="L620" s="575"/>
      <c r="M620" s="575"/>
      <c r="N620" s="575"/>
      <c r="O620" s="575"/>
      <c r="P620" s="575"/>
      <c r="Q620" s="575"/>
      <c r="R620" s="575"/>
      <c r="S620" s="575"/>
      <c r="T620" s="575"/>
    </row>
    <row r="621">
      <c r="A621" s="575"/>
      <c r="B621" s="575"/>
      <c r="C621" s="612"/>
      <c r="D621" s="575"/>
      <c r="E621" s="575"/>
      <c r="F621" s="575"/>
      <c r="G621" s="575"/>
      <c r="H621" s="575"/>
      <c r="I621" s="575"/>
      <c r="J621" s="575"/>
      <c r="K621" s="575"/>
      <c r="L621" s="575"/>
      <c r="M621" s="575"/>
      <c r="N621" s="575"/>
      <c r="O621" s="575"/>
      <c r="P621" s="575"/>
      <c r="Q621" s="575"/>
      <c r="R621" s="575"/>
      <c r="S621" s="575"/>
      <c r="T621" s="575"/>
    </row>
    <row r="622">
      <c r="A622" s="575"/>
      <c r="B622" s="575"/>
      <c r="C622" s="612"/>
      <c r="D622" s="575"/>
      <c r="E622" s="575"/>
      <c r="F622" s="575"/>
      <c r="G622" s="575"/>
      <c r="H622" s="575"/>
      <c r="I622" s="575"/>
      <c r="J622" s="575"/>
      <c r="K622" s="575"/>
      <c r="L622" s="575"/>
      <c r="M622" s="575"/>
      <c r="N622" s="575"/>
      <c r="O622" s="575"/>
      <c r="P622" s="575"/>
      <c r="Q622" s="575"/>
      <c r="R622" s="575"/>
      <c r="S622" s="575"/>
      <c r="T622" s="575"/>
    </row>
    <row r="623">
      <c r="A623" s="575"/>
      <c r="B623" s="575"/>
      <c r="C623" s="612"/>
      <c r="D623" s="575"/>
      <c r="E623" s="575"/>
      <c r="F623" s="575"/>
      <c r="G623" s="575"/>
      <c r="H623" s="575"/>
      <c r="I623" s="575"/>
      <c r="J623" s="575"/>
      <c r="K623" s="575"/>
      <c r="L623" s="575"/>
      <c r="M623" s="575"/>
      <c r="N623" s="575"/>
      <c r="O623" s="575"/>
      <c r="P623" s="575"/>
      <c r="Q623" s="575"/>
      <c r="R623" s="575"/>
      <c r="S623" s="575"/>
      <c r="T623" s="575"/>
    </row>
    <row r="624">
      <c r="A624" s="575"/>
      <c r="B624" s="575"/>
      <c r="C624" s="612"/>
      <c r="D624" s="575"/>
      <c r="E624" s="575"/>
      <c r="F624" s="575"/>
      <c r="G624" s="575"/>
      <c r="H624" s="575"/>
      <c r="I624" s="575"/>
      <c r="J624" s="575"/>
      <c r="K624" s="575"/>
      <c r="L624" s="575"/>
      <c r="M624" s="575"/>
      <c r="N624" s="575"/>
      <c r="O624" s="575"/>
      <c r="P624" s="575"/>
      <c r="Q624" s="575"/>
      <c r="R624" s="575"/>
      <c r="S624" s="575"/>
      <c r="T624" s="575"/>
    </row>
    <row r="625">
      <c r="A625" s="575"/>
      <c r="B625" s="575"/>
      <c r="C625" s="612"/>
      <c r="D625" s="575"/>
      <c r="E625" s="575"/>
      <c r="F625" s="575"/>
      <c r="G625" s="575"/>
      <c r="H625" s="575"/>
      <c r="I625" s="575"/>
      <c r="J625" s="575"/>
      <c r="K625" s="575"/>
      <c r="L625" s="575"/>
      <c r="M625" s="575"/>
      <c r="N625" s="575"/>
      <c r="O625" s="575"/>
      <c r="P625" s="575"/>
      <c r="Q625" s="575"/>
      <c r="R625" s="575"/>
      <c r="S625" s="575"/>
      <c r="T625" s="575"/>
    </row>
    <row r="626">
      <c r="A626" s="575"/>
      <c r="B626" s="575"/>
      <c r="C626" s="612"/>
      <c r="D626" s="575"/>
      <c r="E626" s="575"/>
      <c r="F626" s="575"/>
      <c r="G626" s="575"/>
      <c r="H626" s="575"/>
      <c r="I626" s="575"/>
      <c r="J626" s="575"/>
      <c r="K626" s="575"/>
      <c r="L626" s="575"/>
      <c r="M626" s="575"/>
      <c r="N626" s="575"/>
      <c r="O626" s="575"/>
      <c r="P626" s="575"/>
      <c r="Q626" s="575"/>
      <c r="R626" s="575"/>
      <c r="S626" s="575"/>
      <c r="T626" s="575"/>
    </row>
    <row r="627">
      <c r="A627" s="575"/>
      <c r="B627" s="575"/>
      <c r="C627" s="612"/>
      <c r="D627" s="575"/>
      <c r="E627" s="575"/>
      <c r="F627" s="575"/>
      <c r="G627" s="575"/>
      <c r="H627" s="575"/>
      <c r="I627" s="575"/>
      <c r="J627" s="575"/>
      <c r="K627" s="575"/>
      <c r="L627" s="575"/>
      <c r="M627" s="575"/>
      <c r="N627" s="575"/>
      <c r="O627" s="575"/>
      <c r="P627" s="575"/>
      <c r="Q627" s="575"/>
      <c r="R627" s="575"/>
      <c r="S627" s="575"/>
      <c r="T627" s="575"/>
    </row>
    <row r="628">
      <c r="A628" s="575"/>
      <c r="B628" s="575"/>
      <c r="C628" s="612"/>
      <c r="D628" s="575"/>
      <c r="E628" s="575"/>
      <c r="F628" s="575"/>
      <c r="G628" s="575"/>
      <c r="H628" s="575"/>
      <c r="I628" s="575"/>
      <c r="J628" s="575"/>
      <c r="K628" s="575"/>
      <c r="L628" s="575"/>
      <c r="M628" s="575"/>
      <c r="N628" s="575"/>
      <c r="O628" s="575"/>
      <c r="P628" s="575"/>
      <c r="Q628" s="575"/>
      <c r="R628" s="575"/>
      <c r="S628" s="575"/>
      <c r="T628" s="575"/>
    </row>
    <row r="629">
      <c r="A629" s="575"/>
      <c r="B629" s="575"/>
      <c r="C629" s="612"/>
      <c r="D629" s="575"/>
      <c r="E629" s="575"/>
      <c r="F629" s="575"/>
      <c r="G629" s="575"/>
      <c r="H629" s="575"/>
      <c r="I629" s="575"/>
      <c r="J629" s="575"/>
      <c r="K629" s="575"/>
      <c r="L629" s="575"/>
      <c r="M629" s="575"/>
      <c r="N629" s="575"/>
      <c r="O629" s="575"/>
      <c r="P629" s="575"/>
      <c r="Q629" s="575"/>
      <c r="R629" s="575"/>
      <c r="S629" s="575"/>
      <c r="T629" s="575"/>
    </row>
    <row r="630">
      <c r="A630" s="575"/>
      <c r="B630" s="575"/>
      <c r="C630" s="612"/>
      <c r="D630" s="575"/>
      <c r="E630" s="575"/>
      <c r="F630" s="575"/>
      <c r="G630" s="575"/>
      <c r="H630" s="575"/>
      <c r="I630" s="575"/>
      <c r="J630" s="575"/>
      <c r="K630" s="575"/>
      <c r="L630" s="575"/>
      <c r="M630" s="575"/>
      <c r="N630" s="575"/>
      <c r="O630" s="575"/>
      <c r="P630" s="575"/>
      <c r="Q630" s="575"/>
      <c r="R630" s="575"/>
      <c r="S630" s="575"/>
      <c r="T630" s="575"/>
    </row>
    <row r="631">
      <c r="A631" s="575"/>
      <c r="B631" s="575"/>
      <c r="C631" s="612"/>
      <c r="D631" s="575"/>
      <c r="E631" s="575"/>
      <c r="F631" s="575"/>
      <c r="G631" s="575"/>
      <c r="H631" s="575"/>
      <c r="I631" s="575"/>
      <c r="J631" s="575"/>
      <c r="K631" s="575"/>
      <c r="L631" s="575"/>
      <c r="M631" s="575"/>
      <c r="N631" s="575"/>
      <c r="O631" s="575"/>
      <c r="P631" s="575"/>
      <c r="Q631" s="575"/>
      <c r="R631" s="575"/>
      <c r="S631" s="575"/>
      <c r="T631" s="575"/>
    </row>
    <row r="632">
      <c r="A632" s="575"/>
      <c r="B632" s="575"/>
      <c r="C632" s="612"/>
      <c r="D632" s="575"/>
      <c r="E632" s="575"/>
      <c r="F632" s="575"/>
      <c r="G632" s="575"/>
      <c r="H632" s="575"/>
      <c r="I632" s="575"/>
      <c r="J632" s="575"/>
      <c r="K632" s="575"/>
      <c r="L632" s="575"/>
      <c r="M632" s="575"/>
      <c r="N632" s="575"/>
      <c r="O632" s="575"/>
      <c r="P632" s="575"/>
      <c r="Q632" s="575"/>
      <c r="R632" s="575"/>
      <c r="S632" s="575"/>
      <c r="T632" s="575"/>
    </row>
    <row r="633">
      <c r="A633" s="575"/>
      <c r="B633" s="575"/>
      <c r="C633" s="612"/>
      <c r="D633" s="575"/>
      <c r="E633" s="575"/>
      <c r="F633" s="575"/>
      <c r="G633" s="575"/>
      <c r="H633" s="575"/>
      <c r="I633" s="575"/>
      <c r="J633" s="575"/>
      <c r="K633" s="575"/>
      <c r="L633" s="575"/>
      <c r="M633" s="575"/>
      <c r="N633" s="575"/>
      <c r="O633" s="575"/>
      <c r="P633" s="575"/>
      <c r="Q633" s="575"/>
      <c r="R633" s="575"/>
      <c r="S633" s="575"/>
      <c r="T633" s="575"/>
    </row>
    <row r="634">
      <c r="A634" s="575"/>
      <c r="B634" s="575"/>
      <c r="C634" s="612"/>
      <c r="D634" s="575"/>
      <c r="E634" s="575"/>
      <c r="F634" s="575"/>
      <c r="G634" s="575"/>
      <c r="H634" s="575"/>
      <c r="I634" s="575"/>
      <c r="J634" s="575"/>
      <c r="K634" s="575"/>
      <c r="L634" s="575"/>
      <c r="M634" s="575"/>
      <c r="N634" s="575"/>
      <c r="O634" s="575"/>
      <c r="P634" s="575"/>
      <c r="Q634" s="575"/>
      <c r="R634" s="575"/>
      <c r="S634" s="575"/>
      <c r="T634" s="575"/>
    </row>
    <row r="635">
      <c r="A635" s="575"/>
      <c r="B635" s="575"/>
      <c r="C635" s="612"/>
      <c r="D635" s="575"/>
      <c r="E635" s="575"/>
      <c r="F635" s="575"/>
      <c r="G635" s="575"/>
      <c r="H635" s="575"/>
      <c r="I635" s="575"/>
      <c r="J635" s="575"/>
      <c r="K635" s="575"/>
      <c r="L635" s="575"/>
      <c r="M635" s="575"/>
      <c r="N635" s="575"/>
      <c r="O635" s="575"/>
      <c r="P635" s="575"/>
      <c r="Q635" s="575"/>
      <c r="R635" s="575"/>
      <c r="S635" s="575"/>
      <c r="T635" s="575"/>
    </row>
    <row r="636">
      <c r="A636" s="575"/>
      <c r="B636" s="575"/>
      <c r="C636" s="612"/>
      <c r="D636" s="575"/>
      <c r="E636" s="575"/>
      <c r="F636" s="575"/>
      <c r="G636" s="575"/>
      <c r="H636" s="575"/>
      <c r="I636" s="575"/>
      <c r="J636" s="575"/>
      <c r="K636" s="575"/>
      <c r="L636" s="575"/>
      <c r="M636" s="575"/>
      <c r="N636" s="575"/>
      <c r="O636" s="575"/>
      <c r="P636" s="575"/>
      <c r="Q636" s="575"/>
      <c r="R636" s="575"/>
      <c r="S636" s="575"/>
      <c r="T636" s="575"/>
    </row>
    <row r="637">
      <c r="A637" s="575"/>
      <c r="B637" s="575"/>
      <c r="C637" s="612"/>
      <c r="D637" s="575"/>
      <c r="E637" s="575"/>
      <c r="F637" s="575"/>
      <c r="G637" s="575"/>
      <c r="H637" s="575"/>
      <c r="I637" s="575"/>
      <c r="J637" s="575"/>
      <c r="K637" s="575"/>
      <c r="L637" s="575"/>
      <c r="M637" s="575"/>
      <c r="N637" s="575"/>
      <c r="O637" s="575"/>
      <c r="P637" s="575"/>
      <c r="Q637" s="575"/>
      <c r="R637" s="575"/>
      <c r="S637" s="575"/>
      <c r="T637" s="575"/>
    </row>
    <row r="638">
      <c r="A638" s="575"/>
      <c r="B638" s="575"/>
      <c r="C638" s="612"/>
      <c r="D638" s="575"/>
      <c r="E638" s="575"/>
      <c r="F638" s="575"/>
      <c r="G638" s="575"/>
      <c r="H638" s="575"/>
      <c r="I638" s="575"/>
      <c r="J638" s="575"/>
      <c r="K638" s="575"/>
      <c r="L638" s="575"/>
      <c r="M638" s="575"/>
      <c r="N638" s="575"/>
      <c r="O638" s="575"/>
      <c r="P638" s="575"/>
      <c r="Q638" s="575"/>
      <c r="R638" s="575"/>
      <c r="S638" s="575"/>
      <c r="T638" s="575"/>
    </row>
    <row r="639">
      <c r="A639" s="575"/>
      <c r="B639" s="575"/>
      <c r="C639" s="612"/>
      <c r="D639" s="575"/>
      <c r="E639" s="575"/>
      <c r="F639" s="575"/>
      <c r="G639" s="575"/>
      <c r="H639" s="575"/>
      <c r="I639" s="575"/>
      <c r="J639" s="575"/>
      <c r="K639" s="575"/>
      <c r="L639" s="575"/>
      <c r="M639" s="575"/>
      <c r="N639" s="575"/>
      <c r="O639" s="575"/>
      <c r="P639" s="575"/>
      <c r="Q639" s="575"/>
      <c r="R639" s="575"/>
      <c r="S639" s="575"/>
      <c r="T639" s="575"/>
    </row>
    <row r="640">
      <c r="A640" s="575"/>
      <c r="B640" s="575"/>
      <c r="C640" s="612"/>
      <c r="D640" s="575"/>
      <c r="E640" s="575"/>
      <c r="F640" s="575"/>
      <c r="G640" s="575"/>
      <c r="H640" s="575"/>
      <c r="I640" s="575"/>
      <c r="J640" s="575"/>
      <c r="K640" s="575"/>
      <c r="L640" s="575"/>
      <c r="M640" s="575"/>
      <c r="N640" s="575"/>
      <c r="O640" s="575"/>
      <c r="P640" s="575"/>
      <c r="Q640" s="575"/>
      <c r="R640" s="575"/>
      <c r="S640" s="575"/>
      <c r="T640" s="575"/>
    </row>
    <row r="641">
      <c r="A641" s="575"/>
      <c r="B641" s="575"/>
      <c r="C641" s="612"/>
      <c r="D641" s="575"/>
      <c r="E641" s="575"/>
      <c r="F641" s="575"/>
      <c r="G641" s="575"/>
      <c r="H641" s="575"/>
      <c r="I641" s="575"/>
      <c r="J641" s="575"/>
      <c r="K641" s="575"/>
      <c r="L641" s="575"/>
      <c r="M641" s="575"/>
      <c r="N641" s="575"/>
      <c r="O641" s="575"/>
      <c r="P641" s="575"/>
      <c r="Q641" s="575"/>
      <c r="R641" s="575"/>
      <c r="S641" s="575"/>
      <c r="T641" s="575"/>
    </row>
    <row r="642">
      <c r="A642" s="575"/>
      <c r="B642" s="575"/>
      <c r="C642" s="612"/>
      <c r="D642" s="575"/>
      <c r="E642" s="575"/>
      <c r="F642" s="575"/>
      <c r="G642" s="575"/>
      <c r="H642" s="575"/>
      <c r="I642" s="575"/>
      <c r="J642" s="575"/>
      <c r="K642" s="575"/>
      <c r="L642" s="575"/>
      <c r="M642" s="575"/>
      <c r="N642" s="575"/>
      <c r="O642" s="575"/>
      <c r="P642" s="575"/>
      <c r="Q642" s="575"/>
      <c r="R642" s="575"/>
      <c r="S642" s="575"/>
      <c r="T642" s="575"/>
    </row>
    <row r="643">
      <c r="A643" s="575"/>
      <c r="B643" s="575"/>
      <c r="C643" s="612"/>
      <c r="D643" s="575"/>
      <c r="E643" s="575"/>
      <c r="F643" s="575"/>
      <c r="G643" s="575"/>
      <c r="H643" s="575"/>
      <c r="I643" s="575"/>
      <c r="J643" s="575"/>
      <c r="K643" s="575"/>
      <c r="L643" s="575"/>
      <c r="M643" s="575"/>
      <c r="N643" s="575"/>
      <c r="O643" s="575"/>
      <c r="P643" s="575"/>
      <c r="Q643" s="575"/>
      <c r="R643" s="575"/>
      <c r="S643" s="575"/>
      <c r="T643" s="575"/>
    </row>
    <row r="644">
      <c r="A644" s="575"/>
      <c r="B644" s="575"/>
      <c r="C644" s="612"/>
      <c r="D644" s="575"/>
      <c r="E644" s="575"/>
      <c r="F644" s="575"/>
      <c r="G644" s="575"/>
      <c r="H644" s="575"/>
      <c r="I644" s="575"/>
      <c r="J644" s="575"/>
      <c r="K644" s="575"/>
      <c r="L644" s="575"/>
      <c r="M644" s="575"/>
      <c r="N644" s="575"/>
      <c r="O644" s="575"/>
      <c r="P644" s="575"/>
      <c r="Q644" s="575"/>
      <c r="R644" s="575"/>
      <c r="S644" s="575"/>
      <c r="T644" s="575"/>
    </row>
    <row r="645">
      <c r="A645" s="575"/>
      <c r="B645" s="575"/>
      <c r="C645" s="612"/>
      <c r="D645" s="575"/>
      <c r="E645" s="575"/>
      <c r="F645" s="575"/>
      <c r="G645" s="575"/>
      <c r="H645" s="575"/>
      <c r="I645" s="575"/>
      <c r="J645" s="575"/>
      <c r="K645" s="575"/>
      <c r="L645" s="575"/>
      <c r="M645" s="575"/>
      <c r="N645" s="575"/>
      <c r="O645" s="575"/>
      <c r="P645" s="575"/>
      <c r="Q645" s="575"/>
      <c r="R645" s="575"/>
      <c r="S645" s="575"/>
      <c r="T645" s="575"/>
    </row>
    <row r="646">
      <c r="A646" s="575"/>
      <c r="B646" s="575"/>
      <c r="C646" s="612"/>
      <c r="D646" s="575"/>
      <c r="E646" s="575"/>
      <c r="F646" s="575"/>
      <c r="G646" s="575"/>
      <c r="H646" s="575"/>
      <c r="I646" s="575"/>
      <c r="J646" s="575"/>
      <c r="K646" s="575"/>
      <c r="L646" s="575"/>
      <c r="M646" s="575"/>
      <c r="N646" s="575"/>
      <c r="O646" s="575"/>
      <c r="P646" s="575"/>
      <c r="Q646" s="575"/>
      <c r="R646" s="575"/>
      <c r="S646" s="575"/>
      <c r="T646" s="575"/>
    </row>
    <row r="647">
      <c r="A647" s="575"/>
      <c r="B647" s="575"/>
      <c r="C647" s="612"/>
      <c r="D647" s="575"/>
      <c r="E647" s="575"/>
      <c r="F647" s="575"/>
      <c r="G647" s="575"/>
      <c r="H647" s="575"/>
      <c r="I647" s="575"/>
      <c r="J647" s="575"/>
      <c r="K647" s="575"/>
      <c r="L647" s="575"/>
      <c r="M647" s="575"/>
      <c r="N647" s="575"/>
      <c r="O647" s="575"/>
      <c r="P647" s="575"/>
      <c r="Q647" s="575"/>
      <c r="R647" s="575"/>
      <c r="S647" s="575"/>
      <c r="T647" s="575"/>
    </row>
    <row r="648">
      <c r="A648" s="575"/>
      <c r="B648" s="575"/>
      <c r="C648" s="612"/>
      <c r="D648" s="575"/>
      <c r="E648" s="575"/>
      <c r="F648" s="575"/>
      <c r="G648" s="575"/>
      <c r="H648" s="575"/>
      <c r="I648" s="575"/>
      <c r="J648" s="575"/>
      <c r="K648" s="575"/>
      <c r="L648" s="575"/>
      <c r="M648" s="575"/>
      <c r="N648" s="575"/>
      <c r="O648" s="575"/>
      <c r="P648" s="575"/>
      <c r="Q648" s="575"/>
      <c r="R648" s="575"/>
      <c r="S648" s="575"/>
      <c r="T648" s="575"/>
    </row>
    <row r="649">
      <c r="A649" s="575"/>
      <c r="B649" s="575"/>
      <c r="C649" s="612"/>
      <c r="D649" s="575"/>
      <c r="E649" s="575"/>
      <c r="F649" s="575"/>
      <c r="G649" s="575"/>
      <c r="H649" s="575"/>
      <c r="I649" s="575"/>
      <c r="J649" s="575"/>
      <c r="K649" s="575"/>
      <c r="L649" s="575"/>
      <c r="M649" s="575"/>
      <c r="N649" s="575"/>
      <c r="O649" s="575"/>
      <c r="P649" s="575"/>
      <c r="Q649" s="575"/>
      <c r="R649" s="575"/>
      <c r="S649" s="575"/>
      <c r="T649" s="575"/>
    </row>
    <row r="650">
      <c r="A650" s="575"/>
      <c r="B650" s="575"/>
      <c r="C650" s="612"/>
      <c r="D650" s="575"/>
      <c r="E650" s="575"/>
      <c r="F650" s="575"/>
      <c r="G650" s="575"/>
      <c r="H650" s="575"/>
      <c r="I650" s="575"/>
      <c r="J650" s="575"/>
      <c r="K650" s="575"/>
      <c r="L650" s="575"/>
      <c r="M650" s="575"/>
      <c r="N650" s="575"/>
      <c r="O650" s="575"/>
      <c r="P650" s="575"/>
      <c r="Q650" s="575"/>
      <c r="R650" s="575"/>
      <c r="S650" s="575"/>
      <c r="T650" s="575"/>
    </row>
    <row r="651">
      <c r="A651" s="575"/>
      <c r="B651" s="575"/>
      <c r="C651" s="612"/>
      <c r="D651" s="575"/>
      <c r="E651" s="575"/>
      <c r="F651" s="575"/>
      <c r="G651" s="575"/>
      <c r="H651" s="575"/>
      <c r="I651" s="575"/>
      <c r="J651" s="575"/>
      <c r="K651" s="575"/>
      <c r="L651" s="575"/>
      <c r="M651" s="575"/>
      <c r="N651" s="575"/>
      <c r="O651" s="575"/>
      <c r="P651" s="575"/>
      <c r="Q651" s="575"/>
      <c r="R651" s="575"/>
      <c r="S651" s="575"/>
      <c r="T651" s="575"/>
    </row>
    <row r="652">
      <c r="A652" s="575"/>
      <c r="B652" s="575"/>
      <c r="C652" s="612"/>
      <c r="D652" s="575"/>
      <c r="E652" s="575"/>
      <c r="F652" s="575"/>
      <c r="G652" s="575"/>
      <c r="H652" s="575"/>
      <c r="I652" s="575"/>
      <c r="J652" s="575"/>
      <c r="K652" s="575"/>
      <c r="L652" s="575"/>
      <c r="M652" s="575"/>
      <c r="N652" s="575"/>
      <c r="O652" s="575"/>
      <c r="P652" s="575"/>
      <c r="Q652" s="575"/>
      <c r="R652" s="575"/>
      <c r="S652" s="575"/>
      <c r="T652" s="575"/>
    </row>
    <row r="653">
      <c r="A653" s="575"/>
      <c r="B653" s="575"/>
      <c r="C653" s="612"/>
      <c r="D653" s="575"/>
      <c r="E653" s="575"/>
      <c r="F653" s="575"/>
      <c r="G653" s="575"/>
      <c r="H653" s="575"/>
      <c r="I653" s="575"/>
      <c r="J653" s="575"/>
      <c r="K653" s="575"/>
      <c r="L653" s="575"/>
      <c r="M653" s="575"/>
      <c r="N653" s="575"/>
      <c r="O653" s="575"/>
      <c r="P653" s="575"/>
      <c r="Q653" s="575"/>
      <c r="R653" s="575"/>
      <c r="S653" s="575"/>
      <c r="T653" s="575"/>
    </row>
    <row r="654">
      <c r="A654" s="575"/>
      <c r="B654" s="575"/>
      <c r="C654" s="612"/>
      <c r="D654" s="575"/>
      <c r="E654" s="575"/>
      <c r="F654" s="575"/>
      <c r="G654" s="575"/>
      <c r="H654" s="575"/>
      <c r="I654" s="575"/>
      <c r="J654" s="575"/>
      <c r="K654" s="575"/>
      <c r="L654" s="575"/>
      <c r="M654" s="575"/>
      <c r="N654" s="575"/>
      <c r="O654" s="575"/>
      <c r="P654" s="575"/>
      <c r="Q654" s="575"/>
      <c r="R654" s="575"/>
      <c r="S654" s="575"/>
      <c r="T654" s="575"/>
    </row>
    <row r="655">
      <c r="A655" s="575"/>
      <c r="B655" s="575"/>
      <c r="C655" s="612"/>
      <c r="D655" s="575"/>
      <c r="E655" s="575"/>
      <c r="F655" s="575"/>
      <c r="G655" s="575"/>
      <c r="H655" s="575"/>
      <c r="I655" s="575"/>
      <c r="J655" s="575"/>
      <c r="K655" s="575"/>
      <c r="L655" s="575"/>
      <c r="M655" s="575"/>
      <c r="N655" s="575"/>
      <c r="O655" s="575"/>
      <c r="P655" s="575"/>
      <c r="Q655" s="575"/>
      <c r="R655" s="575"/>
      <c r="S655" s="575"/>
      <c r="T655" s="575"/>
    </row>
    <row r="656">
      <c r="A656" s="575"/>
      <c r="B656" s="575"/>
      <c r="C656" s="612"/>
      <c r="D656" s="575"/>
      <c r="E656" s="575"/>
      <c r="F656" s="575"/>
      <c r="G656" s="575"/>
      <c r="H656" s="575"/>
      <c r="I656" s="575"/>
      <c r="J656" s="575"/>
      <c r="K656" s="575"/>
      <c r="L656" s="575"/>
      <c r="M656" s="575"/>
      <c r="N656" s="575"/>
      <c r="O656" s="575"/>
      <c r="P656" s="575"/>
      <c r="Q656" s="575"/>
      <c r="R656" s="575"/>
      <c r="S656" s="575"/>
      <c r="T656" s="575"/>
    </row>
    <row r="657">
      <c r="A657" s="575"/>
      <c r="B657" s="575"/>
      <c r="C657" s="612"/>
      <c r="D657" s="575"/>
      <c r="E657" s="575"/>
      <c r="F657" s="575"/>
      <c r="G657" s="575"/>
      <c r="H657" s="575"/>
      <c r="I657" s="575"/>
      <c r="J657" s="575"/>
      <c r="K657" s="575"/>
      <c r="L657" s="575"/>
      <c r="M657" s="575"/>
      <c r="N657" s="575"/>
      <c r="O657" s="575"/>
      <c r="P657" s="575"/>
      <c r="Q657" s="575"/>
      <c r="R657" s="575"/>
      <c r="S657" s="575"/>
      <c r="T657" s="575"/>
    </row>
    <row r="658">
      <c r="A658" s="575"/>
      <c r="B658" s="575"/>
      <c r="C658" s="612"/>
      <c r="D658" s="575"/>
      <c r="E658" s="575"/>
      <c r="F658" s="575"/>
      <c r="G658" s="575"/>
      <c r="H658" s="575"/>
      <c r="I658" s="575"/>
      <c r="J658" s="575"/>
      <c r="K658" s="575"/>
      <c r="L658" s="575"/>
      <c r="M658" s="575"/>
      <c r="N658" s="575"/>
      <c r="O658" s="575"/>
      <c r="P658" s="575"/>
      <c r="Q658" s="575"/>
      <c r="R658" s="575"/>
      <c r="S658" s="575"/>
      <c r="T658" s="575"/>
    </row>
    <row r="659">
      <c r="A659" s="575"/>
      <c r="B659" s="575"/>
      <c r="C659" s="612"/>
      <c r="D659" s="575"/>
      <c r="E659" s="575"/>
      <c r="F659" s="575"/>
      <c r="G659" s="575"/>
      <c r="H659" s="575"/>
      <c r="I659" s="575"/>
      <c r="J659" s="575"/>
      <c r="K659" s="575"/>
      <c r="L659" s="575"/>
      <c r="M659" s="575"/>
      <c r="N659" s="575"/>
      <c r="O659" s="575"/>
      <c r="P659" s="575"/>
      <c r="Q659" s="575"/>
      <c r="R659" s="575"/>
      <c r="S659" s="575"/>
      <c r="T659" s="575"/>
    </row>
    <row r="660">
      <c r="A660" s="575"/>
      <c r="B660" s="575"/>
      <c r="C660" s="612"/>
      <c r="D660" s="575"/>
      <c r="E660" s="575"/>
      <c r="F660" s="575"/>
      <c r="G660" s="575"/>
      <c r="H660" s="575"/>
      <c r="I660" s="575"/>
      <c r="J660" s="575"/>
      <c r="K660" s="575"/>
      <c r="L660" s="575"/>
      <c r="M660" s="575"/>
      <c r="N660" s="575"/>
      <c r="O660" s="575"/>
      <c r="P660" s="575"/>
      <c r="Q660" s="575"/>
      <c r="R660" s="575"/>
      <c r="S660" s="575"/>
      <c r="T660" s="575"/>
    </row>
    <row r="661">
      <c r="A661" s="575"/>
      <c r="B661" s="575"/>
      <c r="C661" s="612"/>
      <c r="D661" s="575"/>
      <c r="E661" s="575"/>
      <c r="F661" s="575"/>
      <c r="G661" s="575"/>
      <c r="H661" s="575"/>
      <c r="I661" s="575"/>
      <c r="J661" s="575"/>
      <c r="K661" s="575"/>
      <c r="L661" s="575"/>
      <c r="M661" s="575"/>
      <c r="N661" s="575"/>
      <c r="O661" s="575"/>
      <c r="P661" s="575"/>
      <c r="Q661" s="575"/>
      <c r="R661" s="575"/>
      <c r="S661" s="575"/>
      <c r="T661" s="575"/>
    </row>
    <row r="662">
      <c r="A662" s="575"/>
      <c r="B662" s="575"/>
      <c r="C662" s="612"/>
      <c r="D662" s="575"/>
      <c r="E662" s="575"/>
      <c r="F662" s="575"/>
      <c r="G662" s="575"/>
      <c r="H662" s="575"/>
      <c r="I662" s="575"/>
      <c r="J662" s="575"/>
      <c r="K662" s="575"/>
      <c r="L662" s="575"/>
      <c r="M662" s="575"/>
      <c r="N662" s="575"/>
      <c r="O662" s="575"/>
      <c r="P662" s="575"/>
      <c r="Q662" s="575"/>
      <c r="R662" s="575"/>
      <c r="S662" s="575"/>
      <c r="T662" s="575"/>
    </row>
    <row r="663">
      <c r="A663" s="575"/>
      <c r="B663" s="575"/>
      <c r="C663" s="612"/>
      <c r="D663" s="575"/>
      <c r="E663" s="575"/>
      <c r="F663" s="575"/>
      <c r="G663" s="575"/>
      <c r="H663" s="575"/>
      <c r="I663" s="575"/>
      <c r="J663" s="575"/>
      <c r="K663" s="575"/>
      <c r="L663" s="575"/>
      <c r="M663" s="575"/>
      <c r="N663" s="575"/>
      <c r="O663" s="575"/>
      <c r="P663" s="575"/>
      <c r="Q663" s="575"/>
      <c r="R663" s="575"/>
      <c r="S663" s="575"/>
      <c r="T663" s="575"/>
    </row>
    <row r="664">
      <c r="A664" s="575"/>
      <c r="B664" s="575"/>
      <c r="C664" s="612"/>
      <c r="D664" s="575"/>
      <c r="E664" s="575"/>
      <c r="F664" s="575"/>
      <c r="G664" s="575"/>
      <c r="H664" s="575"/>
      <c r="I664" s="575"/>
      <c r="J664" s="575"/>
      <c r="K664" s="575"/>
      <c r="L664" s="575"/>
      <c r="M664" s="575"/>
      <c r="N664" s="575"/>
      <c r="O664" s="575"/>
      <c r="P664" s="575"/>
      <c r="Q664" s="575"/>
      <c r="R664" s="575"/>
      <c r="S664" s="575"/>
      <c r="T664" s="575"/>
    </row>
    <row r="665">
      <c r="A665" s="575"/>
      <c r="B665" s="575"/>
      <c r="C665" s="612"/>
      <c r="D665" s="575"/>
      <c r="E665" s="575"/>
      <c r="F665" s="575"/>
      <c r="G665" s="575"/>
      <c r="H665" s="575"/>
      <c r="I665" s="575"/>
      <c r="J665" s="575"/>
      <c r="K665" s="575"/>
      <c r="L665" s="575"/>
      <c r="M665" s="575"/>
      <c r="N665" s="575"/>
      <c r="O665" s="575"/>
      <c r="P665" s="575"/>
      <c r="Q665" s="575"/>
      <c r="R665" s="575"/>
      <c r="S665" s="575"/>
      <c r="T665" s="575"/>
    </row>
    <row r="666">
      <c r="A666" s="575"/>
      <c r="B666" s="575"/>
      <c r="C666" s="612"/>
      <c r="D666" s="575"/>
      <c r="E666" s="575"/>
      <c r="F666" s="575"/>
      <c r="G666" s="575"/>
      <c r="H666" s="575"/>
      <c r="I666" s="575"/>
      <c r="J666" s="575"/>
      <c r="K666" s="575"/>
      <c r="L666" s="575"/>
      <c r="M666" s="575"/>
      <c r="N666" s="575"/>
      <c r="O666" s="575"/>
      <c r="P666" s="575"/>
      <c r="Q666" s="575"/>
      <c r="R666" s="575"/>
      <c r="S666" s="575"/>
      <c r="T666" s="575"/>
    </row>
    <row r="667">
      <c r="A667" s="575"/>
      <c r="B667" s="575"/>
      <c r="C667" s="612"/>
      <c r="D667" s="575"/>
      <c r="E667" s="575"/>
      <c r="F667" s="575"/>
      <c r="G667" s="575"/>
      <c r="H667" s="575"/>
      <c r="I667" s="575"/>
      <c r="J667" s="575"/>
      <c r="K667" s="575"/>
      <c r="L667" s="575"/>
      <c r="M667" s="575"/>
      <c r="N667" s="575"/>
      <c r="O667" s="575"/>
      <c r="P667" s="575"/>
      <c r="Q667" s="575"/>
      <c r="R667" s="575"/>
      <c r="S667" s="575"/>
      <c r="T667" s="575"/>
    </row>
    <row r="668">
      <c r="A668" s="575"/>
      <c r="B668" s="575"/>
      <c r="C668" s="612"/>
      <c r="D668" s="575"/>
      <c r="E668" s="575"/>
      <c r="F668" s="575"/>
      <c r="G668" s="575"/>
      <c r="H668" s="575"/>
      <c r="I668" s="575"/>
      <c r="J668" s="575"/>
      <c r="K668" s="575"/>
      <c r="L668" s="575"/>
      <c r="M668" s="575"/>
      <c r="N668" s="575"/>
      <c r="O668" s="575"/>
      <c r="P668" s="575"/>
      <c r="Q668" s="575"/>
      <c r="R668" s="575"/>
      <c r="S668" s="575"/>
      <c r="T668" s="575"/>
    </row>
    <row r="669">
      <c r="A669" s="575"/>
      <c r="B669" s="575"/>
      <c r="C669" s="612"/>
      <c r="D669" s="575"/>
      <c r="E669" s="575"/>
      <c r="F669" s="575"/>
      <c r="G669" s="575"/>
      <c r="H669" s="575"/>
      <c r="I669" s="575"/>
      <c r="J669" s="575"/>
      <c r="K669" s="575"/>
      <c r="L669" s="575"/>
      <c r="M669" s="575"/>
      <c r="N669" s="575"/>
      <c r="O669" s="575"/>
      <c r="P669" s="575"/>
      <c r="Q669" s="575"/>
      <c r="R669" s="575"/>
      <c r="S669" s="575"/>
      <c r="T669" s="575"/>
    </row>
    <row r="670">
      <c r="A670" s="575"/>
      <c r="B670" s="575"/>
      <c r="C670" s="612"/>
      <c r="D670" s="575"/>
      <c r="E670" s="575"/>
      <c r="F670" s="575"/>
      <c r="G670" s="575"/>
      <c r="H670" s="575"/>
      <c r="I670" s="575"/>
      <c r="J670" s="575"/>
      <c r="K670" s="575"/>
      <c r="L670" s="575"/>
      <c r="M670" s="575"/>
      <c r="N670" s="575"/>
      <c r="O670" s="575"/>
      <c r="P670" s="575"/>
      <c r="Q670" s="575"/>
      <c r="R670" s="575"/>
      <c r="S670" s="575"/>
      <c r="T670" s="575"/>
    </row>
    <row r="671">
      <c r="A671" s="575"/>
      <c r="B671" s="575"/>
      <c r="C671" s="612"/>
      <c r="D671" s="575"/>
      <c r="E671" s="575"/>
      <c r="F671" s="575"/>
      <c r="G671" s="575"/>
      <c r="H671" s="575"/>
      <c r="I671" s="575"/>
      <c r="J671" s="575"/>
      <c r="K671" s="575"/>
      <c r="L671" s="575"/>
      <c r="M671" s="575"/>
      <c r="N671" s="575"/>
      <c r="O671" s="575"/>
      <c r="P671" s="575"/>
      <c r="Q671" s="575"/>
      <c r="R671" s="575"/>
      <c r="S671" s="575"/>
      <c r="T671" s="575"/>
    </row>
    <row r="672">
      <c r="A672" s="575"/>
      <c r="B672" s="575"/>
      <c r="C672" s="612"/>
      <c r="D672" s="575"/>
      <c r="E672" s="575"/>
      <c r="F672" s="575"/>
      <c r="G672" s="575"/>
      <c r="H672" s="575"/>
      <c r="I672" s="575"/>
      <c r="J672" s="575"/>
      <c r="K672" s="575"/>
      <c r="L672" s="575"/>
      <c r="M672" s="575"/>
      <c r="N672" s="575"/>
      <c r="O672" s="575"/>
      <c r="P672" s="575"/>
      <c r="Q672" s="575"/>
      <c r="R672" s="575"/>
      <c r="S672" s="575"/>
      <c r="T672" s="575"/>
    </row>
    <row r="673">
      <c r="A673" s="575"/>
      <c r="B673" s="575"/>
      <c r="C673" s="612"/>
      <c r="D673" s="575"/>
      <c r="E673" s="575"/>
      <c r="F673" s="575"/>
      <c r="G673" s="575"/>
      <c r="H673" s="575"/>
      <c r="I673" s="575"/>
      <c r="J673" s="575"/>
      <c r="K673" s="575"/>
      <c r="L673" s="575"/>
      <c r="M673" s="575"/>
      <c r="N673" s="575"/>
      <c r="O673" s="575"/>
      <c r="P673" s="575"/>
      <c r="Q673" s="575"/>
      <c r="R673" s="575"/>
      <c r="S673" s="575"/>
      <c r="T673" s="575"/>
    </row>
    <row r="674">
      <c r="A674" s="575"/>
      <c r="B674" s="575"/>
      <c r="C674" s="612"/>
      <c r="D674" s="575"/>
      <c r="E674" s="575"/>
      <c r="F674" s="575"/>
      <c r="G674" s="575"/>
      <c r="H674" s="575"/>
      <c r="I674" s="575"/>
      <c r="J674" s="575"/>
      <c r="K674" s="575"/>
      <c r="L674" s="575"/>
      <c r="M674" s="575"/>
      <c r="N674" s="575"/>
      <c r="O674" s="575"/>
      <c r="P674" s="575"/>
      <c r="Q674" s="575"/>
      <c r="R674" s="575"/>
      <c r="S674" s="575"/>
      <c r="T674" s="575"/>
    </row>
    <row r="675">
      <c r="A675" s="575"/>
      <c r="B675" s="575"/>
      <c r="C675" s="612"/>
      <c r="D675" s="575"/>
      <c r="E675" s="575"/>
      <c r="F675" s="575"/>
      <c r="G675" s="575"/>
      <c r="H675" s="575"/>
      <c r="I675" s="575"/>
      <c r="J675" s="575"/>
      <c r="K675" s="575"/>
      <c r="L675" s="575"/>
      <c r="M675" s="575"/>
      <c r="N675" s="575"/>
      <c r="O675" s="575"/>
      <c r="P675" s="575"/>
      <c r="Q675" s="575"/>
      <c r="R675" s="575"/>
      <c r="S675" s="575"/>
      <c r="T675" s="575"/>
    </row>
    <row r="676">
      <c r="A676" s="575"/>
      <c r="B676" s="575"/>
      <c r="C676" s="612"/>
      <c r="D676" s="575"/>
      <c r="E676" s="575"/>
      <c r="F676" s="575"/>
      <c r="G676" s="575"/>
      <c r="H676" s="575"/>
      <c r="I676" s="575"/>
      <c r="J676" s="575"/>
      <c r="K676" s="575"/>
      <c r="L676" s="575"/>
      <c r="M676" s="575"/>
      <c r="N676" s="575"/>
      <c r="O676" s="575"/>
      <c r="P676" s="575"/>
      <c r="Q676" s="575"/>
      <c r="R676" s="575"/>
      <c r="S676" s="575"/>
      <c r="T676" s="575"/>
    </row>
    <row r="677">
      <c r="A677" s="575"/>
      <c r="B677" s="575"/>
      <c r="C677" s="612"/>
      <c r="D677" s="575"/>
      <c r="E677" s="575"/>
      <c r="F677" s="575"/>
      <c r="G677" s="575"/>
      <c r="H677" s="575"/>
      <c r="I677" s="575"/>
      <c r="J677" s="575"/>
      <c r="K677" s="575"/>
      <c r="L677" s="575"/>
      <c r="M677" s="575"/>
      <c r="N677" s="575"/>
      <c r="O677" s="575"/>
      <c r="P677" s="575"/>
      <c r="Q677" s="575"/>
      <c r="R677" s="575"/>
      <c r="S677" s="575"/>
      <c r="T677" s="575"/>
    </row>
    <row r="678">
      <c r="A678" s="575"/>
      <c r="B678" s="575"/>
      <c r="C678" s="612"/>
      <c r="D678" s="575"/>
      <c r="E678" s="575"/>
      <c r="F678" s="575"/>
      <c r="G678" s="575"/>
      <c r="H678" s="575"/>
      <c r="I678" s="575"/>
      <c r="J678" s="575"/>
      <c r="K678" s="575"/>
      <c r="L678" s="575"/>
      <c r="M678" s="575"/>
      <c r="N678" s="575"/>
      <c r="O678" s="575"/>
      <c r="P678" s="575"/>
      <c r="Q678" s="575"/>
      <c r="R678" s="575"/>
      <c r="S678" s="575"/>
      <c r="T678" s="575"/>
    </row>
    <row r="679">
      <c r="A679" s="575"/>
      <c r="B679" s="575"/>
      <c r="C679" s="612"/>
      <c r="D679" s="575"/>
      <c r="E679" s="575"/>
      <c r="F679" s="575"/>
      <c r="G679" s="575"/>
      <c r="H679" s="575"/>
      <c r="I679" s="575"/>
      <c r="J679" s="575"/>
      <c r="K679" s="575"/>
      <c r="L679" s="575"/>
      <c r="M679" s="575"/>
      <c r="N679" s="575"/>
      <c r="O679" s="575"/>
      <c r="P679" s="575"/>
      <c r="Q679" s="575"/>
      <c r="R679" s="575"/>
      <c r="S679" s="575"/>
      <c r="T679" s="575"/>
    </row>
    <row r="680">
      <c r="A680" s="575"/>
      <c r="B680" s="575"/>
      <c r="C680" s="612"/>
      <c r="D680" s="575"/>
      <c r="E680" s="575"/>
      <c r="F680" s="575"/>
      <c r="G680" s="575"/>
      <c r="H680" s="575"/>
      <c r="I680" s="575"/>
      <c r="J680" s="575"/>
      <c r="K680" s="575"/>
      <c r="L680" s="575"/>
      <c r="M680" s="575"/>
      <c r="N680" s="575"/>
      <c r="O680" s="575"/>
      <c r="P680" s="575"/>
      <c r="Q680" s="575"/>
      <c r="R680" s="575"/>
      <c r="S680" s="575"/>
      <c r="T680" s="575"/>
    </row>
    <row r="681">
      <c r="A681" s="575"/>
      <c r="B681" s="575"/>
      <c r="C681" s="612"/>
      <c r="D681" s="575"/>
      <c r="E681" s="575"/>
      <c r="F681" s="575"/>
      <c r="G681" s="575"/>
      <c r="H681" s="575"/>
      <c r="I681" s="575"/>
      <c r="J681" s="575"/>
      <c r="K681" s="575"/>
      <c r="L681" s="575"/>
      <c r="M681" s="575"/>
      <c r="N681" s="575"/>
      <c r="O681" s="575"/>
      <c r="P681" s="575"/>
      <c r="Q681" s="575"/>
      <c r="R681" s="575"/>
      <c r="S681" s="575"/>
      <c r="T681" s="575"/>
    </row>
    <row r="682">
      <c r="A682" s="575"/>
      <c r="B682" s="575"/>
      <c r="C682" s="612"/>
      <c r="D682" s="575"/>
      <c r="E682" s="575"/>
      <c r="F682" s="575"/>
      <c r="G682" s="575"/>
      <c r="H682" s="575"/>
      <c r="I682" s="575"/>
      <c r="J682" s="575"/>
      <c r="K682" s="575"/>
      <c r="L682" s="575"/>
      <c r="M682" s="575"/>
      <c r="N682" s="575"/>
      <c r="O682" s="575"/>
      <c r="P682" s="575"/>
      <c r="Q682" s="575"/>
      <c r="R682" s="575"/>
      <c r="S682" s="575"/>
      <c r="T682" s="575"/>
    </row>
    <row r="683">
      <c r="A683" s="575"/>
      <c r="B683" s="575"/>
      <c r="C683" s="612"/>
      <c r="D683" s="575"/>
      <c r="E683" s="575"/>
      <c r="F683" s="575"/>
      <c r="G683" s="575"/>
      <c r="H683" s="575"/>
      <c r="I683" s="575"/>
      <c r="J683" s="575"/>
      <c r="K683" s="575"/>
      <c r="L683" s="575"/>
      <c r="M683" s="575"/>
      <c r="N683" s="575"/>
      <c r="O683" s="575"/>
      <c r="P683" s="575"/>
      <c r="Q683" s="575"/>
      <c r="R683" s="575"/>
      <c r="S683" s="575"/>
      <c r="T683" s="575"/>
    </row>
    <row r="684">
      <c r="A684" s="575"/>
      <c r="B684" s="575"/>
      <c r="C684" s="612"/>
      <c r="D684" s="575"/>
      <c r="E684" s="575"/>
      <c r="F684" s="575"/>
      <c r="G684" s="575"/>
      <c r="H684" s="575"/>
      <c r="I684" s="575"/>
      <c r="J684" s="575"/>
      <c r="K684" s="575"/>
      <c r="L684" s="575"/>
      <c r="M684" s="575"/>
      <c r="N684" s="575"/>
      <c r="O684" s="575"/>
      <c r="P684" s="575"/>
      <c r="Q684" s="575"/>
      <c r="R684" s="575"/>
      <c r="S684" s="575"/>
      <c r="T684" s="575"/>
    </row>
    <row r="685">
      <c r="A685" s="575"/>
      <c r="B685" s="575"/>
      <c r="C685" s="612"/>
      <c r="D685" s="575"/>
      <c r="E685" s="575"/>
      <c r="F685" s="575"/>
      <c r="G685" s="575"/>
      <c r="H685" s="575"/>
      <c r="I685" s="575"/>
      <c r="J685" s="575"/>
      <c r="K685" s="575"/>
      <c r="L685" s="575"/>
      <c r="M685" s="575"/>
      <c r="N685" s="575"/>
      <c r="O685" s="575"/>
      <c r="P685" s="575"/>
      <c r="Q685" s="575"/>
      <c r="R685" s="575"/>
      <c r="S685" s="575"/>
      <c r="T685" s="575"/>
    </row>
    <row r="686">
      <c r="A686" s="575"/>
      <c r="B686" s="575"/>
      <c r="C686" s="612"/>
      <c r="D686" s="575"/>
      <c r="E686" s="575"/>
      <c r="F686" s="575"/>
      <c r="G686" s="575"/>
      <c r="H686" s="575"/>
      <c r="I686" s="575"/>
      <c r="J686" s="575"/>
      <c r="K686" s="575"/>
      <c r="L686" s="575"/>
      <c r="M686" s="575"/>
      <c r="N686" s="575"/>
      <c r="O686" s="575"/>
      <c r="P686" s="575"/>
      <c r="Q686" s="575"/>
      <c r="R686" s="575"/>
      <c r="S686" s="575"/>
      <c r="T686" s="575"/>
    </row>
    <row r="687">
      <c r="A687" s="575"/>
      <c r="B687" s="575"/>
      <c r="C687" s="612"/>
      <c r="D687" s="575"/>
      <c r="E687" s="575"/>
      <c r="F687" s="575"/>
      <c r="G687" s="575"/>
      <c r="H687" s="575"/>
      <c r="I687" s="575"/>
      <c r="J687" s="575"/>
      <c r="K687" s="575"/>
      <c r="L687" s="575"/>
      <c r="M687" s="575"/>
      <c r="N687" s="575"/>
      <c r="O687" s="575"/>
      <c r="P687" s="575"/>
      <c r="Q687" s="575"/>
      <c r="R687" s="575"/>
      <c r="S687" s="575"/>
      <c r="T687" s="575"/>
    </row>
    <row r="688">
      <c r="A688" s="575"/>
      <c r="B688" s="575"/>
      <c r="C688" s="612"/>
      <c r="D688" s="575"/>
      <c r="E688" s="575"/>
      <c r="F688" s="575"/>
      <c r="G688" s="575"/>
      <c r="H688" s="575"/>
      <c r="I688" s="575"/>
      <c r="J688" s="575"/>
      <c r="K688" s="575"/>
      <c r="L688" s="575"/>
      <c r="M688" s="575"/>
      <c r="N688" s="575"/>
      <c r="O688" s="575"/>
      <c r="P688" s="575"/>
      <c r="Q688" s="575"/>
      <c r="R688" s="575"/>
      <c r="S688" s="575"/>
      <c r="T688" s="575"/>
    </row>
    <row r="689">
      <c r="A689" s="575"/>
      <c r="B689" s="575"/>
      <c r="C689" s="612"/>
      <c r="D689" s="575"/>
      <c r="E689" s="575"/>
      <c r="F689" s="575"/>
      <c r="G689" s="575"/>
      <c r="H689" s="575"/>
      <c r="I689" s="575"/>
      <c r="J689" s="575"/>
      <c r="K689" s="575"/>
      <c r="L689" s="575"/>
      <c r="M689" s="575"/>
      <c r="N689" s="575"/>
      <c r="O689" s="575"/>
      <c r="P689" s="575"/>
      <c r="Q689" s="575"/>
      <c r="R689" s="575"/>
      <c r="S689" s="575"/>
      <c r="T689" s="575"/>
    </row>
    <row r="690">
      <c r="A690" s="575"/>
      <c r="B690" s="575"/>
      <c r="C690" s="612"/>
      <c r="D690" s="575"/>
      <c r="E690" s="575"/>
      <c r="F690" s="575"/>
      <c r="G690" s="575"/>
      <c r="H690" s="575"/>
      <c r="I690" s="575"/>
      <c r="J690" s="575"/>
      <c r="K690" s="575"/>
      <c r="L690" s="575"/>
      <c r="M690" s="575"/>
      <c r="N690" s="575"/>
      <c r="O690" s="575"/>
      <c r="P690" s="575"/>
      <c r="Q690" s="575"/>
      <c r="R690" s="575"/>
      <c r="S690" s="575"/>
      <c r="T690" s="575"/>
    </row>
    <row r="691">
      <c r="A691" s="575"/>
      <c r="B691" s="575"/>
      <c r="C691" s="612"/>
      <c r="D691" s="575"/>
      <c r="E691" s="575"/>
      <c r="F691" s="575"/>
      <c r="G691" s="575"/>
      <c r="H691" s="575"/>
      <c r="I691" s="575"/>
      <c r="J691" s="575"/>
      <c r="K691" s="575"/>
      <c r="L691" s="575"/>
      <c r="M691" s="575"/>
      <c r="N691" s="575"/>
      <c r="O691" s="575"/>
      <c r="P691" s="575"/>
      <c r="Q691" s="575"/>
      <c r="R691" s="575"/>
      <c r="S691" s="575"/>
      <c r="T691" s="575"/>
    </row>
    <row r="692">
      <c r="A692" s="575"/>
      <c r="B692" s="575"/>
      <c r="C692" s="612"/>
      <c r="D692" s="575"/>
      <c r="E692" s="575"/>
      <c r="F692" s="575"/>
      <c r="G692" s="575"/>
      <c r="H692" s="575"/>
      <c r="I692" s="575"/>
      <c r="J692" s="575"/>
      <c r="K692" s="575"/>
      <c r="L692" s="575"/>
      <c r="M692" s="575"/>
      <c r="N692" s="575"/>
      <c r="O692" s="575"/>
      <c r="P692" s="575"/>
      <c r="Q692" s="575"/>
      <c r="R692" s="575"/>
      <c r="S692" s="575"/>
      <c r="T692" s="575"/>
    </row>
    <row r="693">
      <c r="A693" s="575"/>
      <c r="B693" s="575"/>
      <c r="C693" s="612"/>
      <c r="D693" s="575"/>
      <c r="E693" s="575"/>
      <c r="F693" s="575"/>
      <c r="G693" s="575"/>
      <c r="H693" s="575"/>
      <c r="I693" s="575"/>
      <c r="J693" s="575"/>
      <c r="K693" s="575"/>
      <c r="L693" s="575"/>
      <c r="M693" s="575"/>
      <c r="N693" s="575"/>
      <c r="O693" s="575"/>
      <c r="P693" s="575"/>
      <c r="Q693" s="575"/>
      <c r="R693" s="575"/>
      <c r="S693" s="575"/>
      <c r="T693" s="575"/>
    </row>
    <row r="694">
      <c r="A694" s="575"/>
      <c r="B694" s="575"/>
      <c r="C694" s="612"/>
      <c r="D694" s="575"/>
      <c r="E694" s="575"/>
      <c r="F694" s="575"/>
      <c r="G694" s="575"/>
      <c r="H694" s="575"/>
      <c r="I694" s="575"/>
      <c r="J694" s="575"/>
      <c r="K694" s="575"/>
      <c r="L694" s="575"/>
      <c r="M694" s="575"/>
      <c r="N694" s="575"/>
      <c r="O694" s="575"/>
      <c r="P694" s="575"/>
      <c r="Q694" s="575"/>
      <c r="R694" s="575"/>
      <c r="S694" s="575"/>
      <c r="T694" s="575"/>
    </row>
    <row r="695">
      <c r="A695" s="575"/>
      <c r="B695" s="575"/>
      <c r="C695" s="612"/>
      <c r="D695" s="575"/>
      <c r="E695" s="575"/>
      <c r="F695" s="575"/>
      <c r="G695" s="575"/>
      <c r="H695" s="575"/>
      <c r="I695" s="575"/>
      <c r="J695" s="575"/>
      <c r="K695" s="575"/>
      <c r="L695" s="575"/>
      <c r="M695" s="575"/>
      <c r="N695" s="575"/>
      <c r="O695" s="575"/>
      <c r="P695" s="575"/>
      <c r="Q695" s="575"/>
      <c r="R695" s="575"/>
      <c r="S695" s="575"/>
      <c r="T695" s="575"/>
    </row>
    <row r="696">
      <c r="A696" s="575"/>
      <c r="B696" s="575"/>
      <c r="C696" s="612"/>
      <c r="D696" s="575"/>
      <c r="E696" s="575"/>
      <c r="F696" s="575"/>
      <c r="G696" s="575"/>
      <c r="H696" s="575"/>
      <c r="I696" s="575"/>
      <c r="J696" s="575"/>
      <c r="K696" s="575"/>
      <c r="L696" s="575"/>
      <c r="M696" s="575"/>
      <c r="N696" s="575"/>
      <c r="O696" s="575"/>
      <c r="P696" s="575"/>
      <c r="Q696" s="575"/>
      <c r="R696" s="575"/>
      <c r="S696" s="575"/>
      <c r="T696" s="575"/>
    </row>
    <row r="697">
      <c r="A697" s="575"/>
      <c r="B697" s="575"/>
      <c r="C697" s="612"/>
      <c r="D697" s="575"/>
      <c r="E697" s="575"/>
      <c r="F697" s="575"/>
      <c r="G697" s="575"/>
      <c r="H697" s="575"/>
      <c r="I697" s="575"/>
      <c r="J697" s="575"/>
      <c r="K697" s="575"/>
      <c r="L697" s="575"/>
      <c r="M697" s="575"/>
      <c r="N697" s="575"/>
      <c r="O697" s="575"/>
      <c r="P697" s="575"/>
      <c r="Q697" s="575"/>
      <c r="R697" s="575"/>
      <c r="S697" s="575"/>
      <c r="T697" s="575"/>
    </row>
    <row r="698">
      <c r="A698" s="575"/>
      <c r="B698" s="575"/>
      <c r="C698" s="612"/>
      <c r="D698" s="575"/>
      <c r="E698" s="575"/>
      <c r="F698" s="575"/>
      <c r="G698" s="575"/>
      <c r="H698" s="575"/>
      <c r="I698" s="575"/>
      <c r="J698" s="575"/>
      <c r="K698" s="575"/>
      <c r="L698" s="575"/>
      <c r="M698" s="575"/>
      <c r="N698" s="575"/>
      <c r="O698" s="575"/>
      <c r="P698" s="575"/>
      <c r="Q698" s="575"/>
      <c r="R698" s="575"/>
      <c r="S698" s="575"/>
      <c r="T698" s="575"/>
    </row>
    <row r="699">
      <c r="A699" s="575"/>
      <c r="B699" s="575"/>
      <c r="C699" s="612"/>
      <c r="D699" s="575"/>
      <c r="E699" s="575"/>
      <c r="F699" s="575"/>
      <c r="G699" s="575"/>
      <c r="H699" s="575"/>
      <c r="I699" s="575"/>
      <c r="J699" s="575"/>
      <c r="K699" s="575"/>
      <c r="L699" s="575"/>
      <c r="M699" s="575"/>
      <c r="N699" s="575"/>
      <c r="O699" s="575"/>
      <c r="P699" s="575"/>
      <c r="Q699" s="575"/>
      <c r="R699" s="575"/>
      <c r="S699" s="575"/>
      <c r="T699" s="575"/>
    </row>
    <row r="700">
      <c r="A700" s="575"/>
      <c r="B700" s="575"/>
      <c r="C700" s="612"/>
      <c r="D700" s="575"/>
      <c r="E700" s="575"/>
      <c r="F700" s="575"/>
      <c r="G700" s="575"/>
      <c r="H700" s="575"/>
      <c r="I700" s="575"/>
      <c r="J700" s="575"/>
      <c r="K700" s="575"/>
      <c r="L700" s="575"/>
      <c r="M700" s="575"/>
      <c r="N700" s="575"/>
      <c r="O700" s="575"/>
      <c r="P700" s="575"/>
      <c r="Q700" s="575"/>
      <c r="R700" s="575"/>
      <c r="S700" s="575"/>
      <c r="T700" s="575"/>
    </row>
    <row r="701">
      <c r="A701" s="575"/>
      <c r="B701" s="575"/>
      <c r="C701" s="612"/>
      <c r="D701" s="575"/>
      <c r="E701" s="575"/>
      <c r="F701" s="575"/>
      <c r="G701" s="575"/>
      <c r="H701" s="575"/>
      <c r="I701" s="575"/>
      <c r="J701" s="575"/>
      <c r="K701" s="575"/>
      <c r="L701" s="575"/>
      <c r="M701" s="575"/>
      <c r="N701" s="575"/>
      <c r="O701" s="575"/>
      <c r="P701" s="575"/>
      <c r="Q701" s="575"/>
      <c r="R701" s="575"/>
      <c r="S701" s="575"/>
      <c r="T701" s="575"/>
    </row>
    <row r="702">
      <c r="A702" s="575"/>
      <c r="B702" s="575"/>
      <c r="C702" s="612"/>
      <c r="D702" s="575"/>
      <c r="E702" s="575"/>
      <c r="F702" s="575"/>
      <c r="G702" s="575"/>
      <c r="H702" s="575"/>
      <c r="I702" s="575"/>
      <c r="J702" s="575"/>
      <c r="K702" s="575"/>
      <c r="L702" s="575"/>
      <c r="M702" s="575"/>
      <c r="N702" s="575"/>
      <c r="O702" s="575"/>
      <c r="P702" s="575"/>
      <c r="Q702" s="575"/>
      <c r="R702" s="575"/>
      <c r="S702" s="575"/>
      <c r="T702" s="575"/>
    </row>
    <row r="703">
      <c r="A703" s="575"/>
      <c r="B703" s="575"/>
      <c r="C703" s="612"/>
      <c r="D703" s="575"/>
      <c r="E703" s="575"/>
      <c r="F703" s="575"/>
      <c r="G703" s="575"/>
      <c r="H703" s="575"/>
      <c r="I703" s="575"/>
      <c r="J703" s="575"/>
      <c r="K703" s="575"/>
      <c r="L703" s="575"/>
      <c r="M703" s="575"/>
      <c r="N703" s="575"/>
      <c r="O703" s="575"/>
      <c r="P703" s="575"/>
      <c r="Q703" s="575"/>
      <c r="R703" s="575"/>
      <c r="S703" s="575"/>
      <c r="T703" s="575"/>
    </row>
    <row r="704">
      <c r="A704" s="575"/>
      <c r="B704" s="575"/>
      <c r="C704" s="612"/>
      <c r="D704" s="575"/>
      <c r="E704" s="575"/>
      <c r="F704" s="575"/>
      <c r="G704" s="575"/>
      <c r="H704" s="575"/>
      <c r="I704" s="575"/>
      <c r="J704" s="575"/>
      <c r="K704" s="575"/>
      <c r="L704" s="575"/>
      <c r="M704" s="575"/>
      <c r="N704" s="575"/>
      <c r="O704" s="575"/>
      <c r="P704" s="575"/>
      <c r="Q704" s="575"/>
      <c r="R704" s="575"/>
      <c r="S704" s="575"/>
      <c r="T704" s="575"/>
    </row>
    <row r="705">
      <c r="A705" s="575"/>
      <c r="B705" s="575"/>
      <c r="C705" s="612"/>
      <c r="D705" s="575"/>
      <c r="E705" s="575"/>
      <c r="F705" s="575"/>
      <c r="G705" s="575"/>
      <c r="H705" s="575"/>
      <c r="I705" s="575"/>
      <c r="J705" s="575"/>
      <c r="K705" s="575"/>
      <c r="L705" s="575"/>
      <c r="M705" s="575"/>
      <c r="N705" s="575"/>
      <c r="O705" s="575"/>
      <c r="P705" s="575"/>
      <c r="Q705" s="575"/>
      <c r="R705" s="575"/>
      <c r="S705" s="575"/>
      <c r="T705" s="575"/>
    </row>
    <row r="706">
      <c r="A706" s="575"/>
      <c r="B706" s="575"/>
      <c r="C706" s="612"/>
      <c r="D706" s="575"/>
      <c r="E706" s="575"/>
      <c r="F706" s="575"/>
      <c r="G706" s="575"/>
      <c r="H706" s="575"/>
      <c r="I706" s="575"/>
      <c r="J706" s="575"/>
      <c r="K706" s="575"/>
      <c r="L706" s="575"/>
      <c r="M706" s="575"/>
      <c r="N706" s="575"/>
      <c r="O706" s="575"/>
      <c r="P706" s="575"/>
      <c r="Q706" s="575"/>
      <c r="R706" s="575"/>
      <c r="S706" s="575"/>
      <c r="T706" s="575"/>
    </row>
    <row r="707">
      <c r="A707" s="575"/>
      <c r="B707" s="575"/>
      <c r="C707" s="612"/>
      <c r="D707" s="575"/>
      <c r="E707" s="575"/>
      <c r="F707" s="575"/>
      <c r="G707" s="575"/>
      <c r="H707" s="575"/>
      <c r="I707" s="575"/>
      <c r="J707" s="575"/>
      <c r="K707" s="575"/>
      <c r="L707" s="575"/>
      <c r="M707" s="575"/>
      <c r="N707" s="575"/>
      <c r="O707" s="575"/>
      <c r="P707" s="575"/>
      <c r="Q707" s="575"/>
      <c r="R707" s="575"/>
      <c r="S707" s="575"/>
      <c r="T707" s="575"/>
    </row>
    <row r="708">
      <c r="A708" s="575"/>
      <c r="B708" s="575"/>
      <c r="C708" s="612"/>
      <c r="D708" s="575"/>
      <c r="E708" s="575"/>
      <c r="F708" s="575"/>
      <c r="G708" s="575"/>
      <c r="H708" s="575"/>
      <c r="I708" s="575"/>
      <c r="J708" s="575"/>
      <c r="K708" s="575"/>
      <c r="L708" s="575"/>
      <c r="M708" s="575"/>
      <c r="N708" s="575"/>
      <c r="O708" s="575"/>
      <c r="P708" s="575"/>
      <c r="Q708" s="575"/>
      <c r="R708" s="575"/>
      <c r="S708" s="575"/>
      <c r="T708" s="575"/>
    </row>
    <row r="709">
      <c r="A709" s="575"/>
      <c r="B709" s="575"/>
      <c r="C709" s="612"/>
      <c r="D709" s="575"/>
      <c r="E709" s="575"/>
      <c r="F709" s="575"/>
      <c r="G709" s="575"/>
      <c r="H709" s="575"/>
      <c r="I709" s="575"/>
      <c r="J709" s="575"/>
      <c r="K709" s="575"/>
      <c r="L709" s="575"/>
      <c r="M709" s="575"/>
      <c r="N709" s="575"/>
      <c r="O709" s="575"/>
      <c r="P709" s="575"/>
      <c r="Q709" s="575"/>
      <c r="R709" s="575"/>
      <c r="S709" s="575"/>
      <c r="T709" s="575"/>
    </row>
    <row r="710">
      <c r="A710" s="575"/>
      <c r="B710" s="575"/>
      <c r="C710" s="612"/>
      <c r="D710" s="575"/>
      <c r="E710" s="575"/>
      <c r="F710" s="575"/>
      <c r="G710" s="575"/>
      <c r="H710" s="575"/>
      <c r="I710" s="575"/>
      <c r="J710" s="575"/>
      <c r="K710" s="575"/>
      <c r="L710" s="575"/>
      <c r="M710" s="575"/>
      <c r="N710" s="575"/>
      <c r="O710" s="575"/>
      <c r="P710" s="575"/>
      <c r="Q710" s="575"/>
      <c r="R710" s="575"/>
      <c r="S710" s="575"/>
      <c r="T710" s="575"/>
    </row>
    <row r="711">
      <c r="A711" s="575"/>
      <c r="B711" s="575"/>
      <c r="C711" s="612"/>
      <c r="D711" s="575"/>
      <c r="E711" s="575"/>
      <c r="F711" s="575"/>
      <c r="G711" s="575"/>
      <c r="H711" s="575"/>
      <c r="I711" s="575"/>
      <c r="J711" s="575"/>
      <c r="K711" s="575"/>
      <c r="L711" s="575"/>
      <c r="M711" s="575"/>
      <c r="N711" s="575"/>
      <c r="O711" s="575"/>
      <c r="P711" s="575"/>
      <c r="Q711" s="575"/>
      <c r="R711" s="575"/>
      <c r="S711" s="575"/>
      <c r="T711" s="575"/>
    </row>
    <row r="712">
      <c r="A712" s="575"/>
      <c r="B712" s="575"/>
      <c r="C712" s="612"/>
      <c r="D712" s="575"/>
      <c r="E712" s="575"/>
      <c r="F712" s="575"/>
      <c r="G712" s="575"/>
      <c r="H712" s="575"/>
      <c r="I712" s="575"/>
      <c r="J712" s="575"/>
      <c r="K712" s="575"/>
      <c r="L712" s="575"/>
      <c r="M712" s="575"/>
      <c r="N712" s="575"/>
      <c r="O712" s="575"/>
      <c r="P712" s="575"/>
      <c r="Q712" s="575"/>
      <c r="R712" s="575"/>
      <c r="S712" s="575"/>
      <c r="T712" s="575"/>
    </row>
    <row r="713">
      <c r="A713" s="575"/>
      <c r="B713" s="575"/>
      <c r="C713" s="612"/>
      <c r="D713" s="575"/>
      <c r="E713" s="575"/>
      <c r="F713" s="575"/>
      <c r="G713" s="575"/>
      <c r="H713" s="575"/>
      <c r="I713" s="575"/>
      <c r="J713" s="575"/>
      <c r="K713" s="575"/>
      <c r="L713" s="575"/>
      <c r="M713" s="575"/>
      <c r="N713" s="575"/>
      <c r="O713" s="575"/>
      <c r="P713" s="575"/>
      <c r="Q713" s="575"/>
      <c r="R713" s="575"/>
      <c r="S713" s="575"/>
      <c r="T713" s="575"/>
    </row>
    <row r="714">
      <c r="A714" s="575"/>
      <c r="B714" s="575"/>
      <c r="C714" s="612"/>
      <c r="D714" s="575"/>
      <c r="E714" s="575"/>
      <c r="F714" s="575"/>
      <c r="G714" s="575"/>
      <c r="H714" s="575"/>
      <c r="I714" s="575"/>
      <c r="J714" s="575"/>
      <c r="K714" s="575"/>
      <c r="L714" s="575"/>
      <c r="M714" s="575"/>
      <c r="N714" s="575"/>
      <c r="O714" s="575"/>
      <c r="P714" s="575"/>
      <c r="Q714" s="575"/>
      <c r="R714" s="575"/>
      <c r="S714" s="575"/>
      <c r="T714" s="575"/>
    </row>
    <row r="715">
      <c r="A715" s="575"/>
      <c r="B715" s="575"/>
      <c r="C715" s="612"/>
      <c r="D715" s="575"/>
      <c r="E715" s="575"/>
      <c r="F715" s="575"/>
      <c r="G715" s="575"/>
      <c r="H715" s="575"/>
      <c r="I715" s="575"/>
      <c r="J715" s="575"/>
      <c r="K715" s="575"/>
      <c r="L715" s="575"/>
      <c r="M715" s="575"/>
      <c r="N715" s="575"/>
      <c r="O715" s="575"/>
      <c r="P715" s="575"/>
      <c r="Q715" s="575"/>
      <c r="R715" s="575"/>
      <c r="S715" s="575"/>
      <c r="T715" s="575"/>
    </row>
    <row r="716">
      <c r="A716" s="575"/>
      <c r="B716" s="575"/>
      <c r="C716" s="612"/>
      <c r="D716" s="575"/>
      <c r="E716" s="575"/>
      <c r="F716" s="575"/>
      <c r="G716" s="575"/>
      <c r="H716" s="575"/>
      <c r="I716" s="575"/>
      <c r="J716" s="575"/>
      <c r="K716" s="575"/>
      <c r="L716" s="575"/>
      <c r="M716" s="575"/>
      <c r="N716" s="575"/>
      <c r="O716" s="575"/>
      <c r="P716" s="575"/>
      <c r="Q716" s="575"/>
      <c r="R716" s="575"/>
      <c r="S716" s="575"/>
      <c r="T716" s="575"/>
    </row>
    <row r="717">
      <c r="A717" s="575"/>
      <c r="B717" s="575"/>
      <c r="C717" s="612"/>
      <c r="D717" s="575"/>
      <c r="E717" s="575"/>
      <c r="F717" s="575"/>
      <c r="G717" s="575"/>
      <c r="H717" s="575"/>
      <c r="I717" s="575"/>
      <c r="J717" s="575"/>
      <c r="K717" s="575"/>
      <c r="L717" s="575"/>
      <c r="M717" s="575"/>
      <c r="N717" s="575"/>
      <c r="O717" s="575"/>
      <c r="P717" s="575"/>
      <c r="Q717" s="575"/>
      <c r="R717" s="575"/>
      <c r="S717" s="575"/>
      <c r="T717" s="575"/>
    </row>
    <row r="718">
      <c r="A718" s="575"/>
      <c r="B718" s="575"/>
      <c r="C718" s="612"/>
      <c r="D718" s="575"/>
      <c r="E718" s="575"/>
      <c r="F718" s="575"/>
      <c r="G718" s="575"/>
      <c r="H718" s="575"/>
      <c r="I718" s="575"/>
      <c r="J718" s="575"/>
      <c r="K718" s="575"/>
      <c r="L718" s="575"/>
      <c r="M718" s="575"/>
      <c r="N718" s="575"/>
      <c r="O718" s="575"/>
      <c r="P718" s="575"/>
      <c r="Q718" s="575"/>
      <c r="R718" s="575"/>
      <c r="S718" s="575"/>
      <c r="T718" s="575"/>
    </row>
    <row r="719">
      <c r="A719" s="575"/>
      <c r="B719" s="575"/>
      <c r="C719" s="612"/>
      <c r="D719" s="575"/>
      <c r="E719" s="575"/>
      <c r="F719" s="575"/>
      <c r="G719" s="575"/>
      <c r="H719" s="575"/>
      <c r="I719" s="575"/>
      <c r="J719" s="575"/>
      <c r="K719" s="575"/>
      <c r="L719" s="575"/>
      <c r="M719" s="575"/>
      <c r="N719" s="575"/>
      <c r="O719" s="575"/>
      <c r="P719" s="575"/>
      <c r="Q719" s="575"/>
      <c r="R719" s="575"/>
      <c r="S719" s="575"/>
      <c r="T719" s="575"/>
    </row>
    <row r="720">
      <c r="A720" s="575"/>
      <c r="B720" s="575"/>
      <c r="C720" s="612"/>
      <c r="D720" s="575"/>
      <c r="E720" s="575"/>
      <c r="F720" s="575"/>
      <c r="G720" s="575"/>
      <c r="H720" s="575"/>
      <c r="I720" s="575"/>
      <c r="J720" s="575"/>
      <c r="K720" s="575"/>
      <c r="L720" s="575"/>
      <c r="M720" s="575"/>
      <c r="N720" s="575"/>
      <c r="O720" s="575"/>
      <c r="P720" s="575"/>
      <c r="Q720" s="575"/>
      <c r="R720" s="575"/>
      <c r="S720" s="575"/>
      <c r="T720" s="575"/>
    </row>
    <row r="721">
      <c r="A721" s="575"/>
      <c r="B721" s="575"/>
      <c r="C721" s="612"/>
      <c r="D721" s="575"/>
      <c r="E721" s="575"/>
      <c r="F721" s="575"/>
      <c r="G721" s="575"/>
      <c r="H721" s="575"/>
      <c r="I721" s="575"/>
      <c r="J721" s="575"/>
      <c r="K721" s="575"/>
      <c r="L721" s="575"/>
      <c r="M721" s="575"/>
      <c r="N721" s="575"/>
      <c r="O721" s="575"/>
      <c r="P721" s="575"/>
      <c r="Q721" s="575"/>
      <c r="R721" s="575"/>
      <c r="S721" s="575"/>
      <c r="T721" s="575"/>
    </row>
    <row r="722">
      <c r="A722" s="575"/>
      <c r="B722" s="575"/>
      <c r="C722" s="612"/>
      <c r="D722" s="575"/>
      <c r="E722" s="575"/>
      <c r="F722" s="575"/>
      <c r="G722" s="575"/>
      <c r="H722" s="575"/>
      <c r="I722" s="575"/>
      <c r="J722" s="575"/>
      <c r="K722" s="575"/>
      <c r="L722" s="575"/>
      <c r="M722" s="575"/>
      <c r="N722" s="575"/>
      <c r="O722" s="575"/>
      <c r="P722" s="575"/>
      <c r="Q722" s="575"/>
      <c r="R722" s="575"/>
      <c r="S722" s="575"/>
      <c r="T722" s="575"/>
    </row>
    <row r="723">
      <c r="A723" s="575"/>
      <c r="B723" s="575"/>
      <c r="C723" s="612"/>
      <c r="D723" s="575"/>
      <c r="E723" s="575"/>
      <c r="F723" s="575"/>
      <c r="G723" s="575"/>
      <c r="H723" s="575"/>
      <c r="I723" s="575"/>
      <c r="J723" s="575"/>
      <c r="K723" s="575"/>
      <c r="L723" s="575"/>
      <c r="M723" s="575"/>
      <c r="N723" s="575"/>
      <c r="O723" s="575"/>
      <c r="P723" s="575"/>
      <c r="Q723" s="575"/>
      <c r="R723" s="575"/>
      <c r="S723" s="575"/>
      <c r="T723" s="575"/>
    </row>
    <row r="724">
      <c r="A724" s="575"/>
      <c r="B724" s="575"/>
      <c r="C724" s="612"/>
      <c r="D724" s="575"/>
      <c r="E724" s="575"/>
      <c r="F724" s="575"/>
      <c r="G724" s="575"/>
      <c r="H724" s="575"/>
      <c r="I724" s="575"/>
      <c r="J724" s="575"/>
      <c r="K724" s="575"/>
      <c r="L724" s="575"/>
      <c r="M724" s="575"/>
      <c r="N724" s="575"/>
      <c r="O724" s="575"/>
      <c r="P724" s="575"/>
      <c r="Q724" s="575"/>
      <c r="R724" s="575"/>
      <c r="S724" s="575"/>
      <c r="T724" s="575"/>
    </row>
    <row r="725">
      <c r="A725" s="575"/>
      <c r="B725" s="575"/>
      <c r="C725" s="612"/>
      <c r="D725" s="575"/>
      <c r="E725" s="575"/>
      <c r="F725" s="575"/>
      <c r="G725" s="575"/>
      <c r="H725" s="575"/>
      <c r="I725" s="575"/>
      <c r="J725" s="575"/>
      <c r="K725" s="575"/>
      <c r="L725" s="575"/>
      <c r="M725" s="575"/>
      <c r="N725" s="575"/>
      <c r="O725" s="575"/>
      <c r="P725" s="575"/>
      <c r="Q725" s="575"/>
      <c r="R725" s="575"/>
      <c r="S725" s="575"/>
      <c r="T725" s="575"/>
    </row>
    <row r="726">
      <c r="A726" s="575"/>
      <c r="B726" s="575"/>
      <c r="C726" s="612"/>
      <c r="D726" s="575"/>
      <c r="E726" s="575"/>
      <c r="F726" s="575"/>
      <c r="G726" s="575"/>
      <c r="H726" s="575"/>
      <c r="I726" s="575"/>
      <c r="J726" s="575"/>
      <c r="K726" s="575"/>
      <c r="L726" s="575"/>
      <c r="M726" s="575"/>
      <c r="N726" s="575"/>
      <c r="O726" s="575"/>
      <c r="P726" s="575"/>
      <c r="Q726" s="575"/>
      <c r="R726" s="575"/>
      <c r="S726" s="575"/>
      <c r="T726" s="575"/>
    </row>
    <row r="727">
      <c r="A727" s="575"/>
      <c r="B727" s="575"/>
      <c r="C727" s="612"/>
      <c r="D727" s="575"/>
      <c r="E727" s="575"/>
      <c r="F727" s="575"/>
      <c r="G727" s="575"/>
      <c r="H727" s="575"/>
      <c r="I727" s="575"/>
      <c r="J727" s="575"/>
      <c r="K727" s="575"/>
      <c r="L727" s="575"/>
      <c r="M727" s="575"/>
      <c r="N727" s="575"/>
      <c r="O727" s="575"/>
      <c r="P727" s="575"/>
      <c r="Q727" s="575"/>
      <c r="R727" s="575"/>
      <c r="S727" s="575"/>
      <c r="T727" s="575"/>
    </row>
    <row r="728">
      <c r="A728" s="575"/>
      <c r="B728" s="575"/>
      <c r="C728" s="612"/>
      <c r="D728" s="575"/>
      <c r="E728" s="575"/>
      <c r="F728" s="575"/>
      <c r="G728" s="575"/>
      <c r="H728" s="575"/>
      <c r="I728" s="575"/>
      <c r="J728" s="575"/>
      <c r="K728" s="575"/>
      <c r="L728" s="575"/>
      <c r="M728" s="575"/>
      <c r="N728" s="575"/>
      <c r="O728" s="575"/>
      <c r="P728" s="575"/>
      <c r="Q728" s="575"/>
      <c r="R728" s="575"/>
      <c r="S728" s="575"/>
      <c r="T728" s="575"/>
    </row>
    <row r="729">
      <c r="A729" s="575"/>
      <c r="B729" s="575"/>
      <c r="C729" s="612"/>
      <c r="D729" s="575"/>
      <c r="E729" s="575"/>
      <c r="F729" s="575"/>
      <c r="G729" s="575"/>
      <c r="H729" s="575"/>
      <c r="I729" s="575"/>
      <c r="J729" s="575"/>
      <c r="K729" s="575"/>
      <c r="L729" s="575"/>
      <c r="M729" s="575"/>
      <c r="N729" s="575"/>
      <c r="O729" s="575"/>
      <c r="P729" s="575"/>
      <c r="Q729" s="575"/>
      <c r="R729" s="575"/>
      <c r="S729" s="575"/>
      <c r="T729" s="575"/>
    </row>
    <row r="730">
      <c r="A730" s="575"/>
      <c r="B730" s="575"/>
      <c r="C730" s="612"/>
      <c r="D730" s="575"/>
      <c r="E730" s="575"/>
      <c r="F730" s="575"/>
      <c r="G730" s="575"/>
      <c r="H730" s="575"/>
      <c r="I730" s="575"/>
      <c r="J730" s="575"/>
      <c r="K730" s="575"/>
      <c r="L730" s="575"/>
      <c r="M730" s="575"/>
      <c r="N730" s="575"/>
      <c r="O730" s="575"/>
      <c r="P730" s="575"/>
      <c r="Q730" s="575"/>
      <c r="R730" s="575"/>
      <c r="S730" s="575"/>
      <c r="T730" s="575"/>
    </row>
    <row r="731">
      <c r="A731" s="575"/>
      <c r="B731" s="575"/>
      <c r="C731" s="612"/>
      <c r="D731" s="575"/>
      <c r="E731" s="575"/>
      <c r="F731" s="575"/>
      <c r="G731" s="575"/>
      <c r="H731" s="575"/>
      <c r="I731" s="575"/>
      <c r="J731" s="575"/>
      <c r="K731" s="575"/>
      <c r="L731" s="575"/>
      <c r="M731" s="575"/>
      <c r="N731" s="575"/>
      <c r="O731" s="575"/>
      <c r="P731" s="575"/>
      <c r="Q731" s="575"/>
      <c r="R731" s="575"/>
      <c r="S731" s="575"/>
      <c r="T731" s="575"/>
    </row>
    <row r="732">
      <c r="A732" s="575"/>
      <c r="B732" s="575"/>
      <c r="C732" s="612"/>
      <c r="D732" s="575"/>
      <c r="E732" s="575"/>
      <c r="F732" s="575"/>
      <c r="G732" s="575"/>
      <c r="H732" s="575"/>
      <c r="I732" s="575"/>
      <c r="J732" s="575"/>
      <c r="K732" s="575"/>
      <c r="L732" s="575"/>
      <c r="M732" s="575"/>
      <c r="N732" s="575"/>
      <c r="O732" s="575"/>
      <c r="P732" s="575"/>
      <c r="Q732" s="575"/>
      <c r="R732" s="575"/>
      <c r="S732" s="575"/>
      <c r="T732" s="575"/>
    </row>
    <row r="733">
      <c r="A733" s="575"/>
      <c r="B733" s="575"/>
      <c r="C733" s="612"/>
      <c r="D733" s="575"/>
      <c r="E733" s="575"/>
      <c r="F733" s="575"/>
      <c r="G733" s="575"/>
      <c r="H733" s="575"/>
      <c r="I733" s="575"/>
      <c r="J733" s="575"/>
      <c r="K733" s="575"/>
      <c r="L733" s="575"/>
      <c r="M733" s="575"/>
      <c r="N733" s="575"/>
      <c r="O733" s="575"/>
      <c r="P733" s="575"/>
      <c r="Q733" s="575"/>
      <c r="R733" s="575"/>
      <c r="S733" s="575"/>
      <c r="T733" s="575"/>
    </row>
    <row r="734">
      <c r="A734" s="575"/>
      <c r="B734" s="575"/>
      <c r="C734" s="612"/>
      <c r="D734" s="575"/>
      <c r="E734" s="575"/>
      <c r="F734" s="575"/>
      <c r="G734" s="575"/>
      <c r="H734" s="575"/>
      <c r="I734" s="575"/>
      <c r="J734" s="575"/>
      <c r="K734" s="575"/>
      <c r="L734" s="575"/>
      <c r="M734" s="575"/>
      <c r="N734" s="575"/>
      <c r="O734" s="575"/>
      <c r="P734" s="575"/>
      <c r="Q734" s="575"/>
      <c r="R734" s="575"/>
      <c r="S734" s="575"/>
      <c r="T734" s="575"/>
    </row>
    <row r="735">
      <c r="A735" s="575"/>
      <c r="B735" s="575"/>
      <c r="C735" s="612"/>
      <c r="D735" s="575"/>
      <c r="E735" s="575"/>
      <c r="F735" s="575"/>
      <c r="G735" s="575"/>
      <c r="H735" s="575"/>
      <c r="I735" s="575"/>
      <c r="J735" s="575"/>
      <c r="K735" s="575"/>
      <c r="L735" s="575"/>
      <c r="M735" s="575"/>
      <c r="N735" s="575"/>
      <c r="O735" s="575"/>
      <c r="P735" s="575"/>
      <c r="Q735" s="575"/>
      <c r="R735" s="575"/>
      <c r="S735" s="575"/>
      <c r="T735" s="575"/>
    </row>
    <row r="736">
      <c r="A736" s="575"/>
      <c r="B736" s="575"/>
      <c r="C736" s="612"/>
      <c r="D736" s="575"/>
      <c r="E736" s="575"/>
      <c r="F736" s="575"/>
      <c r="G736" s="575"/>
      <c r="H736" s="575"/>
      <c r="I736" s="575"/>
      <c r="J736" s="575"/>
      <c r="K736" s="575"/>
      <c r="L736" s="575"/>
      <c r="M736" s="575"/>
      <c r="N736" s="575"/>
      <c r="O736" s="575"/>
      <c r="P736" s="575"/>
      <c r="Q736" s="575"/>
      <c r="R736" s="575"/>
      <c r="S736" s="575"/>
      <c r="T736" s="575"/>
    </row>
    <row r="737">
      <c r="A737" s="575"/>
      <c r="B737" s="575"/>
      <c r="C737" s="612"/>
      <c r="D737" s="575"/>
      <c r="E737" s="575"/>
      <c r="F737" s="575"/>
      <c r="G737" s="575"/>
      <c r="H737" s="575"/>
      <c r="I737" s="575"/>
      <c r="J737" s="575"/>
      <c r="K737" s="575"/>
      <c r="L737" s="575"/>
      <c r="M737" s="575"/>
      <c r="N737" s="575"/>
      <c r="O737" s="575"/>
      <c r="P737" s="575"/>
      <c r="Q737" s="575"/>
      <c r="R737" s="575"/>
      <c r="S737" s="575"/>
      <c r="T737" s="575"/>
    </row>
    <row r="738">
      <c r="A738" s="575"/>
      <c r="B738" s="575"/>
      <c r="C738" s="612"/>
      <c r="D738" s="575"/>
      <c r="E738" s="575"/>
      <c r="F738" s="575"/>
      <c r="G738" s="575"/>
      <c r="H738" s="575"/>
      <c r="I738" s="575"/>
      <c r="J738" s="575"/>
      <c r="K738" s="575"/>
      <c r="L738" s="575"/>
      <c r="M738" s="575"/>
      <c r="N738" s="575"/>
      <c r="O738" s="575"/>
      <c r="P738" s="575"/>
      <c r="Q738" s="575"/>
      <c r="R738" s="575"/>
      <c r="S738" s="575"/>
      <c r="T738" s="575"/>
    </row>
    <row r="739">
      <c r="A739" s="575"/>
      <c r="B739" s="575"/>
      <c r="C739" s="612"/>
      <c r="D739" s="575"/>
      <c r="E739" s="575"/>
      <c r="F739" s="575"/>
      <c r="G739" s="575"/>
      <c r="H739" s="575"/>
      <c r="I739" s="575"/>
      <c r="J739" s="575"/>
      <c r="K739" s="575"/>
      <c r="L739" s="575"/>
      <c r="M739" s="575"/>
      <c r="N739" s="575"/>
      <c r="O739" s="575"/>
      <c r="P739" s="575"/>
      <c r="Q739" s="575"/>
      <c r="R739" s="575"/>
      <c r="S739" s="575"/>
      <c r="T739" s="575"/>
    </row>
    <row r="740">
      <c r="A740" s="575"/>
      <c r="B740" s="575"/>
      <c r="C740" s="612"/>
      <c r="D740" s="575"/>
      <c r="E740" s="575"/>
      <c r="F740" s="575"/>
      <c r="G740" s="575"/>
      <c r="H740" s="575"/>
      <c r="I740" s="575"/>
      <c r="J740" s="575"/>
      <c r="K740" s="575"/>
      <c r="L740" s="575"/>
      <c r="M740" s="575"/>
      <c r="N740" s="575"/>
      <c r="O740" s="575"/>
      <c r="P740" s="575"/>
      <c r="Q740" s="575"/>
      <c r="R740" s="575"/>
      <c r="S740" s="575"/>
      <c r="T740" s="575"/>
    </row>
    <row r="741">
      <c r="A741" s="575"/>
      <c r="B741" s="575"/>
      <c r="C741" s="612"/>
      <c r="D741" s="575"/>
      <c r="E741" s="575"/>
      <c r="F741" s="575"/>
      <c r="G741" s="575"/>
      <c r="H741" s="575"/>
      <c r="I741" s="575"/>
      <c r="J741" s="575"/>
      <c r="K741" s="575"/>
      <c r="L741" s="575"/>
      <c r="M741" s="575"/>
      <c r="N741" s="575"/>
      <c r="O741" s="575"/>
      <c r="P741" s="575"/>
      <c r="Q741" s="575"/>
      <c r="R741" s="575"/>
      <c r="S741" s="575"/>
      <c r="T741" s="575"/>
    </row>
    <row r="742">
      <c r="A742" s="575"/>
      <c r="B742" s="575"/>
      <c r="C742" s="612"/>
      <c r="D742" s="575"/>
      <c r="E742" s="575"/>
      <c r="F742" s="575"/>
      <c r="G742" s="575"/>
      <c r="H742" s="575"/>
      <c r="I742" s="575"/>
      <c r="J742" s="575"/>
      <c r="K742" s="575"/>
      <c r="L742" s="575"/>
      <c r="M742" s="575"/>
      <c r="N742" s="575"/>
      <c r="O742" s="575"/>
      <c r="P742" s="575"/>
      <c r="Q742" s="575"/>
      <c r="R742" s="575"/>
      <c r="S742" s="575"/>
      <c r="T742" s="575"/>
    </row>
    <row r="743">
      <c r="A743" s="575"/>
      <c r="B743" s="575"/>
      <c r="C743" s="612"/>
      <c r="D743" s="575"/>
      <c r="E743" s="575"/>
      <c r="F743" s="575"/>
      <c r="G743" s="575"/>
      <c r="H743" s="575"/>
      <c r="I743" s="575"/>
      <c r="J743" s="575"/>
      <c r="K743" s="575"/>
      <c r="L743" s="575"/>
      <c r="M743" s="575"/>
      <c r="N743" s="575"/>
      <c r="O743" s="575"/>
      <c r="P743" s="575"/>
      <c r="Q743" s="575"/>
      <c r="R743" s="575"/>
      <c r="S743" s="575"/>
      <c r="T743" s="575"/>
    </row>
    <row r="744">
      <c r="A744" s="575"/>
      <c r="B744" s="575"/>
      <c r="C744" s="612"/>
      <c r="D744" s="575"/>
      <c r="E744" s="575"/>
      <c r="F744" s="575"/>
      <c r="G744" s="575"/>
      <c r="H744" s="575"/>
      <c r="I744" s="575"/>
      <c r="J744" s="575"/>
      <c r="K744" s="575"/>
      <c r="L744" s="575"/>
      <c r="M744" s="575"/>
      <c r="N744" s="575"/>
      <c r="O744" s="575"/>
      <c r="P744" s="575"/>
      <c r="Q744" s="575"/>
      <c r="R744" s="575"/>
      <c r="S744" s="575"/>
      <c r="T744" s="575"/>
    </row>
    <row r="745">
      <c r="A745" s="575"/>
      <c r="B745" s="575"/>
      <c r="C745" s="612"/>
      <c r="D745" s="575"/>
      <c r="E745" s="575"/>
      <c r="F745" s="575"/>
      <c r="G745" s="575"/>
      <c r="H745" s="575"/>
      <c r="I745" s="575"/>
      <c r="J745" s="575"/>
      <c r="K745" s="575"/>
      <c r="L745" s="575"/>
      <c r="M745" s="575"/>
      <c r="N745" s="575"/>
      <c r="O745" s="575"/>
      <c r="P745" s="575"/>
      <c r="Q745" s="575"/>
      <c r="R745" s="575"/>
      <c r="S745" s="575"/>
      <c r="T745" s="575"/>
    </row>
    <row r="746">
      <c r="A746" s="575"/>
      <c r="B746" s="575"/>
      <c r="C746" s="612"/>
      <c r="D746" s="575"/>
      <c r="E746" s="575"/>
      <c r="F746" s="575"/>
      <c r="G746" s="575"/>
      <c r="H746" s="575"/>
      <c r="I746" s="575"/>
      <c r="J746" s="575"/>
      <c r="K746" s="575"/>
      <c r="L746" s="575"/>
      <c r="M746" s="575"/>
      <c r="N746" s="575"/>
      <c r="O746" s="575"/>
      <c r="P746" s="575"/>
      <c r="Q746" s="575"/>
      <c r="R746" s="575"/>
      <c r="S746" s="575"/>
      <c r="T746" s="575"/>
    </row>
    <row r="747">
      <c r="A747" s="575"/>
      <c r="B747" s="575"/>
      <c r="C747" s="612"/>
      <c r="D747" s="575"/>
      <c r="E747" s="575"/>
      <c r="F747" s="575"/>
      <c r="G747" s="575"/>
      <c r="H747" s="575"/>
      <c r="I747" s="575"/>
      <c r="J747" s="575"/>
      <c r="K747" s="575"/>
      <c r="L747" s="575"/>
      <c r="M747" s="575"/>
      <c r="N747" s="575"/>
      <c r="O747" s="575"/>
      <c r="P747" s="575"/>
      <c r="Q747" s="575"/>
      <c r="R747" s="575"/>
      <c r="S747" s="575"/>
      <c r="T747" s="575"/>
    </row>
    <row r="748">
      <c r="A748" s="575"/>
      <c r="B748" s="575"/>
      <c r="C748" s="612"/>
      <c r="D748" s="575"/>
      <c r="E748" s="575"/>
      <c r="F748" s="575"/>
      <c r="G748" s="575"/>
      <c r="H748" s="575"/>
      <c r="I748" s="575"/>
      <c r="J748" s="575"/>
      <c r="K748" s="575"/>
      <c r="L748" s="575"/>
      <c r="M748" s="575"/>
      <c r="N748" s="575"/>
      <c r="O748" s="575"/>
      <c r="P748" s="575"/>
      <c r="Q748" s="575"/>
      <c r="R748" s="575"/>
      <c r="S748" s="575"/>
      <c r="T748" s="575"/>
    </row>
    <row r="749">
      <c r="A749" s="575"/>
      <c r="B749" s="575"/>
      <c r="C749" s="612"/>
      <c r="D749" s="575"/>
      <c r="E749" s="575"/>
      <c r="F749" s="575"/>
      <c r="G749" s="575"/>
      <c r="H749" s="575"/>
      <c r="I749" s="575"/>
      <c r="J749" s="575"/>
      <c r="K749" s="575"/>
      <c r="L749" s="575"/>
      <c r="M749" s="575"/>
      <c r="N749" s="575"/>
      <c r="O749" s="575"/>
      <c r="P749" s="575"/>
      <c r="Q749" s="575"/>
      <c r="R749" s="575"/>
      <c r="S749" s="575"/>
      <c r="T749" s="575"/>
    </row>
    <row r="750">
      <c r="A750" s="575"/>
      <c r="B750" s="575"/>
      <c r="C750" s="612"/>
      <c r="D750" s="575"/>
      <c r="E750" s="575"/>
      <c r="F750" s="575"/>
      <c r="G750" s="575"/>
      <c r="H750" s="575"/>
      <c r="I750" s="575"/>
      <c r="J750" s="575"/>
      <c r="K750" s="575"/>
      <c r="L750" s="575"/>
      <c r="M750" s="575"/>
      <c r="N750" s="575"/>
      <c r="O750" s="575"/>
      <c r="P750" s="575"/>
      <c r="Q750" s="575"/>
      <c r="R750" s="575"/>
      <c r="S750" s="575"/>
      <c r="T750" s="575"/>
    </row>
    <row r="751">
      <c r="A751" s="575"/>
      <c r="B751" s="575"/>
      <c r="C751" s="612"/>
      <c r="D751" s="575"/>
      <c r="E751" s="575"/>
      <c r="F751" s="575"/>
      <c r="G751" s="575"/>
      <c r="H751" s="575"/>
      <c r="I751" s="575"/>
      <c r="J751" s="575"/>
      <c r="K751" s="575"/>
      <c r="L751" s="575"/>
      <c r="M751" s="575"/>
      <c r="N751" s="575"/>
      <c r="O751" s="575"/>
      <c r="P751" s="575"/>
      <c r="Q751" s="575"/>
      <c r="R751" s="575"/>
      <c r="S751" s="575"/>
      <c r="T751" s="575"/>
    </row>
    <row r="752">
      <c r="A752" s="575"/>
      <c r="B752" s="575"/>
      <c r="C752" s="612"/>
      <c r="D752" s="575"/>
      <c r="E752" s="575"/>
      <c r="F752" s="575"/>
      <c r="G752" s="575"/>
      <c r="H752" s="575"/>
      <c r="I752" s="575"/>
      <c r="J752" s="575"/>
      <c r="K752" s="575"/>
      <c r="L752" s="575"/>
      <c r="M752" s="575"/>
      <c r="N752" s="575"/>
      <c r="O752" s="575"/>
      <c r="P752" s="575"/>
      <c r="Q752" s="575"/>
      <c r="R752" s="575"/>
      <c r="S752" s="575"/>
      <c r="T752" s="575"/>
    </row>
    <row r="753">
      <c r="A753" s="575"/>
      <c r="B753" s="575"/>
      <c r="C753" s="612"/>
      <c r="D753" s="575"/>
      <c r="E753" s="575"/>
      <c r="F753" s="575"/>
      <c r="G753" s="575"/>
      <c r="H753" s="575"/>
      <c r="I753" s="575"/>
      <c r="J753" s="575"/>
      <c r="K753" s="575"/>
      <c r="L753" s="575"/>
      <c r="M753" s="575"/>
      <c r="N753" s="575"/>
      <c r="O753" s="575"/>
      <c r="P753" s="575"/>
      <c r="Q753" s="575"/>
      <c r="R753" s="575"/>
      <c r="S753" s="575"/>
      <c r="T753" s="575"/>
    </row>
    <row r="754">
      <c r="A754" s="575"/>
      <c r="B754" s="575"/>
      <c r="C754" s="612"/>
      <c r="D754" s="575"/>
      <c r="E754" s="575"/>
      <c r="F754" s="575"/>
      <c r="G754" s="575"/>
      <c r="H754" s="575"/>
      <c r="I754" s="575"/>
      <c r="J754" s="575"/>
      <c r="K754" s="575"/>
      <c r="L754" s="575"/>
      <c r="M754" s="575"/>
      <c r="N754" s="575"/>
      <c r="O754" s="575"/>
      <c r="P754" s="575"/>
      <c r="Q754" s="575"/>
      <c r="R754" s="575"/>
      <c r="S754" s="575"/>
      <c r="T754" s="575"/>
    </row>
    <row r="755">
      <c r="A755" s="575"/>
      <c r="B755" s="575"/>
      <c r="C755" s="612"/>
      <c r="D755" s="575"/>
      <c r="E755" s="575"/>
      <c r="F755" s="575"/>
      <c r="G755" s="575"/>
      <c r="H755" s="575"/>
      <c r="I755" s="575"/>
      <c r="J755" s="575"/>
      <c r="K755" s="575"/>
      <c r="L755" s="575"/>
      <c r="M755" s="575"/>
      <c r="N755" s="575"/>
      <c r="O755" s="575"/>
      <c r="P755" s="575"/>
      <c r="Q755" s="575"/>
      <c r="R755" s="575"/>
      <c r="S755" s="575"/>
      <c r="T755" s="575"/>
    </row>
    <row r="756">
      <c r="A756" s="575"/>
      <c r="B756" s="575"/>
      <c r="C756" s="612"/>
      <c r="D756" s="575"/>
      <c r="E756" s="575"/>
      <c r="F756" s="575"/>
      <c r="G756" s="575"/>
      <c r="H756" s="575"/>
      <c r="I756" s="575"/>
      <c r="J756" s="575"/>
      <c r="K756" s="575"/>
      <c r="L756" s="575"/>
      <c r="M756" s="575"/>
      <c r="N756" s="575"/>
      <c r="O756" s="575"/>
      <c r="P756" s="575"/>
      <c r="Q756" s="575"/>
      <c r="R756" s="575"/>
      <c r="S756" s="575"/>
      <c r="T756" s="575"/>
    </row>
    <row r="757">
      <c r="A757" s="575"/>
      <c r="B757" s="575"/>
      <c r="C757" s="612"/>
      <c r="D757" s="575"/>
      <c r="E757" s="575"/>
      <c r="F757" s="575"/>
      <c r="G757" s="575"/>
      <c r="H757" s="575"/>
      <c r="I757" s="575"/>
      <c r="J757" s="575"/>
      <c r="K757" s="575"/>
      <c r="L757" s="575"/>
      <c r="M757" s="575"/>
      <c r="N757" s="575"/>
      <c r="O757" s="575"/>
      <c r="P757" s="575"/>
      <c r="Q757" s="575"/>
      <c r="R757" s="575"/>
      <c r="S757" s="575"/>
      <c r="T757" s="575"/>
    </row>
    <row r="758">
      <c r="A758" s="575"/>
      <c r="B758" s="575"/>
      <c r="C758" s="612"/>
      <c r="D758" s="575"/>
      <c r="E758" s="575"/>
      <c r="F758" s="575"/>
      <c r="G758" s="575"/>
      <c r="H758" s="575"/>
      <c r="I758" s="575"/>
      <c r="J758" s="575"/>
      <c r="K758" s="575"/>
      <c r="L758" s="575"/>
      <c r="M758" s="575"/>
      <c r="N758" s="575"/>
      <c r="O758" s="575"/>
      <c r="P758" s="575"/>
      <c r="Q758" s="575"/>
      <c r="R758" s="575"/>
      <c r="S758" s="575"/>
      <c r="T758" s="575"/>
    </row>
    <row r="759">
      <c r="A759" s="575"/>
      <c r="B759" s="575"/>
      <c r="C759" s="612"/>
      <c r="D759" s="575"/>
      <c r="E759" s="575"/>
      <c r="F759" s="575"/>
      <c r="G759" s="575"/>
      <c r="H759" s="575"/>
      <c r="I759" s="575"/>
      <c r="J759" s="575"/>
      <c r="K759" s="575"/>
      <c r="L759" s="575"/>
      <c r="M759" s="575"/>
      <c r="N759" s="575"/>
      <c r="O759" s="575"/>
      <c r="P759" s="575"/>
      <c r="Q759" s="575"/>
      <c r="R759" s="575"/>
      <c r="S759" s="575"/>
      <c r="T759" s="575"/>
    </row>
    <row r="760">
      <c r="A760" s="575"/>
      <c r="B760" s="575"/>
      <c r="C760" s="612"/>
      <c r="D760" s="575"/>
      <c r="E760" s="575"/>
      <c r="F760" s="575"/>
      <c r="G760" s="575"/>
      <c r="H760" s="575"/>
      <c r="I760" s="575"/>
      <c r="J760" s="575"/>
      <c r="K760" s="575"/>
      <c r="L760" s="575"/>
      <c r="M760" s="575"/>
      <c r="N760" s="575"/>
      <c r="O760" s="575"/>
      <c r="P760" s="575"/>
      <c r="Q760" s="575"/>
      <c r="R760" s="575"/>
      <c r="S760" s="575"/>
      <c r="T760" s="575"/>
    </row>
    <row r="761">
      <c r="A761" s="575"/>
      <c r="B761" s="575"/>
      <c r="C761" s="612"/>
      <c r="D761" s="575"/>
      <c r="E761" s="575"/>
      <c r="F761" s="575"/>
      <c r="G761" s="575"/>
      <c r="H761" s="575"/>
      <c r="I761" s="575"/>
      <c r="J761" s="575"/>
      <c r="K761" s="575"/>
      <c r="L761" s="575"/>
      <c r="M761" s="575"/>
      <c r="N761" s="575"/>
      <c r="O761" s="575"/>
      <c r="P761" s="575"/>
      <c r="Q761" s="575"/>
      <c r="R761" s="575"/>
      <c r="S761" s="575"/>
      <c r="T761" s="575"/>
    </row>
    <row r="762">
      <c r="A762" s="575"/>
      <c r="B762" s="575"/>
      <c r="C762" s="612"/>
      <c r="D762" s="575"/>
      <c r="E762" s="575"/>
      <c r="F762" s="575"/>
      <c r="G762" s="575"/>
      <c r="H762" s="575"/>
      <c r="I762" s="575"/>
      <c r="J762" s="575"/>
      <c r="K762" s="575"/>
      <c r="L762" s="575"/>
      <c r="M762" s="575"/>
      <c r="N762" s="575"/>
      <c r="O762" s="575"/>
      <c r="P762" s="575"/>
      <c r="Q762" s="575"/>
      <c r="R762" s="575"/>
      <c r="S762" s="575"/>
      <c r="T762" s="575"/>
    </row>
    <row r="763">
      <c r="A763" s="575"/>
      <c r="B763" s="575"/>
      <c r="C763" s="612"/>
      <c r="D763" s="575"/>
      <c r="E763" s="575"/>
      <c r="F763" s="575"/>
      <c r="G763" s="575"/>
      <c r="H763" s="575"/>
      <c r="I763" s="575"/>
      <c r="J763" s="575"/>
      <c r="K763" s="575"/>
      <c r="L763" s="575"/>
      <c r="M763" s="575"/>
      <c r="N763" s="575"/>
      <c r="O763" s="575"/>
      <c r="P763" s="575"/>
      <c r="Q763" s="575"/>
      <c r="R763" s="575"/>
      <c r="S763" s="575"/>
      <c r="T763" s="575"/>
    </row>
    <row r="764">
      <c r="A764" s="575"/>
      <c r="B764" s="575"/>
      <c r="C764" s="612"/>
      <c r="D764" s="575"/>
      <c r="E764" s="575"/>
      <c r="F764" s="575"/>
      <c r="G764" s="575"/>
      <c r="H764" s="575"/>
      <c r="I764" s="575"/>
      <c r="J764" s="575"/>
      <c r="K764" s="575"/>
      <c r="L764" s="575"/>
      <c r="M764" s="575"/>
      <c r="N764" s="575"/>
      <c r="O764" s="575"/>
      <c r="P764" s="575"/>
      <c r="Q764" s="575"/>
      <c r="R764" s="575"/>
      <c r="S764" s="575"/>
      <c r="T764" s="575"/>
    </row>
    <row r="765">
      <c r="A765" s="575"/>
      <c r="B765" s="575"/>
      <c r="C765" s="612"/>
      <c r="D765" s="575"/>
      <c r="E765" s="575"/>
      <c r="F765" s="575"/>
      <c r="G765" s="575"/>
      <c r="H765" s="575"/>
      <c r="I765" s="575"/>
      <c r="J765" s="575"/>
      <c r="K765" s="575"/>
      <c r="L765" s="575"/>
      <c r="M765" s="575"/>
      <c r="N765" s="575"/>
      <c r="O765" s="575"/>
      <c r="P765" s="575"/>
      <c r="Q765" s="575"/>
      <c r="R765" s="575"/>
      <c r="S765" s="575"/>
      <c r="T765" s="575"/>
    </row>
    <row r="766">
      <c r="A766" s="575"/>
      <c r="B766" s="575"/>
      <c r="C766" s="612"/>
      <c r="D766" s="575"/>
      <c r="E766" s="575"/>
      <c r="F766" s="575"/>
      <c r="G766" s="575"/>
      <c r="H766" s="575"/>
      <c r="I766" s="575"/>
      <c r="J766" s="575"/>
      <c r="K766" s="575"/>
      <c r="L766" s="575"/>
      <c r="M766" s="575"/>
      <c r="N766" s="575"/>
      <c r="O766" s="575"/>
      <c r="P766" s="575"/>
      <c r="Q766" s="575"/>
      <c r="R766" s="575"/>
      <c r="S766" s="575"/>
      <c r="T766" s="575"/>
    </row>
    <row r="767">
      <c r="A767" s="575"/>
      <c r="B767" s="575"/>
      <c r="C767" s="612"/>
      <c r="D767" s="575"/>
      <c r="E767" s="575"/>
      <c r="F767" s="575"/>
      <c r="G767" s="575"/>
      <c r="H767" s="575"/>
      <c r="I767" s="575"/>
      <c r="J767" s="575"/>
      <c r="K767" s="575"/>
      <c r="L767" s="575"/>
      <c r="M767" s="575"/>
      <c r="N767" s="575"/>
      <c r="O767" s="575"/>
      <c r="P767" s="575"/>
      <c r="Q767" s="575"/>
      <c r="R767" s="575"/>
      <c r="S767" s="575"/>
      <c r="T767" s="575"/>
    </row>
    <row r="768">
      <c r="A768" s="575"/>
      <c r="B768" s="575"/>
      <c r="C768" s="612"/>
      <c r="D768" s="575"/>
      <c r="E768" s="575"/>
      <c r="F768" s="575"/>
      <c r="G768" s="575"/>
      <c r="H768" s="575"/>
      <c r="I768" s="575"/>
      <c r="J768" s="575"/>
      <c r="K768" s="575"/>
      <c r="L768" s="575"/>
      <c r="M768" s="575"/>
      <c r="N768" s="575"/>
      <c r="O768" s="575"/>
      <c r="P768" s="575"/>
      <c r="Q768" s="575"/>
      <c r="R768" s="575"/>
      <c r="S768" s="575"/>
      <c r="T768" s="575"/>
    </row>
    <row r="769">
      <c r="A769" s="575"/>
      <c r="B769" s="575"/>
      <c r="C769" s="612"/>
      <c r="D769" s="575"/>
      <c r="E769" s="575"/>
      <c r="F769" s="575"/>
      <c r="G769" s="575"/>
      <c r="H769" s="575"/>
      <c r="I769" s="575"/>
      <c r="J769" s="575"/>
      <c r="K769" s="575"/>
      <c r="L769" s="575"/>
      <c r="M769" s="575"/>
      <c r="N769" s="575"/>
      <c r="O769" s="575"/>
      <c r="P769" s="575"/>
      <c r="Q769" s="575"/>
      <c r="R769" s="575"/>
      <c r="S769" s="575"/>
      <c r="T769" s="575"/>
    </row>
    <row r="770">
      <c r="A770" s="575"/>
      <c r="B770" s="575"/>
      <c r="C770" s="612"/>
      <c r="D770" s="575"/>
      <c r="E770" s="575"/>
      <c r="F770" s="575"/>
      <c r="G770" s="575"/>
      <c r="H770" s="575"/>
      <c r="I770" s="575"/>
      <c r="J770" s="575"/>
      <c r="K770" s="575"/>
      <c r="L770" s="575"/>
      <c r="M770" s="575"/>
      <c r="N770" s="575"/>
      <c r="O770" s="575"/>
      <c r="P770" s="575"/>
      <c r="Q770" s="575"/>
      <c r="R770" s="575"/>
      <c r="S770" s="575"/>
      <c r="T770" s="575"/>
    </row>
    <row r="771">
      <c r="A771" s="575"/>
      <c r="B771" s="575"/>
      <c r="C771" s="612"/>
      <c r="D771" s="575"/>
      <c r="E771" s="575"/>
      <c r="F771" s="575"/>
      <c r="G771" s="575"/>
      <c r="H771" s="575"/>
      <c r="I771" s="575"/>
      <c r="J771" s="575"/>
      <c r="K771" s="575"/>
      <c r="L771" s="575"/>
      <c r="M771" s="575"/>
      <c r="N771" s="575"/>
      <c r="O771" s="575"/>
      <c r="P771" s="575"/>
      <c r="Q771" s="575"/>
      <c r="R771" s="575"/>
      <c r="S771" s="575"/>
      <c r="T771" s="575"/>
    </row>
    <row r="772">
      <c r="A772" s="575"/>
      <c r="B772" s="575"/>
      <c r="C772" s="612"/>
      <c r="D772" s="575"/>
      <c r="E772" s="575"/>
      <c r="F772" s="575"/>
      <c r="G772" s="575"/>
      <c r="H772" s="575"/>
      <c r="I772" s="575"/>
      <c r="J772" s="575"/>
      <c r="K772" s="575"/>
      <c r="L772" s="575"/>
      <c r="M772" s="575"/>
      <c r="N772" s="575"/>
      <c r="O772" s="575"/>
      <c r="P772" s="575"/>
      <c r="Q772" s="575"/>
      <c r="R772" s="575"/>
      <c r="S772" s="575"/>
      <c r="T772" s="575"/>
    </row>
    <row r="773">
      <c r="A773" s="575"/>
      <c r="B773" s="575"/>
      <c r="C773" s="612"/>
      <c r="D773" s="575"/>
      <c r="E773" s="575"/>
      <c r="F773" s="575"/>
      <c r="G773" s="575"/>
      <c r="H773" s="575"/>
      <c r="I773" s="575"/>
      <c r="J773" s="575"/>
      <c r="K773" s="575"/>
      <c r="L773" s="575"/>
      <c r="M773" s="575"/>
      <c r="N773" s="575"/>
      <c r="O773" s="575"/>
      <c r="P773" s="575"/>
      <c r="Q773" s="575"/>
      <c r="R773" s="575"/>
      <c r="S773" s="575"/>
      <c r="T773" s="575"/>
    </row>
    <row r="774">
      <c r="A774" s="575"/>
      <c r="B774" s="575"/>
      <c r="C774" s="612"/>
      <c r="D774" s="575"/>
      <c r="E774" s="575"/>
      <c r="F774" s="575"/>
      <c r="G774" s="575"/>
      <c r="H774" s="575"/>
      <c r="I774" s="575"/>
      <c r="J774" s="575"/>
      <c r="K774" s="575"/>
      <c r="L774" s="575"/>
      <c r="M774" s="575"/>
      <c r="N774" s="575"/>
      <c r="O774" s="575"/>
      <c r="P774" s="575"/>
      <c r="Q774" s="575"/>
      <c r="R774" s="575"/>
      <c r="S774" s="575"/>
      <c r="T774" s="575"/>
    </row>
    <row r="775">
      <c r="A775" s="575"/>
      <c r="B775" s="575"/>
      <c r="C775" s="612"/>
      <c r="D775" s="575"/>
      <c r="E775" s="575"/>
      <c r="F775" s="575"/>
      <c r="G775" s="575"/>
      <c r="H775" s="575"/>
      <c r="I775" s="575"/>
      <c r="J775" s="575"/>
      <c r="K775" s="575"/>
      <c r="L775" s="575"/>
      <c r="M775" s="575"/>
      <c r="N775" s="575"/>
      <c r="O775" s="575"/>
      <c r="P775" s="575"/>
      <c r="Q775" s="575"/>
      <c r="R775" s="575"/>
      <c r="S775" s="575"/>
      <c r="T775" s="575"/>
    </row>
    <row r="776">
      <c r="A776" s="575"/>
      <c r="B776" s="575"/>
      <c r="C776" s="612"/>
      <c r="D776" s="575"/>
      <c r="E776" s="575"/>
      <c r="F776" s="575"/>
      <c r="G776" s="575"/>
      <c r="H776" s="575"/>
      <c r="I776" s="575"/>
      <c r="J776" s="575"/>
      <c r="K776" s="575"/>
      <c r="L776" s="575"/>
      <c r="M776" s="575"/>
      <c r="N776" s="575"/>
      <c r="O776" s="575"/>
      <c r="P776" s="575"/>
      <c r="Q776" s="575"/>
      <c r="R776" s="575"/>
      <c r="S776" s="575"/>
      <c r="T776" s="575"/>
    </row>
    <row r="777">
      <c r="A777" s="575"/>
      <c r="B777" s="575"/>
      <c r="C777" s="612"/>
      <c r="D777" s="575"/>
      <c r="E777" s="575"/>
      <c r="F777" s="575"/>
      <c r="G777" s="575"/>
      <c r="H777" s="575"/>
      <c r="I777" s="575"/>
      <c r="J777" s="575"/>
      <c r="K777" s="575"/>
      <c r="L777" s="575"/>
      <c r="M777" s="575"/>
      <c r="N777" s="575"/>
      <c r="O777" s="575"/>
      <c r="P777" s="575"/>
      <c r="Q777" s="575"/>
      <c r="R777" s="575"/>
      <c r="S777" s="575"/>
      <c r="T777" s="575"/>
    </row>
    <row r="778">
      <c r="A778" s="575"/>
      <c r="B778" s="575"/>
      <c r="C778" s="612"/>
      <c r="D778" s="575"/>
      <c r="E778" s="575"/>
      <c r="F778" s="575"/>
      <c r="G778" s="575"/>
      <c r="H778" s="575"/>
      <c r="I778" s="575"/>
      <c r="J778" s="575"/>
      <c r="K778" s="575"/>
      <c r="L778" s="575"/>
      <c r="M778" s="575"/>
      <c r="N778" s="575"/>
      <c r="O778" s="575"/>
      <c r="P778" s="575"/>
      <c r="Q778" s="575"/>
      <c r="R778" s="575"/>
      <c r="S778" s="575"/>
      <c r="T778" s="575"/>
    </row>
    <row r="779">
      <c r="A779" s="575"/>
      <c r="B779" s="575"/>
      <c r="C779" s="612"/>
      <c r="D779" s="575"/>
      <c r="E779" s="575"/>
      <c r="F779" s="575"/>
      <c r="G779" s="575"/>
      <c r="H779" s="575"/>
      <c r="I779" s="575"/>
      <c r="J779" s="575"/>
      <c r="K779" s="575"/>
      <c r="L779" s="575"/>
      <c r="M779" s="575"/>
      <c r="N779" s="575"/>
      <c r="O779" s="575"/>
      <c r="P779" s="575"/>
      <c r="Q779" s="575"/>
      <c r="R779" s="575"/>
      <c r="S779" s="575"/>
      <c r="T779" s="575"/>
    </row>
    <row r="780">
      <c r="A780" s="575"/>
      <c r="B780" s="575"/>
      <c r="C780" s="612"/>
      <c r="D780" s="575"/>
      <c r="E780" s="575"/>
      <c r="F780" s="575"/>
      <c r="G780" s="575"/>
      <c r="H780" s="575"/>
      <c r="I780" s="575"/>
      <c r="J780" s="575"/>
      <c r="K780" s="575"/>
      <c r="L780" s="575"/>
      <c r="M780" s="575"/>
      <c r="N780" s="575"/>
      <c r="O780" s="575"/>
      <c r="P780" s="575"/>
      <c r="Q780" s="575"/>
      <c r="R780" s="575"/>
      <c r="S780" s="575"/>
      <c r="T780" s="575"/>
    </row>
    <row r="781">
      <c r="A781" s="575"/>
      <c r="B781" s="575"/>
      <c r="C781" s="612"/>
      <c r="D781" s="575"/>
      <c r="E781" s="575"/>
      <c r="F781" s="575"/>
      <c r="G781" s="575"/>
      <c r="H781" s="575"/>
      <c r="I781" s="575"/>
      <c r="J781" s="575"/>
      <c r="K781" s="575"/>
      <c r="L781" s="575"/>
      <c r="M781" s="575"/>
      <c r="N781" s="575"/>
      <c r="O781" s="575"/>
      <c r="P781" s="575"/>
      <c r="Q781" s="575"/>
      <c r="R781" s="575"/>
      <c r="S781" s="575"/>
      <c r="T781" s="575"/>
    </row>
    <row r="782">
      <c r="A782" s="575"/>
      <c r="B782" s="575"/>
      <c r="C782" s="612"/>
      <c r="D782" s="575"/>
      <c r="E782" s="575"/>
      <c r="F782" s="575"/>
      <c r="G782" s="575"/>
      <c r="H782" s="575"/>
      <c r="I782" s="575"/>
      <c r="J782" s="575"/>
      <c r="K782" s="575"/>
      <c r="L782" s="575"/>
      <c r="M782" s="575"/>
      <c r="N782" s="575"/>
      <c r="O782" s="575"/>
      <c r="P782" s="575"/>
      <c r="Q782" s="575"/>
      <c r="R782" s="575"/>
      <c r="S782" s="575"/>
      <c r="T782" s="575"/>
    </row>
    <row r="783">
      <c r="A783" s="575"/>
      <c r="B783" s="575"/>
      <c r="C783" s="612"/>
      <c r="D783" s="575"/>
      <c r="E783" s="575"/>
      <c r="F783" s="575"/>
      <c r="G783" s="575"/>
      <c r="H783" s="575"/>
      <c r="I783" s="575"/>
      <c r="J783" s="575"/>
      <c r="K783" s="575"/>
      <c r="L783" s="575"/>
      <c r="M783" s="575"/>
      <c r="N783" s="575"/>
      <c r="O783" s="575"/>
      <c r="P783" s="575"/>
      <c r="Q783" s="575"/>
      <c r="R783" s="575"/>
      <c r="S783" s="575"/>
      <c r="T783" s="575"/>
    </row>
    <row r="784">
      <c r="A784" s="575"/>
      <c r="B784" s="575"/>
      <c r="C784" s="612"/>
      <c r="D784" s="575"/>
      <c r="E784" s="575"/>
      <c r="F784" s="575"/>
      <c r="G784" s="575"/>
      <c r="H784" s="575"/>
      <c r="I784" s="575"/>
      <c r="J784" s="575"/>
      <c r="K784" s="575"/>
      <c r="L784" s="575"/>
      <c r="M784" s="575"/>
      <c r="N784" s="575"/>
      <c r="O784" s="575"/>
      <c r="P784" s="575"/>
      <c r="Q784" s="575"/>
      <c r="R784" s="575"/>
      <c r="S784" s="575"/>
      <c r="T784" s="575"/>
    </row>
    <row r="785">
      <c r="A785" s="575"/>
      <c r="B785" s="575"/>
      <c r="C785" s="612"/>
      <c r="D785" s="575"/>
      <c r="E785" s="575"/>
      <c r="F785" s="575"/>
      <c r="G785" s="575"/>
      <c r="H785" s="575"/>
      <c r="I785" s="575"/>
      <c r="J785" s="575"/>
      <c r="K785" s="575"/>
      <c r="L785" s="575"/>
      <c r="M785" s="575"/>
      <c r="N785" s="575"/>
      <c r="O785" s="575"/>
      <c r="P785" s="575"/>
      <c r="Q785" s="575"/>
      <c r="R785" s="575"/>
      <c r="S785" s="575"/>
      <c r="T785" s="575"/>
    </row>
    <row r="786">
      <c r="A786" s="575"/>
      <c r="B786" s="575"/>
      <c r="C786" s="612"/>
      <c r="D786" s="575"/>
      <c r="E786" s="575"/>
      <c r="F786" s="575"/>
      <c r="G786" s="575"/>
      <c r="H786" s="575"/>
      <c r="I786" s="575"/>
      <c r="J786" s="575"/>
      <c r="K786" s="575"/>
      <c r="L786" s="575"/>
      <c r="M786" s="575"/>
      <c r="N786" s="575"/>
      <c r="O786" s="575"/>
      <c r="P786" s="575"/>
      <c r="Q786" s="575"/>
      <c r="R786" s="575"/>
      <c r="S786" s="575"/>
      <c r="T786" s="575"/>
    </row>
    <row r="787">
      <c r="A787" s="575"/>
      <c r="B787" s="575"/>
      <c r="C787" s="612"/>
      <c r="D787" s="575"/>
      <c r="E787" s="575"/>
      <c r="F787" s="575"/>
      <c r="G787" s="575"/>
      <c r="H787" s="575"/>
      <c r="I787" s="575"/>
      <c r="J787" s="575"/>
      <c r="K787" s="575"/>
      <c r="L787" s="575"/>
      <c r="M787" s="575"/>
      <c r="N787" s="575"/>
      <c r="O787" s="575"/>
      <c r="P787" s="575"/>
      <c r="Q787" s="575"/>
      <c r="R787" s="575"/>
      <c r="S787" s="575"/>
      <c r="T787" s="575"/>
    </row>
    <row r="788">
      <c r="A788" s="575"/>
      <c r="B788" s="575"/>
      <c r="C788" s="612"/>
      <c r="D788" s="575"/>
      <c r="E788" s="575"/>
      <c r="F788" s="575"/>
      <c r="G788" s="575"/>
      <c r="H788" s="575"/>
      <c r="I788" s="575"/>
      <c r="J788" s="575"/>
      <c r="K788" s="575"/>
      <c r="L788" s="575"/>
      <c r="M788" s="575"/>
      <c r="N788" s="575"/>
      <c r="O788" s="575"/>
      <c r="P788" s="575"/>
      <c r="Q788" s="575"/>
      <c r="R788" s="575"/>
      <c r="S788" s="575"/>
      <c r="T788" s="575"/>
    </row>
    <row r="789">
      <c r="A789" s="575"/>
      <c r="B789" s="575"/>
      <c r="C789" s="612"/>
      <c r="D789" s="575"/>
      <c r="E789" s="575"/>
      <c r="F789" s="575"/>
      <c r="G789" s="575"/>
      <c r="H789" s="575"/>
      <c r="I789" s="575"/>
      <c r="J789" s="575"/>
      <c r="K789" s="575"/>
      <c r="L789" s="575"/>
      <c r="M789" s="575"/>
      <c r="N789" s="575"/>
      <c r="O789" s="575"/>
      <c r="P789" s="575"/>
      <c r="Q789" s="575"/>
      <c r="R789" s="575"/>
      <c r="S789" s="575"/>
      <c r="T789" s="575"/>
    </row>
    <row r="790">
      <c r="A790" s="575"/>
      <c r="B790" s="575"/>
      <c r="C790" s="612"/>
      <c r="D790" s="575"/>
      <c r="E790" s="575"/>
      <c r="F790" s="575"/>
      <c r="G790" s="575"/>
      <c r="H790" s="575"/>
      <c r="I790" s="575"/>
      <c r="J790" s="575"/>
      <c r="K790" s="575"/>
      <c r="L790" s="575"/>
      <c r="M790" s="575"/>
      <c r="N790" s="575"/>
      <c r="O790" s="575"/>
      <c r="P790" s="575"/>
      <c r="Q790" s="575"/>
      <c r="R790" s="575"/>
      <c r="S790" s="575"/>
      <c r="T790" s="575"/>
    </row>
    <row r="791">
      <c r="A791" s="575"/>
      <c r="B791" s="575"/>
      <c r="C791" s="612"/>
      <c r="D791" s="575"/>
      <c r="E791" s="575"/>
      <c r="F791" s="575"/>
      <c r="G791" s="575"/>
      <c r="H791" s="575"/>
      <c r="I791" s="575"/>
      <c r="J791" s="575"/>
      <c r="K791" s="575"/>
      <c r="L791" s="575"/>
      <c r="M791" s="575"/>
      <c r="N791" s="575"/>
      <c r="O791" s="575"/>
      <c r="P791" s="575"/>
      <c r="Q791" s="575"/>
      <c r="R791" s="575"/>
      <c r="S791" s="575"/>
      <c r="T791" s="575"/>
    </row>
    <row r="792">
      <c r="A792" s="575"/>
      <c r="B792" s="575"/>
      <c r="C792" s="612"/>
      <c r="D792" s="575"/>
      <c r="E792" s="575"/>
      <c r="F792" s="575"/>
      <c r="G792" s="575"/>
      <c r="H792" s="575"/>
      <c r="I792" s="575"/>
      <c r="J792" s="575"/>
      <c r="K792" s="575"/>
      <c r="L792" s="575"/>
      <c r="M792" s="575"/>
      <c r="N792" s="575"/>
      <c r="O792" s="575"/>
      <c r="P792" s="575"/>
      <c r="Q792" s="575"/>
      <c r="R792" s="575"/>
      <c r="S792" s="575"/>
      <c r="T792" s="575"/>
    </row>
    <row r="793">
      <c r="A793" s="575"/>
      <c r="B793" s="575"/>
      <c r="C793" s="612"/>
      <c r="D793" s="575"/>
      <c r="E793" s="575"/>
      <c r="F793" s="575"/>
      <c r="G793" s="575"/>
      <c r="H793" s="575"/>
      <c r="I793" s="575"/>
      <c r="J793" s="575"/>
      <c r="K793" s="575"/>
      <c r="L793" s="575"/>
      <c r="M793" s="575"/>
      <c r="N793" s="575"/>
      <c r="O793" s="575"/>
      <c r="P793" s="575"/>
      <c r="Q793" s="575"/>
      <c r="R793" s="575"/>
      <c r="S793" s="575"/>
      <c r="T793" s="575"/>
    </row>
    <row r="794">
      <c r="A794" s="575"/>
      <c r="B794" s="575"/>
      <c r="C794" s="612"/>
      <c r="D794" s="575"/>
      <c r="E794" s="575"/>
      <c r="F794" s="575"/>
      <c r="G794" s="575"/>
      <c r="H794" s="575"/>
      <c r="I794" s="575"/>
      <c r="J794" s="575"/>
      <c r="K794" s="575"/>
      <c r="L794" s="575"/>
      <c r="M794" s="575"/>
      <c r="N794" s="575"/>
      <c r="O794" s="575"/>
      <c r="P794" s="575"/>
      <c r="Q794" s="575"/>
      <c r="R794" s="575"/>
      <c r="S794" s="575"/>
      <c r="T794" s="575"/>
    </row>
    <row r="795">
      <c r="A795" s="575"/>
      <c r="B795" s="575"/>
      <c r="C795" s="612"/>
      <c r="D795" s="575"/>
      <c r="E795" s="575"/>
      <c r="F795" s="575"/>
      <c r="G795" s="575"/>
      <c r="H795" s="575"/>
      <c r="I795" s="575"/>
      <c r="J795" s="575"/>
      <c r="K795" s="575"/>
      <c r="L795" s="575"/>
      <c r="M795" s="575"/>
      <c r="N795" s="575"/>
      <c r="O795" s="575"/>
      <c r="P795" s="575"/>
      <c r="Q795" s="575"/>
      <c r="R795" s="575"/>
      <c r="S795" s="575"/>
      <c r="T795" s="575"/>
    </row>
    <row r="796">
      <c r="A796" s="575"/>
      <c r="B796" s="575"/>
      <c r="C796" s="612"/>
      <c r="D796" s="575"/>
      <c r="E796" s="575"/>
      <c r="F796" s="575"/>
      <c r="G796" s="575"/>
      <c r="H796" s="575"/>
      <c r="I796" s="575"/>
      <c r="J796" s="575"/>
      <c r="K796" s="575"/>
      <c r="L796" s="575"/>
      <c r="M796" s="575"/>
      <c r="N796" s="575"/>
      <c r="O796" s="575"/>
      <c r="P796" s="575"/>
      <c r="Q796" s="575"/>
      <c r="R796" s="575"/>
      <c r="S796" s="575"/>
      <c r="T796" s="575"/>
    </row>
    <row r="797">
      <c r="A797" s="575"/>
      <c r="B797" s="575"/>
      <c r="C797" s="612"/>
      <c r="D797" s="575"/>
      <c r="E797" s="575"/>
      <c r="F797" s="575"/>
      <c r="G797" s="575"/>
      <c r="H797" s="575"/>
      <c r="I797" s="575"/>
      <c r="J797" s="575"/>
      <c r="K797" s="575"/>
      <c r="L797" s="575"/>
      <c r="M797" s="575"/>
      <c r="N797" s="575"/>
      <c r="O797" s="575"/>
      <c r="P797" s="575"/>
      <c r="Q797" s="575"/>
      <c r="R797" s="575"/>
      <c r="S797" s="575"/>
      <c r="T797" s="575"/>
    </row>
    <row r="798">
      <c r="A798" s="575"/>
      <c r="B798" s="575"/>
      <c r="C798" s="612"/>
      <c r="D798" s="575"/>
      <c r="E798" s="575"/>
      <c r="F798" s="575"/>
      <c r="G798" s="575"/>
      <c r="H798" s="575"/>
      <c r="I798" s="575"/>
      <c r="J798" s="575"/>
      <c r="K798" s="575"/>
      <c r="L798" s="575"/>
      <c r="M798" s="575"/>
      <c r="N798" s="575"/>
      <c r="O798" s="575"/>
      <c r="P798" s="575"/>
      <c r="Q798" s="575"/>
      <c r="R798" s="575"/>
      <c r="S798" s="575"/>
      <c r="T798" s="575"/>
    </row>
    <row r="799">
      <c r="A799" s="575"/>
      <c r="B799" s="575"/>
      <c r="C799" s="612"/>
      <c r="D799" s="575"/>
      <c r="E799" s="575"/>
      <c r="F799" s="575"/>
      <c r="G799" s="575"/>
      <c r="H799" s="575"/>
      <c r="I799" s="575"/>
      <c r="J799" s="575"/>
      <c r="K799" s="575"/>
      <c r="L799" s="575"/>
      <c r="M799" s="575"/>
      <c r="N799" s="575"/>
      <c r="O799" s="575"/>
      <c r="P799" s="575"/>
      <c r="Q799" s="575"/>
      <c r="R799" s="575"/>
      <c r="S799" s="575"/>
      <c r="T799" s="575"/>
    </row>
    <row r="800">
      <c r="A800" s="575"/>
      <c r="B800" s="575"/>
      <c r="C800" s="612"/>
      <c r="D800" s="575"/>
      <c r="E800" s="575"/>
      <c r="F800" s="575"/>
      <c r="G800" s="575"/>
      <c r="H800" s="575"/>
      <c r="I800" s="575"/>
      <c r="J800" s="575"/>
      <c r="K800" s="575"/>
      <c r="L800" s="575"/>
      <c r="M800" s="575"/>
      <c r="N800" s="575"/>
      <c r="O800" s="575"/>
      <c r="P800" s="575"/>
      <c r="Q800" s="575"/>
      <c r="R800" s="575"/>
      <c r="S800" s="575"/>
      <c r="T800" s="575"/>
    </row>
    <row r="801">
      <c r="A801" s="575"/>
      <c r="B801" s="575"/>
      <c r="C801" s="612"/>
      <c r="D801" s="575"/>
      <c r="E801" s="575"/>
      <c r="F801" s="575"/>
      <c r="G801" s="575"/>
      <c r="H801" s="575"/>
      <c r="I801" s="575"/>
      <c r="J801" s="575"/>
      <c r="K801" s="575"/>
      <c r="L801" s="575"/>
      <c r="M801" s="575"/>
      <c r="N801" s="575"/>
      <c r="O801" s="575"/>
      <c r="P801" s="575"/>
      <c r="Q801" s="575"/>
      <c r="R801" s="575"/>
      <c r="S801" s="575"/>
      <c r="T801" s="575"/>
    </row>
    <row r="802">
      <c r="A802" s="575"/>
      <c r="B802" s="575"/>
      <c r="C802" s="612"/>
      <c r="D802" s="575"/>
      <c r="E802" s="575"/>
      <c r="F802" s="575"/>
      <c r="G802" s="575"/>
      <c r="H802" s="575"/>
      <c r="I802" s="575"/>
      <c r="J802" s="575"/>
      <c r="K802" s="575"/>
      <c r="L802" s="575"/>
      <c r="M802" s="575"/>
      <c r="N802" s="575"/>
      <c r="O802" s="575"/>
      <c r="P802" s="575"/>
      <c r="Q802" s="575"/>
      <c r="R802" s="575"/>
      <c r="S802" s="575"/>
      <c r="T802" s="575"/>
    </row>
    <row r="803">
      <c r="A803" s="575"/>
      <c r="B803" s="575"/>
      <c r="C803" s="612"/>
      <c r="D803" s="575"/>
      <c r="E803" s="575"/>
      <c r="F803" s="575"/>
      <c r="G803" s="575"/>
      <c r="H803" s="575"/>
      <c r="I803" s="575"/>
      <c r="J803" s="575"/>
      <c r="K803" s="575"/>
      <c r="L803" s="575"/>
      <c r="M803" s="575"/>
      <c r="N803" s="575"/>
      <c r="O803" s="575"/>
      <c r="P803" s="575"/>
      <c r="Q803" s="575"/>
      <c r="R803" s="575"/>
      <c r="S803" s="575"/>
      <c r="T803" s="575"/>
    </row>
    <row r="804">
      <c r="A804" s="575"/>
      <c r="B804" s="575"/>
      <c r="C804" s="612"/>
      <c r="D804" s="575"/>
      <c r="E804" s="575"/>
      <c r="F804" s="575"/>
      <c r="G804" s="575"/>
      <c r="H804" s="575"/>
      <c r="I804" s="575"/>
      <c r="J804" s="575"/>
      <c r="K804" s="575"/>
      <c r="L804" s="575"/>
      <c r="M804" s="575"/>
      <c r="N804" s="575"/>
      <c r="O804" s="575"/>
      <c r="P804" s="575"/>
      <c r="Q804" s="575"/>
      <c r="R804" s="575"/>
      <c r="S804" s="575"/>
      <c r="T804" s="575"/>
    </row>
    <row r="805">
      <c r="A805" s="575"/>
      <c r="B805" s="575"/>
      <c r="C805" s="612"/>
      <c r="D805" s="575"/>
      <c r="E805" s="575"/>
      <c r="F805" s="575"/>
      <c r="G805" s="575"/>
      <c r="H805" s="575"/>
      <c r="I805" s="575"/>
      <c r="J805" s="575"/>
      <c r="K805" s="575"/>
      <c r="L805" s="575"/>
      <c r="M805" s="575"/>
      <c r="N805" s="575"/>
      <c r="O805" s="575"/>
      <c r="P805" s="575"/>
      <c r="Q805" s="575"/>
      <c r="R805" s="575"/>
      <c r="S805" s="575"/>
      <c r="T805" s="575"/>
    </row>
    <row r="806">
      <c r="A806" s="575"/>
      <c r="B806" s="575"/>
      <c r="C806" s="612"/>
      <c r="D806" s="575"/>
      <c r="E806" s="575"/>
      <c r="F806" s="575"/>
      <c r="G806" s="575"/>
      <c r="H806" s="575"/>
      <c r="I806" s="575"/>
      <c r="J806" s="575"/>
      <c r="K806" s="575"/>
      <c r="L806" s="575"/>
      <c r="M806" s="575"/>
      <c r="N806" s="575"/>
      <c r="O806" s="575"/>
      <c r="P806" s="575"/>
      <c r="Q806" s="575"/>
      <c r="R806" s="575"/>
      <c r="S806" s="575"/>
      <c r="T806" s="575"/>
    </row>
    <row r="807">
      <c r="A807" s="575"/>
      <c r="B807" s="575"/>
      <c r="C807" s="612"/>
      <c r="D807" s="575"/>
      <c r="E807" s="575"/>
      <c r="F807" s="575"/>
      <c r="G807" s="575"/>
      <c r="H807" s="575"/>
      <c r="I807" s="575"/>
      <c r="J807" s="575"/>
      <c r="K807" s="575"/>
      <c r="L807" s="575"/>
      <c r="M807" s="575"/>
      <c r="N807" s="575"/>
      <c r="O807" s="575"/>
      <c r="P807" s="575"/>
      <c r="Q807" s="575"/>
      <c r="R807" s="575"/>
      <c r="S807" s="575"/>
      <c r="T807" s="575"/>
    </row>
    <row r="808">
      <c r="A808" s="575"/>
      <c r="B808" s="575"/>
      <c r="C808" s="612"/>
      <c r="D808" s="575"/>
      <c r="E808" s="575"/>
      <c r="F808" s="575"/>
      <c r="G808" s="575"/>
      <c r="H808" s="575"/>
      <c r="I808" s="575"/>
      <c r="J808" s="575"/>
      <c r="K808" s="575"/>
      <c r="L808" s="575"/>
      <c r="M808" s="575"/>
      <c r="N808" s="575"/>
      <c r="O808" s="575"/>
      <c r="P808" s="575"/>
      <c r="Q808" s="575"/>
      <c r="R808" s="575"/>
      <c r="S808" s="575"/>
      <c r="T808" s="575"/>
    </row>
    <row r="809">
      <c r="A809" s="575"/>
      <c r="B809" s="575"/>
      <c r="C809" s="612"/>
      <c r="D809" s="575"/>
      <c r="E809" s="575"/>
      <c r="F809" s="575"/>
      <c r="G809" s="575"/>
      <c r="H809" s="575"/>
      <c r="I809" s="575"/>
      <c r="J809" s="575"/>
      <c r="K809" s="575"/>
      <c r="L809" s="575"/>
      <c r="M809" s="575"/>
      <c r="N809" s="575"/>
      <c r="O809" s="575"/>
      <c r="P809" s="575"/>
      <c r="Q809" s="575"/>
      <c r="R809" s="575"/>
      <c r="S809" s="575"/>
      <c r="T809" s="575"/>
    </row>
    <row r="810">
      <c r="A810" s="575"/>
      <c r="B810" s="575"/>
      <c r="C810" s="612"/>
      <c r="D810" s="575"/>
      <c r="E810" s="575"/>
      <c r="F810" s="575"/>
      <c r="G810" s="575"/>
      <c r="H810" s="575"/>
      <c r="I810" s="575"/>
      <c r="J810" s="575"/>
      <c r="K810" s="575"/>
      <c r="L810" s="575"/>
      <c r="M810" s="575"/>
      <c r="N810" s="575"/>
      <c r="O810" s="575"/>
      <c r="P810" s="575"/>
      <c r="Q810" s="575"/>
      <c r="R810" s="575"/>
      <c r="S810" s="575"/>
      <c r="T810" s="575"/>
    </row>
    <row r="811">
      <c r="A811" s="575"/>
      <c r="B811" s="575"/>
      <c r="C811" s="612"/>
      <c r="D811" s="575"/>
      <c r="E811" s="575"/>
      <c r="F811" s="575"/>
      <c r="G811" s="575"/>
      <c r="H811" s="575"/>
      <c r="I811" s="575"/>
      <c r="J811" s="575"/>
      <c r="K811" s="575"/>
      <c r="L811" s="575"/>
      <c r="M811" s="575"/>
      <c r="N811" s="575"/>
      <c r="O811" s="575"/>
      <c r="P811" s="575"/>
      <c r="Q811" s="575"/>
      <c r="R811" s="575"/>
      <c r="S811" s="575"/>
      <c r="T811" s="575"/>
    </row>
    <row r="812">
      <c r="A812" s="575"/>
      <c r="B812" s="575"/>
      <c r="C812" s="612"/>
      <c r="D812" s="575"/>
      <c r="E812" s="575"/>
      <c r="F812" s="575"/>
      <c r="G812" s="575"/>
      <c r="H812" s="575"/>
      <c r="I812" s="575"/>
      <c r="J812" s="575"/>
      <c r="K812" s="575"/>
      <c r="L812" s="575"/>
      <c r="M812" s="575"/>
      <c r="N812" s="575"/>
      <c r="O812" s="575"/>
      <c r="P812" s="575"/>
      <c r="Q812" s="575"/>
      <c r="R812" s="575"/>
      <c r="S812" s="575"/>
      <c r="T812" s="575"/>
    </row>
    <row r="813">
      <c r="A813" s="575"/>
      <c r="B813" s="575"/>
      <c r="C813" s="612"/>
      <c r="D813" s="575"/>
      <c r="E813" s="575"/>
      <c r="F813" s="575"/>
      <c r="G813" s="575"/>
      <c r="H813" s="575"/>
      <c r="I813" s="575"/>
      <c r="J813" s="575"/>
      <c r="K813" s="575"/>
      <c r="L813" s="575"/>
      <c r="M813" s="575"/>
      <c r="N813" s="575"/>
      <c r="O813" s="575"/>
      <c r="P813" s="575"/>
      <c r="Q813" s="575"/>
      <c r="R813" s="575"/>
      <c r="S813" s="575"/>
      <c r="T813" s="575"/>
    </row>
    <row r="814">
      <c r="A814" s="575"/>
      <c r="B814" s="575"/>
      <c r="C814" s="612"/>
      <c r="D814" s="575"/>
      <c r="E814" s="575"/>
      <c r="F814" s="575"/>
      <c r="G814" s="575"/>
      <c r="H814" s="575"/>
      <c r="I814" s="575"/>
      <c r="J814" s="575"/>
      <c r="K814" s="575"/>
      <c r="L814" s="575"/>
      <c r="M814" s="575"/>
      <c r="N814" s="575"/>
      <c r="O814" s="575"/>
      <c r="P814" s="575"/>
      <c r="Q814" s="575"/>
      <c r="R814" s="575"/>
      <c r="S814" s="575"/>
      <c r="T814" s="575"/>
    </row>
    <row r="815">
      <c r="A815" s="575"/>
      <c r="B815" s="575"/>
      <c r="C815" s="612"/>
      <c r="D815" s="575"/>
      <c r="E815" s="575"/>
      <c r="F815" s="575"/>
      <c r="G815" s="575"/>
      <c r="H815" s="575"/>
      <c r="I815" s="575"/>
      <c r="J815" s="575"/>
      <c r="K815" s="575"/>
      <c r="L815" s="575"/>
      <c r="M815" s="575"/>
      <c r="N815" s="575"/>
      <c r="O815" s="575"/>
      <c r="P815" s="575"/>
      <c r="Q815" s="575"/>
      <c r="R815" s="575"/>
      <c r="S815" s="575"/>
      <c r="T815" s="575"/>
    </row>
    <row r="816">
      <c r="A816" s="575"/>
      <c r="B816" s="575"/>
      <c r="C816" s="612"/>
      <c r="D816" s="575"/>
      <c r="E816" s="575"/>
      <c r="F816" s="575"/>
      <c r="G816" s="575"/>
      <c r="H816" s="575"/>
      <c r="I816" s="575"/>
      <c r="J816" s="575"/>
      <c r="K816" s="575"/>
      <c r="L816" s="575"/>
      <c r="M816" s="575"/>
      <c r="N816" s="575"/>
      <c r="O816" s="575"/>
      <c r="P816" s="575"/>
      <c r="Q816" s="575"/>
      <c r="R816" s="575"/>
      <c r="S816" s="575"/>
      <c r="T816" s="575"/>
    </row>
    <row r="817">
      <c r="A817" s="575"/>
      <c r="B817" s="575"/>
      <c r="C817" s="612"/>
      <c r="D817" s="575"/>
      <c r="E817" s="575"/>
      <c r="F817" s="575"/>
      <c r="G817" s="575"/>
      <c r="H817" s="575"/>
      <c r="I817" s="575"/>
      <c r="J817" s="575"/>
      <c r="K817" s="575"/>
      <c r="L817" s="575"/>
      <c r="M817" s="575"/>
      <c r="N817" s="575"/>
      <c r="O817" s="575"/>
      <c r="P817" s="575"/>
      <c r="Q817" s="575"/>
      <c r="R817" s="575"/>
      <c r="S817" s="575"/>
      <c r="T817" s="575"/>
    </row>
    <row r="818">
      <c r="A818" s="575"/>
      <c r="B818" s="575"/>
      <c r="C818" s="612"/>
      <c r="D818" s="575"/>
      <c r="E818" s="575"/>
      <c r="F818" s="575"/>
      <c r="G818" s="575"/>
      <c r="H818" s="575"/>
      <c r="I818" s="575"/>
      <c r="J818" s="575"/>
      <c r="K818" s="575"/>
      <c r="L818" s="575"/>
      <c r="M818" s="575"/>
      <c r="N818" s="575"/>
      <c r="O818" s="575"/>
      <c r="P818" s="575"/>
      <c r="Q818" s="575"/>
      <c r="R818" s="575"/>
      <c r="S818" s="575"/>
      <c r="T818" s="575"/>
    </row>
    <row r="819">
      <c r="A819" s="575"/>
      <c r="B819" s="575"/>
      <c r="C819" s="612"/>
      <c r="D819" s="575"/>
      <c r="E819" s="575"/>
      <c r="F819" s="575"/>
      <c r="G819" s="575"/>
      <c r="H819" s="575"/>
      <c r="I819" s="575"/>
      <c r="J819" s="575"/>
      <c r="K819" s="575"/>
      <c r="L819" s="575"/>
      <c r="M819" s="575"/>
      <c r="N819" s="575"/>
      <c r="O819" s="575"/>
      <c r="P819" s="575"/>
      <c r="Q819" s="575"/>
      <c r="R819" s="575"/>
      <c r="S819" s="575"/>
      <c r="T819" s="575"/>
    </row>
    <row r="820">
      <c r="A820" s="575"/>
      <c r="B820" s="575"/>
      <c r="C820" s="612"/>
      <c r="D820" s="575"/>
      <c r="E820" s="575"/>
      <c r="F820" s="575"/>
      <c r="G820" s="575"/>
      <c r="H820" s="575"/>
      <c r="I820" s="575"/>
      <c r="J820" s="575"/>
      <c r="K820" s="575"/>
      <c r="L820" s="575"/>
      <c r="M820" s="575"/>
      <c r="N820" s="575"/>
      <c r="O820" s="575"/>
      <c r="P820" s="575"/>
      <c r="Q820" s="575"/>
      <c r="R820" s="575"/>
      <c r="S820" s="575"/>
      <c r="T820" s="575"/>
    </row>
    <row r="821">
      <c r="A821" s="575"/>
      <c r="B821" s="575"/>
      <c r="C821" s="612"/>
      <c r="D821" s="575"/>
      <c r="E821" s="575"/>
      <c r="F821" s="575"/>
      <c r="G821" s="575"/>
      <c r="H821" s="575"/>
      <c r="I821" s="575"/>
      <c r="J821" s="575"/>
      <c r="K821" s="575"/>
      <c r="L821" s="575"/>
      <c r="M821" s="575"/>
      <c r="N821" s="575"/>
      <c r="O821" s="575"/>
      <c r="P821" s="575"/>
      <c r="Q821" s="575"/>
      <c r="R821" s="575"/>
      <c r="S821" s="575"/>
      <c r="T821" s="575"/>
    </row>
    <row r="822">
      <c r="A822" s="575"/>
      <c r="B822" s="575"/>
      <c r="C822" s="612"/>
      <c r="D822" s="575"/>
      <c r="E822" s="575"/>
      <c r="F822" s="575"/>
      <c r="G822" s="575"/>
      <c r="H822" s="575"/>
      <c r="I822" s="575"/>
      <c r="J822" s="575"/>
      <c r="K822" s="575"/>
      <c r="L822" s="575"/>
      <c r="M822" s="575"/>
      <c r="N822" s="575"/>
      <c r="O822" s="575"/>
      <c r="P822" s="575"/>
      <c r="Q822" s="575"/>
      <c r="R822" s="575"/>
      <c r="S822" s="575"/>
      <c r="T822" s="575"/>
    </row>
    <row r="823">
      <c r="A823" s="575"/>
      <c r="B823" s="575"/>
      <c r="C823" s="612"/>
      <c r="D823" s="575"/>
      <c r="E823" s="575"/>
      <c r="F823" s="575"/>
      <c r="G823" s="575"/>
      <c r="H823" s="575"/>
      <c r="I823" s="575"/>
      <c r="J823" s="575"/>
      <c r="K823" s="575"/>
      <c r="L823" s="575"/>
      <c r="M823" s="575"/>
      <c r="N823" s="575"/>
      <c r="O823" s="575"/>
      <c r="P823" s="575"/>
      <c r="Q823" s="575"/>
      <c r="R823" s="575"/>
      <c r="S823" s="575"/>
      <c r="T823" s="575"/>
    </row>
    <row r="824">
      <c r="A824" s="575"/>
      <c r="B824" s="575"/>
      <c r="C824" s="612"/>
      <c r="D824" s="575"/>
      <c r="E824" s="575"/>
      <c r="F824" s="575"/>
      <c r="G824" s="575"/>
      <c r="H824" s="575"/>
      <c r="I824" s="575"/>
      <c r="J824" s="575"/>
      <c r="K824" s="575"/>
      <c r="L824" s="575"/>
      <c r="M824" s="575"/>
      <c r="N824" s="575"/>
      <c r="O824" s="575"/>
      <c r="P824" s="575"/>
      <c r="Q824" s="575"/>
      <c r="R824" s="575"/>
      <c r="S824" s="575"/>
      <c r="T824" s="575"/>
    </row>
    <row r="825">
      <c r="A825" s="575"/>
      <c r="B825" s="575"/>
      <c r="C825" s="612"/>
      <c r="D825" s="575"/>
      <c r="E825" s="575"/>
      <c r="F825" s="575"/>
      <c r="G825" s="575"/>
      <c r="H825" s="575"/>
      <c r="I825" s="575"/>
      <c r="J825" s="575"/>
      <c r="K825" s="575"/>
      <c r="L825" s="575"/>
      <c r="M825" s="575"/>
      <c r="N825" s="575"/>
      <c r="O825" s="575"/>
      <c r="P825" s="575"/>
      <c r="Q825" s="575"/>
      <c r="R825" s="575"/>
      <c r="S825" s="575"/>
      <c r="T825" s="575"/>
    </row>
    <row r="826">
      <c r="A826" s="575"/>
      <c r="B826" s="575"/>
      <c r="C826" s="612"/>
      <c r="D826" s="575"/>
      <c r="E826" s="575"/>
      <c r="F826" s="575"/>
      <c r="G826" s="575"/>
      <c r="H826" s="575"/>
      <c r="I826" s="575"/>
      <c r="J826" s="575"/>
      <c r="K826" s="575"/>
      <c r="L826" s="575"/>
      <c r="M826" s="575"/>
      <c r="N826" s="575"/>
      <c r="O826" s="575"/>
      <c r="P826" s="575"/>
      <c r="Q826" s="575"/>
      <c r="R826" s="575"/>
      <c r="S826" s="575"/>
      <c r="T826" s="575"/>
    </row>
    <row r="827">
      <c r="A827" s="575"/>
      <c r="B827" s="575"/>
      <c r="C827" s="612"/>
      <c r="D827" s="575"/>
      <c r="E827" s="575"/>
      <c r="F827" s="575"/>
      <c r="G827" s="575"/>
      <c r="H827" s="575"/>
      <c r="I827" s="575"/>
      <c r="J827" s="575"/>
      <c r="K827" s="575"/>
      <c r="L827" s="575"/>
      <c r="M827" s="575"/>
      <c r="N827" s="575"/>
      <c r="O827" s="575"/>
      <c r="P827" s="575"/>
      <c r="Q827" s="575"/>
      <c r="R827" s="575"/>
      <c r="S827" s="575"/>
      <c r="T827" s="575"/>
    </row>
    <row r="828">
      <c r="A828" s="575"/>
      <c r="B828" s="575"/>
      <c r="C828" s="612"/>
      <c r="D828" s="575"/>
      <c r="E828" s="575"/>
      <c r="F828" s="575"/>
      <c r="G828" s="575"/>
      <c r="H828" s="575"/>
      <c r="I828" s="575"/>
      <c r="J828" s="575"/>
      <c r="K828" s="575"/>
      <c r="L828" s="575"/>
      <c r="M828" s="575"/>
      <c r="N828" s="575"/>
      <c r="O828" s="575"/>
      <c r="P828" s="575"/>
      <c r="Q828" s="575"/>
      <c r="R828" s="575"/>
      <c r="S828" s="575"/>
      <c r="T828" s="575"/>
    </row>
    <row r="829">
      <c r="A829" s="575"/>
      <c r="B829" s="575"/>
      <c r="C829" s="612"/>
      <c r="D829" s="575"/>
      <c r="E829" s="575"/>
      <c r="F829" s="575"/>
      <c r="G829" s="575"/>
      <c r="H829" s="575"/>
      <c r="I829" s="575"/>
      <c r="J829" s="575"/>
      <c r="K829" s="575"/>
      <c r="L829" s="575"/>
      <c r="M829" s="575"/>
      <c r="N829" s="575"/>
      <c r="O829" s="575"/>
      <c r="P829" s="575"/>
      <c r="Q829" s="575"/>
      <c r="R829" s="575"/>
      <c r="S829" s="575"/>
      <c r="T829" s="575"/>
    </row>
    <row r="830">
      <c r="A830" s="575"/>
      <c r="B830" s="575"/>
      <c r="C830" s="612"/>
      <c r="D830" s="575"/>
      <c r="E830" s="575"/>
      <c r="F830" s="575"/>
      <c r="G830" s="575"/>
      <c r="H830" s="575"/>
      <c r="I830" s="575"/>
      <c r="J830" s="575"/>
      <c r="K830" s="575"/>
      <c r="L830" s="575"/>
      <c r="M830" s="575"/>
      <c r="N830" s="575"/>
      <c r="O830" s="575"/>
      <c r="P830" s="575"/>
      <c r="Q830" s="575"/>
      <c r="R830" s="575"/>
      <c r="S830" s="575"/>
      <c r="T830" s="575"/>
    </row>
    <row r="831">
      <c r="A831" s="575"/>
      <c r="B831" s="575"/>
      <c r="C831" s="612"/>
      <c r="D831" s="575"/>
      <c r="E831" s="575"/>
      <c r="F831" s="575"/>
      <c r="G831" s="575"/>
      <c r="H831" s="575"/>
      <c r="I831" s="575"/>
      <c r="J831" s="575"/>
      <c r="K831" s="575"/>
      <c r="L831" s="575"/>
      <c r="M831" s="575"/>
      <c r="N831" s="575"/>
      <c r="O831" s="575"/>
      <c r="P831" s="575"/>
      <c r="Q831" s="575"/>
      <c r="R831" s="575"/>
      <c r="S831" s="575"/>
      <c r="T831" s="575"/>
    </row>
    <row r="832">
      <c r="A832" s="575"/>
      <c r="B832" s="575"/>
      <c r="C832" s="612"/>
      <c r="D832" s="575"/>
      <c r="E832" s="575"/>
      <c r="F832" s="575"/>
      <c r="G832" s="575"/>
      <c r="H832" s="575"/>
      <c r="I832" s="575"/>
      <c r="J832" s="575"/>
      <c r="K832" s="575"/>
      <c r="L832" s="575"/>
      <c r="M832" s="575"/>
      <c r="N832" s="575"/>
      <c r="O832" s="575"/>
      <c r="P832" s="575"/>
      <c r="Q832" s="575"/>
      <c r="R832" s="575"/>
      <c r="S832" s="575"/>
      <c r="T832" s="575"/>
    </row>
    <row r="833">
      <c r="A833" s="575"/>
      <c r="B833" s="575"/>
      <c r="C833" s="612"/>
      <c r="D833" s="575"/>
      <c r="E833" s="575"/>
      <c r="F833" s="575"/>
      <c r="G833" s="575"/>
      <c r="H833" s="575"/>
      <c r="I833" s="575"/>
      <c r="J833" s="575"/>
      <c r="K833" s="575"/>
      <c r="L833" s="575"/>
      <c r="M833" s="575"/>
      <c r="N833" s="575"/>
      <c r="O833" s="575"/>
      <c r="P833" s="575"/>
      <c r="Q833" s="575"/>
      <c r="R833" s="575"/>
      <c r="S833" s="575"/>
      <c r="T833" s="575"/>
    </row>
    <row r="834">
      <c r="A834" s="575"/>
      <c r="B834" s="575"/>
      <c r="C834" s="612"/>
      <c r="D834" s="575"/>
      <c r="E834" s="575"/>
      <c r="F834" s="575"/>
      <c r="G834" s="575"/>
      <c r="H834" s="575"/>
      <c r="I834" s="575"/>
      <c r="J834" s="575"/>
      <c r="K834" s="575"/>
      <c r="L834" s="575"/>
      <c r="M834" s="575"/>
      <c r="N834" s="575"/>
      <c r="O834" s="575"/>
      <c r="P834" s="575"/>
      <c r="Q834" s="575"/>
      <c r="R834" s="575"/>
      <c r="S834" s="575"/>
      <c r="T834" s="575"/>
    </row>
    <row r="835">
      <c r="A835" s="575"/>
      <c r="B835" s="575"/>
      <c r="C835" s="612"/>
      <c r="D835" s="575"/>
      <c r="E835" s="575"/>
      <c r="F835" s="575"/>
      <c r="G835" s="575"/>
      <c r="H835" s="575"/>
      <c r="I835" s="575"/>
      <c r="J835" s="575"/>
      <c r="K835" s="575"/>
      <c r="L835" s="575"/>
      <c r="M835" s="575"/>
      <c r="N835" s="575"/>
      <c r="O835" s="575"/>
      <c r="P835" s="575"/>
      <c r="Q835" s="575"/>
      <c r="R835" s="575"/>
      <c r="S835" s="575"/>
      <c r="T835" s="575"/>
    </row>
    <row r="836">
      <c r="A836" s="575"/>
      <c r="B836" s="575"/>
      <c r="C836" s="612"/>
      <c r="D836" s="575"/>
      <c r="E836" s="575"/>
      <c r="F836" s="575"/>
      <c r="G836" s="575"/>
      <c r="H836" s="575"/>
      <c r="I836" s="575"/>
      <c r="J836" s="575"/>
      <c r="K836" s="575"/>
      <c r="L836" s="575"/>
      <c r="M836" s="575"/>
      <c r="N836" s="575"/>
      <c r="O836" s="575"/>
      <c r="P836" s="575"/>
      <c r="Q836" s="575"/>
      <c r="R836" s="575"/>
      <c r="S836" s="575"/>
      <c r="T836" s="575"/>
    </row>
    <row r="837">
      <c r="A837" s="575"/>
      <c r="B837" s="575"/>
      <c r="C837" s="612"/>
      <c r="D837" s="575"/>
      <c r="E837" s="575"/>
      <c r="F837" s="575"/>
      <c r="G837" s="575"/>
      <c r="H837" s="575"/>
      <c r="I837" s="575"/>
      <c r="J837" s="575"/>
      <c r="K837" s="575"/>
      <c r="L837" s="575"/>
      <c r="M837" s="575"/>
      <c r="N837" s="575"/>
      <c r="O837" s="575"/>
      <c r="P837" s="575"/>
      <c r="Q837" s="575"/>
      <c r="R837" s="575"/>
      <c r="S837" s="575"/>
      <c r="T837" s="575"/>
    </row>
    <row r="838">
      <c r="A838" s="575"/>
      <c r="B838" s="575"/>
      <c r="C838" s="612"/>
      <c r="D838" s="575"/>
      <c r="E838" s="575"/>
      <c r="F838" s="575"/>
      <c r="G838" s="575"/>
      <c r="H838" s="575"/>
      <c r="I838" s="575"/>
      <c r="J838" s="575"/>
      <c r="K838" s="575"/>
      <c r="L838" s="575"/>
      <c r="M838" s="575"/>
      <c r="N838" s="575"/>
      <c r="O838" s="575"/>
      <c r="P838" s="575"/>
      <c r="Q838" s="575"/>
      <c r="R838" s="575"/>
      <c r="S838" s="575"/>
      <c r="T838" s="575"/>
    </row>
    <row r="839">
      <c r="A839" s="575"/>
      <c r="B839" s="575"/>
      <c r="C839" s="612"/>
      <c r="D839" s="575"/>
      <c r="E839" s="575"/>
      <c r="F839" s="575"/>
      <c r="G839" s="575"/>
      <c r="H839" s="575"/>
      <c r="I839" s="575"/>
      <c r="J839" s="575"/>
      <c r="K839" s="575"/>
      <c r="L839" s="575"/>
      <c r="M839" s="575"/>
      <c r="N839" s="575"/>
      <c r="O839" s="575"/>
      <c r="P839" s="575"/>
      <c r="Q839" s="575"/>
      <c r="R839" s="575"/>
      <c r="S839" s="575"/>
      <c r="T839" s="575"/>
    </row>
    <row r="840">
      <c r="A840" s="575"/>
      <c r="B840" s="575"/>
      <c r="C840" s="612"/>
      <c r="D840" s="575"/>
      <c r="E840" s="575"/>
      <c r="F840" s="575"/>
      <c r="G840" s="575"/>
      <c r="H840" s="575"/>
      <c r="I840" s="575"/>
      <c r="J840" s="575"/>
      <c r="K840" s="575"/>
      <c r="L840" s="575"/>
      <c r="M840" s="575"/>
      <c r="N840" s="575"/>
      <c r="O840" s="575"/>
      <c r="P840" s="575"/>
      <c r="Q840" s="575"/>
      <c r="R840" s="575"/>
      <c r="S840" s="575"/>
      <c r="T840" s="575"/>
    </row>
    <row r="841">
      <c r="A841" s="575"/>
      <c r="B841" s="575"/>
      <c r="C841" s="612"/>
      <c r="D841" s="575"/>
      <c r="E841" s="575"/>
      <c r="F841" s="575"/>
      <c r="G841" s="575"/>
      <c r="H841" s="575"/>
      <c r="I841" s="575"/>
      <c r="J841" s="575"/>
      <c r="K841" s="575"/>
      <c r="L841" s="575"/>
      <c r="M841" s="575"/>
      <c r="N841" s="575"/>
      <c r="O841" s="575"/>
      <c r="P841" s="575"/>
      <c r="Q841" s="575"/>
      <c r="R841" s="575"/>
      <c r="S841" s="575"/>
      <c r="T841" s="575"/>
    </row>
    <row r="842">
      <c r="A842" s="575"/>
      <c r="B842" s="575"/>
      <c r="C842" s="612"/>
      <c r="D842" s="575"/>
      <c r="E842" s="575"/>
      <c r="F842" s="575"/>
      <c r="G842" s="575"/>
      <c r="H842" s="575"/>
      <c r="I842" s="575"/>
      <c r="J842" s="575"/>
      <c r="K842" s="575"/>
      <c r="L842" s="575"/>
      <c r="M842" s="575"/>
      <c r="N842" s="575"/>
      <c r="O842" s="575"/>
      <c r="P842" s="575"/>
      <c r="Q842" s="575"/>
      <c r="R842" s="575"/>
      <c r="S842" s="575"/>
      <c r="T842" s="575"/>
    </row>
    <row r="843">
      <c r="A843" s="575"/>
      <c r="B843" s="575"/>
      <c r="C843" s="612"/>
      <c r="D843" s="575"/>
      <c r="E843" s="575"/>
      <c r="F843" s="575"/>
      <c r="G843" s="575"/>
      <c r="H843" s="575"/>
      <c r="I843" s="575"/>
      <c r="J843" s="575"/>
      <c r="K843" s="575"/>
      <c r="L843" s="575"/>
      <c r="M843" s="575"/>
      <c r="N843" s="575"/>
      <c r="O843" s="575"/>
      <c r="P843" s="575"/>
      <c r="Q843" s="575"/>
      <c r="R843" s="575"/>
      <c r="S843" s="575"/>
      <c r="T843" s="575"/>
    </row>
    <row r="844">
      <c r="A844" s="575"/>
      <c r="B844" s="575"/>
      <c r="C844" s="612"/>
      <c r="D844" s="575"/>
      <c r="E844" s="575"/>
      <c r="F844" s="575"/>
      <c r="G844" s="575"/>
      <c r="H844" s="575"/>
      <c r="I844" s="575"/>
      <c r="J844" s="575"/>
      <c r="K844" s="575"/>
      <c r="L844" s="575"/>
      <c r="M844" s="575"/>
      <c r="N844" s="575"/>
      <c r="O844" s="575"/>
      <c r="P844" s="575"/>
      <c r="Q844" s="575"/>
      <c r="R844" s="575"/>
      <c r="S844" s="575"/>
      <c r="T844" s="575"/>
    </row>
    <row r="845">
      <c r="A845" s="575"/>
      <c r="B845" s="575"/>
      <c r="C845" s="612"/>
      <c r="D845" s="575"/>
      <c r="E845" s="575"/>
      <c r="F845" s="575"/>
      <c r="G845" s="575"/>
      <c r="H845" s="575"/>
      <c r="I845" s="575"/>
      <c r="J845" s="575"/>
      <c r="K845" s="575"/>
      <c r="L845" s="575"/>
      <c r="M845" s="575"/>
      <c r="N845" s="575"/>
      <c r="O845" s="575"/>
      <c r="P845" s="575"/>
      <c r="Q845" s="575"/>
      <c r="R845" s="575"/>
      <c r="S845" s="575"/>
      <c r="T845" s="575"/>
    </row>
    <row r="846">
      <c r="A846" s="575"/>
      <c r="B846" s="575"/>
      <c r="C846" s="612"/>
      <c r="D846" s="575"/>
      <c r="E846" s="575"/>
      <c r="F846" s="575"/>
      <c r="G846" s="575"/>
      <c r="H846" s="575"/>
      <c r="I846" s="575"/>
      <c r="J846" s="575"/>
      <c r="K846" s="575"/>
      <c r="L846" s="575"/>
      <c r="M846" s="575"/>
      <c r="N846" s="575"/>
      <c r="O846" s="575"/>
      <c r="P846" s="575"/>
      <c r="Q846" s="575"/>
      <c r="R846" s="575"/>
      <c r="S846" s="575"/>
      <c r="T846" s="575"/>
    </row>
    <row r="847">
      <c r="A847" s="575"/>
      <c r="B847" s="575"/>
      <c r="C847" s="612"/>
      <c r="D847" s="575"/>
      <c r="E847" s="575"/>
      <c r="F847" s="575"/>
      <c r="G847" s="575"/>
      <c r="H847" s="575"/>
      <c r="I847" s="575"/>
      <c r="J847" s="575"/>
      <c r="K847" s="575"/>
      <c r="L847" s="575"/>
      <c r="M847" s="575"/>
      <c r="N847" s="575"/>
      <c r="O847" s="575"/>
      <c r="P847" s="575"/>
      <c r="Q847" s="575"/>
      <c r="R847" s="575"/>
      <c r="S847" s="575"/>
      <c r="T847" s="575"/>
    </row>
    <row r="848">
      <c r="A848" s="575"/>
      <c r="B848" s="575"/>
      <c r="C848" s="612"/>
      <c r="D848" s="575"/>
      <c r="E848" s="575"/>
      <c r="F848" s="575"/>
      <c r="G848" s="575"/>
      <c r="H848" s="575"/>
      <c r="I848" s="575"/>
      <c r="J848" s="575"/>
      <c r="K848" s="575"/>
      <c r="L848" s="575"/>
      <c r="M848" s="575"/>
      <c r="N848" s="575"/>
      <c r="O848" s="575"/>
      <c r="P848" s="575"/>
      <c r="Q848" s="575"/>
      <c r="R848" s="575"/>
      <c r="S848" s="575"/>
      <c r="T848" s="575"/>
    </row>
    <row r="849">
      <c r="A849" s="575"/>
      <c r="B849" s="575"/>
      <c r="C849" s="612"/>
      <c r="D849" s="575"/>
      <c r="E849" s="575"/>
      <c r="F849" s="575"/>
      <c r="G849" s="575"/>
      <c r="H849" s="575"/>
      <c r="I849" s="575"/>
      <c r="J849" s="575"/>
      <c r="K849" s="575"/>
      <c r="L849" s="575"/>
      <c r="M849" s="575"/>
      <c r="N849" s="575"/>
      <c r="O849" s="575"/>
      <c r="P849" s="575"/>
      <c r="Q849" s="575"/>
      <c r="R849" s="575"/>
      <c r="S849" s="575"/>
      <c r="T849" s="575"/>
    </row>
    <row r="850">
      <c r="A850" s="575"/>
      <c r="B850" s="575"/>
      <c r="C850" s="612"/>
      <c r="D850" s="575"/>
      <c r="E850" s="575"/>
      <c r="F850" s="575"/>
      <c r="G850" s="575"/>
      <c r="H850" s="575"/>
      <c r="I850" s="575"/>
      <c r="J850" s="575"/>
      <c r="K850" s="575"/>
      <c r="L850" s="575"/>
      <c r="M850" s="575"/>
      <c r="N850" s="575"/>
      <c r="O850" s="575"/>
      <c r="P850" s="575"/>
      <c r="Q850" s="575"/>
      <c r="R850" s="575"/>
      <c r="S850" s="575"/>
      <c r="T850" s="575"/>
    </row>
    <row r="851">
      <c r="A851" s="575"/>
      <c r="B851" s="575"/>
      <c r="C851" s="612"/>
      <c r="D851" s="575"/>
      <c r="E851" s="575"/>
      <c r="F851" s="575"/>
      <c r="G851" s="575"/>
      <c r="H851" s="575"/>
      <c r="I851" s="575"/>
      <c r="J851" s="575"/>
      <c r="K851" s="575"/>
      <c r="L851" s="575"/>
      <c r="M851" s="575"/>
      <c r="N851" s="575"/>
      <c r="O851" s="575"/>
      <c r="P851" s="575"/>
      <c r="Q851" s="575"/>
      <c r="R851" s="575"/>
      <c r="S851" s="575"/>
      <c r="T851" s="575"/>
    </row>
    <row r="852">
      <c r="A852" s="575"/>
      <c r="B852" s="575"/>
      <c r="C852" s="612"/>
      <c r="D852" s="575"/>
      <c r="E852" s="575"/>
      <c r="F852" s="575"/>
      <c r="G852" s="575"/>
      <c r="H852" s="575"/>
      <c r="I852" s="575"/>
      <c r="J852" s="575"/>
      <c r="K852" s="575"/>
      <c r="L852" s="575"/>
      <c r="M852" s="575"/>
      <c r="N852" s="575"/>
      <c r="O852" s="575"/>
      <c r="P852" s="575"/>
      <c r="Q852" s="575"/>
      <c r="R852" s="575"/>
      <c r="S852" s="575"/>
      <c r="T852" s="575"/>
    </row>
    <row r="853">
      <c r="A853" s="575"/>
      <c r="B853" s="575"/>
      <c r="C853" s="612"/>
      <c r="D853" s="575"/>
      <c r="E853" s="575"/>
      <c r="F853" s="575"/>
      <c r="G853" s="575"/>
      <c r="H853" s="575"/>
      <c r="I853" s="575"/>
      <c r="J853" s="575"/>
      <c r="K853" s="575"/>
      <c r="L853" s="575"/>
      <c r="M853" s="575"/>
      <c r="N853" s="575"/>
      <c r="O853" s="575"/>
      <c r="P853" s="575"/>
      <c r="Q853" s="575"/>
      <c r="R853" s="575"/>
      <c r="S853" s="575"/>
      <c r="T853" s="575"/>
    </row>
    <row r="854">
      <c r="A854" s="575"/>
      <c r="B854" s="575"/>
      <c r="C854" s="612"/>
      <c r="D854" s="575"/>
      <c r="E854" s="575"/>
      <c r="F854" s="575"/>
      <c r="G854" s="575"/>
      <c r="H854" s="575"/>
      <c r="I854" s="575"/>
      <c r="J854" s="575"/>
      <c r="K854" s="575"/>
      <c r="L854" s="575"/>
      <c r="M854" s="575"/>
      <c r="N854" s="575"/>
      <c r="O854" s="575"/>
      <c r="P854" s="575"/>
      <c r="Q854" s="575"/>
      <c r="R854" s="575"/>
      <c r="S854" s="575"/>
      <c r="T854" s="575"/>
    </row>
    <row r="855">
      <c r="A855" s="575"/>
      <c r="B855" s="575"/>
      <c r="C855" s="612"/>
      <c r="D855" s="575"/>
      <c r="E855" s="575"/>
      <c r="F855" s="575"/>
      <c r="G855" s="575"/>
      <c r="H855" s="575"/>
      <c r="I855" s="575"/>
      <c r="J855" s="575"/>
      <c r="K855" s="575"/>
      <c r="L855" s="575"/>
      <c r="M855" s="575"/>
      <c r="N855" s="575"/>
      <c r="O855" s="575"/>
      <c r="P855" s="575"/>
      <c r="Q855" s="575"/>
      <c r="R855" s="575"/>
      <c r="S855" s="575"/>
      <c r="T855" s="575"/>
    </row>
    <row r="856">
      <c r="A856" s="575"/>
      <c r="B856" s="575"/>
      <c r="C856" s="612"/>
      <c r="D856" s="575"/>
      <c r="E856" s="575"/>
      <c r="F856" s="575"/>
      <c r="G856" s="575"/>
      <c r="H856" s="575"/>
      <c r="I856" s="575"/>
      <c r="J856" s="575"/>
      <c r="K856" s="575"/>
      <c r="L856" s="575"/>
      <c r="M856" s="575"/>
      <c r="N856" s="575"/>
      <c r="O856" s="575"/>
      <c r="P856" s="575"/>
      <c r="Q856" s="575"/>
      <c r="R856" s="575"/>
      <c r="S856" s="575"/>
      <c r="T856" s="575"/>
    </row>
    <row r="857">
      <c r="A857" s="575"/>
      <c r="B857" s="575"/>
      <c r="C857" s="612"/>
      <c r="D857" s="575"/>
      <c r="E857" s="575"/>
      <c r="F857" s="575"/>
      <c r="G857" s="575"/>
      <c r="H857" s="575"/>
      <c r="I857" s="575"/>
      <c r="J857" s="575"/>
      <c r="K857" s="575"/>
      <c r="L857" s="575"/>
      <c r="M857" s="575"/>
      <c r="N857" s="575"/>
      <c r="O857" s="575"/>
      <c r="P857" s="575"/>
      <c r="Q857" s="575"/>
      <c r="R857" s="575"/>
      <c r="S857" s="575"/>
      <c r="T857" s="575"/>
    </row>
    <row r="858">
      <c r="A858" s="575"/>
      <c r="B858" s="575"/>
      <c r="C858" s="612"/>
      <c r="D858" s="575"/>
      <c r="E858" s="575"/>
      <c r="F858" s="575"/>
      <c r="G858" s="575"/>
      <c r="H858" s="575"/>
      <c r="I858" s="575"/>
      <c r="J858" s="575"/>
      <c r="K858" s="575"/>
      <c r="L858" s="575"/>
      <c r="M858" s="575"/>
      <c r="N858" s="575"/>
      <c r="O858" s="575"/>
      <c r="P858" s="575"/>
      <c r="Q858" s="575"/>
      <c r="R858" s="575"/>
      <c r="S858" s="575"/>
      <c r="T858" s="575"/>
    </row>
    <row r="859">
      <c r="A859" s="575"/>
      <c r="B859" s="575"/>
      <c r="C859" s="612"/>
      <c r="D859" s="575"/>
      <c r="E859" s="575"/>
      <c r="F859" s="575"/>
      <c r="G859" s="575"/>
      <c r="H859" s="575"/>
      <c r="I859" s="575"/>
      <c r="J859" s="575"/>
      <c r="K859" s="575"/>
      <c r="L859" s="575"/>
      <c r="M859" s="575"/>
      <c r="N859" s="575"/>
      <c r="O859" s="575"/>
      <c r="P859" s="575"/>
      <c r="Q859" s="575"/>
      <c r="R859" s="575"/>
      <c r="S859" s="575"/>
      <c r="T859" s="575"/>
    </row>
    <row r="860">
      <c r="A860" s="575"/>
      <c r="B860" s="575"/>
      <c r="C860" s="612"/>
      <c r="D860" s="575"/>
      <c r="E860" s="575"/>
      <c r="F860" s="575"/>
      <c r="G860" s="575"/>
      <c r="H860" s="575"/>
      <c r="I860" s="575"/>
      <c r="J860" s="575"/>
      <c r="K860" s="575"/>
      <c r="L860" s="575"/>
      <c r="M860" s="575"/>
      <c r="N860" s="575"/>
      <c r="O860" s="575"/>
      <c r="P860" s="575"/>
      <c r="Q860" s="575"/>
      <c r="R860" s="575"/>
      <c r="S860" s="575"/>
      <c r="T860" s="575"/>
    </row>
    <row r="861">
      <c r="A861" s="575"/>
      <c r="B861" s="575"/>
      <c r="C861" s="612"/>
      <c r="D861" s="575"/>
      <c r="E861" s="575"/>
      <c r="F861" s="575"/>
      <c r="G861" s="575"/>
      <c r="H861" s="575"/>
      <c r="I861" s="575"/>
      <c r="J861" s="575"/>
      <c r="K861" s="575"/>
      <c r="L861" s="575"/>
      <c r="M861" s="575"/>
      <c r="N861" s="575"/>
      <c r="O861" s="575"/>
      <c r="P861" s="575"/>
      <c r="Q861" s="575"/>
      <c r="R861" s="575"/>
      <c r="S861" s="575"/>
      <c r="T861" s="575"/>
    </row>
    <row r="862">
      <c r="A862" s="575"/>
      <c r="B862" s="575"/>
      <c r="C862" s="612"/>
      <c r="D862" s="575"/>
      <c r="E862" s="575"/>
      <c r="F862" s="575"/>
      <c r="G862" s="575"/>
      <c r="H862" s="575"/>
      <c r="I862" s="575"/>
      <c r="J862" s="575"/>
      <c r="K862" s="575"/>
      <c r="L862" s="575"/>
      <c r="M862" s="575"/>
      <c r="N862" s="575"/>
      <c r="O862" s="575"/>
      <c r="P862" s="575"/>
      <c r="Q862" s="575"/>
      <c r="R862" s="575"/>
      <c r="S862" s="575"/>
      <c r="T862" s="575"/>
    </row>
    <row r="863">
      <c r="A863" s="575"/>
      <c r="B863" s="575"/>
      <c r="C863" s="612"/>
      <c r="D863" s="575"/>
      <c r="E863" s="575"/>
      <c r="F863" s="575"/>
      <c r="G863" s="575"/>
      <c r="H863" s="575"/>
      <c r="I863" s="575"/>
      <c r="J863" s="575"/>
      <c r="K863" s="575"/>
      <c r="L863" s="575"/>
      <c r="M863" s="575"/>
      <c r="N863" s="575"/>
      <c r="O863" s="575"/>
      <c r="P863" s="575"/>
      <c r="Q863" s="575"/>
      <c r="R863" s="575"/>
      <c r="S863" s="575"/>
      <c r="T863" s="575"/>
    </row>
    <row r="864">
      <c r="A864" s="575"/>
      <c r="B864" s="575"/>
      <c r="C864" s="612"/>
      <c r="D864" s="575"/>
      <c r="E864" s="575"/>
      <c r="F864" s="575"/>
      <c r="G864" s="575"/>
      <c r="H864" s="575"/>
      <c r="I864" s="575"/>
      <c r="J864" s="575"/>
      <c r="K864" s="575"/>
      <c r="L864" s="575"/>
      <c r="M864" s="575"/>
      <c r="N864" s="575"/>
      <c r="O864" s="575"/>
      <c r="P864" s="575"/>
      <c r="Q864" s="575"/>
      <c r="R864" s="575"/>
      <c r="S864" s="575"/>
      <c r="T864" s="575"/>
    </row>
    <row r="865">
      <c r="A865" s="575"/>
      <c r="B865" s="575"/>
      <c r="C865" s="612"/>
      <c r="D865" s="575"/>
      <c r="E865" s="575"/>
      <c r="F865" s="575"/>
      <c r="G865" s="575"/>
      <c r="H865" s="575"/>
      <c r="I865" s="575"/>
      <c r="J865" s="575"/>
      <c r="K865" s="575"/>
      <c r="L865" s="575"/>
      <c r="M865" s="575"/>
      <c r="N865" s="575"/>
      <c r="O865" s="575"/>
      <c r="P865" s="575"/>
      <c r="Q865" s="575"/>
      <c r="R865" s="575"/>
      <c r="S865" s="575"/>
      <c r="T865" s="575"/>
    </row>
    <row r="866">
      <c r="A866" s="575"/>
      <c r="B866" s="575"/>
      <c r="C866" s="612"/>
      <c r="D866" s="575"/>
      <c r="E866" s="575"/>
      <c r="F866" s="575"/>
      <c r="G866" s="575"/>
      <c r="H866" s="575"/>
      <c r="I866" s="575"/>
      <c r="J866" s="575"/>
      <c r="K866" s="575"/>
      <c r="L866" s="575"/>
      <c r="M866" s="575"/>
      <c r="N866" s="575"/>
      <c r="O866" s="575"/>
      <c r="P866" s="575"/>
      <c r="Q866" s="575"/>
      <c r="R866" s="575"/>
      <c r="S866" s="575"/>
      <c r="T866" s="575"/>
    </row>
    <row r="867">
      <c r="A867" s="575"/>
      <c r="B867" s="575"/>
      <c r="C867" s="612"/>
      <c r="D867" s="575"/>
      <c r="E867" s="575"/>
      <c r="F867" s="575"/>
      <c r="G867" s="575"/>
      <c r="H867" s="575"/>
      <c r="I867" s="575"/>
      <c r="J867" s="575"/>
      <c r="K867" s="575"/>
      <c r="L867" s="575"/>
      <c r="M867" s="575"/>
      <c r="N867" s="575"/>
      <c r="O867" s="575"/>
      <c r="P867" s="575"/>
      <c r="Q867" s="575"/>
      <c r="R867" s="575"/>
      <c r="S867" s="575"/>
      <c r="T867" s="575"/>
    </row>
    <row r="868">
      <c r="A868" s="575"/>
      <c r="B868" s="575"/>
      <c r="C868" s="612"/>
      <c r="D868" s="575"/>
      <c r="E868" s="575"/>
      <c r="F868" s="575"/>
      <c r="G868" s="575"/>
      <c r="H868" s="575"/>
      <c r="I868" s="575"/>
      <c r="J868" s="575"/>
      <c r="K868" s="575"/>
      <c r="L868" s="575"/>
      <c r="M868" s="575"/>
      <c r="N868" s="575"/>
      <c r="O868" s="575"/>
      <c r="P868" s="575"/>
      <c r="Q868" s="575"/>
      <c r="R868" s="575"/>
      <c r="S868" s="575"/>
      <c r="T868" s="575"/>
    </row>
    <row r="869">
      <c r="A869" s="575"/>
      <c r="B869" s="575"/>
      <c r="C869" s="612"/>
      <c r="D869" s="575"/>
      <c r="E869" s="575"/>
      <c r="F869" s="575"/>
      <c r="G869" s="575"/>
      <c r="H869" s="575"/>
      <c r="I869" s="575"/>
      <c r="J869" s="575"/>
      <c r="K869" s="575"/>
      <c r="L869" s="575"/>
      <c r="M869" s="575"/>
      <c r="N869" s="575"/>
      <c r="O869" s="575"/>
      <c r="P869" s="575"/>
      <c r="Q869" s="575"/>
      <c r="R869" s="575"/>
      <c r="S869" s="575"/>
      <c r="T869" s="575"/>
    </row>
    <row r="870">
      <c r="A870" s="575"/>
      <c r="B870" s="575"/>
      <c r="C870" s="612"/>
      <c r="D870" s="575"/>
      <c r="E870" s="575"/>
      <c r="F870" s="575"/>
      <c r="G870" s="575"/>
      <c r="H870" s="575"/>
      <c r="I870" s="575"/>
      <c r="J870" s="575"/>
      <c r="K870" s="575"/>
      <c r="L870" s="575"/>
      <c r="M870" s="575"/>
      <c r="N870" s="575"/>
      <c r="O870" s="575"/>
      <c r="P870" s="575"/>
      <c r="Q870" s="575"/>
      <c r="R870" s="575"/>
      <c r="S870" s="575"/>
      <c r="T870" s="575"/>
    </row>
    <row r="871">
      <c r="A871" s="575"/>
      <c r="B871" s="575"/>
      <c r="C871" s="612"/>
      <c r="D871" s="575"/>
      <c r="E871" s="575"/>
      <c r="F871" s="575"/>
      <c r="G871" s="575"/>
      <c r="H871" s="575"/>
      <c r="I871" s="575"/>
      <c r="J871" s="575"/>
      <c r="K871" s="575"/>
      <c r="L871" s="575"/>
      <c r="M871" s="575"/>
      <c r="N871" s="575"/>
      <c r="O871" s="575"/>
      <c r="P871" s="575"/>
      <c r="Q871" s="575"/>
      <c r="R871" s="575"/>
      <c r="S871" s="575"/>
      <c r="T871" s="575"/>
    </row>
    <row r="872">
      <c r="A872" s="575"/>
      <c r="B872" s="575"/>
      <c r="C872" s="612"/>
      <c r="D872" s="575"/>
      <c r="E872" s="575"/>
      <c r="F872" s="575"/>
      <c r="G872" s="575"/>
      <c r="H872" s="575"/>
      <c r="I872" s="575"/>
      <c r="J872" s="575"/>
      <c r="K872" s="575"/>
      <c r="L872" s="575"/>
      <c r="M872" s="575"/>
      <c r="N872" s="575"/>
      <c r="O872" s="575"/>
      <c r="P872" s="575"/>
      <c r="Q872" s="575"/>
      <c r="R872" s="575"/>
      <c r="S872" s="575"/>
      <c r="T872" s="575"/>
    </row>
    <row r="873">
      <c r="A873" s="575"/>
      <c r="B873" s="575"/>
      <c r="C873" s="612"/>
      <c r="D873" s="575"/>
      <c r="E873" s="575"/>
      <c r="F873" s="575"/>
      <c r="G873" s="575"/>
      <c r="H873" s="575"/>
      <c r="I873" s="575"/>
      <c r="J873" s="575"/>
      <c r="K873" s="575"/>
      <c r="L873" s="575"/>
      <c r="M873" s="575"/>
      <c r="N873" s="575"/>
      <c r="O873" s="575"/>
      <c r="P873" s="575"/>
      <c r="Q873" s="575"/>
      <c r="R873" s="575"/>
      <c r="S873" s="575"/>
      <c r="T873" s="575"/>
    </row>
    <row r="874">
      <c r="A874" s="575"/>
      <c r="B874" s="575"/>
      <c r="C874" s="612"/>
      <c r="D874" s="575"/>
      <c r="E874" s="575"/>
      <c r="F874" s="575"/>
      <c r="G874" s="575"/>
      <c r="H874" s="575"/>
      <c r="I874" s="575"/>
      <c r="J874" s="575"/>
      <c r="K874" s="575"/>
      <c r="L874" s="575"/>
      <c r="M874" s="575"/>
      <c r="N874" s="575"/>
      <c r="O874" s="575"/>
      <c r="P874" s="575"/>
      <c r="Q874" s="575"/>
      <c r="R874" s="575"/>
      <c r="S874" s="575"/>
      <c r="T874" s="575"/>
    </row>
    <row r="875">
      <c r="A875" s="575"/>
      <c r="B875" s="575"/>
      <c r="C875" s="612"/>
      <c r="D875" s="575"/>
      <c r="E875" s="575"/>
      <c r="F875" s="575"/>
      <c r="G875" s="575"/>
      <c r="H875" s="575"/>
      <c r="I875" s="575"/>
      <c r="J875" s="575"/>
      <c r="K875" s="575"/>
      <c r="L875" s="575"/>
      <c r="M875" s="575"/>
      <c r="N875" s="575"/>
      <c r="O875" s="575"/>
      <c r="P875" s="575"/>
      <c r="Q875" s="575"/>
      <c r="R875" s="575"/>
      <c r="S875" s="575"/>
      <c r="T875" s="575"/>
    </row>
    <row r="876">
      <c r="A876" s="575"/>
      <c r="B876" s="575"/>
      <c r="C876" s="612"/>
      <c r="D876" s="575"/>
      <c r="E876" s="575"/>
      <c r="F876" s="575"/>
      <c r="G876" s="575"/>
      <c r="H876" s="575"/>
      <c r="I876" s="575"/>
      <c r="J876" s="575"/>
      <c r="K876" s="575"/>
      <c r="L876" s="575"/>
      <c r="M876" s="575"/>
      <c r="N876" s="575"/>
      <c r="O876" s="575"/>
      <c r="P876" s="575"/>
      <c r="Q876" s="575"/>
      <c r="R876" s="575"/>
      <c r="S876" s="575"/>
      <c r="T876" s="575"/>
    </row>
    <row r="877">
      <c r="A877" s="575"/>
      <c r="B877" s="575"/>
      <c r="C877" s="612"/>
      <c r="D877" s="575"/>
      <c r="E877" s="575"/>
      <c r="F877" s="575"/>
      <c r="G877" s="575"/>
      <c r="H877" s="575"/>
      <c r="I877" s="575"/>
      <c r="J877" s="575"/>
      <c r="K877" s="575"/>
      <c r="L877" s="575"/>
      <c r="M877" s="575"/>
      <c r="N877" s="575"/>
      <c r="O877" s="575"/>
      <c r="P877" s="575"/>
      <c r="Q877" s="575"/>
      <c r="R877" s="575"/>
      <c r="S877" s="575"/>
      <c r="T877" s="575"/>
    </row>
    <row r="878">
      <c r="A878" s="575"/>
      <c r="B878" s="575"/>
      <c r="C878" s="612"/>
      <c r="D878" s="575"/>
      <c r="E878" s="575"/>
      <c r="F878" s="575"/>
      <c r="G878" s="575"/>
      <c r="H878" s="575"/>
      <c r="I878" s="575"/>
      <c r="J878" s="575"/>
      <c r="K878" s="575"/>
      <c r="L878" s="575"/>
      <c r="M878" s="575"/>
      <c r="N878" s="575"/>
      <c r="O878" s="575"/>
      <c r="P878" s="575"/>
      <c r="Q878" s="575"/>
      <c r="R878" s="575"/>
      <c r="S878" s="575"/>
      <c r="T878" s="575"/>
    </row>
    <row r="879">
      <c r="A879" s="575"/>
      <c r="B879" s="575"/>
      <c r="C879" s="612"/>
      <c r="D879" s="575"/>
      <c r="E879" s="575"/>
      <c r="F879" s="575"/>
      <c r="G879" s="575"/>
      <c r="H879" s="575"/>
      <c r="I879" s="575"/>
      <c r="J879" s="575"/>
      <c r="K879" s="575"/>
      <c r="L879" s="575"/>
      <c r="M879" s="575"/>
      <c r="N879" s="575"/>
      <c r="O879" s="575"/>
      <c r="P879" s="575"/>
      <c r="Q879" s="575"/>
      <c r="R879" s="575"/>
      <c r="S879" s="575"/>
      <c r="T879" s="575"/>
    </row>
    <row r="880">
      <c r="A880" s="575"/>
      <c r="B880" s="575"/>
      <c r="C880" s="612"/>
      <c r="D880" s="575"/>
      <c r="E880" s="575"/>
      <c r="F880" s="575"/>
      <c r="G880" s="575"/>
      <c r="H880" s="575"/>
      <c r="I880" s="575"/>
      <c r="J880" s="575"/>
      <c r="K880" s="575"/>
      <c r="L880" s="575"/>
      <c r="M880" s="575"/>
      <c r="N880" s="575"/>
      <c r="O880" s="575"/>
      <c r="P880" s="575"/>
      <c r="Q880" s="575"/>
      <c r="R880" s="575"/>
      <c r="S880" s="575"/>
      <c r="T880" s="575"/>
    </row>
    <row r="881">
      <c r="A881" s="575"/>
      <c r="B881" s="575"/>
      <c r="C881" s="612"/>
      <c r="D881" s="575"/>
      <c r="E881" s="575"/>
      <c r="F881" s="575"/>
      <c r="G881" s="575"/>
      <c r="H881" s="575"/>
      <c r="I881" s="575"/>
      <c r="J881" s="575"/>
      <c r="K881" s="575"/>
      <c r="L881" s="575"/>
      <c r="M881" s="575"/>
      <c r="N881" s="575"/>
      <c r="O881" s="575"/>
      <c r="P881" s="575"/>
      <c r="Q881" s="575"/>
      <c r="R881" s="575"/>
      <c r="S881" s="575"/>
      <c r="T881" s="575"/>
    </row>
    <row r="882">
      <c r="A882" s="575"/>
      <c r="B882" s="575"/>
      <c r="C882" s="612"/>
      <c r="D882" s="575"/>
      <c r="E882" s="575"/>
      <c r="F882" s="575"/>
      <c r="G882" s="575"/>
      <c r="H882" s="575"/>
      <c r="I882" s="575"/>
      <c r="J882" s="575"/>
      <c r="K882" s="575"/>
      <c r="L882" s="575"/>
      <c r="M882" s="575"/>
      <c r="N882" s="575"/>
      <c r="O882" s="575"/>
      <c r="P882" s="575"/>
      <c r="Q882" s="575"/>
      <c r="R882" s="575"/>
      <c r="S882" s="575"/>
      <c r="T882" s="575"/>
    </row>
    <row r="883">
      <c r="A883" s="575"/>
      <c r="B883" s="575"/>
      <c r="C883" s="612"/>
      <c r="D883" s="575"/>
      <c r="E883" s="575"/>
      <c r="F883" s="575"/>
      <c r="G883" s="575"/>
      <c r="H883" s="575"/>
      <c r="I883" s="575"/>
      <c r="J883" s="575"/>
      <c r="K883" s="575"/>
      <c r="L883" s="575"/>
      <c r="M883" s="575"/>
      <c r="N883" s="575"/>
      <c r="O883" s="575"/>
      <c r="P883" s="575"/>
      <c r="Q883" s="575"/>
      <c r="R883" s="575"/>
      <c r="S883" s="575"/>
      <c r="T883" s="575"/>
    </row>
    <row r="884">
      <c r="A884" s="575"/>
      <c r="B884" s="575"/>
      <c r="C884" s="612"/>
      <c r="D884" s="575"/>
      <c r="E884" s="575"/>
      <c r="F884" s="575"/>
      <c r="G884" s="575"/>
      <c r="H884" s="575"/>
      <c r="I884" s="575"/>
      <c r="J884" s="575"/>
      <c r="K884" s="575"/>
      <c r="L884" s="575"/>
      <c r="M884" s="575"/>
      <c r="N884" s="575"/>
      <c r="O884" s="575"/>
      <c r="P884" s="575"/>
      <c r="Q884" s="575"/>
      <c r="R884" s="575"/>
      <c r="S884" s="575"/>
      <c r="T884" s="575"/>
    </row>
    <row r="885">
      <c r="A885" s="575"/>
      <c r="B885" s="575"/>
      <c r="C885" s="612"/>
      <c r="D885" s="575"/>
      <c r="E885" s="575"/>
      <c r="F885" s="575"/>
      <c r="G885" s="575"/>
      <c r="H885" s="575"/>
      <c r="I885" s="575"/>
      <c r="J885" s="575"/>
      <c r="K885" s="575"/>
      <c r="L885" s="575"/>
      <c r="M885" s="575"/>
      <c r="N885" s="575"/>
      <c r="O885" s="575"/>
      <c r="P885" s="575"/>
      <c r="Q885" s="575"/>
      <c r="R885" s="575"/>
      <c r="S885" s="575"/>
      <c r="T885" s="575"/>
    </row>
    <row r="886">
      <c r="A886" s="575"/>
      <c r="B886" s="575"/>
      <c r="C886" s="612"/>
      <c r="D886" s="575"/>
      <c r="E886" s="575"/>
      <c r="F886" s="575"/>
      <c r="G886" s="575"/>
      <c r="H886" s="575"/>
      <c r="I886" s="575"/>
      <c r="J886" s="575"/>
      <c r="K886" s="575"/>
      <c r="L886" s="575"/>
      <c r="M886" s="575"/>
      <c r="N886" s="575"/>
      <c r="O886" s="575"/>
      <c r="P886" s="575"/>
      <c r="Q886" s="575"/>
      <c r="R886" s="575"/>
      <c r="S886" s="575"/>
      <c r="T886" s="575"/>
    </row>
    <row r="887">
      <c r="A887" s="575"/>
      <c r="B887" s="575"/>
      <c r="C887" s="612"/>
      <c r="D887" s="575"/>
      <c r="E887" s="575"/>
      <c r="F887" s="575"/>
      <c r="G887" s="575"/>
      <c r="H887" s="575"/>
      <c r="I887" s="575"/>
      <c r="J887" s="575"/>
      <c r="K887" s="575"/>
      <c r="L887" s="575"/>
      <c r="M887" s="575"/>
      <c r="N887" s="575"/>
      <c r="O887" s="575"/>
      <c r="P887" s="575"/>
      <c r="Q887" s="575"/>
      <c r="R887" s="575"/>
      <c r="S887" s="575"/>
      <c r="T887" s="575"/>
    </row>
    <row r="888">
      <c r="A888" s="575"/>
      <c r="B888" s="575"/>
      <c r="C888" s="612"/>
      <c r="D888" s="575"/>
      <c r="E888" s="575"/>
      <c r="F888" s="575"/>
      <c r="G888" s="575"/>
      <c r="H888" s="575"/>
      <c r="I888" s="575"/>
      <c r="J888" s="575"/>
      <c r="K888" s="575"/>
      <c r="L888" s="575"/>
      <c r="M888" s="575"/>
      <c r="N888" s="575"/>
      <c r="O888" s="575"/>
      <c r="P888" s="575"/>
      <c r="Q888" s="575"/>
      <c r="R888" s="575"/>
      <c r="S888" s="575"/>
      <c r="T888" s="575"/>
    </row>
    <row r="889">
      <c r="A889" s="575"/>
      <c r="B889" s="575"/>
      <c r="C889" s="612"/>
      <c r="D889" s="575"/>
      <c r="E889" s="575"/>
      <c r="F889" s="575"/>
      <c r="G889" s="575"/>
      <c r="H889" s="575"/>
      <c r="I889" s="575"/>
      <c r="J889" s="575"/>
      <c r="K889" s="575"/>
      <c r="L889" s="575"/>
      <c r="M889" s="575"/>
      <c r="N889" s="575"/>
      <c r="O889" s="575"/>
      <c r="P889" s="575"/>
      <c r="Q889" s="575"/>
      <c r="R889" s="575"/>
      <c r="S889" s="575"/>
      <c r="T889" s="575"/>
    </row>
    <row r="890">
      <c r="A890" s="575"/>
      <c r="B890" s="575"/>
      <c r="C890" s="612"/>
      <c r="D890" s="575"/>
      <c r="E890" s="575"/>
      <c r="F890" s="575"/>
      <c r="G890" s="575"/>
      <c r="H890" s="575"/>
      <c r="I890" s="575"/>
      <c r="J890" s="575"/>
      <c r="K890" s="575"/>
      <c r="L890" s="575"/>
      <c r="M890" s="575"/>
      <c r="N890" s="575"/>
      <c r="O890" s="575"/>
      <c r="P890" s="575"/>
      <c r="Q890" s="575"/>
      <c r="R890" s="575"/>
      <c r="S890" s="575"/>
      <c r="T890" s="575"/>
    </row>
    <row r="891">
      <c r="A891" s="575"/>
      <c r="B891" s="575"/>
      <c r="C891" s="612"/>
      <c r="D891" s="575"/>
      <c r="E891" s="575"/>
      <c r="F891" s="575"/>
      <c r="G891" s="575"/>
      <c r="H891" s="575"/>
      <c r="I891" s="575"/>
      <c r="J891" s="575"/>
      <c r="K891" s="575"/>
      <c r="L891" s="575"/>
      <c r="M891" s="575"/>
      <c r="N891" s="575"/>
      <c r="O891" s="575"/>
      <c r="P891" s="575"/>
      <c r="Q891" s="575"/>
      <c r="R891" s="575"/>
      <c r="S891" s="575"/>
      <c r="T891" s="575"/>
    </row>
    <row r="892">
      <c r="A892" s="575"/>
      <c r="B892" s="575"/>
      <c r="C892" s="612"/>
      <c r="D892" s="575"/>
      <c r="E892" s="575"/>
      <c r="F892" s="575"/>
      <c r="G892" s="575"/>
      <c r="H892" s="575"/>
      <c r="I892" s="575"/>
      <c r="J892" s="575"/>
      <c r="K892" s="575"/>
      <c r="L892" s="575"/>
      <c r="M892" s="575"/>
      <c r="N892" s="575"/>
      <c r="O892" s="575"/>
      <c r="P892" s="575"/>
      <c r="Q892" s="575"/>
      <c r="R892" s="575"/>
      <c r="S892" s="575"/>
      <c r="T892" s="575"/>
    </row>
    <row r="893">
      <c r="A893" s="575"/>
      <c r="B893" s="575"/>
      <c r="C893" s="612"/>
      <c r="D893" s="575"/>
      <c r="E893" s="575"/>
      <c r="F893" s="575"/>
      <c r="G893" s="575"/>
      <c r="H893" s="575"/>
      <c r="I893" s="575"/>
      <c r="J893" s="575"/>
      <c r="K893" s="575"/>
      <c r="L893" s="575"/>
      <c r="M893" s="575"/>
      <c r="N893" s="575"/>
      <c r="O893" s="575"/>
      <c r="P893" s="575"/>
      <c r="Q893" s="575"/>
      <c r="R893" s="575"/>
      <c r="S893" s="575"/>
      <c r="T893" s="575"/>
    </row>
    <row r="894">
      <c r="A894" s="575"/>
      <c r="B894" s="575"/>
      <c r="C894" s="612"/>
      <c r="D894" s="575"/>
      <c r="E894" s="575"/>
      <c r="F894" s="575"/>
      <c r="G894" s="575"/>
      <c r="H894" s="575"/>
      <c r="I894" s="575"/>
      <c r="J894" s="575"/>
      <c r="K894" s="575"/>
      <c r="L894" s="575"/>
      <c r="M894" s="575"/>
      <c r="N894" s="575"/>
      <c r="O894" s="575"/>
      <c r="P894" s="575"/>
      <c r="Q894" s="575"/>
      <c r="R894" s="575"/>
      <c r="S894" s="575"/>
      <c r="T894" s="575"/>
    </row>
    <row r="895">
      <c r="A895" s="575"/>
      <c r="B895" s="575"/>
      <c r="C895" s="612"/>
      <c r="D895" s="575"/>
      <c r="E895" s="575"/>
      <c r="F895" s="575"/>
      <c r="G895" s="575"/>
      <c r="H895" s="575"/>
      <c r="I895" s="575"/>
      <c r="J895" s="575"/>
      <c r="K895" s="575"/>
      <c r="L895" s="575"/>
      <c r="M895" s="575"/>
      <c r="N895" s="575"/>
      <c r="O895" s="575"/>
      <c r="P895" s="575"/>
      <c r="Q895" s="575"/>
      <c r="R895" s="575"/>
      <c r="S895" s="575"/>
      <c r="T895" s="575"/>
    </row>
    <row r="896">
      <c r="A896" s="575"/>
      <c r="B896" s="575"/>
      <c r="C896" s="612"/>
      <c r="D896" s="575"/>
      <c r="E896" s="575"/>
      <c r="F896" s="575"/>
      <c r="G896" s="575"/>
      <c r="H896" s="575"/>
      <c r="I896" s="575"/>
      <c r="J896" s="575"/>
      <c r="K896" s="575"/>
      <c r="L896" s="575"/>
      <c r="M896" s="575"/>
      <c r="N896" s="575"/>
      <c r="O896" s="575"/>
      <c r="P896" s="575"/>
      <c r="Q896" s="575"/>
      <c r="R896" s="575"/>
      <c r="S896" s="575"/>
      <c r="T896" s="575"/>
    </row>
    <row r="897">
      <c r="A897" s="575"/>
      <c r="B897" s="575"/>
      <c r="C897" s="612"/>
      <c r="D897" s="575"/>
      <c r="E897" s="575"/>
      <c r="F897" s="575"/>
      <c r="G897" s="575"/>
      <c r="H897" s="575"/>
      <c r="I897" s="575"/>
      <c r="J897" s="575"/>
      <c r="K897" s="575"/>
      <c r="L897" s="575"/>
      <c r="M897" s="575"/>
      <c r="N897" s="575"/>
      <c r="O897" s="575"/>
      <c r="P897" s="575"/>
      <c r="Q897" s="575"/>
      <c r="R897" s="575"/>
      <c r="S897" s="575"/>
      <c r="T897" s="575"/>
    </row>
    <row r="898">
      <c r="A898" s="575"/>
      <c r="B898" s="575"/>
      <c r="C898" s="612"/>
      <c r="D898" s="575"/>
      <c r="E898" s="575"/>
      <c r="F898" s="575"/>
      <c r="G898" s="575"/>
      <c r="H898" s="575"/>
      <c r="I898" s="575"/>
      <c r="J898" s="575"/>
      <c r="K898" s="575"/>
      <c r="L898" s="575"/>
      <c r="M898" s="575"/>
      <c r="N898" s="575"/>
      <c r="O898" s="575"/>
      <c r="P898" s="575"/>
      <c r="Q898" s="575"/>
      <c r="R898" s="575"/>
      <c r="S898" s="575"/>
      <c r="T898" s="575"/>
    </row>
    <row r="899">
      <c r="A899" s="575"/>
      <c r="B899" s="575"/>
      <c r="C899" s="612"/>
      <c r="D899" s="575"/>
      <c r="E899" s="575"/>
      <c r="F899" s="575"/>
      <c r="G899" s="575"/>
      <c r="H899" s="575"/>
      <c r="I899" s="575"/>
      <c r="J899" s="575"/>
      <c r="K899" s="575"/>
      <c r="L899" s="575"/>
      <c r="M899" s="575"/>
      <c r="N899" s="575"/>
      <c r="O899" s="575"/>
      <c r="P899" s="575"/>
      <c r="Q899" s="575"/>
      <c r="R899" s="575"/>
      <c r="S899" s="575"/>
      <c r="T899" s="575"/>
    </row>
    <row r="900">
      <c r="A900" s="575"/>
      <c r="B900" s="575"/>
      <c r="C900" s="612"/>
      <c r="D900" s="575"/>
      <c r="E900" s="575"/>
      <c r="F900" s="575"/>
      <c r="G900" s="575"/>
      <c r="H900" s="575"/>
      <c r="I900" s="575"/>
      <c r="J900" s="575"/>
      <c r="K900" s="575"/>
      <c r="L900" s="575"/>
      <c r="M900" s="575"/>
      <c r="N900" s="575"/>
      <c r="O900" s="575"/>
      <c r="P900" s="575"/>
      <c r="Q900" s="575"/>
      <c r="R900" s="575"/>
      <c r="S900" s="575"/>
      <c r="T900" s="575"/>
    </row>
    <row r="901">
      <c r="A901" s="575"/>
      <c r="B901" s="575"/>
      <c r="C901" s="612"/>
      <c r="D901" s="575"/>
      <c r="E901" s="575"/>
      <c r="F901" s="575"/>
      <c r="G901" s="575"/>
      <c r="H901" s="575"/>
      <c r="I901" s="575"/>
      <c r="J901" s="575"/>
      <c r="K901" s="575"/>
      <c r="L901" s="575"/>
      <c r="M901" s="575"/>
      <c r="N901" s="575"/>
      <c r="O901" s="575"/>
      <c r="P901" s="575"/>
      <c r="Q901" s="575"/>
      <c r="R901" s="575"/>
      <c r="S901" s="575"/>
      <c r="T901" s="575"/>
    </row>
    <row r="902">
      <c r="A902" s="575"/>
      <c r="B902" s="575"/>
      <c r="C902" s="612"/>
      <c r="D902" s="575"/>
      <c r="E902" s="575"/>
      <c r="F902" s="575"/>
      <c r="G902" s="575"/>
      <c r="H902" s="575"/>
      <c r="I902" s="575"/>
      <c r="J902" s="575"/>
      <c r="K902" s="575"/>
      <c r="L902" s="575"/>
      <c r="M902" s="575"/>
      <c r="N902" s="575"/>
      <c r="O902" s="575"/>
      <c r="P902" s="575"/>
      <c r="Q902" s="575"/>
      <c r="R902" s="575"/>
      <c r="S902" s="575"/>
      <c r="T902" s="575"/>
    </row>
    <row r="903">
      <c r="A903" s="575"/>
      <c r="B903" s="575"/>
      <c r="C903" s="612"/>
      <c r="D903" s="575"/>
      <c r="E903" s="575"/>
      <c r="F903" s="575"/>
      <c r="G903" s="575"/>
      <c r="H903" s="575"/>
      <c r="I903" s="575"/>
      <c r="J903" s="575"/>
      <c r="K903" s="575"/>
      <c r="L903" s="575"/>
      <c r="M903" s="575"/>
      <c r="N903" s="575"/>
      <c r="O903" s="575"/>
      <c r="P903" s="575"/>
      <c r="Q903" s="575"/>
      <c r="R903" s="575"/>
      <c r="S903" s="575"/>
      <c r="T903" s="575"/>
    </row>
    <row r="904">
      <c r="A904" s="575"/>
      <c r="B904" s="575"/>
      <c r="C904" s="612"/>
      <c r="D904" s="575"/>
      <c r="E904" s="575"/>
      <c r="F904" s="575"/>
      <c r="G904" s="575"/>
      <c r="H904" s="575"/>
      <c r="I904" s="575"/>
      <c r="J904" s="575"/>
      <c r="K904" s="575"/>
      <c r="L904" s="575"/>
      <c r="M904" s="575"/>
      <c r="N904" s="575"/>
      <c r="O904" s="575"/>
      <c r="P904" s="575"/>
      <c r="Q904" s="575"/>
      <c r="R904" s="575"/>
      <c r="S904" s="575"/>
      <c r="T904" s="575"/>
    </row>
    <row r="905">
      <c r="A905" s="575"/>
      <c r="B905" s="575"/>
      <c r="C905" s="612"/>
      <c r="D905" s="575"/>
      <c r="E905" s="575"/>
      <c r="F905" s="575"/>
      <c r="G905" s="575"/>
      <c r="H905" s="575"/>
      <c r="I905" s="575"/>
      <c r="J905" s="575"/>
      <c r="K905" s="575"/>
      <c r="L905" s="575"/>
      <c r="M905" s="575"/>
      <c r="N905" s="575"/>
      <c r="O905" s="575"/>
      <c r="P905" s="575"/>
      <c r="Q905" s="575"/>
      <c r="R905" s="575"/>
      <c r="S905" s="575"/>
      <c r="T905" s="575"/>
    </row>
    <row r="906">
      <c r="A906" s="575"/>
      <c r="B906" s="575"/>
      <c r="C906" s="612"/>
      <c r="D906" s="575"/>
      <c r="E906" s="575"/>
      <c r="F906" s="575"/>
      <c r="G906" s="575"/>
      <c r="H906" s="575"/>
      <c r="I906" s="575"/>
      <c r="J906" s="575"/>
      <c r="K906" s="575"/>
      <c r="L906" s="575"/>
      <c r="M906" s="575"/>
      <c r="N906" s="575"/>
      <c r="O906" s="575"/>
      <c r="P906" s="575"/>
      <c r="Q906" s="575"/>
      <c r="R906" s="575"/>
      <c r="S906" s="575"/>
      <c r="T906" s="575"/>
    </row>
    <row r="907">
      <c r="A907" s="575"/>
      <c r="B907" s="575"/>
      <c r="C907" s="612"/>
      <c r="D907" s="575"/>
      <c r="E907" s="575"/>
      <c r="F907" s="575"/>
      <c r="G907" s="575"/>
      <c r="H907" s="575"/>
      <c r="I907" s="575"/>
      <c r="J907" s="575"/>
      <c r="K907" s="575"/>
      <c r="L907" s="575"/>
      <c r="M907" s="575"/>
      <c r="N907" s="575"/>
      <c r="O907" s="575"/>
      <c r="P907" s="575"/>
      <c r="Q907" s="575"/>
      <c r="R907" s="575"/>
      <c r="S907" s="575"/>
      <c r="T907" s="575"/>
    </row>
    <row r="908">
      <c r="A908" s="575"/>
      <c r="B908" s="575"/>
      <c r="C908" s="612"/>
      <c r="D908" s="575"/>
      <c r="E908" s="575"/>
      <c r="F908" s="575"/>
      <c r="G908" s="575"/>
      <c r="H908" s="575"/>
      <c r="I908" s="575"/>
      <c r="J908" s="575"/>
      <c r="K908" s="575"/>
      <c r="L908" s="575"/>
      <c r="M908" s="575"/>
      <c r="N908" s="575"/>
      <c r="O908" s="575"/>
      <c r="P908" s="575"/>
      <c r="Q908" s="575"/>
      <c r="R908" s="575"/>
      <c r="S908" s="575"/>
      <c r="T908" s="575"/>
    </row>
    <row r="909">
      <c r="A909" s="575"/>
      <c r="B909" s="575"/>
      <c r="C909" s="612"/>
      <c r="D909" s="575"/>
      <c r="E909" s="575"/>
      <c r="F909" s="575"/>
      <c r="G909" s="575"/>
      <c r="H909" s="575"/>
      <c r="I909" s="575"/>
      <c r="J909" s="575"/>
      <c r="K909" s="575"/>
      <c r="L909" s="575"/>
      <c r="M909" s="575"/>
      <c r="N909" s="575"/>
      <c r="O909" s="575"/>
      <c r="P909" s="575"/>
      <c r="Q909" s="575"/>
      <c r="R909" s="575"/>
      <c r="S909" s="575"/>
      <c r="T909" s="575"/>
    </row>
    <row r="910">
      <c r="A910" s="575"/>
      <c r="B910" s="575"/>
      <c r="C910" s="612"/>
      <c r="D910" s="575"/>
      <c r="E910" s="575"/>
      <c r="F910" s="575"/>
      <c r="G910" s="575"/>
      <c r="H910" s="575"/>
      <c r="I910" s="575"/>
      <c r="J910" s="575"/>
      <c r="K910" s="575"/>
      <c r="L910" s="575"/>
      <c r="M910" s="575"/>
      <c r="N910" s="575"/>
      <c r="O910" s="575"/>
      <c r="P910" s="575"/>
      <c r="Q910" s="575"/>
      <c r="R910" s="575"/>
      <c r="S910" s="575"/>
      <c r="T910" s="575"/>
    </row>
    <row r="911">
      <c r="A911" s="575"/>
      <c r="B911" s="575"/>
      <c r="C911" s="612"/>
      <c r="D911" s="575"/>
      <c r="E911" s="575"/>
      <c r="F911" s="575"/>
      <c r="G911" s="575"/>
      <c r="H911" s="575"/>
      <c r="I911" s="575"/>
      <c r="J911" s="575"/>
      <c r="K911" s="575"/>
      <c r="L911" s="575"/>
      <c r="M911" s="575"/>
      <c r="N911" s="575"/>
      <c r="O911" s="575"/>
      <c r="P911" s="575"/>
      <c r="Q911" s="575"/>
      <c r="R911" s="575"/>
      <c r="S911" s="575"/>
      <c r="T911" s="575"/>
    </row>
    <row r="912">
      <c r="A912" s="575"/>
      <c r="B912" s="575"/>
      <c r="C912" s="612"/>
      <c r="D912" s="575"/>
      <c r="E912" s="575"/>
      <c r="F912" s="575"/>
      <c r="G912" s="575"/>
      <c r="H912" s="575"/>
      <c r="I912" s="575"/>
      <c r="J912" s="575"/>
      <c r="K912" s="575"/>
      <c r="L912" s="575"/>
      <c r="M912" s="575"/>
      <c r="N912" s="575"/>
      <c r="O912" s="575"/>
      <c r="P912" s="575"/>
      <c r="Q912" s="575"/>
      <c r="R912" s="575"/>
      <c r="S912" s="575"/>
      <c r="T912" s="575"/>
    </row>
    <row r="913">
      <c r="A913" s="575"/>
      <c r="B913" s="575"/>
      <c r="C913" s="612"/>
      <c r="D913" s="575"/>
      <c r="E913" s="575"/>
      <c r="F913" s="575"/>
      <c r="G913" s="575"/>
      <c r="H913" s="575"/>
      <c r="I913" s="575"/>
      <c r="J913" s="575"/>
      <c r="K913" s="575"/>
      <c r="L913" s="575"/>
      <c r="M913" s="575"/>
      <c r="N913" s="575"/>
      <c r="O913" s="575"/>
      <c r="P913" s="575"/>
      <c r="Q913" s="575"/>
      <c r="R913" s="575"/>
      <c r="S913" s="575"/>
      <c r="T913" s="575"/>
    </row>
    <row r="914">
      <c r="A914" s="575"/>
      <c r="B914" s="575"/>
      <c r="C914" s="612"/>
      <c r="D914" s="575"/>
      <c r="E914" s="575"/>
      <c r="F914" s="575"/>
      <c r="G914" s="575"/>
      <c r="H914" s="575"/>
      <c r="I914" s="575"/>
      <c r="J914" s="575"/>
      <c r="K914" s="575"/>
      <c r="L914" s="575"/>
      <c r="M914" s="575"/>
      <c r="N914" s="575"/>
      <c r="O914" s="575"/>
      <c r="P914" s="575"/>
      <c r="Q914" s="575"/>
      <c r="R914" s="575"/>
      <c r="S914" s="575"/>
      <c r="T914" s="575"/>
    </row>
    <row r="915">
      <c r="A915" s="575"/>
      <c r="B915" s="575"/>
      <c r="C915" s="612"/>
      <c r="D915" s="575"/>
      <c r="E915" s="575"/>
      <c r="F915" s="575"/>
      <c r="G915" s="575"/>
      <c r="H915" s="575"/>
      <c r="I915" s="575"/>
      <c r="J915" s="575"/>
      <c r="K915" s="575"/>
      <c r="L915" s="575"/>
      <c r="M915" s="575"/>
      <c r="N915" s="575"/>
      <c r="O915" s="575"/>
      <c r="P915" s="575"/>
      <c r="Q915" s="575"/>
      <c r="R915" s="575"/>
      <c r="S915" s="575"/>
      <c r="T915" s="575"/>
    </row>
    <row r="916">
      <c r="A916" s="575"/>
      <c r="B916" s="575"/>
      <c r="C916" s="612"/>
      <c r="D916" s="575"/>
      <c r="E916" s="575"/>
      <c r="F916" s="575"/>
      <c r="G916" s="575"/>
      <c r="H916" s="575"/>
      <c r="I916" s="575"/>
      <c r="J916" s="575"/>
      <c r="K916" s="575"/>
      <c r="L916" s="575"/>
      <c r="M916" s="575"/>
      <c r="N916" s="575"/>
      <c r="O916" s="575"/>
      <c r="P916" s="575"/>
      <c r="Q916" s="575"/>
      <c r="R916" s="575"/>
      <c r="S916" s="575"/>
      <c r="T916" s="575"/>
    </row>
    <row r="917">
      <c r="A917" s="575"/>
      <c r="B917" s="575"/>
      <c r="C917" s="612"/>
      <c r="D917" s="575"/>
      <c r="E917" s="575"/>
      <c r="F917" s="575"/>
      <c r="G917" s="575"/>
      <c r="H917" s="575"/>
      <c r="I917" s="575"/>
      <c r="J917" s="575"/>
      <c r="K917" s="575"/>
      <c r="L917" s="575"/>
      <c r="M917" s="575"/>
      <c r="N917" s="575"/>
      <c r="O917" s="575"/>
      <c r="P917" s="575"/>
      <c r="Q917" s="575"/>
      <c r="R917" s="575"/>
      <c r="S917" s="575"/>
      <c r="T917" s="575"/>
    </row>
    <row r="918">
      <c r="A918" s="575"/>
      <c r="B918" s="575"/>
      <c r="C918" s="612"/>
      <c r="D918" s="575"/>
      <c r="E918" s="575"/>
      <c r="F918" s="575"/>
      <c r="G918" s="575"/>
      <c r="H918" s="575"/>
      <c r="I918" s="575"/>
      <c r="J918" s="575"/>
      <c r="K918" s="575"/>
      <c r="L918" s="575"/>
      <c r="M918" s="575"/>
      <c r="N918" s="575"/>
      <c r="O918" s="575"/>
      <c r="P918" s="575"/>
      <c r="Q918" s="575"/>
      <c r="R918" s="575"/>
      <c r="S918" s="575"/>
      <c r="T918" s="575"/>
    </row>
    <row r="919">
      <c r="A919" s="575"/>
      <c r="B919" s="575"/>
      <c r="C919" s="612"/>
      <c r="D919" s="575"/>
      <c r="E919" s="575"/>
      <c r="F919" s="575"/>
      <c r="G919" s="575"/>
      <c r="H919" s="575"/>
      <c r="I919" s="575"/>
      <c r="J919" s="575"/>
      <c r="K919" s="575"/>
      <c r="L919" s="575"/>
      <c r="M919" s="575"/>
      <c r="N919" s="575"/>
      <c r="O919" s="575"/>
      <c r="P919" s="575"/>
      <c r="Q919" s="575"/>
      <c r="R919" s="575"/>
      <c r="S919" s="575"/>
      <c r="T919" s="575"/>
    </row>
    <row r="920">
      <c r="A920" s="575"/>
      <c r="B920" s="575"/>
      <c r="C920" s="612"/>
      <c r="D920" s="575"/>
      <c r="E920" s="575"/>
      <c r="F920" s="575"/>
      <c r="G920" s="575"/>
      <c r="H920" s="575"/>
      <c r="I920" s="575"/>
      <c r="J920" s="575"/>
      <c r="K920" s="575"/>
      <c r="L920" s="575"/>
      <c r="M920" s="575"/>
      <c r="N920" s="575"/>
      <c r="O920" s="575"/>
      <c r="P920" s="575"/>
      <c r="Q920" s="575"/>
      <c r="R920" s="575"/>
      <c r="S920" s="575"/>
      <c r="T920" s="575"/>
    </row>
    <row r="921">
      <c r="A921" s="575"/>
      <c r="B921" s="575"/>
      <c r="C921" s="612"/>
      <c r="D921" s="575"/>
      <c r="E921" s="575"/>
      <c r="F921" s="575"/>
      <c r="G921" s="575"/>
      <c r="H921" s="575"/>
      <c r="I921" s="575"/>
      <c r="J921" s="575"/>
      <c r="K921" s="575"/>
      <c r="L921" s="575"/>
      <c r="M921" s="575"/>
      <c r="N921" s="575"/>
      <c r="O921" s="575"/>
      <c r="P921" s="575"/>
      <c r="Q921" s="575"/>
      <c r="R921" s="575"/>
      <c r="S921" s="575"/>
      <c r="T921" s="575"/>
    </row>
    <row r="922">
      <c r="A922" s="575"/>
      <c r="B922" s="575"/>
      <c r="C922" s="612"/>
      <c r="D922" s="575"/>
      <c r="E922" s="575"/>
      <c r="F922" s="575"/>
      <c r="G922" s="575"/>
      <c r="H922" s="575"/>
      <c r="I922" s="575"/>
      <c r="J922" s="575"/>
      <c r="K922" s="575"/>
      <c r="L922" s="575"/>
      <c r="M922" s="575"/>
      <c r="N922" s="575"/>
      <c r="O922" s="575"/>
      <c r="P922" s="575"/>
      <c r="Q922" s="575"/>
      <c r="R922" s="575"/>
      <c r="S922" s="575"/>
      <c r="T922" s="575"/>
    </row>
    <row r="923">
      <c r="A923" s="575"/>
      <c r="B923" s="575"/>
      <c r="C923" s="612"/>
      <c r="D923" s="575"/>
      <c r="E923" s="575"/>
      <c r="F923" s="575"/>
      <c r="G923" s="575"/>
      <c r="H923" s="575"/>
      <c r="I923" s="575"/>
      <c r="J923" s="575"/>
      <c r="K923" s="575"/>
      <c r="L923" s="575"/>
      <c r="M923" s="575"/>
      <c r="N923" s="575"/>
      <c r="O923" s="575"/>
      <c r="P923" s="575"/>
      <c r="Q923" s="575"/>
      <c r="R923" s="575"/>
      <c r="S923" s="575"/>
      <c r="T923" s="575"/>
    </row>
    <row r="924">
      <c r="A924" s="575"/>
      <c r="B924" s="575"/>
      <c r="C924" s="612"/>
      <c r="D924" s="575"/>
      <c r="E924" s="575"/>
      <c r="F924" s="575"/>
      <c r="G924" s="575"/>
      <c r="H924" s="575"/>
      <c r="I924" s="575"/>
      <c r="J924" s="575"/>
      <c r="K924" s="575"/>
      <c r="L924" s="575"/>
      <c r="M924" s="575"/>
      <c r="N924" s="575"/>
      <c r="O924" s="575"/>
      <c r="P924" s="575"/>
      <c r="Q924" s="575"/>
      <c r="R924" s="575"/>
      <c r="S924" s="575"/>
      <c r="T924" s="575"/>
    </row>
    <row r="925">
      <c r="A925" s="575"/>
      <c r="B925" s="575"/>
      <c r="C925" s="612"/>
      <c r="D925" s="575"/>
      <c r="E925" s="575"/>
      <c r="F925" s="575"/>
      <c r="G925" s="575"/>
      <c r="H925" s="575"/>
      <c r="I925" s="575"/>
      <c r="J925" s="575"/>
      <c r="K925" s="575"/>
      <c r="L925" s="575"/>
      <c r="M925" s="575"/>
      <c r="N925" s="575"/>
      <c r="O925" s="575"/>
      <c r="P925" s="575"/>
      <c r="Q925" s="575"/>
      <c r="R925" s="575"/>
      <c r="S925" s="575"/>
      <c r="T925" s="575"/>
    </row>
    <row r="926">
      <c r="A926" s="575"/>
      <c r="B926" s="575"/>
      <c r="C926" s="612"/>
      <c r="D926" s="575"/>
      <c r="E926" s="575"/>
      <c r="F926" s="575"/>
      <c r="G926" s="575"/>
      <c r="H926" s="575"/>
      <c r="I926" s="575"/>
      <c r="J926" s="575"/>
      <c r="K926" s="575"/>
      <c r="L926" s="575"/>
      <c r="M926" s="575"/>
      <c r="N926" s="575"/>
      <c r="O926" s="575"/>
      <c r="P926" s="575"/>
      <c r="Q926" s="575"/>
      <c r="R926" s="575"/>
      <c r="S926" s="575"/>
      <c r="T926" s="575"/>
    </row>
    <row r="927">
      <c r="A927" s="575"/>
      <c r="B927" s="575"/>
      <c r="C927" s="612"/>
      <c r="D927" s="575"/>
      <c r="E927" s="575"/>
      <c r="F927" s="575"/>
      <c r="G927" s="575"/>
      <c r="H927" s="575"/>
      <c r="I927" s="575"/>
      <c r="J927" s="575"/>
      <c r="K927" s="575"/>
      <c r="L927" s="575"/>
      <c r="M927" s="575"/>
      <c r="N927" s="575"/>
      <c r="O927" s="575"/>
      <c r="P927" s="575"/>
      <c r="Q927" s="575"/>
      <c r="R927" s="575"/>
      <c r="S927" s="575"/>
      <c r="T927" s="575"/>
    </row>
    <row r="928">
      <c r="A928" s="575"/>
      <c r="B928" s="575"/>
      <c r="C928" s="612"/>
      <c r="D928" s="575"/>
      <c r="E928" s="575"/>
      <c r="F928" s="575"/>
      <c r="G928" s="575"/>
      <c r="H928" s="575"/>
      <c r="I928" s="575"/>
      <c r="J928" s="575"/>
      <c r="K928" s="575"/>
      <c r="L928" s="575"/>
      <c r="M928" s="575"/>
      <c r="N928" s="575"/>
      <c r="O928" s="575"/>
      <c r="P928" s="575"/>
      <c r="Q928" s="575"/>
      <c r="R928" s="575"/>
      <c r="S928" s="575"/>
      <c r="T928" s="575"/>
    </row>
    <row r="929">
      <c r="A929" s="575"/>
      <c r="B929" s="575"/>
      <c r="C929" s="612"/>
      <c r="D929" s="575"/>
      <c r="E929" s="575"/>
      <c r="F929" s="575"/>
      <c r="G929" s="575"/>
      <c r="H929" s="575"/>
      <c r="I929" s="575"/>
      <c r="J929" s="575"/>
      <c r="K929" s="575"/>
      <c r="L929" s="575"/>
      <c r="M929" s="575"/>
      <c r="N929" s="575"/>
      <c r="O929" s="575"/>
      <c r="P929" s="575"/>
      <c r="Q929" s="575"/>
      <c r="R929" s="575"/>
      <c r="S929" s="575"/>
      <c r="T929" s="575"/>
    </row>
    <row r="930">
      <c r="A930" s="575"/>
      <c r="B930" s="575"/>
      <c r="C930" s="612"/>
      <c r="D930" s="575"/>
      <c r="E930" s="575"/>
      <c r="F930" s="575"/>
      <c r="G930" s="575"/>
      <c r="H930" s="575"/>
      <c r="I930" s="575"/>
      <c r="J930" s="575"/>
      <c r="K930" s="575"/>
      <c r="L930" s="575"/>
      <c r="M930" s="575"/>
      <c r="N930" s="575"/>
      <c r="O930" s="575"/>
      <c r="P930" s="575"/>
      <c r="Q930" s="575"/>
      <c r="R930" s="575"/>
      <c r="S930" s="575"/>
      <c r="T930" s="575"/>
    </row>
    <row r="931">
      <c r="A931" s="575"/>
      <c r="B931" s="575"/>
      <c r="C931" s="612"/>
      <c r="D931" s="575"/>
      <c r="E931" s="575"/>
      <c r="F931" s="575"/>
      <c r="G931" s="575"/>
      <c r="H931" s="575"/>
      <c r="I931" s="575"/>
      <c r="J931" s="575"/>
      <c r="K931" s="575"/>
      <c r="L931" s="575"/>
      <c r="M931" s="575"/>
      <c r="N931" s="575"/>
      <c r="O931" s="575"/>
      <c r="P931" s="575"/>
      <c r="Q931" s="575"/>
      <c r="R931" s="575"/>
      <c r="S931" s="575"/>
      <c r="T931" s="575"/>
    </row>
    <row r="932">
      <c r="A932" s="575"/>
      <c r="B932" s="575"/>
      <c r="C932" s="612"/>
      <c r="D932" s="575"/>
      <c r="E932" s="575"/>
      <c r="F932" s="575"/>
      <c r="G932" s="575"/>
      <c r="H932" s="575"/>
      <c r="I932" s="575"/>
      <c r="J932" s="575"/>
      <c r="K932" s="575"/>
      <c r="L932" s="575"/>
      <c r="M932" s="575"/>
      <c r="N932" s="575"/>
      <c r="O932" s="575"/>
      <c r="P932" s="575"/>
      <c r="Q932" s="575"/>
      <c r="R932" s="575"/>
      <c r="S932" s="575"/>
      <c r="T932" s="575"/>
    </row>
    <row r="933">
      <c r="A933" s="575"/>
      <c r="B933" s="575"/>
      <c r="C933" s="612"/>
      <c r="D933" s="575"/>
      <c r="E933" s="575"/>
      <c r="F933" s="575"/>
      <c r="G933" s="575"/>
      <c r="H933" s="575"/>
      <c r="I933" s="575"/>
      <c r="J933" s="575"/>
      <c r="K933" s="575"/>
      <c r="L933" s="575"/>
      <c r="M933" s="575"/>
      <c r="N933" s="575"/>
      <c r="O933" s="575"/>
      <c r="P933" s="575"/>
      <c r="Q933" s="575"/>
      <c r="R933" s="575"/>
      <c r="S933" s="575"/>
      <c r="T933" s="575"/>
    </row>
    <row r="934">
      <c r="A934" s="575"/>
      <c r="B934" s="575"/>
      <c r="C934" s="612"/>
      <c r="D934" s="575"/>
      <c r="E934" s="575"/>
      <c r="F934" s="575"/>
      <c r="G934" s="575"/>
      <c r="H934" s="575"/>
      <c r="I934" s="575"/>
      <c r="J934" s="575"/>
      <c r="K934" s="575"/>
      <c r="L934" s="575"/>
      <c r="M934" s="575"/>
      <c r="N934" s="575"/>
      <c r="O934" s="575"/>
      <c r="P934" s="575"/>
      <c r="Q934" s="575"/>
      <c r="R934" s="575"/>
      <c r="S934" s="575"/>
      <c r="T934" s="575"/>
    </row>
    <row r="935">
      <c r="A935" s="575"/>
      <c r="B935" s="575"/>
      <c r="C935" s="612"/>
      <c r="D935" s="575"/>
      <c r="E935" s="575"/>
      <c r="F935" s="575"/>
      <c r="G935" s="575"/>
      <c r="H935" s="575"/>
      <c r="I935" s="575"/>
      <c r="J935" s="575"/>
      <c r="K935" s="575"/>
      <c r="L935" s="575"/>
      <c r="M935" s="575"/>
      <c r="N935" s="575"/>
      <c r="O935" s="575"/>
      <c r="P935" s="575"/>
      <c r="Q935" s="575"/>
      <c r="R935" s="575"/>
      <c r="S935" s="575"/>
      <c r="T935" s="575"/>
    </row>
    <row r="936">
      <c r="A936" s="575"/>
      <c r="B936" s="575"/>
      <c r="C936" s="612"/>
      <c r="D936" s="575"/>
      <c r="E936" s="575"/>
      <c r="F936" s="575"/>
      <c r="G936" s="575"/>
      <c r="H936" s="575"/>
      <c r="I936" s="575"/>
      <c r="J936" s="575"/>
      <c r="K936" s="575"/>
      <c r="L936" s="575"/>
      <c r="M936" s="575"/>
      <c r="N936" s="575"/>
      <c r="O936" s="575"/>
      <c r="P936" s="575"/>
      <c r="Q936" s="575"/>
      <c r="R936" s="575"/>
      <c r="S936" s="575"/>
      <c r="T936" s="575"/>
    </row>
    <row r="937">
      <c r="A937" s="575"/>
      <c r="B937" s="575"/>
      <c r="C937" s="612"/>
      <c r="D937" s="575"/>
      <c r="E937" s="575"/>
      <c r="F937" s="575"/>
      <c r="G937" s="575"/>
      <c r="H937" s="575"/>
      <c r="I937" s="575"/>
      <c r="J937" s="575"/>
      <c r="K937" s="575"/>
      <c r="L937" s="575"/>
      <c r="M937" s="575"/>
      <c r="N937" s="575"/>
      <c r="O937" s="575"/>
      <c r="P937" s="575"/>
      <c r="Q937" s="575"/>
      <c r="R937" s="575"/>
      <c r="S937" s="575"/>
      <c r="T937" s="575"/>
    </row>
    <row r="938">
      <c r="A938" s="575"/>
      <c r="B938" s="575"/>
      <c r="C938" s="612"/>
      <c r="D938" s="575"/>
      <c r="E938" s="575"/>
      <c r="F938" s="575"/>
      <c r="G938" s="575"/>
      <c r="H938" s="575"/>
      <c r="I938" s="575"/>
      <c r="J938" s="575"/>
      <c r="K938" s="575"/>
      <c r="L938" s="575"/>
      <c r="M938" s="575"/>
      <c r="N938" s="575"/>
      <c r="O938" s="575"/>
      <c r="P938" s="575"/>
      <c r="Q938" s="575"/>
      <c r="R938" s="575"/>
      <c r="S938" s="575"/>
      <c r="T938" s="575"/>
    </row>
    <row r="939">
      <c r="A939" s="575"/>
      <c r="B939" s="575"/>
      <c r="C939" s="612"/>
      <c r="D939" s="575"/>
      <c r="E939" s="575"/>
      <c r="F939" s="575"/>
      <c r="G939" s="575"/>
      <c r="H939" s="575"/>
      <c r="I939" s="575"/>
      <c r="J939" s="575"/>
      <c r="K939" s="575"/>
      <c r="L939" s="575"/>
      <c r="M939" s="575"/>
      <c r="N939" s="575"/>
      <c r="O939" s="575"/>
      <c r="P939" s="575"/>
      <c r="Q939" s="575"/>
      <c r="R939" s="575"/>
      <c r="S939" s="575"/>
      <c r="T939" s="575"/>
    </row>
    <row r="940">
      <c r="A940" s="575"/>
      <c r="B940" s="575"/>
      <c r="C940" s="612"/>
      <c r="D940" s="575"/>
      <c r="E940" s="575"/>
      <c r="F940" s="575"/>
      <c r="G940" s="575"/>
      <c r="H940" s="575"/>
      <c r="I940" s="575"/>
      <c r="J940" s="575"/>
      <c r="K940" s="575"/>
      <c r="L940" s="575"/>
      <c r="M940" s="575"/>
      <c r="N940" s="575"/>
      <c r="O940" s="575"/>
      <c r="P940" s="575"/>
      <c r="Q940" s="575"/>
      <c r="R940" s="575"/>
      <c r="S940" s="575"/>
      <c r="T940" s="575"/>
    </row>
    <row r="941">
      <c r="A941" s="575"/>
      <c r="B941" s="575"/>
      <c r="C941" s="612"/>
      <c r="D941" s="575"/>
      <c r="E941" s="575"/>
      <c r="F941" s="575"/>
      <c r="G941" s="575"/>
      <c r="H941" s="575"/>
      <c r="I941" s="575"/>
      <c r="J941" s="575"/>
      <c r="K941" s="575"/>
      <c r="L941" s="575"/>
      <c r="M941" s="575"/>
      <c r="N941" s="575"/>
      <c r="O941" s="575"/>
      <c r="P941" s="575"/>
      <c r="Q941" s="575"/>
      <c r="R941" s="575"/>
      <c r="S941" s="575"/>
      <c r="T941" s="575"/>
    </row>
    <row r="942">
      <c r="A942" s="575"/>
      <c r="B942" s="575"/>
      <c r="C942" s="612"/>
      <c r="D942" s="575"/>
      <c r="E942" s="575"/>
      <c r="F942" s="575"/>
      <c r="G942" s="575"/>
      <c r="H942" s="575"/>
      <c r="I942" s="575"/>
      <c r="J942" s="575"/>
      <c r="K942" s="575"/>
      <c r="L942" s="575"/>
      <c r="M942" s="575"/>
      <c r="N942" s="575"/>
      <c r="O942" s="575"/>
      <c r="P942" s="575"/>
      <c r="Q942" s="575"/>
      <c r="R942" s="575"/>
      <c r="S942" s="575"/>
      <c r="T942" s="575"/>
    </row>
    <row r="943">
      <c r="A943" s="575"/>
      <c r="B943" s="575"/>
      <c r="C943" s="612"/>
      <c r="D943" s="575"/>
      <c r="E943" s="575"/>
      <c r="F943" s="575"/>
      <c r="G943" s="575"/>
      <c r="H943" s="575"/>
      <c r="I943" s="575"/>
      <c r="J943" s="575"/>
      <c r="K943" s="575"/>
      <c r="L943" s="575"/>
      <c r="M943" s="575"/>
      <c r="N943" s="575"/>
      <c r="O943" s="575"/>
      <c r="P943" s="575"/>
      <c r="Q943" s="575"/>
      <c r="R943" s="575"/>
      <c r="S943" s="575"/>
      <c r="T943" s="575"/>
    </row>
    <row r="944">
      <c r="A944" s="575"/>
      <c r="B944" s="575"/>
      <c r="C944" s="612"/>
      <c r="D944" s="575"/>
      <c r="E944" s="575"/>
      <c r="F944" s="575"/>
      <c r="G944" s="575"/>
      <c r="H944" s="575"/>
      <c r="I944" s="575"/>
      <c r="J944" s="575"/>
      <c r="K944" s="575"/>
      <c r="L944" s="575"/>
      <c r="M944" s="575"/>
      <c r="N944" s="575"/>
      <c r="O944" s="575"/>
      <c r="P944" s="575"/>
      <c r="Q944" s="575"/>
      <c r="R944" s="575"/>
      <c r="S944" s="575"/>
      <c r="T944" s="575"/>
    </row>
    <row r="945">
      <c r="A945" s="575"/>
      <c r="B945" s="575"/>
      <c r="C945" s="612"/>
      <c r="D945" s="575"/>
      <c r="E945" s="575"/>
      <c r="F945" s="575"/>
      <c r="G945" s="575"/>
      <c r="H945" s="575"/>
      <c r="I945" s="575"/>
      <c r="J945" s="575"/>
      <c r="K945" s="575"/>
      <c r="L945" s="575"/>
      <c r="M945" s="575"/>
      <c r="N945" s="575"/>
      <c r="O945" s="575"/>
      <c r="P945" s="575"/>
      <c r="Q945" s="575"/>
      <c r="R945" s="575"/>
      <c r="S945" s="575"/>
      <c r="T945" s="575"/>
    </row>
    <row r="946">
      <c r="A946" s="575"/>
      <c r="B946" s="575"/>
      <c r="C946" s="612"/>
      <c r="D946" s="575"/>
      <c r="E946" s="575"/>
      <c r="F946" s="575"/>
      <c r="G946" s="575"/>
      <c r="H946" s="575"/>
      <c r="I946" s="575"/>
      <c r="J946" s="575"/>
      <c r="K946" s="575"/>
      <c r="L946" s="575"/>
      <c r="M946" s="575"/>
      <c r="N946" s="575"/>
      <c r="O946" s="575"/>
      <c r="P946" s="575"/>
      <c r="Q946" s="575"/>
      <c r="R946" s="575"/>
      <c r="S946" s="575"/>
      <c r="T946" s="575"/>
    </row>
    <row r="947">
      <c r="A947" s="575"/>
      <c r="B947" s="575"/>
      <c r="C947" s="612"/>
      <c r="D947" s="575"/>
      <c r="E947" s="575"/>
      <c r="F947" s="575"/>
      <c r="G947" s="575"/>
      <c r="H947" s="575"/>
      <c r="I947" s="575"/>
      <c r="J947" s="575"/>
      <c r="K947" s="575"/>
      <c r="L947" s="575"/>
      <c r="M947" s="575"/>
      <c r="N947" s="575"/>
      <c r="O947" s="575"/>
      <c r="P947" s="575"/>
      <c r="Q947" s="575"/>
      <c r="R947" s="575"/>
      <c r="S947" s="575"/>
      <c r="T947" s="575"/>
    </row>
    <row r="948">
      <c r="A948" s="575"/>
      <c r="B948" s="575"/>
      <c r="C948" s="612"/>
      <c r="D948" s="575"/>
      <c r="E948" s="575"/>
      <c r="F948" s="575"/>
      <c r="G948" s="575"/>
      <c r="H948" s="575"/>
      <c r="I948" s="575"/>
      <c r="J948" s="575"/>
      <c r="K948" s="575"/>
      <c r="L948" s="575"/>
      <c r="M948" s="575"/>
      <c r="N948" s="575"/>
      <c r="O948" s="575"/>
      <c r="P948" s="575"/>
      <c r="Q948" s="575"/>
      <c r="R948" s="575"/>
      <c r="S948" s="575"/>
      <c r="T948" s="575"/>
    </row>
    <row r="949">
      <c r="A949" s="575"/>
      <c r="B949" s="575"/>
      <c r="C949" s="612"/>
      <c r="D949" s="575"/>
      <c r="E949" s="575"/>
      <c r="F949" s="575"/>
      <c r="G949" s="575"/>
      <c r="H949" s="575"/>
      <c r="I949" s="575"/>
      <c r="J949" s="575"/>
      <c r="K949" s="575"/>
      <c r="L949" s="575"/>
      <c r="M949" s="575"/>
      <c r="N949" s="575"/>
      <c r="O949" s="575"/>
      <c r="P949" s="575"/>
      <c r="Q949" s="575"/>
      <c r="R949" s="575"/>
      <c r="S949" s="575"/>
      <c r="T949" s="575"/>
    </row>
    <row r="950">
      <c r="A950" s="575"/>
      <c r="B950" s="575"/>
      <c r="C950" s="612"/>
      <c r="D950" s="575"/>
      <c r="E950" s="575"/>
      <c r="F950" s="575"/>
      <c r="G950" s="575"/>
      <c r="H950" s="575"/>
      <c r="I950" s="575"/>
      <c r="J950" s="575"/>
      <c r="K950" s="575"/>
      <c r="L950" s="575"/>
      <c r="M950" s="575"/>
      <c r="N950" s="575"/>
      <c r="O950" s="575"/>
      <c r="P950" s="575"/>
      <c r="Q950" s="575"/>
      <c r="R950" s="575"/>
      <c r="S950" s="575"/>
      <c r="T950" s="575"/>
    </row>
    <row r="951">
      <c r="A951" s="575"/>
      <c r="B951" s="575"/>
      <c r="C951" s="612"/>
      <c r="D951" s="575"/>
      <c r="E951" s="575"/>
      <c r="F951" s="575"/>
      <c r="G951" s="575"/>
      <c r="H951" s="575"/>
      <c r="I951" s="575"/>
      <c r="J951" s="575"/>
      <c r="K951" s="575"/>
      <c r="L951" s="575"/>
      <c r="M951" s="575"/>
      <c r="N951" s="575"/>
      <c r="O951" s="575"/>
      <c r="P951" s="575"/>
      <c r="Q951" s="575"/>
      <c r="R951" s="575"/>
      <c r="S951" s="575"/>
      <c r="T951" s="575"/>
    </row>
    <row r="952">
      <c r="A952" s="575"/>
      <c r="B952" s="575"/>
      <c r="C952" s="612"/>
      <c r="D952" s="575"/>
      <c r="E952" s="575"/>
      <c r="F952" s="575"/>
      <c r="G952" s="575"/>
      <c r="H952" s="575"/>
      <c r="I952" s="575"/>
      <c r="J952" s="575"/>
      <c r="K952" s="575"/>
      <c r="L952" s="575"/>
      <c r="M952" s="575"/>
      <c r="N952" s="575"/>
      <c r="O952" s="575"/>
      <c r="P952" s="575"/>
      <c r="Q952" s="575"/>
      <c r="R952" s="575"/>
      <c r="S952" s="575"/>
      <c r="T952" s="575"/>
    </row>
    <row r="953">
      <c r="A953" s="575"/>
      <c r="B953" s="575"/>
      <c r="C953" s="612"/>
      <c r="D953" s="575"/>
      <c r="E953" s="575"/>
      <c r="F953" s="575"/>
      <c r="G953" s="575"/>
      <c r="H953" s="575"/>
      <c r="I953" s="575"/>
      <c r="J953" s="575"/>
      <c r="K953" s="575"/>
      <c r="L953" s="575"/>
      <c r="M953" s="575"/>
      <c r="N953" s="575"/>
      <c r="O953" s="575"/>
      <c r="P953" s="575"/>
      <c r="Q953" s="575"/>
      <c r="R953" s="575"/>
      <c r="S953" s="575"/>
      <c r="T953" s="575"/>
    </row>
    <row r="954">
      <c r="A954" s="575"/>
      <c r="B954" s="575"/>
      <c r="C954" s="612"/>
      <c r="D954" s="575"/>
      <c r="E954" s="575"/>
      <c r="F954" s="575"/>
      <c r="G954" s="575"/>
      <c r="H954" s="575"/>
      <c r="I954" s="575"/>
      <c r="J954" s="575"/>
      <c r="K954" s="575"/>
      <c r="L954" s="575"/>
      <c r="M954" s="575"/>
      <c r="N954" s="575"/>
      <c r="O954" s="575"/>
      <c r="P954" s="575"/>
      <c r="Q954" s="575"/>
      <c r="R954" s="575"/>
      <c r="S954" s="575"/>
      <c r="T954" s="575"/>
    </row>
    <row r="955">
      <c r="A955" s="575"/>
      <c r="B955" s="575"/>
      <c r="C955" s="612"/>
      <c r="D955" s="575"/>
      <c r="E955" s="575"/>
      <c r="F955" s="575"/>
      <c r="G955" s="575"/>
      <c r="H955" s="575"/>
      <c r="I955" s="575"/>
      <c r="J955" s="575"/>
      <c r="K955" s="575"/>
      <c r="L955" s="575"/>
      <c r="M955" s="575"/>
      <c r="N955" s="575"/>
      <c r="O955" s="575"/>
      <c r="P955" s="575"/>
      <c r="Q955" s="575"/>
      <c r="R955" s="575"/>
      <c r="S955" s="575"/>
      <c r="T955" s="575"/>
    </row>
    <row r="956">
      <c r="A956" s="575"/>
      <c r="B956" s="575"/>
      <c r="C956" s="612"/>
      <c r="D956" s="575"/>
      <c r="E956" s="575"/>
      <c r="F956" s="575"/>
      <c r="G956" s="575"/>
      <c r="H956" s="575"/>
      <c r="I956" s="575"/>
      <c r="J956" s="575"/>
      <c r="K956" s="575"/>
      <c r="L956" s="575"/>
      <c r="M956" s="575"/>
      <c r="N956" s="575"/>
      <c r="O956" s="575"/>
      <c r="P956" s="575"/>
      <c r="Q956" s="575"/>
      <c r="R956" s="575"/>
      <c r="S956" s="575"/>
      <c r="T956" s="575"/>
    </row>
    <row r="957">
      <c r="A957" s="575"/>
      <c r="B957" s="575"/>
      <c r="C957" s="612"/>
      <c r="D957" s="575"/>
      <c r="E957" s="575"/>
      <c r="F957" s="575"/>
      <c r="G957" s="575"/>
      <c r="H957" s="575"/>
      <c r="I957" s="575"/>
      <c r="J957" s="575"/>
      <c r="K957" s="575"/>
      <c r="L957" s="575"/>
      <c r="M957" s="575"/>
      <c r="N957" s="575"/>
      <c r="O957" s="575"/>
      <c r="P957" s="575"/>
      <c r="Q957" s="575"/>
      <c r="R957" s="575"/>
      <c r="S957" s="575"/>
      <c r="T957" s="575"/>
    </row>
    <row r="958">
      <c r="A958" s="575"/>
      <c r="B958" s="575"/>
      <c r="C958" s="612"/>
      <c r="D958" s="575"/>
      <c r="E958" s="575"/>
      <c r="F958" s="575"/>
      <c r="G958" s="575"/>
      <c r="H958" s="575"/>
      <c r="I958" s="575"/>
      <c r="J958" s="575"/>
      <c r="K958" s="575"/>
      <c r="L958" s="575"/>
      <c r="M958" s="575"/>
      <c r="N958" s="575"/>
      <c r="O958" s="575"/>
      <c r="P958" s="575"/>
      <c r="Q958" s="575"/>
      <c r="R958" s="575"/>
      <c r="S958" s="575"/>
      <c r="T958" s="575"/>
    </row>
    <row r="959">
      <c r="A959" s="575"/>
      <c r="B959" s="575"/>
      <c r="C959" s="612"/>
      <c r="D959" s="575"/>
      <c r="E959" s="575"/>
      <c r="F959" s="575"/>
      <c r="G959" s="575"/>
      <c r="H959" s="575"/>
      <c r="I959" s="575"/>
      <c r="J959" s="575"/>
      <c r="K959" s="575"/>
      <c r="L959" s="575"/>
      <c r="M959" s="575"/>
      <c r="N959" s="575"/>
      <c r="O959" s="575"/>
      <c r="P959" s="575"/>
      <c r="Q959" s="575"/>
      <c r="R959" s="575"/>
      <c r="S959" s="575"/>
      <c r="T959" s="575"/>
    </row>
    <row r="960">
      <c r="A960" s="575"/>
      <c r="B960" s="575"/>
      <c r="C960" s="612"/>
      <c r="D960" s="575"/>
      <c r="E960" s="575"/>
      <c r="F960" s="575"/>
      <c r="G960" s="575"/>
      <c r="H960" s="575"/>
      <c r="I960" s="575"/>
      <c r="J960" s="575"/>
      <c r="K960" s="575"/>
      <c r="L960" s="575"/>
      <c r="M960" s="575"/>
      <c r="N960" s="575"/>
      <c r="O960" s="575"/>
      <c r="P960" s="575"/>
      <c r="Q960" s="575"/>
      <c r="R960" s="575"/>
      <c r="S960" s="575"/>
      <c r="T960" s="575"/>
    </row>
    <row r="961">
      <c r="A961" s="575"/>
      <c r="B961" s="575"/>
      <c r="C961" s="612"/>
      <c r="D961" s="575"/>
      <c r="E961" s="575"/>
      <c r="F961" s="575"/>
      <c r="G961" s="575"/>
      <c r="H961" s="575"/>
      <c r="I961" s="575"/>
      <c r="J961" s="575"/>
      <c r="K961" s="575"/>
      <c r="L961" s="575"/>
      <c r="M961" s="575"/>
      <c r="N961" s="575"/>
      <c r="O961" s="575"/>
      <c r="P961" s="575"/>
      <c r="Q961" s="575"/>
      <c r="R961" s="575"/>
      <c r="S961" s="575"/>
      <c r="T961" s="575"/>
    </row>
    <row r="962">
      <c r="A962" s="575"/>
      <c r="B962" s="575"/>
      <c r="C962" s="612"/>
      <c r="D962" s="575"/>
      <c r="E962" s="575"/>
      <c r="F962" s="575"/>
      <c r="G962" s="575"/>
      <c r="H962" s="575"/>
      <c r="I962" s="575"/>
      <c r="J962" s="575"/>
      <c r="K962" s="575"/>
      <c r="L962" s="575"/>
      <c r="M962" s="575"/>
      <c r="N962" s="575"/>
      <c r="O962" s="575"/>
      <c r="P962" s="575"/>
      <c r="Q962" s="575"/>
      <c r="R962" s="575"/>
      <c r="S962" s="575"/>
      <c r="T962" s="575"/>
    </row>
    <row r="963">
      <c r="A963" s="575"/>
      <c r="B963" s="575"/>
      <c r="C963" s="612"/>
      <c r="D963" s="575"/>
      <c r="E963" s="575"/>
      <c r="F963" s="575"/>
      <c r="G963" s="575"/>
      <c r="H963" s="575"/>
      <c r="I963" s="575"/>
      <c r="J963" s="575"/>
      <c r="K963" s="575"/>
      <c r="L963" s="575"/>
      <c r="M963" s="575"/>
      <c r="N963" s="575"/>
      <c r="O963" s="575"/>
      <c r="P963" s="575"/>
      <c r="Q963" s="575"/>
      <c r="R963" s="575"/>
      <c r="S963" s="575"/>
      <c r="T963" s="575"/>
    </row>
    <row r="964">
      <c r="A964" s="575"/>
      <c r="B964" s="575"/>
      <c r="C964" s="612"/>
      <c r="D964" s="575"/>
      <c r="E964" s="575"/>
      <c r="F964" s="575"/>
      <c r="G964" s="575"/>
      <c r="H964" s="575"/>
      <c r="I964" s="575"/>
      <c r="J964" s="575"/>
      <c r="K964" s="575"/>
      <c r="L964" s="575"/>
      <c r="M964" s="575"/>
      <c r="N964" s="575"/>
      <c r="O964" s="575"/>
      <c r="P964" s="575"/>
      <c r="Q964" s="575"/>
      <c r="R964" s="575"/>
      <c r="S964" s="575"/>
      <c r="T964" s="575"/>
    </row>
    <row r="965">
      <c r="A965" s="575"/>
      <c r="B965" s="575"/>
      <c r="C965" s="612"/>
      <c r="D965" s="575"/>
      <c r="E965" s="575"/>
      <c r="F965" s="575"/>
      <c r="G965" s="575"/>
      <c r="H965" s="575"/>
      <c r="I965" s="575"/>
      <c r="J965" s="575"/>
      <c r="K965" s="575"/>
      <c r="L965" s="575"/>
      <c r="M965" s="575"/>
      <c r="N965" s="575"/>
      <c r="O965" s="575"/>
      <c r="P965" s="575"/>
      <c r="Q965" s="575"/>
      <c r="R965" s="575"/>
      <c r="S965" s="575"/>
      <c r="T965" s="575"/>
    </row>
    <row r="966">
      <c r="A966" s="575"/>
      <c r="B966" s="575"/>
      <c r="C966" s="612"/>
      <c r="D966" s="575"/>
      <c r="E966" s="575"/>
      <c r="F966" s="575"/>
      <c r="G966" s="575"/>
      <c r="H966" s="575"/>
      <c r="I966" s="575"/>
      <c r="J966" s="575"/>
      <c r="K966" s="575"/>
      <c r="L966" s="575"/>
      <c r="M966" s="575"/>
      <c r="N966" s="575"/>
      <c r="O966" s="575"/>
      <c r="P966" s="575"/>
      <c r="Q966" s="575"/>
      <c r="R966" s="575"/>
      <c r="S966" s="575"/>
      <c r="T966" s="575"/>
    </row>
    <row r="967">
      <c r="A967" s="575"/>
      <c r="B967" s="575"/>
      <c r="C967" s="612"/>
      <c r="D967" s="575"/>
      <c r="E967" s="575"/>
      <c r="F967" s="575"/>
      <c r="G967" s="575"/>
      <c r="H967" s="575"/>
      <c r="I967" s="575"/>
      <c r="J967" s="575"/>
      <c r="K967" s="575"/>
      <c r="L967" s="575"/>
      <c r="M967" s="575"/>
      <c r="N967" s="575"/>
      <c r="O967" s="575"/>
      <c r="P967" s="575"/>
      <c r="Q967" s="575"/>
      <c r="R967" s="575"/>
      <c r="S967" s="575"/>
      <c r="T967" s="575"/>
    </row>
    <row r="968">
      <c r="A968" s="575"/>
      <c r="B968" s="575"/>
      <c r="C968" s="612"/>
      <c r="D968" s="575"/>
      <c r="E968" s="575"/>
      <c r="F968" s="575"/>
      <c r="G968" s="575"/>
      <c r="H968" s="575"/>
      <c r="I968" s="575"/>
      <c r="J968" s="575"/>
      <c r="K968" s="575"/>
      <c r="L968" s="575"/>
      <c r="M968" s="575"/>
      <c r="N968" s="575"/>
      <c r="O968" s="575"/>
      <c r="P968" s="575"/>
      <c r="Q968" s="575"/>
      <c r="R968" s="575"/>
      <c r="S968" s="575"/>
      <c r="T968" s="575"/>
    </row>
    <row r="969">
      <c r="A969" s="575"/>
      <c r="B969" s="575"/>
      <c r="C969" s="612"/>
      <c r="D969" s="575"/>
      <c r="E969" s="575"/>
      <c r="F969" s="575"/>
      <c r="G969" s="575"/>
      <c r="H969" s="575"/>
      <c r="I969" s="575"/>
      <c r="J969" s="575"/>
      <c r="K969" s="575"/>
      <c r="L969" s="575"/>
      <c r="M969" s="575"/>
      <c r="N969" s="575"/>
      <c r="O969" s="575"/>
      <c r="P969" s="575"/>
      <c r="Q969" s="575"/>
      <c r="R969" s="575"/>
      <c r="S969" s="575"/>
      <c r="T969" s="575"/>
    </row>
  </sheetData>
  <mergeCells count="3">
    <mergeCell ref="A1:D1"/>
    <mergeCell ref="A23:D23"/>
    <mergeCell ref="A31:D3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4"/>
    <hyperlink r:id="rId22" ref="D25"/>
    <hyperlink r:id="rId23" ref="D26"/>
    <hyperlink r:id="rId24" ref="D27"/>
    <hyperlink r:id="rId25" ref="D28"/>
    <hyperlink r:id="rId26" ref="D29"/>
    <hyperlink r:id="rId27" ref="D30"/>
    <hyperlink r:id="rId28" ref="D32"/>
    <hyperlink r:id="rId29" ref="D33"/>
    <hyperlink r:id="rId30" ref="D34"/>
    <hyperlink r:id="rId31" ref="D35"/>
    <hyperlink r:id="rId32" ref="D36"/>
    <hyperlink r:id="rId33" ref="D37"/>
  </hyperlinks>
  <drawing r:id="rId3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9.25"/>
    <col customWidth="1" min="2" max="2" width="16.75"/>
    <col customWidth="1" min="3" max="3" width="4.38"/>
    <col customWidth="1" min="4" max="4" width="83.63"/>
    <col customWidth="1" min="5" max="5" width="32.88"/>
    <col customWidth="1" min="6" max="6" width="2.38"/>
    <col customWidth="1" min="7" max="7" width="22.0"/>
    <col customWidth="1" min="8" max="8" width="11.88"/>
    <col customWidth="1" min="9" max="9" width="47.13"/>
    <col customWidth="1" min="10" max="10" width="27.25"/>
  </cols>
  <sheetData>
    <row r="1" ht="33.0" customHeight="1">
      <c r="A1" s="613" t="s">
        <v>1525</v>
      </c>
      <c r="B1" s="43"/>
      <c r="C1" s="43"/>
      <c r="D1" s="43"/>
      <c r="E1" s="44"/>
      <c r="F1" s="614"/>
      <c r="G1" s="615"/>
      <c r="H1" s="615"/>
      <c r="I1" s="615"/>
      <c r="J1" s="615"/>
      <c r="K1" s="41"/>
      <c r="L1" s="41"/>
      <c r="M1" s="41"/>
      <c r="N1" s="41"/>
      <c r="O1" s="41"/>
      <c r="P1" s="41"/>
      <c r="Q1" s="41"/>
      <c r="R1" s="41"/>
      <c r="S1" s="41"/>
      <c r="T1" s="575"/>
      <c r="U1" s="575"/>
      <c r="V1" s="575"/>
      <c r="W1" s="575"/>
    </row>
    <row r="2" ht="18.75" customHeight="1">
      <c r="A2" s="616" t="s">
        <v>1526</v>
      </c>
      <c r="B2" s="617" t="s">
        <v>1432</v>
      </c>
      <c r="C2" s="617" t="s">
        <v>1527</v>
      </c>
      <c r="D2" s="618" t="s">
        <v>1433</v>
      </c>
      <c r="E2" s="618" t="s">
        <v>1434</v>
      </c>
      <c r="F2" s="614"/>
      <c r="G2" s="615"/>
      <c r="H2" s="615"/>
      <c r="I2" s="614"/>
      <c r="J2" s="614"/>
      <c r="K2" s="41"/>
      <c r="L2" s="41"/>
      <c r="M2" s="41"/>
      <c r="N2" s="41"/>
      <c r="O2" s="41"/>
      <c r="P2" s="41"/>
      <c r="Q2" s="41"/>
      <c r="R2" s="41"/>
      <c r="S2" s="41"/>
      <c r="T2" s="575"/>
      <c r="U2" s="575"/>
      <c r="V2" s="575"/>
      <c r="W2" s="575"/>
    </row>
    <row r="3" ht="18.75" customHeight="1">
      <c r="A3" s="619" t="s">
        <v>1528</v>
      </c>
      <c r="B3" s="620" t="s">
        <v>1479</v>
      </c>
      <c r="C3" s="621" t="b">
        <v>0</v>
      </c>
      <c r="D3" s="622" t="s">
        <v>1529</v>
      </c>
      <c r="E3" s="623" t="s">
        <v>1530</v>
      </c>
      <c r="F3" s="41"/>
      <c r="G3" s="615"/>
      <c r="H3" s="615"/>
      <c r="I3" s="615"/>
      <c r="J3" s="615"/>
      <c r="K3" s="41"/>
      <c r="L3" s="41"/>
      <c r="M3" s="41"/>
      <c r="N3" s="41"/>
      <c r="O3" s="41"/>
      <c r="P3" s="41"/>
      <c r="Q3" s="41"/>
      <c r="R3" s="41"/>
      <c r="S3" s="41"/>
      <c r="T3" s="575"/>
      <c r="U3" s="575"/>
      <c r="V3" s="575"/>
      <c r="W3" s="575"/>
    </row>
    <row r="4" ht="18.75" customHeight="1">
      <c r="A4" s="164"/>
      <c r="B4" s="624" t="s">
        <v>1531</v>
      </c>
      <c r="C4" s="621" t="b">
        <v>0</v>
      </c>
      <c r="D4" s="625" t="s">
        <v>1532</v>
      </c>
      <c r="E4" s="626" t="s">
        <v>1533</v>
      </c>
      <c r="F4" s="41"/>
      <c r="G4" s="615"/>
      <c r="H4" s="615"/>
      <c r="I4" s="615"/>
      <c r="J4" s="615"/>
      <c r="K4" s="41"/>
      <c r="L4" s="41"/>
      <c r="M4" s="41"/>
      <c r="N4" s="41"/>
      <c r="O4" s="41"/>
      <c r="P4" s="41"/>
      <c r="Q4" s="41"/>
      <c r="R4" s="41"/>
      <c r="S4" s="41"/>
      <c r="T4" s="575"/>
      <c r="U4" s="575"/>
      <c r="V4" s="575"/>
      <c r="W4" s="575"/>
    </row>
    <row r="5" ht="18.75" customHeight="1">
      <c r="A5" s="627" t="s">
        <v>1534</v>
      </c>
      <c r="B5" s="620" t="s">
        <v>1535</v>
      </c>
      <c r="C5" s="621" t="b">
        <v>0</v>
      </c>
      <c r="D5" s="622" t="s">
        <v>1536</v>
      </c>
      <c r="E5" s="623" t="s">
        <v>1537</v>
      </c>
      <c r="F5" s="41"/>
      <c r="G5" s="615"/>
      <c r="H5" s="615"/>
      <c r="I5" s="615"/>
      <c r="J5" s="615"/>
      <c r="K5" s="41"/>
      <c r="L5" s="41"/>
      <c r="M5" s="41"/>
      <c r="N5" s="41"/>
      <c r="O5" s="41"/>
      <c r="P5" s="41"/>
      <c r="Q5" s="41"/>
      <c r="R5" s="41"/>
      <c r="S5" s="41"/>
      <c r="T5" s="575"/>
      <c r="U5" s="575"/>
      <c r="V5" s="575"/>
      <c r="W5" s="575"/>
    </row>
    <row r="6" ht="18.75" customHeight="1">
      <c r="A6" s="95"/>
      <c r="B6" s="624" t="s">
        <v>1538</v>
      </c>
      <c r="C6" s="621" t="b">
        <v>0</v>
      </c>
      <c r="D6" s="625" t="s">
        <v>1539</v>
      </c>
      <c r="E6" s="626" t="s">
        <v>1540</v>
      </c>
      <c r="F6" s="41"/>
      <c r="G6" s="615"/>
      <c r="H6" s="615"/>
      <c r="I6" s="615"/>
      <c r="J6" s="615"/>
      <c r="K6" s="41"/>
      <c r="L6" s="41"/>
      <c r="M6" s="41"/>
      <c r="N6" s="41"/>
      <c r="O6" s="41"/>
      <c r="P6" s="41"/>
      <c r="Q6" s="41"/>
      <c r="R6" s="41"/>
      <c r="S6" s="41"/>
      <c r="T6" s="575"/>
      <c r="U6" s="575"/>
      <c r="V6" s="575"/>
      <c r="W6" s="575"/>
    </row>
    <row r="7" ht="18.75" customHeight="1">
      <c r="A7" s="95"/>
      <c r="B7" s="624" t="s">
        <v>1541</v>
      </c>
      <c r="C7" s="621" t="b">
        <v>0</v>
      </c>
      <c r="D7" s="625" t="s">
        <v>1542</v>
      </c>
      <c r="E7" s="626" t="s">
        <v>1543</v>
      </c>
      <c r="F7" s="41"/>
      <c r="G7" s="615"/>
      <c r="H7" s="615"/>
      <c r="I7" s="615"/>
      <c r="J7" s="615"/>
      <c r="K7" s="41"/>
      <c r="L7" s="41"/>
      <c r="M7" s="41"/>
      <c r="N7" s="41"/>
      <c r="O7" s="41"/>
      <c r="P7" s="41"/>
      <c r="Q7" s="41"/>
      <c r="R7" s="41"/>
      <c r="S7" s="41"/>
      <c r="T7" s="575"/>
      <c r="U7" s="575"/>
      <c r="V7" s="575"/>
      <c r="W7" s="575"/>
    </row>
    <row r="8" ht="18.75" customHeight="1">
      <c r="A8" s="95"/>
      <c r="B8" s="624" t="s">
        <v>1544</v>
      </c>
      <c r="C8" s="621" t="b">
        <v>0</v>
      </c>
      <c r="D8" s="625" t="s">
        <v>1545</v>
      </c>
      <c r="E8" s="626" t="s">
        <v>1546</v>
      </c>
      <c r="F8" s="41"/>
      <c r="G8" s="615"/>
      <c r="H8" s="615"/>
      <c r="I8" s="615"/>
      <c r="J8" s="615"/>
      <c r="K8" s="41"/>
      <c r="L8" s="41"/>
      <c r="M8" s="41"/>
      <c r="N8" s="41"/>
      <c r="O8" s="41"/>
      <c r="P8" s="41"/>
      <c r="Q8" s="41"/>
      <c r="R8" s="41"/>
      <c r="S8" s="41"/>
      <c r="T8" s="575"/>
      <c r="U8" s="575"/>
      <c r="V8" s="575"/>
      <c r="W8" s="575"/>
    </row>
    <row r="9" ht="18.75" customHeight="1">
      <c r="A9" s="95"/>
      <c r="B9" s="624" t="s">
        <v>1547</v>
      </c>
      <c r="C9" s="621" t="b">
        <v>0</v>
      </c>
      <c r="D9" s="625" t="s">
        <v>1548</v>
      </c>
      <c r="E9" s="626" t="s">
        <v>1549</v>
      </c>
      <c r="F9" s="41"/>
      <c r="G9" s="615"/>
      <c r="H9" s="615"/>
      <c r="I9" s="615"/>
      <c r="J9" s="615"/>
      <c r="K9" s="41"/>
      <c r="L9" s="41"/>
      <c r="M9" s="41"/>
      <c r="N9" s="41"/>
      <c r="O9" s="41"/>
      <c r="P9" s="41"/>
      <c r="Q9" s="41"/>
      <c r="R9" s="41"/>
      <c r="S9" s="41"/>
      <c r="T9" s="575"/>
      <c r="U9" s="575"/>
      <c r="V9" s="575"/>
      <c r="W9" s="575"/>
    </row>
    <row r="10" ht="18.75" customHeight="1">
      <c r="A10" s="95"/>
      <c r="B10" s="624" t="s">
        <v>1550</v>
      </c>
      <c r="C10" s="621" t="b">
        <v>0</v>
      </c>
      <c r="D10" s="625" t="s">
        <v>1551</v>
      </c>
      <c r="E10" s="626" t="s">
        <v>1552</v>
      </c>
      <c r="F10" s="41"/>
      <c r="G10" s="615"/>
      <c r="H10" s="615"/>
      <c r="I10" s="615"/>
      <c r="J10" s="615"/>
      <c r="K10" s="41"/>
      <c r="L10" s="41"/>
      <c r="M10" s="41"/>
      <c r="N10" s="41"/>
      <c r="O10" s="41"/>
      <c r="P10" s="41"/>
      <c r="Q10" s="41"/>
      <c r="R10" s="41"/>
      <c r="S10" s="41"/>
      <c r="T10" s="575"/>
      <c r="U10" s="575"/>
      <c r="V10" s="575"/>
      <c r="W10" s="575"/>
    </row>
    <row r="11" ht="18.75" customHeight="1">
      <c r="A11" s="95"/>
      <c r="B11" s="624" t="s">
        <v>1553</v>
      </c>
      <c r="C11" s="621" t="b">
        <v>0</v>
      </c>
      <c r="D11" s="625" t="s">
        <v>1554</v>
      </c>
      <c r="E11" s="626" t="s">
        <v>1555</v>
      </c>
      <c r="F11" s="41"/>
      <c r="G11" s="615"/>
      <c r="H11" s="615"/>
      <c r="I11" s="615"/>
      <c r="J11" s="615"/>
      <c r="K11" s="41"/>
      <c r="L11" s="41"/>
      <c r="M11" s="41"/>
      <c r="N11" s="41"/>
      <c r="O11" s="41"/>
      <c r="P11" s="41"/>
      <c r="Q11" s="41"/>
      <c r="R11" s="41"/>
      <c r="S11" s="41"/>
      <c r="T11" s="575"/>
      <c r="U11" s="575"/>
      <c r="V11" s="575"/>
      <c r="W11" s="575"/>
    </row>
    <row r="12" ht="18.75" customHeight="1">
      <c r="A12" s="164"/>
      <c r="B12" s="624" t="s">
        <v>1556</v>
      </c>
      <c r="C12" s="621" t="b">
        <v>0</v>
      </c>
      <c r="D12" s="625" t="s">
        <v>1557</v>
      </c>
      <c r="E12" s="626" t="s">
        <v>1558</v>
      </c>
      <c r="F12" s="41"/>
      <c r="G12" s="615"/>
      <c r="H12" s="615"/>
      <c r="I12" s="615"/>
      <c r="J12" s="615"/>
      <c r="K12" s="41"/>
      <c r="L12" s="41"/>
      <c r="M12" s="41"/>
      <c r="N12" s="41"/>
      <c r="O12" s="41"/>
      <c r="P12" s="41"/>
      <c r="Q12" s="41"/>
      <c r="R12" s="41"/>
      <c r="S12" s="41"/>
      <c r="T12" s="575"/>
      <c r="U12" s="575"/>
      <c r="V12" s="575"/>
      <c r="W12" s="575"/>
    </row>
    <row r="13" ht="18.75" customHeight="1">
      <c r="A13" s="628" t="s">
        <v>1559</v>
      </c>
      <c r="B13" s="183"/>
      <c r="C13" s="183"/>
      <c r="D13" s="183"/>
      <c r="E13" s="184"/>
      <c r="F13" s="41"/>
      <c r="G13" s="615"/>
      <c r="H13" s="615"/>
      <c r="I13" s="615"/>
      <c r="J13" s="615"/>
      <c r="K13" s="41"/>
      <c r="L13" s="41"/>
      <c r="M13" s="41"/>
      <c r="N13" s="41"/>
      <c r="O13" s="41"/>
      <c r="P13" s="41"/>
      <c r="Q13" s="41"/>
      <c r="R13" s="41"/>
      <c r="S13" s="41"/>
      <c r="T13" s="575"/>
      <c r="U13" s="575"/>
      <c r="V13" s="575"/>
      <c r="W13" s="575"/>
    </row>
    <row r="14" ht="18.75" customHeight="1">
      <c r="A14" s="629" t="s">
        <v>1560</v>
      </c>
      <c r="B14" s="620" t="s">
        <v>1561</v>
      </c>
      <c r="C14" s="620" t="b">
        <v>0</v>
      </c>
      <c r="D14" s="622" t="s">
        <v>1562</v>
      </c>
      <c r="E14" s="623" t="s">
        <v>1563</v>
      </c>
      <c r="F14" s="41"/>
      <c r="G14" s="615"/>
      <c r="H14" s="615"/>
      <c r="I14" s="615"/>
      <c r="J14" s="615"/>
      <c r="K14" s="41"/>
      <c r="L14" s="41"/>
      <c r="M14" s="41"/>
      <c r="N14" s="41"/>
      <c r="O14" s="41"/>
      <c r="P14" s="41"/>
      <c r="Q14" s="41"/>
      <c r="R14" s="41"/>
      <c r="S14" s="41"/>
      <c r="T14" s="575"/>
      <c r="U14" s="575"/>
      <c r="V14" s="575"/>
      <c r="W14" s="575"/>
    </row>
    <row r="15" ht="18.75" customHeight="1">
      <c r="A15" s="95"/>
      <c r="B15" s="624" t="s">
        <v>1564</v>
      </c>
      <c r="C15" s="620" t="b">
        <v>0</v>
      </c>
      <c r="D15" s="625" t="s">
        <v>1565</v>
      </c>
      <c r="E15" s="623" t="s">
        <v>1566</v>
      </c>
      <c r="F15" s="41"/>
      <c r="G15" s="615"/>
      <c r="H15" s="615"/>
      <c r="I15" s="615"/>
      <c r="J15" s="615"/>
      <c r="K15" s="41"/>
      <c r="L15" s="41"/>
      <c r="M15" s="41"/>
      <c r="N15" s="41"/>
      <c r="O15" s="41"/>
      <c r="P15" s="41"/>
      <c r="Q15" s="41"/>
      <c r="R15" s="41"/>
      <c r="S15" s="41"/>
      <c r="T15" s="575"/>
      <c r="U15" s="575"/>
      <c r="V15" s="575"/>
      <c r="W15" s="575"/>
    </row>
    <row r="16" ht="18.75" customHeight="1">
      <c r="A16" s="95"/>
      <c r="B16" s="624" t="s">
        <v>1544</v>
      </c>
      <c r="C16" s="620" t="b">
        <v>0</v>
      </c>
      <c r="D16" s="625" t="s">
        <v>1567</v>
      </c>
      <c r="E16" s="626" t="s">
        <v>1568</v>
      </c>
      <c r="F16" s="41"/>
      <c r="G16" s="41"/>
      <c r="H16" s="41"/>
      <c r="I16" s="41"/>
      <c r="J16" s="41"/>
      <c r="K16" s="41"/>
      <c r="L16" s="41"/>
      <c r="M16" s="41"/>
      <c r="N16" s="41"/>
      <c r="O16" s="41"/>
      <c r="P16" s="41"/>
      <c r="Q16" s="41"/>
      <c r="R16" s="41"/>
      <c r="S16" s="41"/>
      <c r="T16" s="575"/>
      <c r="U16" s="575"/>
      <c r="V16" s="575"/>
      <c r="W16" s="575"/>
    </row>
    <row r="17" ht="18.75" customHeight="1">
      <c r="A17" s="95"/>
      <c r="B17" s="624" t="s">
        <v>1544</v>
      </c>
      <c r="C17" s="620" t="b">
        <v>0</v>
      </c>
      <c r="D17" s="625" t="s">
        <v>1569</v>
      </c>
      <c r="E17" s="626" t="s">
        <v>1570</v>
      </c>
      <c r="F17" s="41"/>
      <c r="G17" s="41"/>
      <c r="H17" s="41"/>
      <c r="I17" s="41"/>
      <c r="J17" s="41"/>
      <c r="K17" s="41"/>
      <c r="L17" s="41"/>
      <c r="M17" s="41"/>
      <c r="N17" s="41"/>
      <c r="O17" s="41"/>
      <c r="P17" s="41"/>
      <c r="Q17" s="41"/>
      <c r="R17" s="41"/>
      <c r="S17" s="41"/>
      <c r="T17" s="575"/>
      <c r="U17" s="575"/>
      <c r="V17" s="575"/>
      <c r="W17" s="575"/>
    </row>
    <row r="18" ht="22.5" customHeight="1">
      <c r="A18" s="164"/>
      <c r="B18" s="624" t="s">
        <v>1544</v>
      </c>
      <c r="C18" s="620" t="b">
        <v>0</v>
      </c>
      <c r="D18" s="625" t="s">
        <v>1571</v>
      </c>
      <c r="E18" s="626" t="s">
        <v>1572</v>
      </c>
      <c r="F18" s="41"/>
      <c r="G18" s="41"/>
      <c r="H18" s="41"/>
      <c r="I18" s="41"/>
      <c r="J18" s="41"/>
      <c r="K18" s="41"/>
      <c r="L18" s="41"/>
      <c r="M18" s="41"/>
      <c r="N18" s="41"/>
      <c r="O18" s="41"/>
      <c r="P18" s="41"/>
      <c r="Q18" s="41"/>
      <c r="R18" s="41"/>
      <c r="S18" s="41"/>
      <c r="T18" s="575"/>
      <c r="U18" s="575"/>
      <c r="V18" s="575"/>
      <c r="W18" s="575"/>
    </row>
    <row r="19">
      <c r="A19" s="630" t="s">
        <v>1573</v>
      </c>
      <c r="B19" s="620" t="s">
        <v>1574</v>
      </c>
      <c r="C19" s="620" t="b">
        <v>0</v>
      </c>
      <c r="D19" s="622" t="s">
        <v>1575</v>
      </c>
      <c r="E19" s="623" t="s">
        <v>1576</v>
      </c>
      <c r="F19" s="41"/>
      <c r="G19" s="41"/>
      <c r="H19" s="41"/>
      <c r="I19" s="41"/>
      <c r="J19" s="41"/>
      <c r="K19" s="41"/>
      <c r="L19" s="41"/>
      <c r="M19" s="41"/>
      <c r="N19" s="41"/>
      <c r="O19" s="41"/>
      <c r="P19" s="41"/>
      <c r="Q19" s="41"/>
      <c r="R19" s="41"/>
      <c r="S19" s="41"/>
      <c r="T19" s="575"/>
      <c r="U19" s="575"/>
      <c r="V19" s="575"/>
      <c r="W19" s="575"/>
    </row>
    <row r="20">
      <c r="A20" s="95"/>
      <c r="B20" s="624" t="s">
        <v>1577</v>
      </c>
      <c r="C20" s="620" t="b">
        <v>0</v>
      </c>
      <c r="D20" s="625" t="s">
        <v>1578</v>
      </c>
      <c r="E20" s="626" t="s">
        <v>1579</v>
      </c>
      <c r="F20" s="41"/>
      <c r="G20" s="41"/>
      <c r="H20" s="41"/>
      <c r="I20" s="41"/>
      <c r="J20" s="41"/>
      <c r="K20" s="41"/>
      <c r="L20" s="41"/>
      <c r="M20" s="41"/>
      <c r="N20" s="41"/>
      <c r="O20" s="41"/>
      <c r="P20" s="41"/>
      <c r="Q20" s="41"/>
      <c r="R20" s="41"/>
      <c r="S20" s="41"/>
      <c r="T20" s="575"/>
      <c r="U20" s="575"/>
      <c r="V20" s="575"/>
      <c r="W20" s="575"/>
    </row>
    <row r="21">
      <c r="A21" s="95"/>
      <c r="B21" s="624" t="s">
        <v>1580</v>
      </c>
      <c r="C21" s="620" t="b">
        <v>0</v>
      </c>
      <c r="D21" s="625" t="s">
        <v>1581</v>
      </c>
      <c r="E21" s="626" t="s">
        <v>1582</v>
      </c>
      <c r="F21" s="41"/>
      <c r="G21" s="41"/>
      <c r="H21" s="41"/>
      <c r="I21" s="41"/>
      <c r="J21" s="41"/>
      <c r="K21" s="41"/>
      <c r="L21" s="41"/>
      <c r="M21" s="41"/>
      <c r="N21" s="41"/>
      <c r="O21" s="41"/>
      <c r="P21" s="41"/>
      <c r="Q21" s="41"/>
      <c r="R21" s="41"/>
      <c r="S21" s="41"/>
      <c r="T21" s="575"/>
      <c r="U21" s="575"/>
      <c r="V21" s="575"/>
      <c r="W21" s="575"/>
    </row>
    <row r="22">
      <c r="A22" s="95"/>
      <c r="B22" s="624" t="s">
        <v>1583</v>
      </c>
      <c r="C22" s="620" t="b">
        <v>0</v>
      </c>
      <c r="D22" s="625" t="s">
        <v>1584</v>
      </c>
      <c r="E22" s="626" t="s">
        <v>1585</v>
      </c>
      <c r="F22" s="41"/>
      <c r="G22" s="41"/>
      <c r="H22" s="41"/>
      <c r="I22" s="41"/>
      <c r="J22" s="41"/>
      <c r="K22" s="41"/>
      <c r="L22" s="41"/>
      <c r="M22" s="41"/>
      <c r="N22" s="41"/>
      <c r="O22" s="41"/>
      <c r="P22" s="41"/>
      <c r="Q22" s="41"/>
      <c r="R22" s="41"/>
      <c r="S22" s="41"/>
      <c r="T22" s="575"/>
      <c r="U22" s="575"/>
      <c r="V22" s="575"/>
      <c r="W22" s="575"/>
    </row>
    <row r="23" ht="18.75" customHeight="1">
      <c r="A23" s="164"/>
      <c r="B23" s="631" t="s">
        <v>1586</v>
      </c>
      <c r="C23" s="620" t="b">
        <v>0</v>
      </c>
      <c r="D23" s="625" t="s">
        <v>1587</v>
      </c>
      <c r="E23" s="626" t="s">
        <v>1588</v>
      </c>
      <c r="F23" s="41"/>
      <c r="G23" s="41"/>
      <c r="H23" s="41"/>
      <c r="I23" s="41"/>
      <c r="J23" s="41"/>
      <c r="K23" s="41"/>
      <c r="L23" s="41"/>
      <c r="M23" s="41"/>
      <c r="N23" s="41"/>
      <c r="O23" s="41"/>
      <c r="P23" s="41"/>
      <c r="Q23" s="41"/>
      <c r="R23" s="41"/>
      <c r="S23" s="41"/>
      <c r="T23" s="575"/>
      <c r="U23" s="575"/>
      <c r="V23" s="575"/>
      <c r="W23" s="575"/>
    </row>
    <row r="24" ht="18.75" customHeight="1">
      <c r="A24" s="632" t="s">
        <v>1589</v>
      </c>
      <c r="B24" s="620" t="s">
        <v>1513</v>
      </c>
      <c r="C24" s="620" t="b">
        <v>0</v>
      </c>
      <c r="D24" s="622" t="s">
        <v>1590</v>
      </c>
      <c r="E24" s="623" t="s">
        <v>1591</v>
      </c>
      <c r="F24" s="41"/>
      <c r="G24" s="41"/>
      <c r="H24" s="41"/>
      <c r="I24" s="41"/>
      <c r="J24" s="41"/>
      <c r="K24" s="41"/>
      <c r="L24" s="41"/>
      <c r="M24" s="41"/>
      <c r="N24" s="41"/>
      <c r="O24" s="41"/>
      <c r="P24" s="41"/>
      <c r="Q24" s="41"/>
      <c r="R24" s="41"/>
      <c r="S24" s="41"/>
      <c r="T24" s="575"/>
      <c r="U24" s="575"/>
      <c r="V24" s="575"/>
      <c r="W24" s="575"/>
    </row>
    <row r="25" ht="18.75" customHeight="1">
      <c r="A25" s="95"/>
      <c r="B25" s="633"/>
      <c r="C25" s="634" t="b">
        <v>0</v>
      </c>
      <c r="D25" s="625" t="s">
        <v>1592</v>
      </c>
      <c r="E25" s="626" t="s">
        <v>1593</v>
      </c>
      <c r="F25" s="41"/>
      <c r="G25" s="41"/>
      <c r="H25" s="41"/>
      <c r="I25" s="41"/>
      <c r="J25" s="41"/>
      <c r="K25" s="41"/>
      <c r="L25" s="41"/>
      <c r="M25" s="41"/>
      <c r="N25" s="41"/>
      <c r="O25" s="41"/>
      <c r="P25" s="41"/>
      <c r="Q25" s="41"/>
      <c r="R25" s="41"/>
      <c r="S25" s="41"/>
      <c r="T25" s="575"/>
      <c r="U25" s="575"/>
      <c r="V25" s="575"/>
      <c r="W25" s="575"/>
    </row>
    <row r="26">
      <c r="A26" s="95"/>
      <c r="B26" s="635" t="s">
        <v>1594</v>
      </c>
      <c r="C26" s="634" t="b">
        <v>0</v>
      </c>
      <c r="D26" s="636" t="s">
        <v>1595</v>
      </c>
      <c r="E26" s="637" t="s">
        <v>1596</v>
      </c>
      <c r="F26" s="41"/>
      <c r="G26" s="41"/>
      <c r="H26" s="41"/>
      <c r="I26" s="41"/>
      <c r="J26" s="41"/>
      <c r="K26" s="41"/>
      <c r="L26" s="41"/>
      <c r="M26" s="41"/>
      <c r="N26" s="41"/>
      <c r="O26" s="41"/>
      <c r="P26" s="41"/>
      <c r="Q26" s="41"/>
      <c r="R26" s="41"/>
      <c r="S26" s="41"/>
      <c r="T26" s="575"/>
      <c r="U26" s="575"/>
      <c r="V26" s="575"/>
      <c r="W26" s="575"/>
    </row>
    <row r="27">
      <c r="A27" s="164"/>
      <c r="B27" s="635" t="s">
        <v>1597</v>
      </c>
      <c r="C27" s="634" t="b">
        <v>0</v>
      </c>
      <c r="D27" s="636" t="s">
        <v>1598</v>
      </c>
      <c r="E27" s="637" t="s">
        <v>1599</v>
      </c>
      <c r="F27" s="41"/>
      <c r="G27" s="41"/>
      <c r="H27" s="41"/>
      <c r="I27" s="41"/>
      <c r="J27" s="41"/>
      <c r="K27" s="41"/>
      <c r="L27" s="41"/>
      <c r="M27" s="41"/>
      <c r="N27" s="41"/>
      <c r="O27" s="41"/>
      <c r="P27" s="41"/>
      <c r="Q27" s="41"/>
      <c r="R27" s="41"/>
      <c r="S27" s="41"/>
      <c r="T27" s="575"/>
      <c r="U27" s="575"/>
      <c r="V27" s="575"/>
      <c r="W27" s="575"/>
    </row>
    <row r="28">
      <c r="A28" s="638" t="s">
        <v>1600</v>
      </c>
      <c r="B28" s="639" t="s">
        <v>1601</v>
      </c>
      <c r="C28" s="634" t="b">
        <v>0</v>
      </c>
      <c r="D28" s="640" t="s">
        <v>1602</v>
      </c>
      <c r="E28" s="641" t="s">
        <v>1603</v>
      </c>
      <c r="F28" s="41"/>
      <c r="G28" s="41"/>
      <c r="H28" s="41"/>
      <c r="I28" s="41"/>
      <c r="J28" s="41"/>
      <c r="K28" s="41"/>
      <c r="L28" s="41"/>
      <c r="M28" s="41"/>
      <c r="N28" s="41"/>
      <c r="O28" s="41"/>
      <c r="P28" s="41"/>
      <c r="Q28" s="41"/>
      <c r="R28" s="41"/>
      <c r="S28" s="41"/>
      <c r="T28" s="575"/>
      <c r="U28" s="575"/>
      <c r="V28" s="575"/>
      <c r="W28" s="575"/>
    </row>
    <row r="29">
      <c r="A29" s="95"/>
      <c r="B29" s="642" t="s">
        <v>1604</v>
      </c>
      <c r="C29" s="634" t="b">
        <v>0</v>
      </c>
      <c r="D29" s="643" t="s">
        <v>1605</v>
      </c>
      <c r="E29" s="644" t="s">
        <v>1606</v>
      </c>
      <c r="F29" s="41"/>
      <c r="G29" s="41"/>
      <c r="H29" s="41"/>
      <c r="I29" s="41"/>
      <c r="J29" s="41"/>
      <c r="K29" s="41"/>
      <c r="L29" s="41"/>
      <c r="M29" s="41"/>
      <c r="N29" s="41"/>
      <c r="O29" s="41"/>
      <c r="P29" s="41"/>
      <c r="Q29" s="41"/>
      <c r="R29" s="41"/>
      <c r="S29" s="41"/>
      <c r="T29" s="575"/>
      <c r="U29" s="575"/>
      <c r="V29" s="575"/>
      <c r="W29" s="575"/>
    </row>
    <row r="30">
      <c r="A30" s="95"/>
      <c r="B30" s="642" t="s">
        <v>1604</v>
      </c>
      <c r="C30" s="634" t="b">
        <v>0</v>
      </c>
      <c r="D30" s="643" t="s">
        <v>1607</v>
      </c>
      <c r="E30" s="644" t="s">
        <v>1608</v>
      </c>
      <c r="F30" s="41"/>
      <c r="G30" s="41"/>
      <c r="H30" s="41"/>
      <c r="I30" s="41"/>
      <c r="J30" s="41"/>
      <c r="K30" s="41"/>
      <c r="L30" s="41"/>
      <c r="M30" s="41"/>
      <c r="N30" s="41"/>
      <c r="O30" s="41"/>
      <c r="P30" s="41"/>
      <c r="Q30" s="41"/>
      <c r="R30" s="41"/>
      <c r="S30" s="41"/>
      <c r="T30" s="575"/>
      <c r="U30" s="575"/>
      <c r="V30" s="575"/>
      <c r="W30" s="575"/>
    </row>
    <row r="31">
      <c r="A31" s="95"/>
      <c r="B31" s="642" t="s">
        <v>1604</v>
      </c>
      <c r="C31" s="634" t="b">
        <v>0</v>
      </c>
      <c r="D31" s="643" t="s">
        <v>1609</v>
      </c>
      <c r="E31" s="644" t="s">
        <v>1610</v>
      </c>
      <c r="F31" s="41"/>
      <c r="G31" s="41"/>
      <c r="H31" s="41"/>
      <c r="I31" s="41"/>
      <c r="J31" s="41"/>
      <c r="K31" s="41"/>
      <c r="L31" s="41"/>
      <c r="M31" s="41"/>
      <c r="N31" s="41"/>
      <c r="O31" s="41"/>
      <c r="P31" s="41"/>
      <c r="Q31" s="41"/>
      <c r="R31" s="41"/>
      <c r="S31" s="41"/>
      <c r="T31" s="575"/>
      <c r="U31" s="575"/>
      <c r="V31" s="575"/>
      <c r="W31" s="575"/>
    </row>
    <row r="32">
      <c r="A32" s="95"/>
      <c r="B32" s="642" t="s">
        <v>1611</v>
      </c>
      <c r="C32" s="634" t="b">
        <v>0</v>
      </c>
      <c r="D32" s="643" t="s">
        <v>1612</v>
      </c>
      <c r="E32" s="644" t="s">
        <v>1613</v>
      </c>
      <c r="F32" s="41"/>
      <c r="G32" s="41"/>
      <c r="H32" s="41"/>
      <c r="I32" s="41"/>
      <c r="J32" s="41"/>
      <c r="K32" s="41"/>
      <c r="L32" s="41"/>
      <c r="M32" s="41"/>
      <c r="N32" s="41"/>
      <c r="O32" s="41"/>
      <c r="P32" s="41"/>
      <c r="Q32" s="41"/>
      <c r="R32" s="41"/>
      <c r="S32" s="41"/>
      <c r="T32" s="575"/>
      <c r="U32" s="575"/>
      <c r="V32" s="575"/>
      <c r="W32" s="575"/>
    </row>
    <row r="33">
      <c r="A33" s="164"/>
      <c r="B33" s="642" t="s">
        <v>1611</v>
      </c>
      <c r="C33" s="634" t="b">
        <v>0</v>
      </c>
      <c r="D33" s="643" t="s">
        <v>1614</v>
      </c>
      <c r="E33" s="644" t="s">
        <v>1615</v>
      </c>
      <c r="F33" s="41"/>
      <c r="G33" s="41"/>
      <c r="H33" s="41"/>
      <c r="I33" s="41"/>
      <c r="J33" s="41"/>
      <c r="K33" s="41"/>
      <c r="L33" s="41"/>
      <c r="M33" s="41"/>
      <c r="N33" s="41"/>
      <c r="O33" s="41"/>
      <c r="P33" s="41"/>
      <c r="Q33" s="41"/>
      <c r="R33" s="41"/>
      <c r="S33" s="41"/>
      <c r="T33" s="575"/>
      <c r="U33" s="575"/>
      <c r="V33" s="575"/>
      <c r="W33" s="575"/>
    </row>
    <row r="34">
      <c r="A34" s="645" t="s">
        <v>1616</v>
      </c>
      <c r="B34" s="639" t="s">
        <v>1495</v>
      </c>
      <c r="C34" s="634" t="b">
        <v>0</v>
      </c>
      <c r="D34" s="640" t="s">
        <v>1617</v>
      </c>
      <c r="E34" s="641" t="s">
        <v>1618</v>
      </c>
      <c r="F34" s="41"/>
      <c r="G34" s="41"/>
      <c r="H34" s="41"/>
      <c r="I34" s="41"/>
      <c r="J34" s="41"/>
      <c r="K34" s="41"/>
      <c r="L34" s="41"/>
      <c r="M34" s="41"/>
      <c r="N34" s="41"/>
      <c r="O34" s="41"/>
      <c r="P34" s="41"/>
      <c r="Q34" s="41"/>
      <c r="R34" s="41"/>
      <c r="S34" s="41"/>
      <c r="T34" s="575"/>
      <c r="U34" s="575"/>
      <c r="V34" s="575"/>
      <c r="W34" s="575"/>
    </row>
    <row r="35">
      <c r="A35" s="95"/>
      <c r="B35" s="642" t="s">
        <v>1619</v>
      </c>
      <c r="C35" s="634" t="b">
        <v>0</v>
      </c>
      <c r="D35" s="643" t="s">
        <v>1620</v>
      </c>
      <c r="E35" s="644" t="s">
        <v>1621</v>
      </c>
      <c r="F35" s="41"/>
      <c r="G35" s="41"/>
      <c r="H35" s="41"/>
      <c r="I35" s="41"/>
      <c r="J35" s="41"/>
      <c r="K35" s="41"/>
      <c r="L35" s="41"/>
      <c r="M35" s="41"/>
      <c r="N35" s="41"/>
      <c r="O35" s="41"/>
      <c r="P35" s="41"/>
      <c r="Q35" s="41"/>
      <c r="R35" s="41"/>
      <c r="S35" s="41"/>
      <c r="T35" s="575"/>
      <c r="U35" s="575"/>
      <c r="V35" s="575"/>
      <c r="W35" s="575"/>
    </row>
    <row r="36">
      <c r="A36" s="95"/>
      <c r="B36" s="642" t="s">
        <v>1622</v>
      </c>
      <c r="C36" s="634" t="b">
        <v>0</v>
      </c>
      <c r="D36" s="643" t="s">
        <v>1623</v>
      </c>
      <c r="E36" s="644" t="s">
        <v>1624</v>
      </c>
      <c r="F36" s="41"/>
      <c r="G36" s="41"/>
      <c r="H36" s="41"/>
      <c r="I36" s="41"/>
      <c r="J36" s="41"/>
      <c r="K36" s="41"/>
      <c r="L36" s="41"/>
      <c r="M36" s="41"/>
      <c r="N36" s="41"/>
      <c r="O36" s="41"/>
      <c r="P36" s="41"/>
      <c r="Q36" s="41"/>
      <c r="R36" s="41"/>
      <c r="S36" s="41"/>
      <c r="T36" s="575"/>
      <c r="U36" s="575"/>
      <c r="V36" s="575"/>
      <c r="W36" s="575"/>
    </row>
    <row r="37">
      <c r="A37" s="95"/>
      <c r="B37" s="635" t="s">
        <v>1625</v>
      </c>
      <c r="C37" s="634" t="b">
        <v>0</v>
      </c>
      <c r="D37" s="646" t="s">
        <v>1626</v>
      </c>
      <c r="E37" s="637" t="s">
        <v>1627</v>
      </c>
      <c r="F37" s="41"/>
      <c r="G37" s="41"/>
      <c r="H37" s="41"/>
      <c r="I37" s="41"/>
      <c r="J37" s="41"/>
      <c r="K37" s="41"/>
      <c r="L37" s="41"/>
      <c r="M37" s="41"/>
      <c r="N37" s="41"/>
      <c r="O37" s="41"/>
      <c r="P37" s="41"/>
      <c r="Q37" s="41"/>
      <c r="R37" s="41"/>
      <c r="S37" s="41"/>
      <c r="T37" s="575"/>
      <c r="U37" s="575"/>
      <c r="V37" s="575"/>
      <c r="W37" s="575"/>
    </row>
    <row r="38">
      <c r="A38" s="95"/>
      <c r="B38" s="647" t="s">
        <v>1628</v>
      </c>
      <c r="C38" s="634" t="b">
        <v>0</v>
      </c>
      <c r="D38" s="648" t="s">
        <v>1629</v>
      </c>
      <c r="E38" s="649" t="s">
        <v>1630</v>
      </c>
      <c r="F38" s="41"/>
      <c r="G38" s="41"/>
      <c r="H38" s="41"/>
      <c r="I38" s="41"/>
      <c r="J38" s="41"/>
      <c r="K38" s="41"/>
      <c r="L38" s="41"/>
      <c r="M38" s="41"/>
      <c r="N38" s="41"/>
      <c r="O38" s="41"/>
      <c r="P38" s="41"/>
      <c r="Q38" s="41"/>
      <c r="R38" s="41"/>
      <c r="S38" s="41"/>
      <c r="T38" s="575"/>
      <c r="U38" s="575"/>
      <c r="V38" s="575"/>
      <c r="W38" s="575"/>
    </row>
    <row r="39">
      <c r="A39" s="95"/>
      <c r="B39" s="635" t="s">
        <v>1631</v>
      </c>
      <c r="C39" s="634" t="b">
        <v>0</v>
      </c>
      <c r="D39" s="646" t="s">
        <v>1632</v>
      </c>
      <c r="E39" s="650" t="s">
        <v>1633</v>
      </c>
      <c r="F39" s="41"/>
      <c r="G39" s="41"/>
      <c r="H39" s="41"/>
      <c r="I39" s="41"/>
      <c r="J39" s="41"/>
      <c r="K39" s="41"/>
      <c r="L39" s="41"/>
      <c r="M39" s="41"/>
      <c r="N39" s="41"/>
      <c r="O39" s="41"/>
      <c r="P39" s="41"/>
      <c r="Q39" s="41"/>
      <c r="R39" s="41"/>
      <c r="S39" s="41"/>
      <c r="T39" s="575"/>
      <c r="U39" s="575"/>
      <c r="V39" s="575"/>
      <c r="W39" s="575"/>
    </row>
    <row r="40">
      <c r="A40" s="95"/>
      <c r="B40" s="635" t="s">
        <v>1634</v>
      </c>
      <c r="C40" s="634" t="b">
        <v>0</v>
      </c>
      <c r="D40" s="646" t="s">
        <v>1635</v>
      </c>
      <c r="E40" s="650" t="s">
        <v>1636</v>
      </c>
      <c r="F40" s="41"/>
      <c r="G40" s="41"/>
      <c r="H40" s="41"/>
      <c r="I40" s="41"/>
      <c r="J40" s="41"/>
      <c r="K40" s="41"/>
      <c r="L40" s="41"/>
      <c r="M40" s="41"/>
      <c r="N40" s="41"/>
      <c r="O40" s="41"/>
      <c r="P40" s="41"/>
      <c r="Q40" s="41"/>
      <c r="R40" s="41"/>
      <c r="S40" s="41"/>
      <c r="T40" s="575"/>
      <c r="U40" s="575"/>
      <c r="V40" s="575"/>
      <c r="W40" s="575"/>
    </row>
    <row r="41">
      <c r="A41" s="95"/>
      <c r="B41" s="635" t="s">
        <v>1637</v>
      </c>
      <c r="C41" s="634" t="b">
        <v>0</v>
      </c>
      <c r="D41" s="646" t="s">
        <v>1638</v>
      </c>
      <c r="E41" s="650" t="s">
        <v>1639</v>
      </c>
      <c r="F41" s="41"/>
      <c r="G41" s="41"/>
      <c r="H41" s="41"/>
      <c r="I41" s="41"/>
      <c r="J41" s="41"/>
      <c r="K41" s="41"/>
      <c r="L41" s="41"/>
      <c r="M41" s="41"/>
      <c r="N41" s="41"/>
      <c r="O41" s="41"/>
      <c r="P41" s="41"/>
      <c r="Q41" s="41"/>
      <c r="R41" s="41"/>
      <c r="S41" s="41"/>
      <c r="T41" s="575"/>
      <c r="U41" s="575"/>
      <c r="V41" s="575"/>
      <c r="W41" s="575"/>
    </row>
    <row r="42">
      <c r="A42" s="95"/>
      <c r="B42" s="635" t="s">
        <v>1619</v>
      </c>
      <c r="C42" s="634" t="b">
        <v>0</v>
      </c>
      <c r="D42" s="646" t="s">
        <v>1640</v>
      </c>
      <c r="E42" s="650" t="s">
        <v>1641</v>
      </c>
      <c r="F42" s="41"/>
      <c r="G42" s="41"/>
      <c r="H42" s="41"/>
      <c r="I42" s="41"/>
      <c r="J42" s="41"/>
      <c r="K42" s="41"/>
      <c r="L42" s="41"/>
      <c r="M42" s="41"/>
      <c r="N42" s="41"/>
      <c r="O42" s="41"/>
      <c r="P42" s="41"/>
      <c r="Q42" s="41"/>
      <c r="R42" s="41"/>
      <c r="S42" s="41"/>
      <c r="T42" s="575"/>
      <c r="U42" s="575"/>
      <c r="V42" s="575"/>
      <c r="W42" s="575"/>
    </row>
    <row r="43">
      <c r="A43" s="164"/>
      <c r="B43" s="635" t="s">
        <v>1479</v>
      </c>
      <c r="C43" s="634" t="b">
        <v>0</v>
      </c>
      <c r="D43" s="646" t="s">
        <v>1642</v>
      </c>
      <c r="E43" s="650" t="s">
        <v>1643</v>
      </c>
      <c r="F43" s="41"/>
      <c r="G43" s="41"/>
      <c r="H43" s="41"/>
      <c r="I43" s="41"/>
      <c r="J43" s="41"/>
      <c r="K43" s="41"/>
      <c r="L43" s="41"/>
      <c r="M43" s="41"/>
      <c r="N43" s="41"/>
      <c r="O43" s="41"/>
      <c r="P43" s="41"/>
      <c r="Q43" s="41"/>
      <c r="R43" s="41"/>
      <c r="S43" s="41"/>
      <c r="T43" s="575"/>
      <c r="U43" s="575"/>
      <c r="V43" s="575"/>
      <c r="W43" s="575"/>
    </row>
    <row r="44">
      <c r="A44" s="651" t="s">
        <v>1417</v>
      </c>
      <c r="B44" s="652" t="s">
        <v>1611</v>
      </c>
      <c r="C44" s="634" t="b">
        <v>0</v>
      </c>
      <c r="D44" s="653" t="s">
        <v>1644</v>
      </c>
      <c r="E44" s="654" t="s">
        <v>1645</v>
      </c>
      <c r="F44" s="41"/>
      <c r="G44" s="41"/>
      <c r="H44" s="41"/>
      <c r="I44" s="41"/>
      <c r="J44" s="41"/>
      <c r="K44" s="41"/>
      <c r="L44" s="41"/>
      <c r="M44" s="41"/>
      <c r="N44" s="41"/>
      <c r="O44" s="41"/>
      <c r="P44" s="41"/>
      <c r="Q44" s="41"/>
      <c r="R44" s="41"/>
      <c r="S44" s="41"/>
      <c r="T44" s="575"/>
      <c r="U44" s="575"/>
      <c r="V44" s="575"/>
      <c r="W44" s="575"/>
    </row>
    <row r="45">
      <c r="A45" s="95"/>
      <c r="B45" s="642" t="s">
        <v>1646</v>
      </c>
      <c r="C45" s="634" t="b">
        <v>0</v>
      </c>
      <c r="D45" s="643" t="s">
        <v>1647</v>
      </c>
      <c r="E45" s="655" t="s">
        <v>1648</v>
      </c>
      <c r="F45" s="41"/>
      <c r="G45" s="41"/>
      <c r="H45" s="41"/>
      <c r="I45" s="41"/>
      <c r="J45" s="41"/>
      <c r="K45" s="41"/>
      <c r="L45" s="41"/>
      <c r="M45" s="41"/>
      <c r="N45" s="41"/>
      <c r="O45" s="41"/>
      <c r="P45" s="41"/>
      <c r="Q45" s="41"/>
      <c r="R45" s="41"/>
      <c r="S45" s="41"/>
      <c r="T45" s="575"/>
      <c r="U45" s="575"/>
      <c r="V45" s="575"/>
      <c r="W45" s="575"/>
    </row>
    <row r="46">
      <c r="A46" s="95"/>
      <c r="B46" s="642" t="s">
        <v>1649</v>
      </c>
      <c r="C46" s="634" t="b">
        <v>0</v>
      </c>
      <c r="D46" s="643" t="s">
        <v>1650</v>
      </c>
      <c r="E46" s="655" t="s">
        <v>1651</v>
      </c>
      <c r="F46" s="41"/>
      <c r="G46" s="41"/>
      <c r="H46" s="41"/>
      <c r="I46" s="41"/>
      <c r="J46" s="41"/>
      <c r="K46" s="41"/>
      <c r="L46" s="41"/>
      <c r="M46" s="41"/>
      <c r="N46" s="41"/>
      <c r="O46" s="41"/>
      <c r="P46" s="41"/>
      <c r="Q46" s="41"/>
      <c r="R46" s="41"/>
      <c r="S46" s="41"/>
      <c r="T46" s="575"/>
      <c r="U46" s="575"/>
      <c r="V46" s="575"/>
      <c r="W46" s="575"/>
    </row>
    <row r="47">
      <c r="A47" s="95"/>
      <c r="B47" s="642" t="s">
        <v>1652</v>
      </c>
      <c r="C47" s="634" t="b">
        <v>0</v>
      </c>
      <c r="D47" s="643" t="s">
        <v>1653</v>
      </c>
      <c r="E47" s="655" t="s">
        <v>1654</v>
      </c>
      <c r="F47" s="41"/>
      <c r="G47" s="41"/>
      <c r="H47" s="41"/>
      <c r="I47" s="41"/>
      <c r="J47" s="41"/>
      <c r="K47" s="41"/>
      <c r="L47" s="41"/>
      <c r="M47" s="41"/>
      <c r="N47" s="41"/>
      <c r="O47" s="41"/>
      <c r="P47" s="41"/>
      <c r="Q47" s="41"/>
      <c r="R47" s="41"/>
      <c r="S47" s="41"/>
      <c r="T47" s="575"/>
      <c r="U47" s="575"/>
      <c r="V47" s="575"/>
      <c r="W47" s="575"/>
    </row>
    <row r="48">
      <c r="A48" s="95"/>
      <c r="B48" s="642" t="s">
        <v>1655</v>
      </c>
      <c r="C48" s="634" t="b">
        <v>0</v>
      </c>
      <c r="D48" s="643" t="s">
        <v>1656</v>
      </c>
      <c r="E48" s="644" t="s">
        <v>1657</v>
      </c>
      <c r="F48" s="41"/>
      <c r="G48" s="41"/>
      <c r="H48" s="41"/>
      <c r="I48" s="41"/>
      <c r="J48" s="41"/>
      <c r="K48" s="41"/>
      <c r="L48" s="41"/>
      <c r="M48" s="41"/>
      <c r="N48" s="41"/>
      <c r="O48" s="41"/>
      <c r="P48" s="41"/>
      <c r="Q48" s="41"/>
      <c r="R48" s="41"/>
      <c r="S48" s="41"/>
      <c r="T48" s="575"/>
      <c r="U48" s="575"/>
      <c r="V48" s="575"/>
      <c r="W48" s="575"/>
    </row>
    <row r="49">
      <c r="A49" s="95"/>
      <c r="B49" s="642" t="s">
        <v>1658</v>
      </c>
      <c r="C49" s="634" t="b">
        <v>0</v>
      </c>
      <c r="D49" s="643" t="s">
        <v>1659</v>
      </c>
      <c r="E49" s="644" t="s">
        <v>1660</v>
      </c>
      <c r="F49" s="41"/>
      <c r="G49" s="41"/>
      <c r="H49" s="41"/>
      <c r="I49" s="41"/>
      <c r="J49" s="41"/>
      <c r="K49" s="41"/>
      <c r="L49" s="41"/>
      <c r="M49" s="41"/>
      <c r="N49" s="41"/>
      <c r="O49" s="41"/>
      <c r="P49" s="41"/>
      <c r="Q49" s="41"/>
      <c r="R49" s="41"/>
      <c r="S49" s="41"/>
      <c r="T49" s="575"/>
      <c r="U49" s="575"/>
      <c r="V49" s="575"/>
      <c r="W49" s="575"/>
    </row>
    <row r="50">
      <c r="A50" s="95"/>
      <c r="B50" s="642" t="s">
        <v>1661</v>
      </c>
      <c r="C50" s="634" t="b">
        <v>0</v>
      </c>
      <c r="D50" s="643" t="s">
        <v>1662</v>
      </c>
      <c r="E50" s="644" t="s">
        <v>1663</v>
      </c>
      <c r="F50" s="41"/>
      <c r="G50" s="41"/>
      <c r="H50" s="41"/>
      <c r="I50" s="41"/>
      <c r="J50" s="41"/>
      <c r="K50" s="41"/>
      <c r="L50" s="41"/>
      <c r="M50" s="41"/>
      <c r="N50" s="41"/>
      <c r="O50" s="41"/>
      <c r="P50" s="41"/>
      <c r="Q50" s="41"/>
      <c r="R50" s="41"/>
      <c r="S50" s="41"/>
      <c r="T50" s="575"/>
      <c r="U50" s="575"/>
      <c r="V50" s="575"/>
      <c r="W50" s="575"/>
    </row>
    <row r="51">
      <c r="A51" s="95"/>
      <c r="B51" s="642" t="s">
        <v>1664</v>
      </c>
      <c r="C51" s="634" t="b">
        <v>0</v>
      </c>
      <c r="D51" s="643" t="s">
        <v>1665</v>
      </c>
      <c r="E51" s="644" t="s">
        <v>1666</v>
      </c>
      <c r="F51" s="41"/>
      <c r="G51" s="41"/>
      <c r="H51" s="41"/>
      <c r="I51" s="41"/>
      <c r="J51" s="41"/>
      <c r="K51" s="41"/>
      <c r="L51" s="41"/>
      <c r="M51" s="41"/>
      <c r="N51" s="41"/>
      <c r="O51" s="41"/>
      <c r="P51" s="41"/>
      <c r="Q51" s="41"/>
      <c r="R51" s="41"/>
      <c r="S51" s="41"/>
      <c r="T51" s="575"/>
      <c r="U51" s="575"/>
      <c r="V51" s="575"/>
      <c r="W51" s="575"/>
    </row>
    <row r="52">
      <c r="A52" s="95"/>
      <c r="B52" s="642" t="s">
        <v>1667</v>
      </c>
      <c r="C52" s="634" t="b">
        <v>0</v>
      </c>
      <c r="D52" s="643" t="s">
        <v>1668</v>
      </c>
      <c r="E52" s="644" t="s">
        <v>1669</v>
      </c>
      <c r="F52" s="41"/>
      <c r="G52" s="41"/>
      <c r="H52" s="41"/>
      <c r="I52" s="41"/>
      <c r="J52" s="41"/>
      <c r="K52" s="41"/>
      <c r="L52" s="41"/>
      <c r="M52" s="41"/>
      <c r="N52" s="41"/>
      <c r="O52" s="41"/>
      <c r="P52" s="41"/>
      <c r="Q52" s="41"/>
      <c r="R52" s="41"/>
      <c r="S52" s="41"/>
      <c r="T52" s="575"/>
      <c r="U52" s="575"/>
      <c r="V52" s="575"/>
      <c r="W52" s="575"/>
    </row>
    <row r="53">
      <c r="A53" s="95"/>
      <c r="B53" s="642" t="s">
        <v>1670</v>
      </c>
      <c r="C53" s="634" t="b">
        <v>0</v>
      </c>
      <c r="D53" s="643" t="s">
        <v>1671</v>
      </c>
      <c r="E53" s="644" t="s">
        <v>1672</v>
      </c>
      <c r="F53" s="41"/>
      <c r="G53" s="41"/>
      <c r="H53" s="41"/>
      <c r="I53" s="41"/>
      <c r="J53" s="41"/>
      <c r="K53" s="41"/>
      <c r="L53" s="41"/>
      <c r="M53" s="41"/>
      <c r="N53" s="41"/>
      <c r="O53" s="41"/>
      <c r="P53" s="41"/>
      <c r="Q53" s="41"/>
      <c r="R53" s="41"/>
      <c r="S53" s="41"/>
      <c r="T53" s="575"/>
      <c r="U53" s="575"/>
      <c r="V53" s="575"/>
      <c r="W53" s="575"/>
    </row>
    <row r="54">
      <c r="A54" s="164"/>
      <c r="B54" s="642" t="s">
        <v>1649</v>
      </c>
      <c r="C54" s="634" t="b">
        <v>0</v>
      </c>
      <c r="D54" s="643" t="s">
        <v>1673</v>
      </c>
      <c r="E54" s="644" t="s">
        <v>1674</v>
      </c>
      <c r="F54" s="41"/>
      <c r="G54" s="41"/>
      <c r="H54" s="41"/>
      <c r="I54" s="41"/>
      <c r="J54" s="41"/>
      <c r="K54" s="41"/>
      <c r="L54" s="41"/>
      <c r="M54" s="41"/>
      <c r="N54" s="41"/>
      <c r="O54" s="41"/>
      <c r="P54" s="41"/>
      <c r="Q54" s="41"/>
      <c r="R54" s="41"/>
      <c r="S54" s="41"/>
      <c r="T54" s="575"/>
      <c r="U54" s="575"/>
      <c r="V54" s="575"/>
      <c r="W54" s="575"/>
    </row>
    <row r="55">
      <c r="A55" s="656" t="s">
        <v>1419</v>
      </c>
      <c r="B55" s="652" t="s">
        <v>1658</v>
      </c>
      <c r="C55" s="634" t="b">
        <v>0</v>
      </c>
      <c r="D55" s="653" t="s">
        <v>1675</v>
      </c>
      <c r="E55" s="657" t="s">
        <v>1676</v>
      </c>
      <c r="F55" s="45"/>
      <c r="G55" s="45"/>
      <c r="H55" s="45"/>
      <c r="I55" s="45"/>
      <c r="J55" s="45"/>
      <c r="K55" s="45"/>
      <c r="L55" s="45"/>
      <c r="M55" s="45"/>
      <c r="N55" s="45"/>
      <c r="O55" s="45"/>
      <c r="P55" s="45"/>
      <c r="Q55" s="45"/>
      <c r="R55" s="45"/>
      <c r="S55" s="45"/>
      <c r="T55" s="575"/>
      <c r="U55" s="575"/>
      <c r="V55" s="575"/>
      <c r="W55" s="575"/>
    </row>
    <row r="56">
      <c r="A56" s="95"/>
      <c r="B56" s="642" t="s">
        <v>1677</v>
      </c>
      <c r="C56" s="634" t="b">
        <v>0</v>
      </c>
      <c r="D56" s="643" t="s">
        <v>1678</v>
      </c>
      <c r="E56" s="658" t="s">
        <v>1679</v>
      </c>
      <c r="F56" s="45"/>
      <c r="G56" s="45"/>
      <c r="H56" s="45"/>
      <c r="I56" s="45"/>
      <c r="J56" s="45"/>
      <c r="K56" s="45"/>
      <c r="L56" s="45"/>
      <c r="M56" s="45"/>
      <c r="N56" s="45"/>
      <c r="O56" s="45"/>
      <c r="P56" s="45"/>
      <c r="Q56" s="45"/>
      <c r="R56" s="45"/>
      <c r="S56" s="45"/>
      <c r="T56" s="575"/>
      <c r="U56" s="575"/>
      <c r="V56" s="575"/>
      <c r="W56" s="575"/>
    </row>
    <row r="57">
      <c r="A57" s="95"/>
      <c r="B57" s="642" t="s">
        <v>1655</v>
      </c>
      <c r="C57" s="634" t="b">
        <v>0</v>
      </c>
      <c r="D57" s="643" t="s">
        <v>1680</v>
      </c>
      <c r="E57" s="658" t="s">
        <v>1679</v>
      </c>
      <c r="F57" s="45"/>
      <c r="G57" s="45"/>
      <c r="H57" s="45"/>
      <c r="I57" s="45"/>
      <c r="J57" s="45"/>
      <c r="K57" s="45"/>
      <c r="L57" s="45"/>
      <c r="M57" s="45"/>
      <c r="N57" s="45"/>
      <c r="O57" s="45"/>
      <c r="P57" s="45"/>
      <c r="Q57" s="45"/>
      <c r="R57" s="45"/>
      <c r="S57" s="45"/>
      <c r="T57" s="575"/>
      <c r="U57" s="575"/>
      <c r="V57" s="575"/>
      <c r="W57" s="575"/>
    </row>
    <row r="58">
      <c r="A58" s="164"/>
      <c r="B58" s="642" t="s">
        <v>1681</v>
      </c>
      <c r="C58" s="634" t="b">
        <v>0</v>
      </c>
      <c r="D58" s="643" t="s">
        <v>1682</v>
      </c>
      <c r="E58" s="659" t="s">
        <v>1683</v>
      </c>
      <c r="F58" s="45"/>
      <c r="G58" s="45"/>
      <c r="H58" s="45"/>
      <c r="I58" s="45"/>
      <c r="J58" s="45"/>
      <c r="K58" s="45"/>
      <c r="L58" s="45"/>
      <c r="M58" s="45"/>
      <c r="N58" s="45"/>
      <c r="O58" s="45"/>
      <c r="P58" s="45"/>
      <c r="Q58" s="45"/>
      <c r="R58" s="45"/>
      <c r="S58" s="45"/>
      <c r="T58" s="575"/>
      <c r="U58" s="575"/>
      <c r="V58" s="575"/>
      <c r="W58" s="575"/>
    </row>
    <row r="59">
      <c r="A59" s="660" t="s">
        <v>1421</v>
      </c>
      <c r="B59" s="652" t="s">
        <v>1684</v>
      </c>
      <c r="C59" s="634" t="b">
        <v>0</v>
      </c>
      <c r="D59" s="653" t="s">
        <v>1685</v>
      </c>
      <c r="E59" s="657" t="s">
        <v>1686</v>
      </c>
      <c r="F59" s="45"/>
      <c r="G59" s="45"/>
      <c r="H59" s="45"/>
      <c r="I59" s="45"/>
      <c r="J59" s="45"/>
      <c r="K59" s="45"/>
      <c r="L59" s="45"/>
      <c r="M59" s="45"/>
      <c r="N59" s="45"/>
      <c r="O59" s="45"/>
      <c r="P59" s="45"/>
      <c r="Q59" s="45"/>
      <c r="R59" s="45"/>
      <c r="S59" s="45"/>
      <c r="T59" s="575"/>
      <c r="U59" s="575"/>
      <c r="V59" s="575"/>
      <c r="W59" s="575"/>
    </row>
    <row r="60">
      <c r="A60" s="95"/>
      <c r="B60" s="642" t="s">
        <v>1687</v>
      </c>
      <c r="C60" s="634" t="b">
        <v>0</v>
      </c>
      <c r="D60" s="643" t="s">
        <v>1688</v>
      </c>
      <c r="E60" s="658" t="s">
        <v>1689</v>
      </c>
      <c r="F60" s="45"/>
      <c r="G60" s="45"/>
      <c r="H60" s="45"/>
      <c r="I60" s="45"/>
      <c r="J60" s="45"/>
      <c r="K60" s="45"/>
      <c r="L60" s="45"/>
      <c r="M60" s="45"/>
      <c r="N60" s="45"/>
      <c r="O60" s="45"/>
      <c r="P60" s="45"/>
      <c r="Q60" s="45"/>
      <c r="R60" s="45"/>
      <c r="S60" s="45"/>
      <c r="T60" s="575"/>
      <c r="U60" s="575"/>
      <c r="V60" s="575"/>
      <c r="W60" s="575"/>
    </row>
    <row r="61">
      <c r="A61" s="95"/>
      <c r="B61" s="642" t="s">
        <v>1677</v>
      </c>
      <c r="C61" s="634" t="b">
        <v>0</v>
      </c>
      <c r="D61" s="643" t="s">
        <v>1690</v>
      </c>
      <c r="E61" s="658" t="s">
        <v>1691</v>
      </c>
      <c r="F61" s="45"/>
      <c r="G61" s="45"/>
      <c r="H61" s="45"/>
      <c r="I61" s="45"/>
      <c r="J61" s="45"/>
      <c r="K61" s="45"/>
      <c r="L61" s="45"/>
      <c r="M61" s="45"/>
      <c r="N61" s="45"/>
      <c r="O61" s="45"/>
      <c r="P61" s="45"/>
      <c r="Q61" s="45"/>
      <c r="R61" s="45"/>
      <c r="S61" s="45"/>
      <c r="T61" s="575"/>
      <c r="U61" s="575"/>
      <c r="V61" s="575"/>
      <c r="W61" s="575"/>
    </row>
    <row r="62">
      <c r="A62" s="164"/>
      <c r="B62" s="642" t="s">
        <v>1628</v>
      </c>
      <c r="C62" s="634" t="b">
        <v>0</v>
      </c>
      <c r="D62" s="643" t="s">
        <v>1692</v>
      </c>
      <c r="E62" s="658" t="s">
        <v>1693</v>
      </c>
      <c r="F62" s="45"/>
      <c r="G62" s="45"/>
      <c r="H62" s="45"/>
      <c r="I62" s="45"/>
      <c r="J62" s="45"/>
      <c r="K62" s="45"/>
      <c r="L62" s="45"/>
      <c r="M62" s="45"/>
      <c r="N62" s="45"/>
      <c r="O62" s="45"/>
      <c r="P62" s="45"/>
      <c r="Q62" s="45"/>
      <c r="R62" s="45"/>
      <c r="S62" s="45"/>
      <c r="T62" s="575"/>
      <c r="U62" s="575"/>
      <c r="V62" s="575"/>
      <c r="W62" s="575"/>
    </row>
    <row r="63">
      <c r="A63" s="661" t="s">
        <v>1694</v>
      </c>
      <c r="B63" s="652" t="s">
        <v>1695</v>
      </c>
      <c r="C63" s="634" t="b">
        <v>0</v>
      </c>
      <c r="D63" s="653" t="s">
        <v>1696</v>
      </c>
      <c r="E63" s="657" t="s">
        <v>1697</v>
      </c>
      <c r="F63" s="45"/>
      <c r="G63" s="45"/>
      <c r="H63" s="45"/>
      <c r="I63" s="45"/>
      <c r="J63" s="45"/>
      <c r="K63" s="45"/>
      <c r="L63" s="45"/>
      <c r="M63" s="45"/>
      <c r="N63" s="45"/>
      <c r="O63" s="45"/>
      <c r="P63" s="45"/>
      <c r="Q63" s="45"/>
      <c r="R63" s="45"/>
      <c r="S63" s="45"/>
      <c r="T63" s="575"/>
      <c r="U63" s="575"/>
      <c r="V63" s="575"/>
      <c r="W63" s="575"/>
    </row>
    <row r="64">
      <c r="A64" s="95"/>
      <c r="B64" s="642" t="s">
        <v>1698</v>
      </c>
      <c r="C64" s="634" t="b">
        <v>0</v>
      </c>
      <c r="D64" s="643" t="s">
        <v>1699</v>
      </c>
      <c r="E64" s="658" t="s">
        <v>1700</v>
      </c>
      <c r="F64" s="45"/>
      <c r="G64" s="45"/>
      <c r="H64" s="45"/>
      <c r="I64" s="45"/>
      <c r="J64" s="45"/>
      <c r="K64" s="45"/>
      <c r="L64" s="45"/>
      <c r="M64" s="45"/>
      <c r="N64" s="45"/>
      <c r="O64" s="45"/>
      <c r="P64" s="45"/>
      <c r="Q64" s="45"/>
      <c r="R64" s="45"/>
      <c r="S64" s="45"/>
      <c r="T64" s="575"/>
      <c r="U64" s="575"/>
      <c r="V64" s="575"/>
      <c r="W64" s="575"/>
    </row>
    <row r="65">
      <c r="A65" s="95"/>
      <c r="B65" s="642" t="s">
        <v>1553</v>
      </c>
      <c r="C65" s="634" t="b">
        <v>0</v>
      </c>
      <c r="D65" s="643" t="s">
        <v>1701</v>
      </c>
      <c r="E65" s="658" t="s">
        <v>1702</v>
      </c>
      <c r="F65" s="45"/>
      <c r="G65" s="45"/>
      <c r="H65" s="45"/>
      <c r="I65" s="45"/>
      <c r="J65" s="45"/>
      <c r="K65" s="45"/>
      <c r="L65" s="45"/>
      <c r="M65" s="45"/>
      <c r="N65" s="45"/>
      <c r="O65" s="45"/>
      <c r="P65" s="45"/>
      <c r="Q65" s="45"/>
      <c r="R65" s="45"/>
      <c r="S65" s="45"/>
      <c r="T65" s="575"/>
      <c r="U65" s="575"/>
      <c r="V65" s="575"/>
      <c r="W65" s="575"/>
    </row>
    <row r="66">
      <c r="A66" s="95"/>
      <c r="B66" s="662" t="s">
        <v>1703</v>
      </c>
      <c r="C66" s="634" t="b">
        <v>0</v>
      </c>
      <c r="D66" s="663" t="s">
        <v>1704</v>
      </c>
      <c r="E66" s="659" t="s">
        <v>1705</v>
      </c>
      <c r="F66" s="45"/>
      <c r="G66" s="45"/>
      <c r="H66" s="45"/>
      <c r="I66" s="45"/>
      <c r="J66" s="45"/>
      <c r="K66" s="45"/>
      <c r="L66" s="45"/>
      <c r="M66" s="45"/>
      <c r="N66" s="45"/>
      <c r="O66" s="45"/>
      <c r="P66" s="45"/>
      <c r="Q66" s="45"/>
      <c r="R66" s="45"/>
      <c r="S66" s="45"/>
      <c r="T66" s="575"/>
      <c r="U66" s="575"/>
      <c r="V66" s="575"/>
      <c r="W66" s="575"/>
    </row>
    <row r="67">
      <c r="A67" s="95"/>
      <c r="B67" s="642" t="s">
        <v>1706</v>
      </c>
      <c r="C67" s="634" t="b">
        <v>0</v>
      </c>
      <c r="D67" s="643" t="s">
        <v>1707</v>
      </c>
      <c r="E67" s="644" t="s">
        <v>1708</v>
      </c>
      <c r="F67" s="45"/>
      <c r="G67" s="45"/>
      <c r="H67" s="45"/>
      <c r="I67" s="45"/>
      <c r="J67" s="45"/>
      <c r="K67" s="45"/>
      <c r="L67" s="45"/>
      <c r="M67" s="45"/>
      <c r="N67" s="45"/>
      <c r="O67" s="45"/>
      <c r="P67" s="45"/>
      <c r="Q67" s="45"/>
      <c r="R67" s="45"/>
      <c r="S67" s="45"/>
      <c r="T67" s="575"/>
      <c r="U67" s="575"/>
      <c r="V67" s="575"/>
      <c r="W67" s="575"/>
    </row>
    <row r="68">
      <c r="A68" s="95"/>
      <c r="B68" s="642" t="s">
        <v>1706</v>
      </c>
      <c r="C68" s="634" t="b">
        <v>0</v>
      </c>
      <c r="D68" s="643" t="s">
        <v>1709</v>
      </c>
      <c r="E68" s="644" t="s">
        <v>1710</v>
      </c>
      <c r="F68" s="45"/>
      <c r="G68" s="45"/>
      <c r="H68" s="45"/>
      <c r="I68" s="45"/>
      <c r="J68" s="45"/>
      <c r="K68" s="45"/>
      <c r="L68" s="45"/>
      <c r="M68" s="45"/>
      <c r="N68" s="45"/>
      <c r="O68" s="45"/>
      <c r="P68" s="45"/>
      <c r="Q68" s="45"/>
      <c r="R68" s="45"/>
      <c r="S68" s="45"/>
      <c r="T68" s="575"/>
      <c r="U68" s="575"/>
      <c r="V68" s="575"/>
      <c r="W68" s="575"/>
    </row>
    <row r="69">
      <c r="A69" s="95"/>
      <c r="B69" s="642" t="s">
        <v>1711</v>
      </c>
      <c r="C69" s="634" t="b">
        <v>0</v>
      </c>
      <c r="D69" s="643" t="s">
        <v>1712</v>
      </c>
      <c r="E69" s="644" t="s">
        <v>1713</v>
      </c>
      <c r="F69" s="45"/>
      <c r="G69" s="45"/>
      <c r="H69" s="45"/>
      <c r="I69" s="45"/>
      <c r="J69" s="45"/>
      <c r="K69" s="45"/>
      <c r="L69" s="45"/>
      <c r="M69" s="45"/>
      <c r="N69" s="45"/>
      <c r="O69" s="45"/>
      <c r="P69" s="45"/>
      <c r="Q69" s="45"/>
      <c r="R69" s="45"/>
      <c r="S69" s="45"/>
      <c r="T69" s="575"/>
      <c r="U69" s="575"/>
      <c r="V69" s="575"/>
      <c r="W69" s="575"/>
    </row>
    <row r="70">
      <c r="A70" s="164"/>
      <c r="B70" s="642" t="s">
        <v>1711</v>
      </c>
      <c r="C70" s="634" t="b">
        <v>0</v>
      </c>
      <c r="D70" s="643" t="s">
        <v>1714</v>
      </c>
      <c r="E70" s="644" t="s">
        <v>1715</v>
      </c>
      <c r="F70" s="45"/>
      <c r="G70" s="45"/>
      <c r="H70" s="45"/>
      <c r="I70" s="45"/>
      <c r="J70" s="45"/>
      <c r="K70" s="45"/>
      <c r="L70" s="45"/>
      <c r="M70" s="45"/>
      <c r="N70" s="45"/>
      <c r="O70" s="45"/>
      <c r="P70" s="45"/>
      <c r="Q70" s="45"/>
      <c r="R70" s="45"/>
      <c r="S70" s="45"/>
      <c r="T70" s="575"/>
      <c r="U70" s="575"/>
      <c r="V70" s="575"/>
      <c r="W70" s="575"/>
    </row>
    <row r="71">
      <c r="A71" s="645" t="s">
        <v>1425</v>
      </c>
      <c r="B71" s="652" t="s">
        <v>1716</v>
      </c>
      <c r="C71" s="634" t="b">
        <v>0</v>
      </c>
      <c r="D71" s="653" t="s">
        <v>1717</v>
      </c>
      <c r="E71" s="664" t="s">
        <v>1718</v>
      </c>
      <c r="F71" s="45"/>
      <c r="G71" s="45"/>
      <c r="H71" s="45"/>
      <c r="I71" s="45"/>
      <c r="J71" s="45"/>
      <c r="K71" s="45"/>
      <c r="L71" s="45"/>
      <c r="M71" s="45"/>
      <c r="N71" s="45"/>
      <c r="O71" s="45"/>
      <c r="P71" s="45"/>
      <c r="Q71" s="45"/>
      <c r="R71" s="45"/>
      <c r="S71" s="45"/>
      <c r="T71" s="575"/>
      <c r="U71" s="575"/>
      <c r="V71" s="575"/>
      <c r="W71" s="575"/>
    </row>
    <row r="72">
      <c r="A72" s="95"/>
      <c r="B72" s="642" t="s">
        <v>1625</v>
      </c>
      <c r="C72" s="634" t="b">
        <v>0</v>
      </c>
      <c r="D72" s="643" t="s">
        <v>1719</v>
      </c>
      <c r="E72" s="658" t="s">
        <v>1720</v>
      </c>
      <c r="F72" s="45"/>
      <c r="G72" s="45"/>
      <c r="H72" s="45"/>
      <c r="I72" s="45"/>
      <c r="J72" s="45"/>
      <c r="K72" s="45"/>
      <c r="L72" s="45"/>
      <c r="M72" s="45"/>
      <c r="N72" s="45"/>
      <c r="O72" s="45"/>
      <c r="P72" s="45"/>
      <c r="Q72" s="45"/>
      <c r="R72" s="45"/>
      <c r="S72" s="45"/>
      <c r="T72" s="575"/>
      <c r="U72" s="575"/>
      <c r="V72" s="575"/>
      <c r="W72" s="575"/>
    </row>
    <row r="73">
      <c r="A73" s="95"/>
      <c r="B73" s="642" t="s">
        <v>1721</v>
      </c>
      <c r="C73" s="634" t="b">
        <v>0</v>
      </c>
      <c r="D73" s="643" t="s">
        <v>1722</v>
      </c>
      <c r="E73" s="658" t="s">
        <v>1723</v>
      </c>
      <c r="F73" s="45"/>
      <c r="G73" s="45"/>
      <c r="H73" s="45"/>
      <c r="I73" s="45"/>
      <c r="J73" s="45"/>
      <c r="K73" s="45"/>
      <c r="L73" s="45"/>
      <c r="M73" s="45"/>
      <c r="N73" s="45"/>
      <c r="O73" s="45"/>
      <c r="P73" s="45"/>
      <c r="Q73" s="45"/>
      <c r="R73" s="45"/>
      <c r="S73" s="45"/>
      <c r="T73" s="575"/>
      <c r="U73" s="575"/>
      <c r="V73" s="575"/>
      <c r="W73" s="575"/>
    </row>
    <row r="74">
      <c r="A74" s="95"/>
      <c r="B74" s="642" t="s">
        <v>1444</v>
      </c>
      <c r="C74" s="634" t="b">
        <v>0</v>
      </c>
      <c r="D74" s="643" t="s">
        <v>1724</v>
      </c>
      <c r="E74" s="658" t="s">
        <v>1725</v>
      </c>
      <c r="F74" s="45"/>
      <c r="G74" s="45"/>
      <c r="H74" s="45"/>
      <c r="I74" s="45"/>
      <c r="J74" s="45"/>
      <c r="K74" s="45"/>
      <c r="L74" s="45"/>
      <c r="M74" s="45"/>
      <c r="N74" s="45"/>
      <c r="O74" s="45"/>
      <c r="P74" s="45"/>
      <c r="Q74" s="45"/>
      <c r="R74" s="45"/>
      <c r="S74" s="45"/>
      <c r="T74" s="575"/>
      <c r="U74" s="575"/>
      <c r="V74" s="575"/>
      <c r="W74" s="575"/>
    </row>
    <row r="75">
      <c r="A75" s="95"/>
      <c r="B75" s="642" t="s">
        <v>1681</v>
      </c>
      <c r="C75" s="634" t="b">
        <v>0</v>
      </c>
      <c r="D75" s="663" t="s">
        <v>1726</v>
      </c>
      <c r="E75" s="659" t="s">
        <v>1727</v>
      </c>
      <c r="F75" s="45"/>
      <c r="G75" s="45"/>
      <c r="H75" s="45"/>
      <c r="I75" s="45"/>
      <c r="J75" s="45"/>
      <c r="K75" s="45"/>
      <c r="L75" s="45"/>
      <c r="M75" s="45"/>
      <c r="N75" s="45"/>
      <c r="O75" s="45"/>
      <c r="P75" s="45"/>
      <c r="Q75" s="45"/>
      <c r="R75" s="45"/>
      <c r="S75" s="45"/>
      <c r="T75" s="575"/>
      <c r="U75" s="575"/>
      <c r="V75" s="575"/>
      <c r="W75" s="575"/>
    </row>
    <row r="76">
      <c r="A76" s="164"/>
      <c r="B76" s="642" t="s">
        <v>1625</v>
      </c>
      <c r="C76" s="634" t="b">
        <v>0</v>
      </c>
      <c r="D76" s="663" t="s">
        <v>1728</v>
      </c>
      <c r="E76" s="659" t="s">
        <v>1720</v>
      </c>
      <c r="F76" s="45"/>
      <c r="G76" s="45"/>
      <c r="H76" s="45"/>
      <c r="I76" s="45"/>
      <c r="J76" s="45"/>
      <c r="K76" s="45"/>
      <c r="L76" s="45"/>
      <c r="M76" s="45"/>
      <c r="N76" s="45"/>
      <c r="O76" s="45"/>
      <c r="P76" s="45"/>
      <c r="Q76" s="45"/>
      <c r="R76" s="45"/>
      <c r="S76" s="45"/>
      <c r="T76" s="575"/>
      <c r="U76" s="575"/>
      <c r="V76" s="575"/>
      <c r="W76" s="575"/>
    </row>
    <row r="77">
      <c r="A77" s="665" t="s">
        <v>1729</v>
      </c>
      <c r="B77" s="652" t="s">
        <v>1730</v>
      </c>
      <c r="C77" s="634" t="b">
        <v>0</v>
      </c>
      <c r="D77" s="653" t="s">
        <v>1731</v>
      </c>
      <c r="E77" s="666" t="s">
        <v>1732</v>
      </c>
      <c r="F77" s="45"/>
      <c r="G77" s="45"/>
      <c r="H77" s="45"/>
      <c r="I77" s="45"/>
      <c r="J77" s="45"/>
      <c r="K77" s="45"/>
      <c r="L77" s="45"/>
      <c r="M77" s="45"/>
      <c r="N77" s="45"/>
      <c r="O77" s="45"/>
      <c r="P77" s="45"/>
      <c r="Q77" s="45"/>
      <c r="R77" s="45"/>
      <c r="S77" s="45"/>
      <c r="T77" s="575"/>
      <c r="U77" s="575"/>
      <c r="V77" s="575"/>
      <c r="W77" s="575"/>
    </row>
    <row r="78">
      <c r="A78" s="95"/>
      <c r="B78" s="642" t="s">
        <v>1733</v>
      </c>
      <c r="C78" s="667" t="b">
        <v>0</v>
      </c>
      <c r="D78" s="643" t="s">
        <v>1734</v>
      </c>
      <c r="E78" s="644" t="s">
        <v>1735</v>
      </c>
      <c r="F78" s="45"/>
      <c r="G78" s="45"/>
      <c r="H78" s="45"/>
      <c r="I78" s="45"/>
      <c r="J78" s="45"/>
      <c r="K78" s="45"/>
      <c r="L78" s="45"/>
      <c r="M78" s="45"/>
      <c r="N78" s="45"/>
      <c r="O78" s="45"/>
      <c r="P78" s="45"/>
      <c r="Q78" s="45"/>
      <c r="R78" s="45"/>
      <c r="S78" s="45"/>
      <c r="T78" s="575"/>
      <c r="U78" s="575"/>
      <c r="V78" s="575"/>
      <c r="W78" s="575"/>
    </row>
    <row r="79">
      <c r="A79" s="95"/>
      <c r="B79" s="642" t="s">
        <v>1736</v>
      </c>
      <c r="C79" s="667" t="b">
        <v>0</v>
      </c>
      <c r="D79" s="643" t="s">
        <v>1737</v>
      </c>
      <c r="E79" s="644" t="s">
        <v>1738</v>
      </c>
      <c r="F79" s="45"/>
      <c r="G79" s="45"/>
      <c r="H79" s="45"/>
      <c r="I79" s="45"/>
      <c r="J79" s="45"/>
      <c r="K79" s="45"/>
      <c r="L79" s="45"/>
      <c r="M79" s="45"/>
      <c r="N79" s="45"/>
      <c r="O79" s="45"/>
      <c r="P79" s="45"/>
      <c r="Q79" s="45"/>
      <c r="R79" s="45"/>
      <c r="S79" s="45"/>
      <c r="T79" s="575"/>
      <c r="U79" s="575"/>
      <c r="V79" s="575"/>
      <c r="W79" s="575"/>
    </row>
    <row r="80">
      <c r="A80" s="95"/>
      <c r="B80" s="642" t="s">
        <v>1611</v>
      </c>
      <c r="C80" s="667" t="b">
        <v>0</v>
      </c>
      <c r="D80" s="643" t="s">
        <v>1739</v>
      </c>
      <c r="E80" s="644" t="s">
        <v>1740</v>
      </c>
      <c r="F80" s="45"/>
      <c r="G80" s="45"/>
      <c r="H80" s="45"/>
      <c r="I80" s="45"/>
      <c r="J80" s="45"/>
      <c r="K80" s="45"/>
      <c r="L80" s="45"/>
      <c r="M80" s="45"/>
      <c r="N80" s="45"/>
      <c r="O80" s="45"/>
      <c r="P80" s="45"/>
      <c r="Q80" s="45"/>
      <c r="R80" s="45"/>
      <c r="S80" s="45"/>
      <c r="T80" s="575"/>
      <c r="U80" s="575"/>
      <c r="V80" s="575"/>
      <c r="W80" s="575"/>
    </row>
    <row r="81">
      <c r="A81" s="95"/>
      <c r="B81" s="642" t="s">
        <v>1611</v>
      </c>
      <c r="C81" s="667" t="b">
        <v>0</v>
      </c>
      <c r="D81" s="643" t="s">
        <v>1741</v>
      </c>
      <c r="E81" s="644" t="s">
        <v>1742</v>
      </c>
      <c r="F81" s="45"/>
      <c r="G81" s="45"/>
      <c r="H81" s="45"/>
      <c r="I81" s="45"/>
      <c r="J81" s="45"/>
      <c r="K81" s="45"/>
      <c r="L81" s="45"/>
      <c r="M81" s="45"/>
      <c r="N81" s="45"/>
      <c r="O81" s="45"/>
      <c r="P81" s="45"/>
      <c r="Q81" s="45"/>
      <c r="R81" s="45"/>
      <c r="S81" s="45"/>
      <c r="T81" s="575"/>
      <c r="U81" s="575"/>
      <c r="V81" s="575"/>
      <c r="W81" s="575"/>
    </row>
    <row r="82">
      <c r="A82" s="164"/>
      <c r="B82" s="642" t="s">
        <v>1743</v>
      </c>
      <c r="C82" s="667" t="b">
        <v>0</v>
      </c>
      <c r="D82" s="643" t="s">
        <v>1744</v>
      </c>
      <c r="E82" s="644" t="s">
        <v>1745</v>
      </c>
      <c r="F82" s="45"/>
      <c r="G82" s="45"/>
      <c r="H82" s="45"/>
      <c r="I82" s="45"/>
      <c r="J82" s="45"/>
      <c r="K82" s="45"/>
      <c r="L82" s="45"/>
      <c r="M82" s="45"/>
      <c r="N82" s="45"/>
      <c r="O82" s="45"/>
      <c r="P82" s="45"/>
      <c r="Q82" s="45"/>
      <c r="R82" s="45"/>
      <c r="S82" s="45"/>
      <c r="T82" s="575"/>
      <c r="U82" s="575"/>
      <c r="V82" s="575"/>
      <c r="W82" s="575"/>
    </row>
    <row r="83">
      <c r="A83" s="668" t="s">
        <v>1746</v>
      </c>
      <c r="B83" s="652" t="s">
        <v>1747</v>
      </c>
      <c r="C83" s="634" t="b">
        <v>0</v>
      </c>
      <c r="D83" s="653" t="s">
        <v>1748</v>
      </c>
      <c r="E83" s="666" t="s">
        <v>1749</v>
      </c>
      <c r="F83" s="45"/>
      <c r="G83" s="45"/>
      <c r="H83" s="45"/>
      <c r="I83" s="45"/>
      <c r="J83" s="45"/>
      <c r="K83" s="45"/>
      <c r="L83" s="45"/>
      <c r="M83" s="45"/>
      <c r="N83" s="45"/>
      <c r="O83" s="45"/>
      <c r="P83" s="45"/>
      <c r="Q83" s="45"/>
      <c r="R83" s="45"/>
      <c r="S83" s="45"/>
      <c r="T83" s="575"/>
      <c r="U83" s="575"/>
      <c r="V83" s="575"/>
      <c r="W83" s="575"/>
    </row>
    <row r="84">
      <c r="A84" s="95"/>
      <c r="B84" s="642" t="s">
        <v>1544</v>
      </c>
      <c r="C84" s="667" t="b">
        <v>0</v>
      </c>
      <c r="D84" s="643" t="s">
        <v>1750</v>
      </c>
      <c r="E84" s="644" t="s">
        <v>1751</v>
      </c>
      <c r="F84" s="45"/>
      <c r="G84" s="45"/>
      <c r="H84" s="45"/>
      <c r="I84" s="45"/>
      <c r="J84" s="45"/>
      <c r="K84" s="45"/>
      <c r="L84" s="45"/>
      <c r="M84" s="45"/>
      <c r="N84" s="45"/>
      <c r="O84" s="45"/>
      <c r="P84" s="45"/>
      <c r="Q84" s="45"/>
      <c r="R84" s="45"/>
      <c r="S84" s="45"/>
      <c r="T84" s="575"/>
      <c r="U84" s="575"/>
      <c r="V84" s="575"/>
      <c r="W84" s="575"/>
    </row>
    <row r="85">
      <c r="A85" s="95"/>
      <c r="B85" s="669" t="s">
        <v>1752</v>
      </c>
      <c r="C85" s="667" t="b">
        <v>0</v>
      </c>
      <c r="D85" s="670" t="s">
        <v>1753</v>
      </c>
      <c r="E85" s="671" t="s">
        <v>1754</v>
      </c>
      <c r="F85" s="45"/>
      <c r="G85" s="45"/>
      <c r="H85" s="45"/>
      <c r="I85" s="45"/>
      <c r="J85" s="45"/>
      <c r="K85" s="45"/>
      <c r="L85" s="45"/>
      <c r="M85" s="45"/>
      <c r="N85" s="45"/>
      <c r="O85" s="45"/>
      <c r="P85" s="45"/>
      <c r="Q85" s="45"/>
      <c r="R85" s="45"/>
      <c r="S85" s="45"/>
      <c r="T85" s="575"/>
      <c r="U85" s="575"/>
      <c r="V85" s="575"/>
      <c r="W85" s="575"/>
    </row>
    <row r="86">
      <c r="A86" s="95"/>
      <c r="B86" s="669" t="s">
        <v>1755</v>
      </c>
      <c r="C86" s="667" t="b">
        <v>0</v>
      </c>
      <c r="D86" s="670" t="s">
        <v>1756</v>
      </c>
      <c r="E86" s="671" t="s">
        <v>1757</v>
      </c>
      <c r="F86" s="45"/>
      <c r="G86" s="45"/>
      <c r="H86" s="45"/>
      <c r="I86" s="45"/>
      <c r="J86" s="45"/>
      <c r="K86" s="45"/>
      <c r="L86" s="45"/>
      <c r="M86" s="45"/>
      <c r="N86" s="45"/>
      <c r="O86" s="45"/>
      <c r="P86" s="45"/>
      <c r="Q86" s="45"/>
      <c r="R86" s="45"/>
      <c r="S86" s="45"/>
      <c r="T86" s="575"/>
      <c r="U86" s="575"/>
      <c r="V86" s="575"/>
      <c r="W86" s="575"/>
    </row>
    <row r="87">
      <c r="A87" s="95"/>
      <c r="B87" s="669" t="s">
        <v>1661</v>
      </c>
      <c r="C87" s="667" t="b">
        <v>0</v>
      </c>
      <c r="D87" s="670" t="s">
        <v>1758</v>
      </c>
      <c r="E87" s="671" t="s">
        <v>1759</v>
      </c>
      <c r="F87" s="45"/>
      <c r="G87" s="45"/>
      <c r="H87" s="45"/>
      <c r="I87" s="45"/>
      <c r="J87" s="45"/>
      <c r="K87" s="45"/>
      <c r="L87" s="45"/>
      <c r="M87" s="45"/>
      <c r="N87" s="45"/>
      <c r="O87" s="45"/>
      <c r="P87" s="45"/>
      <c r="Q87" s="45"/>
      <c r="R87" s="45"/>
      <c r="S87" s="45"/>
      <c r="T87" s="575"/>
      <c r="U87" s="575"/>
      <c r="V87" s="575"/>
      <c r="W87" s="575"/>
    </row>
    <row r="88">
      <c r="A88" s="164"/>
      <c r="B88" s="642" t="s">
        <v>1760</v>
      </c>
      <c r="C88" s="667" t="b">
        <v>0</v>
      </c>
      <c r="D88" s="643" t="s">
        <v>1761</v>
      </c>
      <c r="E88" s="644" t="s">
        <v>1762</v>
      </c>
      <c r="F88" s="45"/>
      <c r="G88" s="45"/>
      <c r="H88" s="45"/>
      <c r="I88" s="45"/>
      <c r="J88" s="45"/>
      <c r="K88" s="45"/>
      <c r="L88" s="45"/>
      <c r="M88" s="45"/>
      <c r="N88" s="45"/>
      <c r="O88" s="45"/>
      <c r="P88" s="45"/>
      <c r="Q88" s="45"/>
      <c r="R88" s="45"/>
      <c r="S88" s="45"/>
      <c r="T88" s="575"/>
      <c r="U88" s="575"/>
      <c r="V88" s="575"/>
      <c r="W88" s="575"/>
    </row>
    <row r="89">
      <c r="A89" s="656" t="s">
        <v>1763</v>
      </c>
      <c r="B89" s="652" t="s">
        <v>1764</v>
      </c>
      <c r="C89" s="634" t="b">
        <v>0</v>
      </c>
      <c r="D89" s="653" t="s">
        <v>1765</v>
      </c>
      <c r="E89" s="666" t="s">
        <v>1766</v>
      </c>
      <c r="F89" s="45"/>
      <c r="G89" s="45"/>
      <c r="H89" s="45"/>
      <c r="I89" s="45"/>
      <c r="J89" s="45"/>
      <c r="K89" s="45"/>
      <c r="L89" s="45"/>
      <c r="M89" s="45"/>
      <c r="N89" s="45"/>
      <c r="O89" s="45"/>
      <c r="P89" s="45"/>
      <c r="Q89" s="45"/>
      <c r="R89" s="45"/>
      <c r="S89" s="45"/>
      <c r="T89" s="575"/>
      <c r="U89" s="575"/>
      <c r="V89" s="575"/>
      <c r="W89" s="575"/>
    </row>
    <row r="90">
      <c r="A90" s="95"/>
      <c r="B90" s="642" t="s">
        <v>1764</v>
      </c>
      <c r="C90" s="667" t="b">
        <v>0</v>
      </c>
      <c r="D90" s="643" t="s">
        <v>1767</v>
      </c>
      <c r="E90" s="644" t="s">
        <v>1768</v>
      </c>
      <c r="F90" s="45"/>
      <c r="G90" s="45"/>
      <c r="H90" s="45"/>
      <c r="I90" s="45"/>
      <c r="J90" s="45"/>
      <c r="K90" s="45"/>
      <c r="L90" s="45"/>
      <c r="M90" s="45"/>
      <c r="N90" s="45"/>
      <c r="O90" s="45"/>
      <c r="P90" s="45"/>
      <c r="Q90" s="45"/>
      <c r="R90" s="45"/>
      <c r="S90" s="45"/>
      <c r="T90" s="575"/>
      <c r="U90" s="575"/>
      <c r="V90" s="575"/>
      <c r="W90" s="575"/>
    </row>
    <row r="91">
      <c r="A91" s="95"/>
      <c r="B91" s="642" t="s">
        <v>1764</v>
      </c>
      <c r="C91" s="667" t="b">
        <v>0</v>
      </c>
      <c r="D91" s="643" t="s">
        <v>1769</v>
      </c>
      <c r="E91" s="672" t="s">
        <v>1770</v>
      </c>
      <c r="F91" s="45"/>
      <c r="G91" s="45"/>
      <c r="H91" s="45"/>
      <c r="I91" s="45"/>
      <c r="J91" s="45"/>
      <c r="K91" s="45"/>
      <c r="L91" s="45"/>
      <c r="M91" s="45"/>
      <c r="N91" s="45"/>
      <c r="O91" s="45"/>
      <c r="P91" s="45"/>
      <c r="Q91" s="45"/>
      <c r="R91" s="45"/>
      <c r="S91" s="45"/>
      <c r="T91" s="575"/>
      <c r="U91" s="575"/>
      <c r="V91" s="575"/>
      <c r="W91" s="575"/>
    </row>
    <row r="92">
      <c r="A92" s="95"/>
      <c r="B92" s="642" t="s">
        <v>1771</v>
      </c>
      <c r="C92" s="667" t="b">
        <v>0</v>
      </c>
      <c r="D92" s="643" t="s">
        <v>1772</v>
      </c>
      <c r="E92" s="644" t="s">
        <v>1773</v>
      </c>
      <c r="F92" s="45"/>
      <c r="G92" s="45"/>
      <c r="H92" s="45"/>
      <c r="I92" s="45"/>
      <c r="J92" s="45"/>
      <c r="K92" s="45"/>
      <c r="L92" s="45"/>
      <c r="M92" s="45"/>
      <c r="N92" s="45"/>
      <c r="O92" s="45"/>
      <c r="P92" s="45"/>
      <c r="Q92" s="45"/>
      <c r="R92" s="45"/>
      <c r="S92" s="45"/>
      <c r="T92" s="575"/>
      <c r="U92" s="575"/>
      <c r="V92" s="575"/>
      <c r="W92" s="575"/>
    </row>
    <row r="93">
      <c r="A93" s="95"/>
      <c r="B93" s="642" t="s">
        <v>1544</v>
      </c>
      <c r="C93" s="667" t="b">
        <v>0</v>
      </c>
      <c r="D93" s="643" t="s">
        <v>1774</v>
      </c>
      <c r="E93" s="644" t="s">
        <v>1775</v>
      </c>
      <c r="F93" s="45"/>
      <c r="G93" s="45"/>
      <c r="H93" s="45"/>
      <c r="I93" s="45"/>
      <c r="J93" s="45"/>
      <c r="K93" s="45"/>
      <c r="L93" s="45"/>
      <c r="M93" s="45"/>
      <c r="N93" s="45"/>
      <c r="O93" s="45"/>
      <c r="P93" s="45"/>
      <c r="Q93" s="45"/>
      <c r="R93" s="45"/>
      <c r="S93" s="45"/>
      <c r="T93" s="575"/>
      <c r="U93" s="575"/>
      <c r="V93" s="575"/>
      <c r="W93" s="575"/>
    </row>
    <row r="94">
      <c r="A94" s="95"/>
      <c r="B94" s="642" t="s">
        <v>1544</v>
      </c>
      <c r="C94" s="667" t="b">
        <v>0</v>
      </c>
      <c r="D94" s="643" t="s">
        <v>1776</v>
      </c>
      <c r="E94" s="644" t="s">
        <v>1777</v>
      </c>
      <c r="F94" s="45"/>
      <c r="G94" s="45"/>
      <c r="H94" s="45"/>
      <c r="I94" s="45"/>
      <c r="J94" s="45"/>
      <c r="K94" s="45"/>
      <c r="L94" s="45"/>
      <c r="M94" s="45"/>
      <c r="N94" s="45"/>
      <c r="O94" s="45"/>
      <c r="P94" s="45"/>
      <c r="Q94" s="45"/>
      <c r="R94" s="45"/>
      <c r="S94" s="45"/>
      <c r="T94" s="575"/>
      <c r="U94" s="575"/>
      <c r="V94" s="575"/>
      <c r="W94" s="575"/>
    </row>
    <row r="95">
      <c r="A95" s="95"/>
      <c r="B95" s="642" t="s">
        <v>1544</v>
      </c>
      <c r="C95" s="667" t="b">
        <v>0</v>
      </c>
      <c r="D95" s="643" t="s">
        <v>1778</v>
      </c>
      <c r="E95" s="644" t="s">
        <v>1779</v>
      </c>
      <c r="F95" s="45"/>
      <c r="G95" s="45"/>
      <c r="H95" s="45"/>
      <c r="I95" s="45"/>
      <c r="J95" s="45"/>
      <c r="K95" s="45"/>
      <c r="L95" s="45"/>
      <c r="M95" s="45"/>
      <c r="N95" s="45"/>
      <c r="O95" s="45"/>
      <c r="P95" s="45"/>
      <c r="Q95" s="45"/>
      <c r="R95" s="45"/>
      <c r="S95" s="45"/>
      <c r="T95" s="575"/>
      <c r="U95" s="575"/>
      <c r="V95" s="575"/>
      <c r="W95" s="575"/>
    </row>
    <row r="96">
      <c r="A96" s="95"/>
      <c r="B96" s="642" t="s">
        <v>1544</v>
      </c>
      <c r="C96" s="667" t="b">
        <v>0</v>
      </c>
      <c r="D96" s="643" t="s">
        <v>1780</v>
      </c>
      <c r="E96" s="644" t="s">
        <v>1781</v>
      </c>
      <c r="F96" s="45"/>
      <c r="G96" s="45"/>
      <c r="H96" s="45"/>
      <c r="I96" s="45"/>
      <c r="J96" s="45"/>
      <c r="K96" s="45"/>
      <c r="L96" s="45"/>
      <c r="M96" s="45"/>
      <c r="N96" s="45"/>
      <c r="O96" s="45"/>
      <c r="P96" s="45"/>
      <c r="Q96" s="45"/>
      <c r="R96" s="45"/>
      <c r="S96" s="45"/>
      <c r="T96" s="575"/>
      <c r="U96" s="575"/>
      <c r="V96" s="575"/>
      <c r="W96" s="575"/>
    </row>
    <row r="97">
      <c r="A97" s="95"/>
      <c r="B97" s="642" t="s">
        <v>1782</v>
      </c>
      <c r="C97" s="667" t="b">
        <v>0</v>
      </c>
      <c r="D97" s="643" t="s">
        <v>1783</v>
      </c>
      <c r="E97" s="644" t="s">
        <v>1784</v>
      </c>
      <c r="F97" s="45"/>
      <c r="G97" s="45"/>
      <c r="H97" s="45"/>
      <c r="I97" s="45"/>
      <c r="J97" s="45"/>
      <c r="K97" s="45"/>
      <c r="L97" s="45"/>
      <c r="M97" s="45"/>
      <c r="N97" s="45"/>
      <c r="O97" s="45"/>
      <c r="P97" s="45"/>
      <c r="Q97" s="45"/>
      <c r="R97" s="45"/>
      <c r="S97" s="45"/>
      <c r="T97" s="575"/>
      <c r="U97" s="575"/>
      <c r="V97" s="575"/>
      <c r="W97" s="575"/>
    </row>
    <row r="98">
      <c r="A98" s="95"/>
      <c r="B98" s="642" t="s">
        <v>1444</v>
      </c>
      <c r="C98" s="667" t="b">
        <v>0</v>
      </c>
      <c r="D98" s="643" t="s">
        <v>1785</v>
      </c>
      <c r="E98" s="644" t="s">
        <v>1786</v>
      </c>
      <c r="F98" s="45"/>
      <c r="G98" s="45"/>
      <c r="H98" s="45"/>
      <c r="I98" s="45"/>
      <c r="J98" s="45"/>
      <c r="K98" s="45"/>
      <c r="L98" s="45"/>
      <c r="M98" s="45"/>
      <c r="N98" s="45"/>
      <c r="O98" s="45"/>
      <c r="P98" s="45"/>
      <c r="Q98" s="45"/>
      <c r="R98" s="45"/>
      <c r="S98" s="45"/>
      <c r="T98" s="575"/>
      <c r="U98" s="575"/>
      <c r="V98" s="575"/>
      <c r="W98" s="575"/>
    </row>
    <row r="99">
      <c r="A99" s="95"/>
      <c r="B99" s="642" t="s">
        <v>1787</v>
      </c>
      <c r="C99" s="667" t="b">
        <v>0</v>
      </c>
      <c r="D99" s="643" t="s">
        <v>1788</v>
      </c>
      <c r="E99" s="644" t="s">
        <v>1789</v>
      </c>
      <c r="F99" s="45"/>
      <c r="G99" s="45"/>
      <c r="H99" s="45"/>
      <c r="I99" s="45"/>
      <c r="J99" s="45"/>
      <c r="K99" s="45"/>
      <c r="L99" s="45"/>
      <c r="M99" s="45"/>
      <c r="N99" s="45"/>
      <c r="O99" s="45"/>
      <c r="P99" s="45"/>
      <c r="Q99" s="45"/>
      <c r="R99" s="45"/>
      <c r="S99" s="45"/>
      <c r="T99" s="575"/>
      <c r="U99" s="575"/>
      <c r="V99" s="575"/>
      <c r="W99" s="575"/>
    </row>
    <row r="100">
      <c r="A100" s="95"/>
      <c r="B100" s="669" t="s">
        <v>1790</v>
      </c>
      <c r="C100" s="667" t="b">
        <v>0</v>
      </c>
      <c r="D100" s="670" t="s">
        <v>1791</v>
      </c>
      <c r="E100" s="671" t="s">
        <v>1792</v>
      </c>
      <c r="F100" s="45"/>
      <c r="G100" s="45"/>
      <c r="H100" s="45"/>
      <c r="I100" s="45"/>
      <c r="J100" s="45"/>
      <c r="K100" s="45"/>
      <c r="L100" s="45"/>
      <c r="M100" s="45"/>
      <c r="N100" s="45"/>
      <c r="O100" s="45"/>
      <c r="P100" s="45"/>
      <c r="Q100" s="45"/>
      <c r="R100" s="45"/>
      <c r="S100" s="45"/>
      <c r="T100" s="575"/>
      <c r="U100" s="575"/>
      <c r="V100" s="575"/>
      <c r="W100" s="575"/>
    </row>
    <row r="101">
      <c r="A101" s="95"/>
      <c r="B101" s="669" t="s">
        <v>1793</v>
      </c>
      <c r="C101" s="667" t="b">
        <v>0</v>
      </c>
      <c r="D101" s="670" t="s">
        <v>1794</v>
      </c>
      <c r="E101" s="671" t="s">
        <v>1795</v>
      </c>
      <c r="F101" s="45"/>
      <c r="G101" s="45"/>
      <c r="H101" s="45"/>
      <c r="I101" s="45"/>
      <c r="J101" s="45"/>
      <c r="K101" s="45"/>
      <c r="L101" s="45"/>
      <c r="M101" s="45"/>
      <c r="N101" s="45"/>
      <c r="O101" s="45"/>
      <c r="P101" s="45"/>
      <c r="Q101" s="45"/>
      <c r="R101" s="45"/>
      <c r="S101" s="45"/>
      <c r="T101" s="575"/>
      <c r="U101" s="575"/>
      <c r="V101" s="575"/>
      <c r="W101" s="575"/>
    </row>
    <row r="102">
      <c r="A102" s="95"/>
      <c r="B102" s="669" t="s">
        <v>1796</v>
      </c>
      <c r="C102" s="667" t="b">
        <v>0</v>
      </c>
      <c r="D102" s="670" t="s">
        <v>1797</v>
      </c>
      <c r="E102" s="671" t="s">
        <v>1798</v>
      </c>
      <c r="F102" s="45"/>
      <c r="G102" s="45"/>
      <c r="H102" s="45"/>
      <c r="I102" s="45"/>
      <c r="J102" s="45"/>
      <c r="K102" s="45"/>
      <c r="L102" s="45"/>
      <c r="M102" s="45"/>
      <c r="N102" s="45"/>
      <c r="O102" s="45"/>
      <c r="P102" s="45"/>
      <c r="Q102" s="45"/>
      <c r="R102" s="45"/>
      <c r="S102" s="45"/>
      <c r="T102" s="575"/>
      <c r="U102" s="575"/>
      <c r="V102" s="575"/>
      <c r="W102" s="575"/>
    </row>
    <row r="103">
      <c r="A103" s="164"/>
      <c r="B103" s="669" t="s">
        <v>1799</v>
      </c>
      <c r="C103" s="673" t="b">
        <v>0</v>
      </c>
      <c r="D103" s="670" t="s">
        <v>1800</v>
      </c>
      <c r="E103" s="671" t="s">
        <v>1801</v>
      </c>
      <c r="F103" s="45"/>
      <c r="G103" s="45"/>
      <c r="H103" s="45"/>
      <c r="I103" s="45"/>
      <c r="J103" s="45"/>
      <c r="K103" s="45"/>
      <c r="L103" s="45"/>
      <c r="M103" s="45"/>
      <c r="N103" s="45"/>
      <c r="O103" s="45"/>
      <c r="P103" s="45"/>
      <c r="Q103" s="45"/>
      <c r="R103" s="45"/>
      <c r="S103" s="45"/>
      <c r="T103" s="575"/>
      <c r="U103" s="575"/>
      <c r="V103" s="575"/>
      <c r="W103" s="575"/>
    </row>
    <row r="104">
      <c r="A104" s="674" t="s">
        <v>1802</v>
      </c>
      <c r="B104" s="183"/>
      <c r="C104" s="183"/>
      <c r="D104" s="183"/>
      <c r="E104" s="184"/>
      <c r="F104" s="41"/>
      <c r="G104" s="41"/>
      <c r="H104" s="41"/>
      <c r="I104" s="41"/>
      <c r="J104" s="41"/>
      <c r="K104" s="41"/>
      <c r="L104" s="41"/>
      <c r="M104" s="41"/>
      <c r="N104" s="41"/>
      <c r="O104" s="41"/>
      <c r="P104" s="41"/>
      <c r="Q104" s="41"/>
      <c r="R104" s="41"/>
      <c r="S104" s="41"/>
      <c r="T104" s="575"/>
      <c r="U104" s="575"/>
      <c r="V104" s="575"/>
      <c r="W104" s="575"/>
    </row>
    <row r="105">
      <c r="A105" s="675" t="s">
        <v>394</v>
      </c>
      <c r="B105" s="676" t="s">
        <v>1438</v>
      </c>
      <c r="C105" s="677" t="b">
        <v>0</v>
      </c>
      <c r="D105" s="678" t="s">
        <v>1439</v>
      </c>
      <c r="E105" s="679" t="s">
        <v>1440</v>
      </c>
      <c r="F105" s="41"/>
      <c r="G105" s="41"/>
      <c r="H105" s="41"/>
      <c r="I105" s="41"/>
      <c r="J105" s="41"/>
      <c r="K105" s="41"/>
      <c r="L105" s="41"/>
      <c r="M105" s="41"/>
      <c r="N105" s="41"/>
      <c r="O105" s="41"/>
      <c r="P105" s="41"/>
      <c r="Q105" s="41"/>
      <c r="R105" s="41"/>
      <c r="S105" s="41"/>
      <c r="T105" s="575"/>
      <c r="U105" s="575"/>
      <c r="V105" s="575"/>
      <c r="W105" s="575"/>
    </row>
    <row r="106">
      <c r="A106" s="95"/>
      <c r="B106" s="647" t="s">
        <v>1441</v>
      </c>
      <c r="C106" s="673" t="b">
        <v>0</v>
      </c>
      <c r="D106" s="648" t="s">
        <v>1442</v>
      </c>
      <c r="E106" s="649" t="s">
        <v>1443</v>
      </c>
      <c r="F106" s="41"/>
      <c r="G106" s="41"/>
      <c r="H106" s="41"/>
      <c r="I106" s="41"/>
      <c r="J106" s="41"/>
      <c r="K106" s="41"/>
      <c r="L106" s="41"/>
      <c r="M106" s="41"/>
      <c r="N106" s="41"/>
      <c r="O106" s="41"/>
      <c r="P106" s="41"/>
      <c r="Q106" s="41"/>
      <c r="R106" s="41"/>
      <c r="S106" s="41"/>
      <c r="T106" s="575"/>
      <c r="U106" s="575"/>
      <c r="V106" s="575"/>
      <c r="W106" s="575"/>
    </row>
    <row r="107">
      <c r="A107" s="95"/>
      <c r="B107" s="647" t="s">
        <v>1444</v>
      </c>
      <c r="C107" s="673" t="b">
        <v>0</v>
      </c>
      <c r="D107" s="648" t="s">
        <v>1445</v>
      </c>
      <c r="E107" s="649" t="s">
        <v>1446</v>
      </c>
      <c r="F107" s="41"/>
      <c r="G107" s="41"/>
      <c r="H107" s="41"/>
      <c r="I107" s="41"/>
      <c r="J107" s="41"/>
      <c r="K107" s="41"/>
      <c r="L107" s="41"/>
      <c r="M107" s="41"/>
      <c r="N107" s="41"/>
      <c r="O107" s="41"/>
      <c r="P107" s="41"/>
      <c r="Q107" s="41"/>
      <c r="R107" s="41"/>
      <c r="S107" s="41"/>
      <c r="T107" s="575"/>
      <c r="U107" s="575"/>
      <c r="V107" s="575"/>
      <c r="W107" s="575"/>
    </row>
    <row r="108">
      <c r="A108" s="95"/>
      <c r="B108" s="647" t="s">
        <v>1447</v>
      </c>
      <c r="C108" s="673" t="b">
        <v>0</v>
      </c>
      <c r="D108" s="648" t="s">
        <v>1448</v>
      </c>
      <c r="E108" s="649" t="s">
        <v>1449</v>
      </c>
      <c r="F108" s="41"/>
      <c r="G108" s="41"/>
      <c r="H108" s="41"/>
      <c r="I108" s="41"/>
      <c r="J108" s="41"/>
      <c r="K108" s="41"/>
      <c r="L108" s="41"/>
      <c r="M108" s="41"/>
      <c r="N108" s="41"/>
      <c r="O108" s="41"/>
      <c r="P108" s="41"/>
      <c r="Q108" s="41"/>
      <c r="R108" s="41"/>
      <c r="S108" s="41"/>
      <c r="T108" s="575"/>
      <c r="U108" s="575"/>
      <c r="V108" s="575"/>
      <c r="W108" s="575"/>
    </row>
    <row r="109">
      <c r="A109" s="95"/>
      <c r="B109" s="647" t="s">
        <v>1450</v>
      </c>
      <c r="C109" s="673" t="b">
        <v>0</v>
      </c>
      <c r="D109" s="648" t="s">
        <v>1451</v>
      </c>
      <c r="E109" s="649" t="s">
        <v>1452</v>
      </c>
      <c r="F109" s="41"/>
      <c r="G109" s="41"/>
      <c r="H109" s="41"/>
      <c r="I109" s="41"/>
      <c r="J109" s="41"/>
      <c r="K109" s="41"/>
      <c r="L109" s="41"/>
      <c r="M109" s="41"/>
      <c r="N109" s="41"/>
      <c r="O109" s="41"/>
      <c r="P109" s="41"/>
      <c r="Q109" s="41"/>
      <c r="R109" s="41"/>
      <c r="S109" s="41"/>
      <c r="T109" s="575"/>
      <c r="U109" s="575"/>
      <c r="V109" s="575"/>
      <c r="W109" s="575"/>
    </row>
    <row r="110">
      <c r="A110" s="95"/>
      <c r="B110" s="647" t="s">
        <v>1453</v>
      </c>
      <c r="C110" s="673" t="b">
        <v>0</v>
      </c>
      <c r="D110" s="648" t="s">
        <v>1454</v>
      </c>
      <c r="E110" s="649" t="s">
        <v>1455</v>
      </c>
      <c r="F110" s="41"/>
      <c r="G110" s="41"/>
      <c r="H110" s="41"/>
      <c r="I110" s="41"/>
      <c r="J110" s="41"/>
      <c r="K110" s="41"/>
      <c r="L110" s="41"/>
      <c r="M110" s="41"/>
      <c r="N110" s="41"/>
      <c r="O110" s="41"/>
      <c r="P110" s="41"/>
      <c r="Q110" s="41"/>
      <c r="R110" s="41"/>
      <c r="S110" s="41"/>
      <c r="T110" s="575"/>
      <c r="U110" s="575"/>
      <c r="V110" s="575"/>
      <c r="W110" s="575"/>
    </row>
    <row r="111">
      <c r="A111" s="95"/>
      <c r="B111" s="647" t="s">
        <v>1456</v>
      </c>
      <c r="C111" s="673" t="b">
        <v>0</v>
      </c>
      <c r="D111" s="648" t="s">
        <v>1457</v>
      </c>
      <c r="E111" s="649" t="s">
        <v>1458</v>
      </c>
      <c r="F111" s="41"/>
      <c r="G111" s="41"/>
      <c r="H111" s="41"/>
      <c r="I111" s="41"/>
      <c r="J111" s="41"/>
      <c r="K111" s="41"/>
      <c r="L111" s="41"/>
      <c r="M111" s="41"/>
      <c r="N111" s="41"/>
      <c r="O111" s="41"/>
      <c r="P111" s="41"/>
      <c r="Q111" s="41"/>
      <c r="R111" s="41"/>
      <c r="S111" s="41"/>
      <c r="T111" s="575"/>
      <c r="U111" s="575"/>
      <c r="V111" s="575"/>
      <c r="W111" s="575"/>
    </row>
    <row r="112">
      <c r="A112" s="95"/>
      <c r="B112" s="647" t="s">
        <v>1444</v>
      </c>
      <c r="C112" s="673" t="b">
        <v>0</v>
      </c>
      <c r="D112" s="648" t="s">
        <v>1459</v>
      </c>
      <c r="E112" s="649" t="s">
        <v>1460</v>
      </c>
      <c r="F112" s="41"/>
      <c r="G112" s="41"/>
      <c r="H112" s="41"/>
      <c r="I112" s="41"/>
      <c r="J112" s="41"/>
      <c r="K112" s="41"/>
      <c r="L112" s="41"/>
      <c r="M112" s="41"/>
      <c r="N112" s="41"/>
      <c r="O112" s="41"/>
      <c r="P112" s="41"/>
      <c r="Q112" s="41"/>
      <c r="R112" s="41"/>
      <c r="S112" s="41"/>
      <c r="T112" s="575"/>
      <c r="U112" s="575"/>
      <c r="V112" s="575"/>
      <c r="W112" s="575"/>
    </row>
    <row r="113">
      <c r="A113" s="95"/>
      <c r="B113" s="647" t="s">
        <v>1461</v>
      </c>
      <c r="C113" s="673" t="b">
        <v>0</v>
      </c>
      <c r="D113" s="648" t="s">
        <v>1462</v>
      </c>
      <c r="E113" s="649" t="s">
        <v>1463</v>
      </c>
      <c r="F113" s="41"/>
      <c r="G113" s="41"/>
      <c r="H113" s="41"/>
      <c r="I113" s="41"/>
      <c r="J113" s="41"/>
      <c r="K113" s="41"/>
      <c r="L113" s="41"/>
      <c r="M113" s="41"/>
      <c r="N113" s="41"/>
      <c r="O113" s="41"/>
      <c r="P113" s="41"/>
      <c r="Q113" s="41"/>
      <c r="R113" s="41"/>
      <c r="S113" s="41"/>
      <c r="T113" s="575"/>
      <c r="U113" s="575"/>
      <c r="V113" s="575"/>
      <c r="W113" s="575"/>
    </row>
    <row r="114">
      <c r="A114" s="95"/>
      <c r="B114" s="635" t="s">
        <v>1461</v>
      </c>
      <c r="C114" s="673" t="b">
        <v>0</v>
      </c>
      <c r="D114" s="646" t="s">
        <v>1464</v>
      </c>
      <c r="E114" s="650" t="s">
        <v>1465</v>
      </c>
      <c r="F114" s="41"/>
      <c r="G114" s="41"/>
      <c r="H114" s="41"/>
      <c r="I114" s="41"/>
      <c r="J114" s="41"/>
      <c r="K114" s="41"/>
      <c r="L114" s="41"/>
      <c r="M114" s="41"/>
      <c r="N114" s="41"/>
      <c r="O114" s="41"/>
      <c r="P114" s="41"/>
      <c r="Q114" s="41"/>
      <c r="R114" s="41"/>
      <c r="S114" s="41"/>
      <c r="T114" s="575"/>
      <c r="U114" s="575"/>
      <c r="V114" s="575"/>
      <c r="W114" s="575"/>
    </row>
    <row r="115">
      <c r="A115" s="95"/>
      <c r="B115" s="635" t="s">
        <v>1444</v>
      </c>
      <c r="C115" s="673" t="b">
        <v>0</v>
      </c>
      <c r="D115" s="646" t="s">
        <v>1466</v>
      </c>
      <c r="E115" s="637" t="s">
        <v>1446</v>
      </c>
      <c r="F115" s="41"/>
      <c r="G115" s="41"/>
      <c r="H115" s="41"/>
      <c r="I115" s="41"/>
      <c r="J115" s="41"/>
      <c r="K115" s="41"/>
      <c r="L115" s="41"/>
      <c r="M115" s="41"/>
      <c r="N115" s="41"/>
      <c r="O115" s="41"/>
      <c r="P115" s="41"/>
      <c r="Q115" s="41"/>
      <c r="R115" s="41"/>
      <c r="S115" s="41"/>
      <c r="T115" s="575"/>
      <c r="U115" s="575"/>
      <c r="V115" s="575"/>
      <c r="W115" s="575"/>
    </row>
    <row r="116">
      <c r="A116" s="95"/>
      <c r="B116" s="635" t="s">
        <v>1456</v>
      </c>
      <c r="C116" s="673" t="b">
        <v>0</v>
      </c>
      <c r="D116" s="646" t="s">
        <v>1467</v>
      </c>
      <c r="E116" s="637" t="s">
        <v>1458</v>
      </c>
      <c r="F116" s="41"/>
      <c r="G116" s="41"/>
      <c r="H116" s="41"/>
      <c r="I116" s="41"/>
      <c r="J116" s="41"/>
      <c r="K116" s="41"/>
      <c r="L116" s="41"/>
      <c r="M116" s="41"/>
      <c r="N116" s="41"/>
      <c r="O116" s="41"/>
      <c r="P116" s="41"/>
      <c r="Q116" s="41"/>
      <c r="R116" s="41"/>
      <c r="S116" s="41"/>
      <c r="T116" s="575"/>
      <c r="U116" s="575"/>
      <c r="V116" s="575"/>
      <c r="W116" s="575"/>
    </row>
    <row r="117">
      <c r="A117" s="95"/>
      <c r="B117" s="635" t="s">
        <v>1468</v>
      </c>
      <c r="C117" s="673" t="b">
        <v>0</v>
      </c>
      <c r="D117" s="646" t="s">
        <v>1469</v>
      </c>
      <c r="E117" s="637" t="s">
        <v>1470</v>
      </c>
      <c r="F117" s="41"/>
      <c r="G117" s="41"/>
      <c r="H117" s="41"/>
      <c r="I117" s="41"/>
      <c r="J117" s="41"/>
      <c r="K117" s="41"/>
      <c r="L117" s="41"/>
      <c r="M117" s="41"/>
      <c r="N117" s="41"/>
      <c r="O117" s="41"/>
      <c r="P117" s="41"/>
      <c r="Q117" s="41"/>
      <c r="R117" s="41"/>
      <c r="S117" s="41"/>
      <c r="T117" s="575"/>
      <c r="U117" s="575"/>
      <c r="V117" s="575"/>
      <c r="W117" s="575"/>
    </row>
    <row r="118">
      <c r="A118" s="95"/>
      <c r="B118" s="635" t="s">
        <v>1471</v>
      </c>
      <c r="C118" s="673" t="b">
        <v>0</v>
      </c>
      <c r="D118" s="646" t="s">
        <v>1472</v>
      </c>
      <c r="E118" s="650" t="s">
        <v>1473</v>
      </c>
      <c r="F118" s="41"/>
      <c r="G118" s="41"/>
      <c r="H118" s="41"/>
      <c r="I118" s="41"/>
      <c r="J118" s="41"/>
      <c r="K118" s="41"/>
      <c r="L118" s="41"/>
      <c r="M118" s="41"/>
      <c r="N118" s="41"/>
      <c r="O118" s="41"/>
      <c r="P118" s="41"/>
      <c r="Q118" s="41"/>
      <c r="R118" s="41"/>
      <c r="S118" s="41"/>
      <c r="T118" s="575"/>
      <c r="U118" s="575"/>
      <c r="V118" s="575"/>
      <c r="W118" s="575"/>
    </row>
    <row r="119">
      <c r="A119" s="95"/>
      <c r="B119" s="635" t="s">
        <v>1474</v>
      </c>
      <c r="C119" s="673" t="b">
        <v>0</v>
      </c>
      <c r="D119" s="646" t="s">
        <v>1475</v>
      </c>
      <c r="E119" s="650" t="s">
        <v>1476</v>
      </c>
      <c r="F119" s="41"/>
      <c r="G119" s="41"/>
      <c r="H119" s="41"/>
      <c r="I119" s="41"/>
      <c r="J119" s="41"/>
      <c r="K119" s="41"/>
      <c r="L119" s="41"/>
      <c r="M119" s="41"/>
      <c r="N119" s="41"/>
      <c r="O119" s="41"/>
      <c r="P119" s="41"/>
      <c r="Q119" s="41"/>
      <c r="R119" s="41"/>
      <c r="S119" s="41"/>
      <c r="T119" s="575"/>
      <c r="U119" s="575"/>
      <c r="V119" s="575"/>
      <c r="W119" s="575"/>
    </row>
    <row r="120">
      <c r="A120" s="95"/>
      <c r="B120" s="635" t="s">
        <v>1461</v>
      </c>
      <c r="C120" s="673" t="b">
        <v>0</v>
      </c>
      <c r="D120" s="646" t="s">
        <v>1477</v>
      </c>
      <c r="E120" s="637" t="s">
        <v>1463</v>
      </c>
      <c r="F120" s="41"/>
      <c r="G120" s="41"/>
      <c r="H120" s="41"/>
      <c r="I120" s="41"/>
      <c r="J120" s="41"/>
      <c r="K120" s="41"/>
      <c r="L120" s="41"/>
      <c r="M120" s="41"/>
      <c r="N120" s="41"/>
      <c r="O120" s="41"/>
      <c r="P120" s="41"/>
      <c r="Q120" s="41"/>
      <c r="R120" s="41"/>
      <c r="S120" s="41"/>
      <c r="T120" s="575"/>
      <c r="U120" s="575"/>
      <c r="V120" s="575"/>
      <c r="W120" s="575"/>
    </row>
    <row r="121">
      <c r="A121" s="95"/>
      <c r="B121" s="635" t="s">
        <v>1461</v>
      </c>
      <c r="C121" s="673" t="b">
        <v>0</v>
      </c>
      <c r="D121" s="646" t="s">
        <v>1478</v>
      </c>
      <c r="E121" s="637" t="s">
        <v>1465</v>
      </c>
      <c r="F121" s="41"/>
      <c r="G121" s="41"/>
      <c r="H121" s="41"/>
      <c r="I121" s="41"/>
      <c r="J121" s="41"/>
      <c r="K121" s="41"/>
      <c r="L121" s="41"/>
      <c r="M121" s="41"/>
      <c r="N121" s="41"/>
      <c r="O121" s="41"/>
      <c r="P121" s="41"/>
      <c r="Q121" s="41"/>
      <c r="R121" s="41"/>
      <c r="S121" s="41"/>
      <c r="T121" s="575"/>
      <c r="U121" s="575"/>
      <c r="V121" s="575"/>
      <c r="W121" s="575"/>
    </row>
    <row r="122">
      <c r="A122" s="95"/>
      <c r="B122" s="635" t="s">
        <v>1479</v>
      </c>
      <c r="C122" s="673" t="b">
        <v>0</v>
      </c>
      <c r="D122" s="646" t="s">
        <v>1480</v>
      </c>
      <c r="E122" s="650" t="s">
        <v>1481</v>
      </c>
      <c r="F122" s="41"/>
      <c r="G122" s="41"/>
      <c r="H122" s="41"/>
      <c r="I122" s="41"/>
      <c r="J122" s="41"/>
      <c r="K122" s="41"/>
      <c r="L122" s="41"/>
      <c r="M122" s="41"/>
      <c r="N122" s="41"/>
      <c r="O122" s="41"/>
      <c r="P122" s="41"/>
      <c r="Q122" s="41"/>
      <c r="R122" s="41"/>
      <c r="S122" s="41"/>
      <c r="T122" s="575"/>
      <c r="U122" s="575"/>
      <c r="V122" s="575"/>
      <c r="W122" s="575"/>
    </row>
    <row r="123">
      <c r="A123" s="164"/>
      <c r="B123" s="635" t="s">
        <v>1482</v>
      </c>
      <c r="C123" s="673" t="b">
        <v>0</v>
      </c>
      <c r="D123" s="646" t="s">
        <v>1483</v>
      </c>
      <c r="E123" s="650" t="s">
        <v>1484</v>
      </c>
      <c r="F123" s="41"/>
      <c r="G123" s="41"/>
      <c r="H123" s="41"/>
      <c r="I123" s="41"/>
      <c r="J123" s="41"/>
      <c r="K123" s="41"/>
      <c r="L123" s="41"/>
      <c r="M123" s="41"/>
      <c r="N123" s="41"/>
      <c r="O123" s="41"/>
      <c r="P123" s="41"/>
      <c r="Q123" s="41"/>
      <c r="R123" s="41"/>
      <c r="S123" s="41"/>
      <c r="T123" s="575"/>
      <c r="U123" s="575"/>
      <c r="V123" s="575"/>
      <c r="W123" s="575"/>
    </row>
    <row r="124">
      <c r="A124" s="668" t="s">
        <v>1803</v>
      </c>
      <c r="B124" s="676" t="s">
        <v>1486</v>
      </c>
      <c r="C124" s="677" t="b">
        <v>0</v>
      </c>
      <c r="D124" s="680" t="s">
        <v>1487</v>
      </c>
      <c r="E124" s="679" t="s">
        <v>1488</v>
      </c>
      <c r="F124" s="41"/>
      <c r="G124" s="41"/>
      <c r="H124" s="41"/>
      <c r="I124" s="41"/>
      <c r="J124" s="41"/>
      <c r="K124" s="41"/>
      <c r="L124" s="41"/>
      <c r="M124" s="41"/>
      <c r="N124" s="41"/>
      <c r="O124" s="41"/>
      <c r="P124" s="41"/>
      <c r="Q124" s="41"/>
      <c r="R124" s="41"/>
      <c r="S124" s="41"/>
      <c r="T124" s="575"/>
      <c r="U124" s="575"/>
      <c r="V124" s="575"/>
      <c r="W124" s="575"/>
    </row>
    <row r="125">
      <c r="A125" s="95"/>
      <c r="B125" s="635" t="s">
        <v>1489</v>
      </c>
      <c r="C125" s="673" t="b">
        <v>0</v>
      </c>
      <c r="D125" s="646" t="s">
        <v>1490</v>
      </c>
      <c r="E125" s="637" t="s">
        <v>1491</v>
      </c>
      <c r="F125" s="41"/>
      <c r="G125" s="41"/>
      <c r="H125" s="41"/>
      <c r="I125" s="41"/>
      <c r="J125" s="41"/>
      <c r="K125" s="41"/>
      <c r="L125" s="41"/>
      <c r="M125" s="41"/>
      <c r="N125" s="41"/>
      <c r="O125" s="41"/>
      <c r="P125" s="41"/>
      <c r="Q125" s="41"/>
      <c r="R125" s="41"/>
      <c r="S125" s="41"/>
      <c r="T125" s="575"/>
      <c r="U125" s="575"/>
      <c r="V125" s="575"/>
      <c r="W125" s="575"/>
    </row>
    <row r="126">
      <c r="A126" s="95"/>
      <c r="B126" s="647" t="s">
        <v>1492</v>
      </c>
      <c r="C126" s="673" t="b">
        <v>0</v>
      </c>
      <c r="D126" s="681" t="s">
        <v>1493</v>
      </c>
      <c r="E126" s="649" t="s">
        <v>1494</v>
      </c>
      <c r="F126" s="41"/>
      <c r="G126" s="41"/>
      <c r="H126" s="41"/>
      <c r="I126" s="41"/>
      <c r="J126" s="41"/>
      <c r="K126" s="41"/>
      <c r="L126" s="41"/>
      <c r="M126" s="41"/>
      <c r="N126" s="41"/>
      <c r="O126" s="41"/>
      <c r="P126" s="41"/>
      <c r="Q126" s="41"/>
      <c r="R126" s="41"/>
      <c r="S126" s="41"/>
      <c r="T126" s="575"/>
      <c r="U126" s="575"/>
      <c r="V126" s="575"/>
      <c r="W126" s="575"/>
    </row>
    <row r="127">
      <c r="A127" s="95"/>
      <c r="B127" s="647" t="s">
        <v>1495</v>
      </c>
      <c r="C127" s="673" t="b">
        <v>0</v>
      </c>
      <c r="D127" s="681" t="s">
        <v>1496</v>
      </c>
      <c r="E127" s="649" t="s">
        <v>1497</v>
      </c>
      <c r="F127" s="41"/>
      <c r="G127" s="41"/>
      <c r="H127" s="41"/>
      <c r="I127" s="41"/>
      <c r="J127" s="41"/>
      <c r="K127" s="41"/>
      <c r="L127" s="41"/>
      <c r="M127" s="41"/>
      <c r="N127" s="41"/>
      <c r="O127" s="41"/>
      <c r="P127" s="41"/>
      <c r="Q127" s="41"/>
      <c r="R127" s="41"/>
      <c r="S127" s="41"/>
      <c r="T127" s="575"/>
      <c r="U127" s="575"/>
      <c r="V127" s="575"/>
      <c r="W127" s="575"/>
    </row>
    <row r="128">
      <c r="A128" s="95"/>
      <c r="B128" s="647" t="s">
        <v>1501</v>
      </c>
      <c r="C128" s="673" t="b">
        <v>0</v>
      </c>
      <c r="D128" s="681" t="s">
        <v>1502</v>
      </c>
      <c r="E128" s="649" t="s">
        <v>1503</v>
      </c>
      <c r="F128" s="41"/>
      <c r="G128" s="41"/>
      <c r="H128" s="41"/>
      <c r="I128" s="41"/>
      <c r="J128" s="41"/>
      <c r="K128" s="41"/>
      <c r="L128" s="41"/>
      <c r="M128" s="41"/>
      <c r="N128" s="41"/>
      <c r="O128" s="41"/>
      <c r="P128" s="41"/>
      <c r="Q128" s="41"/>
      <c r="R128" s="41"/>
      <c r="S128" s="41"/>
      <c r="T128" s="575"/>
      <c r="U128" s="575"/>
      <c r="V128" s="575"/>
      <c r="W128" s="575"/>
    </row>
    <row r="129">
      <c r="A129" s="164"/>
      <c r="B129" s="647" t="s">
        <v>1504</v>
      </c>
      <c r="C129" s="673" t="b">
        <v>0</v>
      </c>
      <c r="D129" s="681" t="s">
        <v>1505</v>
      </c>
      <c r="E129" s="649" t="s">
        <v>1506</v>
      </c>
      <c r="F129" s="41"/>
      <c r="G129" s="41"/>
      <c r="H129" s="41"/>
      <c r="I129" s="41"/>
      <c r="J129" s="41"/>
      <c r="K129" s="41"/>
      <c r="L129" s="41"/>
      <c r="M129" s="41"/>
      <c r="N129" s="41"/>
      <c r="O129" s="41"/>
      <c r="P129" s="41"/>
      <c r="Q129" s="41"/>
      <c r="R129" s="41"/>
      <c r="S129" s="41"/>
      <c r="T129" s="575"/>
      <c r="U129" s="575"/>
      <c r="V129" s="575"/>
      <c r="W129" s="575"/>
    </row>
    <row r="130">
      <c r="A130" s="656" t="s">
        <v>410</v>
      </c>
      <c r="B130" s="676" t="s">
        <v>1522</v>
      </c>
      <c r="C130" s="677" t="b">
        <v>0</v>
      </c>
      <c r="D130" s="680" t="s">
        <v>1804</v>
      </c>
      <c r="E130" s="679" t="s">
        <v>1524</v>
      </c>
      <c r="F130" s="41"/>
      <c r="G130" s="41"/>
      <c r="H130" s="41"/>
      <c r="I130" s="41"/>
      <c r="J130" s="41"/>
      <c r="K130" s="41"/>
      <c r="L130" s="41"/>
      <c r="M130" s="41"/>
      <c r="N130" s="41"/>
      <c r="O130" s="41"/>
      <c r="P130" s="41"/>
      <c r="Q130" s="41"/>
      <c r="R130" s="41"/>
      <c r="S130" s="41"/>
      <c r="T130" s="575"/>
      <c r="U130" s="575"/>
      <c r="V130" s="575"/>
      <c r="W130" s="575"/>
    </row>
    <row r="131">
      <c r="A131" s="95"/>
      <c r="B131" s="647" t="s">
        <v>1508</v>
      </c>
      <c r="C131" s="673" t="b">
        <v>0</v>
      </c>
      <c r="D131" s="681" t="s">
        <v>1805</v>
      </c>
      <c r="E131" s="649" t="s">
        <v>1510</v>
      </c>
      <c r="F131" s="41"/>
      <c r="G131" s="41"/>
      <c r="H131" s="41"/>
      <c r="I131" s="41"/>
      <c r="J131" s="41"/>
      <c r="K131" s="41"/>
      <c r="L131" s="41"/>
      <c r="M131" s="41"/>
      <c r="N131" s="41"/>
      <c r="O131" s="41"/>
      <c r="P131" s="41"/>
      <c r="Q131" s="41"/>
      <c r="R131" s="41"/>
      <c r="S131" s="41"/>
      <c r="T131" s="575"/>
      <c r="U131" s="575"/>
      <c r="V131" s="575"/>
      <c r="W131" s="575"/>
    </row>
    <row r="132">
      <c r="A132" s="95"/>
      <c r="B132" s="647" t="s">
        <v>1508</v>
      </c>
      <c r="C132" s="673" t="b">
        <v>0</v>
      </c>
      <c r="D132" s="681" t="s">
        <v>1806</v>
      </c>
      <c r="E132" s="649" t="s">
        <v>1512</v>
      </c>
      <c r="F132" s="41"/>
      <c r="G132" s="41"/>
      <c r="H132" s="41"/>
      <c r="I132" s="41"/>
      <c r="J132" s="41"/>
      <c r="K132" s="41"/>
      <c r="L132" s="41"/>
      <c r="M132" s="41"/>
      <c r="N132" s="41"/>
      <c r="O132" s="41"/>
      <c r="P132" s="41"/>
      <c r="Q132" s="41"/>
      <c r="R132" s="41"/>
      <c r="S132" s="41"/>
      <c r="T132" s="575"/>
      <c r="U132" s="575"/>
      <c r="V132" s="575"/>
      <c r="W132" s="575"/>
    </row>
    <row r="133">
      <c r="A133" s="95"/>
      <c r="B133" s="647" t="s">
        <v>1807</v>
      </c>
      <c r="C133" s="673" t="b">
        <v>0</v>
      </c>
      <c r="D133" s="681" t="s">
        <v>1808</v>
      </c>
      <c r="E133" s="649" t="s">
        <v>1809</v>
      </c>
      <c r="F133" s="41"/>
      <c r="G133" s="41"/>
      <c r="H133" s="41"/>
      <c r="I133" s="41"/>
      <c r="J133" s="41"/>
      <c r="K133" s="41"/>
      <c r="L133" s="41"/>
      <c r="M133" s="41"/>
      <c r="N133" s="41"/>
      <c r="O133" s="41"/>
      <c r="P133" s="41"/>
      <c r="Q133" s="41"/>
      <c r="R133" s="41"/>
      <c r="S133" s="41"/>
      <c r="T133" s="575"/>
      <c r="U133" s="575"/>
      <c r="V133" s="575"/>
      <c r="W133" s="575"/>
    </row>
    <row r="134">
      <c r="A134" s="95"/>
      <c r="B134" s="647" t="s">
        <v>1807</v>
      </c>
      <c r="C134" s="673" t="b">
        <v>0</v>
      </c>
      <c r="D134" s="681" t="s">
        <v>1810</v>
      </c>
      <c r="E134" s="649" t="s">
        <v>1811</v>
      </c>
      <c r="F134" s="41"/>
      <c r="G134" s="41"/>
      <c r="H134" s="41"/>
      <c r="I134" s="41"/>
      <c r="J134" s="41"/>
      <c r="K134" s="41"/>
      <c r="L134" s="41"/>
      <c r="M134" s="41"/>
      <c r="N134" s="41"/>
      <c r="O134" s="41"/>
      <c r="P134" s="41"/>
      <c r="Q134" s="41"/>
      <c r="R134" s="41"/>
      <c r="S134" s="41"/>
      <c r="T134" s="575"/>
      <c r="U134" s="575"/>
      <c r="V134" s="575"/>
      <c r="W134" s="575"/>
    </row>
    <row r="135">
      <c r="A135" s="95"/>
      <c r="B135" s="647" t="s">
        <v>1516</v>
      </c>
      <c r="C135" s="673" t="b">
        <v>0</v>
      </c>
      <c r="D135" s="681" t="s">
        <v>1812</v>
      </c>
      <c r="E135" s="649" t="s">
        <v>1518</v>
      </c>
      <c r="F135" s="41"/>
      <c r="G135" s="41"/>
      <c r="H135" s="41"/>
      <c r="I135" s="41"/>
      <c r="J135" s="41"/>
      <c r="K135" s="41"/>
      <c r="L135" s="41"/>
      <c r="M135" s="41"/>
      <c r="N135" s="41"/>
      <c r="O135" s="41"/>
      <c r="P135" s="41"/>
      <c r="Q135" s="41"/>
      <c r="R135" s="41"/>
      <c r="S135" s="41"/>
      <c r="T135" s="575"/>
      <c r="U135" s="575"/>
      <c r="V135" s="575"/>
      <c r="W135" s="575"/>
    </row>
    <row r="136">
      <c r="A136" s="95"/>
      <c r="B136" s="647" t="s">
        <v>1513</v>
      </c>
      <c r="C136" s="673" t="b">
        <v>0</v>
      </c>
      <c r="D136" s="681" t="s">
        <v>1813</v>
      </c>
      <c r="E136" s="649" t="s">
        <v>1515</v>
      </c>
      <c r="F136" s="41"/>
      <c r="G136" s="41"/>
      <c r="H136" s="41"/>
      <c r="I136" s="41"/>
      <c r="J136" s="41"/>
      <c r="K136" s="41"/>
      <c r="L136" s="41"/>
      <c r="M136" s="41"/>
      <c r="N136" s="41"/>
      <c r="O136" s="41"/>
      <c r="P136" s="41"/>
      <c r="Q136" s="41"/>
      <c r="R136" s="41"/>
      <c r="S136" s="41"/>
      <c r="T136" s="575"/>
      <c r="U136" s="575"/>
      <c r="V136" s="575"/>
      <c r="W136" s="575"/>
    </row>
    <row r="137">
      <c r="A137" s="164"/>
      <c r="B137" s="647" t="s">
        <v>1577</v>
      </c>
      <c r="C137" s="673" t="b">
        <v>0</v>
      </c>
      <c r="D137" s="681" t="s">
        <v>1814</v>
      </c>
      <c r="E137" s="649" t="s">
        <v>1815</v>
      </c>
      <c r="F137" s="41"/>
      <c r="G137" s="41"/>
      <c r="H137" s="41"/>
      <c r="I137" s="41"/>
      <c r="J137" s="41"/>
      <c r="K137" s="41"/>
      <c r="L137" s="41"/>
      <c r="M137" s="41"/>
      <c r="N137" s="41"/>
      <c r="O137" s="41"/>
      <c r="P137" s="41"/>
      <c r="Q137" s="41"/>
      <c r="R137" s="41"/>
      <c r="S137" s="41"/>
      <c r="T137" s="575"/>
      <c r="U137" s="575"/>
      <c r="V137" s="575"/>
      <c r="W137" s="575"/>
    </row>
    <row r="138">
      <c r="A138" s="660" t="s">
        <v>412</v>
      </c>
      <c r="B138" s="676" t="s">
        <v>1816</v>
      </c>
      <c r="C138" s="677" t="b">
        <v>0</v>
      </c>
      <c r="D138" s="680" t="s">
        <v>1817</v>
      </c>
      <c r="E138" s="679" t="s">
        <v>1818</v>
      </c>
      <c r="F138" s="41"/>
      <c r="G138" s="41"/>
      <c r="H138" s="41"/>
      <c r="I138" s="41"/>
      <c r="J138" s="41"/>
      <c r="K138" s="41"/>
      <c r="L138" s="41"/>
      <c r="M138" s="41"/>
      <c r="N138" s="41"/>
      <c r="O138" s="41"/>
      <c r="P138" s="41"/>
      <c r="Q138" s="41"/>
      <c r="R138" s="41"/>
      <c r="S138" s="41"/>
      <c r="T138" s="575"/>
      <c r="U138" s="575"/>
      <c r="V138" s="575"/>
      <c r="W138" s="575"/>
    </row>
    <row r="139">
      <c r="A139" s="95"/>
      <c r="B139" s="647" t="s">
        <v>1819</v>
      </c>
      <c r="C139" s="673" t="b">
        <v>0</v>
      </c>
      <c r="D139" s="681" t="s">
        <v>1820</v>
      </c>
      <c r="E139" s="649" t="s">
        <v>1821</v>
      </c>
      <c r="F139" s="41"/>
      <c r="G139" s="41"/>
      <c r="H139" s="41"/>
      <c r="I139" s="41"/>
      <c r="J139" s="41"/>
      <c r="K139" s="41"/>
      <c r="L139" s="41"/>
      <c r="M139" s="41"/>
      <c r="N139" s="41"/>
      <c r="O139" s="41"/>
      <c r="P139" s="41"/>
      <c r="Q139" s="41"/>
      <c r="R139" s="41"/>
      <c r="S139" s="41"/>
      <c r="T139" s="575"/>
      <c r="U139" s="575"/>
      <c r="V139" s="575"/>
      <c r="W139" s="575"/>
    </row>
    <row r="140">
      <c r="A140" s="95"/>
      <c r="B140" s="647" t="s">
        <v>1508</v>
      </c>
      <c r="C140" s="673" t="b">
        <v>0</v>
      </c>
      <c r="D140" s="681" t="s">
        <v>1822</v>
      </c>
      <c r="E140" s="649" t="s">
        <v>1823</v>
      </c>
      <c r="F140" s="41"/>
      <c r="G140" s="41"/>
      <c r="H140" s="41"/>
      <c r="I140" s="41"/>
      <c r="J140" s="41"/>
      <c r="K140" s="41"/>
      <c r="L140" s="41"/>
      <c r="M140" s="41"/>
      <c r="N140" s="41"/>
      <c r="O140" s="41"/>
      <c r="P140" s="41"/>
      <c r="Q140" s="41"/>
      <c r="R140" s="41"/>
      <c r="S140" s="41"/>
      <c r="T140" s="575"/>
      <c r="U140" s="575"/>
      <c r="V140" s="575"/>
      <c r="W140" s="575"/>
    </row>
    <row r="141">
      <c r="A141" s="95"/>
      <c r="B141" s="635" t="s">
        <v>1456</v>
      </c>
      <c r="C141" s="673" t="b">
        <v>0</v>
      </c>
      <c r="D141" s="646" t="s">
        <v>1824</v>
      </c>
      <c r="E141" s="650" t="s">
        <v>1825</v>
      </c>
      <c r="F141" s="41"/>
      <c r="G141" s="41"/>
      <c r="H141" s="41"/>
      <c r="I141" s="41"/>
      <c r="J141" s="41"/>
      <c r="K141" s="41"/>
      <c r="L141" s="41"/>
      <c r="M141" s="41"/>
      <c r="N141" s="41"/>
      <c r="O141" s="41"/>
      <c r="P141" s="41"/>
      <c r="Q141" s="41"/>
      <c r="R141" s="41"/>
      <c r="S141" s="41"/>
      <c r="T141" s="575"/>
      <c r="U141" s="575"/>
      <c r="V141" s="575"/>
      <c r="W141" s="575"/>
    </row>
    <row r="142">
      <c r="A142" s="95"/>
      <c r="B142" s="635" t="s">
        <v>1816</v>
      </c>
      <c r="C142" s="673" t="b">
        <v>0</v>
      </c>
      <c r="D142" s="646" t="s">
        <v>1826</v>
      </c>
      <c r="E142" s="650" t="s">
        <v>1827</v>
      </c>
      <c r="F142" s="41"/>
      <c r="G142" s="41"/>
      <c r="H142" s="41"/>
      <c r="I142" s="41"/>
      <c r="J142" s="41"/>
      <c r="K142" s="41"/>
      <c r="L142" s="41"/>
      <c r="M142" s="41"/>
      <c r="N142" s="41"/>
      <c r="O142" s="41"/>
      <c r="P142" s="41"/>
      <c r="Q142" s="41"/>
      <c r="R142" s="41"/>
      <c r="S142" s="41"/>
      <c r="T142" s="575"/>
      <c r="U142" s="575"/>
      <c r="V142" s="575"/>
      <c r="W142" s="575"/>
    </row>
    <row r="143">
      <c r="A143" s="95"/>
      <c r="B143" s="635" t="s">
        <v>1816</v>
      </c>
      <c r="C143" s="673" t="b">
        <v>0</v>
      </c>
      <c r="D143" s="646" t="s">
        <v>1828</v>
      </c>
      <c r="E143" s="650" t="s">
        <v>1818</v>
      </c>
      <c r="F143" s="41"/>
      <c r="G143" s="41"/>
      <c r="H143" s="41"/>
      <c r="I143" s="41"/>
      <c r="J143" s="41"/>
      <c r="K143" s="41"/>
      <c r="L143" s="41"/>
      <c r="M143" s="41"/>
      <c r="N143" s="41"/>
      <c r="O143" s="41"/>
      <c r="P143" s="41"/>
      <c r="Q143" s="41"/>
      <c r="R143" s="41"/>
      <c r="S143" s="41"/>
      <c r="T143" s="575"/>
      <c r="U143" s="575"/>
      <c r="V143" s="575"/>
      <c r="W143" s="575"/>
    </row>
    <row r="144">
      <c r="A144" s="95"/>
      <c r="B144" s="635" t="s">
        <v>1829</v>
      </c>
      <c r="C144" s="673" t="b">
        <v>0</v>
      </c>
      <c r="D144" s="646" t="s">
        <v>1830</v>
      </c>
      <c r="E144" s="650" t="s">
        <v>1831</v>
      </c>
      <c r="F144" s="41"/>
      <c r="G144" s="41"/>
      <c r="H144" s="41"/>
      <c r="I144" s="41"/>
      <c r="J144" s="41"/>
      <c r="K144" s="41"/>
      <c r="L144" s="41"/>
      <c r="M144" s="41"/>
      <c r="N144" s="41"/>
      <c r="O144" s="41"/>
      <c r="P144" s="41"/>
      <c r="Q144" s="41"/>
      <c r="R144" s="41"/>
      <c r="S144" s="41"/>
      <c r="T144" s="575"/>
      <c r="U144" s="575"/>
      <c r="V144" s="575"/>
      <c r="W144" s="575"/>
    </row>
    <row r="145">
      <c r="A145" s="95"/>
      <c r="B145" s="635" t="s">
        <v>1832</v>
      </c>
      <c r="C145" s="673" t="b">
        <v>0</v>
      </c>
      <c r="D145" s="646" t="s">
        <v>1833</v>
      </c>
      <c r="E145" s="637" t="s">
        <v>1834</v>
      </c>
      <c r="F145" s="41"/>
      <c r="G145" s="41"/>
      <c r="H145" s="41"/>
      <c r="I145" s="41"/>
      <c r="J145" s="41"/>
      <c r="K145" s="41"/>
      <c r="L145" s="41"/>
      <c r="M145" s="41"/>
      <c r="N145" s="41"/>
      <c r="O145" s="41"/>
      <c r="P145" s="41"/>
      <c r="Q145" s="41"/>
      <c r="R145" s="41"/>
      <c r="S145" s="41"/>
      <c r="T145" s="575"/>
      <c r="U145" s="575"/>
      <c r="V145" s="575"/>
      <c r="W145" s="575"/>
    </row>
    <row r="146">
      <c r="A146" s="95"/>
      <c r="B146" s="635" t="s">
        <v>1835</v>
      </c>
      <c r="C146" s="673" t="b">
        <v>0</v>
      </c>
      <c r="D146" s="646" t="s">
        <v>1836</v>
      </c>
      <c r="E146" s="650" t="s">
        <v>1837</v>
      </c>
      <c r="F146" s="41"/>
      <c r="G146" s="41"/>
      <c r="H146" s="41"/>
      <c r="I146" s="41"/>
      <c r="J146" s="41"/>
      <c r="K146" s="41"/>
      <c r="L146" s="41"/>
      <c r="M146" s="41"/>
      <c r="N146" s="41"/>
      <c r="O146" s="41"/>
      <c r="P146" s="41"/>
      <c r="Q146" s="41"/>
      <c r="R146" s="41"/>
      <c r="S146" s="41"/>
      <c r="T146" s="575"/>
      <c r="U146" s="575"/>
      <c r="V146" s="575"/>
      <c r="W146" s="575"/>
    </row>
    <row r="147">
      <c r="A147" s="95"/>
      <c r="B147" s="635" t="s">
        <v>1486</v>
      </c>
      <c r="C147" s="673" t="b">
        <v>0</v>
      </c>
      <c r="D147" s="646" t="s">
        <v>1838</v>
      </c>
      <c r="E147" s="650" t="s">
        <v>1839</v>
      </c>
      <c r="F147" s="41"/>
      <c r="G147" s="41"/>
      <c r="H147" s="41"/>
      <c r="I147" s="41"/>
      <c r="J147" s="41"/>
      <c r="K147" s="41"/>
      <c r="L147" s="41"/>
      <c r="M147" s="41"/>
      <c r="N147" s="41"/>
      <c r="O147" s="41"/>
      <c r="P147" s="41"/>
      <c r="Q147" s="41"/>
      <c r="R147" s="41"/>
      <c r="S147" s="41"/>
      <c r="T147" s="575"/>
      <c r="U147" s="575"/>
      <c r="V147" s="575"/>
      <c r="W147" s="575"/>
    </row>
    <row r="148">
      <c r="A148" s="95"/>
      <c r="B148" s="635" t="s">
        <v>1840</v>
      </c>
      <c r="C148" s="673" t="b">
        <v>0</v>
      </c>
      <c r="D148" s="646" t="s">
        <v>1841</v>
      </c>
      <c r="E148" s="650" t="s">
        <v>1842</v>
      </c>
      <c r="F148" s="41"/>
      <c r="G148" s="41"/>
      <c r="H148" s="41"/>
      <c r="I148" s="41"/>
      <c r="J148" s="41"/>
      <c r="K148" s="41"/>
      <c r="L148" s="41"/>
      <c r="M148" s="41"/>
      <c r="N148" s="41"/>
      <c r="O148" s="41"/>
      <c r="P148" s="41"/>
      <c r="Q148" s="41"/>
      <c r="R148" s="41"/>
      <c r="S148" s="41"/>
      <c r="T148" s="575"/>
      <c r="U148" s="575"/>
      <c r="V148" s="575"/>
      <c r="W148" s="575"/>
    </row>
    <row r="149">
      <c r="A149" s="164"/>
      <c r="B149" s="635" t="s">
        <v>1840</v>
      </c>
      <c r="C149" s="673" t="b">
        <v>0</v>
      </c>
      <c r="D149" s="646" t="s">
        <v>1843</v>
      </c>
      <c r="E149" s="650" t="s">
        <v>1844</v>
      </c>
      <c r="F149" s="41"/>
      <c r="G149" s="41"/>
      <c r="H149" s="41"/>
      <c r="I149" s="41"/>
      <c r="J149" s="41"/>
      <c r="K149" s="41"/>
      <c r="L149" s="41"/>
      <c r="M149" s="41"/>
      <c r="N149" s="41"/>
      <c r="O149" s="41"/>
      <c r="P149" s="41"/>
      <c r="Q149" s="41"/>
      <c r="R149" s="41"/>
      <c r="S149" s="41"/>
      <c r="T149" s="575"/>
      <c r="U149" s="575"/>
      <c r="V149" s="575"/>
      <c r="W149" s="575"/>
    </row>
    <row r="150">
      <c r="A150" s="41"/>
      <c r="B150" s="41"/>
      <c r="C150" s="41"/>
      <c r="D150" s="41"/>
      <c r="E150" s="41"/>
      <c r="F150" s="41"/>
      <c r="G150" s="41"/>
      <c r="H150" s="41"/>
      <c r="I150" s="41"/>
      <c r="J150" s="41"/>
      <c r="K150" s="41"/>
      <c r="L150" s="41"/>
      <c r="M150" s="41"/>
      <c r="N150" s="41"/>
      <c r="O150" s="41"/>
      <c r="P150" s="41"/>
      <c r="Q150" s="41"/>
      <c r="R150" s="41"/>
      <c r="S150" s="41"/>
      <c r="T150" s="575"/>
      <c r="U150" s="575"/>
      <c r="V150" s="575"/>
      <c r="W150" s="575"/>
    </row>
    <row r="151">
      <c r="A151" s="41"/>
      <c r="B151" s="41"/>
      <c r="C151" s="41"/>
      <c r="D151" s="41"/>
      <c r="E151" s="41"/>
      <c r="F151" s="41"/>
      <c r="G151" s="41"/>
      <c r="H151" s="41"/>
      <c r="I151" s="41"/>
      <c r="J151" s="41"/>
      <c r="K151" s="41"/>
      <c r="L151" s="41"/>
      <c r="M151" s="41"/>
      <c r="N151" s="41"/>
      <c r="O151" s="41"/>
      <c r="P151" s="41"/>
      <c r="Q151" s="41"/>
      <c r="R151" s="41"/>
      <c r="S151" s="41"/>
      <c r="T151" s="575"/>
      <c r="U151" s="575"/>
      <c r="V151" s="575"/>
      <c r="W151" s="575"/>
    </row>
    <row r="152">
      <c r="A152" s="41"/>
      <c r="B152" s="41"/>
      <c r="C152" s="41"/>
      <c r="D152" s="41"/>
      <c r="E152" s="41"/>
      <c r="F152" s="41"/>
      <c r="G152" s="41"/>
      <c r="H152" s="41"/>
      <c r="I152" s="41"/>
      <c r="J152" s="41"/>
      <c r="K152" s="41"/>
      <c r="L152" s="41"/>
      <c r="M152" s="41"/>
      <c r="N152" s="41"/>
      <c r="O152" s="41"/>
      <c r="P152" s="41"/>
      <c r="Q152" s="41"/>
      <c r="R152" s="41"/>
      <c r="S152" s="41"/>
      <c r="T152" s="575"/>
      <c r="U152" s="575"/>
      <c r="V152" s="575"/>
      <c r="W152" s="575"/>
    </row>
    <row r="153">
      <c r="A153" s="41"/>
      <c r="B153" s="41"/>
      <c r="C153" s="41"/>
      <c r="D153" s="41"/>
      <c r="E153" s="41"/>
      <c r="F153" s="41"/>
      <c r="G153" s="41"/>
      <c r="H153" s="41"/>
      <c r="I153" s="41"/>
      <c r="J153" s="41"/>
      <c r="K153" s="41"/>
      <c r="L153" s="41"/>
      <c r="M153" s="41"/>
      <c r="N153" s="41"/>
      <c r="O153" s="41"/>
      <c r="P153" s="41"/>
      <c r="Q153" s="41"/>
      <c r="R153" s="41"/>
      <c r="S153" s="41"/>
      <c r="T153" s="575"/>
      <c r="U153" s="575"/>
      <c r="V153" s="575"/>
      <c r="W153" s="575"/>
    </row>
    <row r="154">
      <c r="A154" s="41"/>
      <c r="B154" s="41"/>
      <c r="C154" s="41"/>
      <c r="D154" s="41"/>
      <c r="E154" s="41"/>
      <c r="F154" s="41"/>
      <c r="G154" s="41"/>
      <c r="H154" s="41"/>
      <c r="I154" s="41"/>
      <c r="J154" s="41"/>
      <c r="K154" s="41"/>
      <c r="L154" s="41"/>
      <c r="M154" s="41"/>
      <c r="N154" s="41"/>
      <c r="O154" s="41"/>
      <c r="P154" s="41"/>
      <c r="Q154" s="41"/>
      <c r="R154" s="41"/>
      <c r="S154" s="41"/>
      <c r="T154" s="575"/>
      <c r="U154" s="575"/>
      <c r="V154" s="575"/>
      <c r="W154" s="575"/>
    </row>
    <row r="155">
      <c r="A155" s="41"/>
      <c r="B155" s="41"/>
      <c r="C155" s="41"/>
      <c r="D155" s="41"/>
      <c r="E155" s="41"/>
      <c r="F155" s="41"/>
      <c r="G155" s="41"/>
      <c r="H155" s="41"/>
      <c r="I155" s="41"/>
      <c r="J155" s="41"/>
      <c r="K155" s="41"/>
      <c r="L155" s="41"/>
      <c r="M155" s="41"/>
      <c r="N155" s="41"/>
      <c r="O155" s="41"/>
      <c r="P155" s="41"/>
      <c r="Q155" s="41"/>
      <c r="R155" s="41"/>
      <c r="S155" s="41"/>
      <c r="T155" s="575"/>
      <c r="U155" s="575"/>
      <c r="V155" s="575"/>
      <c r="W155" s="575"/>
    </row>
    <row r="156">
      <c r="A156" s="41"/>
      <c r="B156" s="41"/>
      <c r="C156" s="41"/>
      <c r="D156" s="41"/>
      <c r="E156" s="41"/>
      <c r="F156" s="41"/>
      <c r="G156" s="41"/>
      <c r="H156" s="41"/>
      <c r="I156" s="41"/>
      <c r="J156" s="41"/>
      <c r="K156" s="41"/>
      <c r="L156" s="41"/>
      <c r="M156" s="41"/>
      <c r="N156" s="41"/>
      <c r="O156" s="41"/>
      <c r="P156" s="41"/>
      <c r="Q156" s="41"/>
      <c r="R156" s="41"/>
      <c r="S156" s="41"/>
      <c r="T156" s="575"/>
      <c r="U156" s="575"/>
      <c r="V156" s="575"/>
      <c r="W156" s="575"/>
    </row>
    <row r="157">
      <c r="A157" s="41"/>
      <c r="B157" s="41"/>
      <c r="C157" s="41"/>
      <c r="D157" s="41"/>
      <c r="E157" s="41"/>
      <c r="F157" s="41"/>
      <c r="G157" s="41"/>
      <c r="H157" s="41"/>
      <c r="I157" s="41"/>
      <c r="J157" s="41"/>
      <c r="K157" s="41"/>
      <c r="L157" s="41"/>
      <c r="M157" s="41"/>
      <c r="N157" s="41"/>
      <c r="O157" s="41"/>
      <c r="P157" s="41"/>
      <c r="Q157" s="41"/>
      <c r="R157" s="41"/>
      <c r="S157" s="41"/>
      <c r="T157" s="575"/>
      <c r="U157" s="575"/>
      <c r="V157" s="575"/>
      <c r="W157" s="575"/>
    </row>
    <row r="158">
      <c r="A158" s="41"/>
      <c r="B158" s="41"/>
      <c r="C158" s="41"/>
      <c r="D158" s="41"/>
      <c r="E158" s="41"/>
      <c r="F158" s="41"/>
      <c r="G158" s="41"/>
      <c r="H158" s="41"/>
      <c r="I158" s="41"/>
      <c r="J158" s="41"/>
      <c r="K158" s="41"/>
      <c r="L158" s="41"/>
      <c r="M158" s="41"/>
      <c r="N158" s="41"/>
      <c r="O158" s="41"/>
      <c r="P158" s="41"/>
      <c r="Q158" s="41"/>
      <c r="R158" s="41"/>
      <c r="S158" s="41"/>
      <c r="T158" s="575"/>
      <c r="U158" s="575"/>
      <c r="V158" s="575"/>
      <c r="W158" s="575"/>
    </row>
    <row r="159">
      <c r="A159" s="41"/>
      <c r="B159" s="41"/>
      <c r="C159" s="41"/>
      <c r="D159" s="41"/>
      <c r="E159" s="41"/>
      <c r="F159" s="41"/>
      <c r="G159" s="41"/>
      <c r="H159" s="41"/>
      <c r="I159" s="41"/>
      <c r="J159" s="41"/>
      <c r="K159" s="41"/>
      <c r="L159" s="41"/>
      <c r="M159" s="41"/>
      <c r="N159" s="41"/>
      <c r="O159" s="41"/>
      <c r="P159" s="41"/>
      <c r="Q159" s="41"/>
      <c r="R159" s="41"/>
      <c r="S159" s="41"/>
      <c r="T159" s="575"/>
      <c r="U159" s="575"/>
      <c r="V159" s="575"/>
      <c r="W159" s="575"/>
    </row>
    <row r="160">
      <c r="A160" s="41"/>
      <c r="B160" s="41"/>
      <c r="C160" s="41"/>
      <c r="D160" s="41"/>
      <c r="E160" s="41"/>
      <c r="F160" s="41"/>
      <c r="G160" s="41"/>
      <c r="H160" s="41"/>
      <c r="I160" s="41"/>
      <c r="J160" s="41"/>
      <c r="K160" s="41"/>
      <c r="L160" s="41"/>
      <c r="M160" s="41"/>
      <c r="N160" s="41"/>
      <c r="O160" s="41"/>
      <c r="P160" s="41"/>
      <c r="Q160" s="41"/>
      <c r="R160" s="41"/>
      <c r="S160" s="41"/>
      <c r="T160" s="575"/>
      <c r="U160" s="575"/>
      <c r="V160" s="575"/>
      <c r="W160" s="575"/>
    </row>
    <row r="161">
      <c r="A161" s="41"/>
      <c r="B161" s="41"/>
      <c r="C161" s="41"/>
      <c r="D161" s="41"/>
      <c r="E161" s="41"/>
      <c r="F161" s="41"/>
      <c r="G161" s="41"/>
      <c r="H161" s="41"/>
      <c r="I161" s="41"/>
      <c r="J161" s="41"/>
      <c r="K161" s="41"/>
      <c r="L161" s="41"/>
      <c r="M161" s="41"/>
      <c r="N161" s="41"/>
      <c r="O161" s="41"/>
      <c r="P161" s="41"/>
      <c r="Q161" s="41"/>
      <c r="R161" s="41"/>
      <c r="S161" s="41"/>
      <c r="T161" s="575"/>
      <c r="U161" s="575"/>
      <c r="V161" s="575"/>
      <c r="W161" s="575"/>
    </row>
    <row r="162">
      <c r="A162" s="41"/>
      <c r="B162" s="41"/>
      <c r="C162" s="41"/>
      <c r="D162" s="41"/>
      <c r="E162" s="41"/>
      <c r="F162" s="41"/>
      <c r="G162" s="41"/>
      <c r="H162" s="41"/>
      <c r="I162" s="41"/>
      <c r="J162" s="41"/>
      <c r="K162" s="41"/>
      <c r="L162" s="41"/>
      <c r="M162" s="41"/>
      <c r="N162" s="41"/>
      <c r="O162" s="41"/>
      <c r="P162" s="41"/>
      <c r="Q162" s="41"/>
      <c r="R162" s="41"/>
      <c r="S162" s="41"/>
      <c r="T162" s="575"/>
      <c r="U162" s="575"/>
      <c r="V162" s="575"/>
      <c r="W162" s="575"/>
    </row>
    <row r="163">
      <c r="A163" s="41"/>
      <c r="B163" s="41"/>
      <c r="C163" s="41"/>
      <c r="D163" s="41"/>
      <c r="E163" s="41"/>
      <c r="F163" s="41"/>
      <c r="G163" s="41"/>
      <c r="H163" s="41"/>
      <c r="I163" s="41"/>
      <c r="J163" s="41"/>
      <c r="K163" s="41"/>
      <c r="L163" s="41"/>
      <c r="M163" s="41"/>
      <c r="N163" s="41"/>
      <c r="O163" s="41"/>
      <c r="P163" s="41"/>
      <c r="Q163" s="41"/>
      <c r="R163" s="41"/>
      <c r="S163" s="41"/>
      <c r="T163" s="575"/>
      <c r="U163" s="575"/>
      <c r="V163" s="575"/>
      <c r="W163" s="575"/>
    </row>
    <row r="164">
      <c r="A164" s="41"/>
      <c r="B164" s="41"/>
      <c r="C164" s="41"/>
      <c r="D164" s="41"/>
      <c r="E164" s="41"/>
      <c r="F164" s="41"/>
      <c r="G164" s="41"/>
      <c r="H164" s="41"/>
      <c r="I164" s="41"/>
      <c r="J164" s="41"/>
      <c r="K164" s="41"/>
      <c r="L164" s="41"/>
      <c r="M164" s="41"/>
      <c r="N164" s="41"/>
      <c r="O164" s="41"/>
      <c r="P164" s="41"/>
      <c r="Q164" s="41"/>
      <c r="R164" s="41"/>
      <c r="S164" s="41"/>
      <c r="T164" s="575"/>
      <c r="U164" s="575"/>
      <c r="V164" s="575"/>
      <c r="W164" s="575"/>
    </row>
    <row r="165">
      <c r="A165" s="41"/>
      <c r="B165" s="41"/>
      <c r="C165" s="41"/>
      <c r="D165" s="41"/>
      <c r="E165" s="41"/>
      <c r="F165" s="41"/>
      <c r="G165" s="41"/>
      <c r="H165" s="41"/>
      <c r="I165" s="41"/>
      <c r="J165" s="41"/>
      <c r="K165" s="41"/>
      <c r="L165" s="41"/>
      <c r="M165" s="41"/>
      <c r="N165" s="41"/>
      <c r="O165" s="41"/>
      <c r="P165" s="41"/>
      <c r="Q165" s="41"/>
      <c r="R165" s="41"/>
      <c r="S165" s="41"/>
      <c r="T165" s="575"/>
      <c r="U165" s="575"/>
      <c r="V165" s="575"/>
      <c r="W165" s="575"/>
    </row>
    <row r="166">
      <c r="A166" s="41"/>
      <c r="B166" s="41"/>
      <c r="C166" s="41"/>
      <c r="D166" s="41"/>
      <c r="E166" s="41"/>
      <c r="F166" s="41"/>
      <c r="G166" s="41"/>
      <c r="H166" s="41"/>
      <c r="I166" s="41"/>
      <c r="J166" s="41"/>
      <c r="K166" s="41"/>
      <c r="L166" s="41"/>
      <c r="M166" s="41"/>
      <c r="N166" s="41"/>
      <c r="O166" s="41"/>
      <c r="P166" s="41"/>
      <c r="Q166" s="41"/>
      <c r="R166" s="41"/>
      <c r="S166" s="41"/>
      <c r="T166" s="575"/>
      <c r="U166" s="575"/>
      <c r="V166" s="575"/>
      <c r="W166" s="575"/>
    </row>
    <row r="167">
      <c r="A167" s="41"/>
      <c r="B167" s="41"/>
      <c r="C167" s="41"/>
      <c r="D167" s="41"/>
      <c r="E167" s="41"/>
      <c r="F167" s="41"/>
      <c r="G167" s="41"/>
      <c r="H167" s="41"/>
      <c r="I167" s="41"/>
      <c r="J167" s="41"/>
      <c r="K167" s="41"/>
      <c r="L167" s="41"/>
      <c r="M167" s="41"/>
      <c r="N167" s="41"/>
      <c r="O167" s="41"/>
      <c r="P167" s="41"/>
      <c r="Q167" s="41"/>
      <c r="R167" s="41"/>
      <c r="S167" s="41"/>
      <c r="T167" s="575"/>
      <c r="U167" s="575"/>
      <c r="V167" s="575"/>
      <c r="W167" s="575"/>
    </row>
    <row r="168">
      <c r="A168" s="41"/>
      <c r="B168" s="41"/>
      <c r="C168" s="41"/>
      <c r="D168" s="41"/>
      <c r="E168" s="41"/>
      <c r="F168" s="41"/>
      <c r="G168" s="41"/>
      <c r="H168" s="41"/>
      <c r="I168" s="41"/>
      <c r="J168" s="41"/>
      <c r="K168" s="41"/>
      <c r="L168" s="41"/>
      <c r="M168" s="41"/>
      <c r="N168" s="41"/>
      <c r="O168" s="41"/>
      <c r="P168" s="41"/>
      <c r="Q168" s="41"/>
      <c r="R168" s="41"/>
      <c r="S168" s="41"/>
      <c r="T168" s="575"/>
      <c r="U168" s="575"/>
      <c r="V168" s="575"/>
      <c r="W168" s="575"/>
    </row>
    <row r="169">
      <c r="A169" s="41"/>
      <c r="B169" s="41"/>
      <c r="C169" s="41"/>
      <c r="D169" s="41"/>
      <c r="E169" s="41"/>
      <c r="F169" s="41"/>
      <c r="G169" s="41"/>
      <c r="H169" s="41"/>
      <c r="I169" s="41"/>
      <c r="J169" s="41"/>
      <c r="K169" s="41"/>
      <c r="L169" s="41"/>
      <c r="M169" s="41"/>
      <c r="N169" s="41"/>
      <c r="O169" s="41"/>
      <c r="P169" s="41"/>
      <c r="Q169" s="41"/>
      <c r="R169" s="41"/>
      <c r="S169" s="41"/>
      <c r="T169" s="575"/>
      <c r="U169" s="575"/>
      <c r="V169" s="575"/>
      <c r="W169" s="575"/>
    </row>
    <row r="170">
      <c r="A170" s="41"/>
      <c r="B170" s="41"/>
      <c r="C170" s="41"/>
      <c r="D170" s="41"/>
      <c r="E170" s="41"/>
      <c r="F170" s="41"/>
      <c r="G170" s="41"/>
      <c r="H170" s="41"/>
      <c r="I170" s="41"/>
      <c r="J170" s="41"/>
      <c r="K170" s="41"/>
      <c r="L170" s="41"/>
      <c r="M170" s="41"/>
      <c r="N170" s="41"/>
      <c r="O170" s="41"/>
      <c r="P170" s="41"/>
      <c r="Q170" s="41"/>
      <c r="R170" s="41"/>
      <c r="S170" s="41"/>
      <c r="T170" s="575"/>
      <c r="U170" s="575"/>
      <c r="V170" s="575"/>
      <c r="W170" s="575"/>
    </row>
    <row r="171">
      <c r="A171" s="41"/>
      <c r="B171" s="41"/>
      <c r="C171" s="41"/>
      <c r="D171" s="41"/>
      <c r="E171" s="41"/>
      <c r="F171" s="41"/>
      <c r="G171" s="41"/>
      <c r="H171" s="41"/>
      <c r="I171" s="41"/>
      <c r="J171" s="41"/>
      <c r="K171" s="41"/>
      <c r="L171" s="41"/>
      <c r="M171" s="41"/>
      <c r="N171" s="41"/>
      <c r="O171" s="41"/>
      <c r="P171" s="41"/>
      <c r="Q171" s="41"/>
      <c r="R171" s="41"/>
      <c r="S171" s="41"/>
      <c r="T171" s="575"/>
      <c r="U171" s="575"/>
      <c r="V171" s="575"/>
      <c r="W171" s="575"/>
    </row>
    <row r="172">
      <c r="A172" s="41"/>
      <c r="B172" s="41"/>
      <c r="C172" s="41"/>
      <c r="D172" s="41"/>
      <c r="E172" s="41"/>
      <c r="F172" s="41"/>
      <c r="G172" s="41"/>
      <c r="H172" s="41"/>
      <c r="I172" s="41"/>
      <c r="J172" s="41"/>
      <c r="K172" s="41"/>
      <c r="L172" s="41"/>
      <c r="M172" s="41"/>
      <c r="N172" s="41"/>
      <c r="O172" s="41"/>
      <c r="P172" s="41"/>
      <c r="Q172" s="41"/>
      <c r="R172" s="41"/>
      <c r="S172" s="41"/>
      <c r="T172" s="575"/>
      <c r="U172" s="575"/>
      <c r="V172" s="575"/>
      <c r="W172" s="575"/>
    </row>
    <row r="173">
      <c r="A173" s="41"/>
      <c r="B173" s="41"/>
      <c r="C173" s="41"/>
      <c r="D173" s="41"/>
      <c r="E173" s="41"/>
      <c r="F173" s="41"/>
      <c r="G173" s="41"/>
      <c r="H173" s="41"/>
      <c r="I173" s="41"/>
      <c r="J173" s="41"/>
      <c r="K173" s="41"/>
      <c r="L173" s="41"/>
      <c r="M173" s="41"/>
      <c r="N173" s="41"/>
      <c r="O173" s="41"/>
      <c r="P173" s="41"/>
      <c r="Q173" s="41"/>
      <c r="R173" s="41"/>
      <c r="S173" s="41"/>
      <c r="T173" s="575"/>
      <c r="U173" s="575"/>
      <c r="V173" s="575"/>
      <c r="W173" s="575"/>
    </row>
    <row r="174">
      <c r="A174" s="41"/>
      <c r="B174" s="41"/>
      <c r="C174" s="41"/>
      <c r="D174" s="41"/>
      <c r="E174" s="41"/>
      <c r="F174" s="41"/>
      <c r="G174" s="41"/>
      <c r="H174" s="41"/>
      <c r="I174" s="41"/>
      <c r="J174" s="41"/>
      <c r="K174" s="41"/>
      <c r="L174" s="41"/>
      <c r="M174" s="41"/>
      <c r="N174" s="41"/>
      <c r="O174" s="41"/>
      <c r="P174" s="41"/>
      <c r="Q174" s="41"/>
      <c r="R174" s="41"/>
      <c r="S174" s="41"/>
      <c r="T174" s="575"/>
      <c r="U174" s="575"/>
      <c r="V174" s="575"/>
      <c r="W174" s="575"/>
    </row>
    <row r="175">
      <c r="A175" s="41"/>
      <c r="B175" s="41"/>
      <c r="C175" s="41"/>
      <c r="D175" s="41"/>
      <c r="E175" s="41"/>
      <c r="F175" s="41"/>
      <c r="G175" s="41"/>
      <c r="H175" s="41"/>
      <c r="I175" s="41"/>
      <c r="J175" s="41"/>
      <c r="K175" s="41"/>
      <c r="L175" s="41"/>
      <c r="M175" s="41"/>
      <c r="N175" s="41"/>
      <c r="O175" s="41"/>
      <c r="P175" s="41"/>
      <c r="Q175" s="41"/>
      <c r="R175" s="41"/>
      <c r="S175" s="41"/>
      <c r="T175" s="575"/>
      <c r="U175" s="575"/>
      <c r="V175" s="575"/>
      <c r="W175" s="575"/>
    </row>
    <row r="176">
      <c r="A176" s="41"/>
      <c r="B176" s="41"/>
      <c r="C176" s="41"/>
      <c r="D176" s="41"/>
      <c r="E176" s="41"/>
      <c r="F176" s="41"/>
      <c r="G176" s="41"/>
      <c r="H176" s="41"/>
      <c r="I176" s="41"/>
      <c r="J176" s="41"/>
      <c r="K176" s="41"/>
      <c r="L176" s="41"/>
      <c r="M176" s="41"/>
      <c r="N176" s="41"/>
      <c r="O176" s="41"/>
      <c r="P176" s="41"/>
      <c r="Q176" s="41"/>
      <c r="R176" s="41"/>
      <c r="S176" s="41"/>
      <c r="T176" s="575"/>
      <c r="U176" s="575"/>
      <c r="V176" s="575"/>
      <c r="W176" s="575"/>
    </row>
    <row r="177">
      <c r="A177" s="41"/>
      <c r="B177" s="41"/>
      <c r="C177" s="41"/>
      <c r="D177" s="41"/>
      <c r="E177" s="41"/>
      <c r="F177" s="41"/>
      <c r="G177" s="41"/>
      <c r="H177" s="41"/>
      <c r="I177" s="41"/>
      <c r="J177" s="41"/>
      <c r="K177" s="41"/>
      <c r="L177" s="41"/>
      <c r="M177" s="41"/>
      <c r="N177" s="41"/>
      <c r="O177" s="41"/>
      <c r="P177" s="41"/>
      <c r="Q177" s="41"/>
      <c r="R177" s="41"/>
      <c r="S177" s="41"/>
      <c r="T177" s="575"/>
      <c r="U177" s="575"/>
      <c r="V177" s="575"/>
      <c r="W177" s="575"/>
    </row>
    <row r="178">
      <c r="A178" s="41"/>
      <c r="B178" s="41"/>
      <c r="C178" s="41"/>
      <c r="D178" s="41"/>
      <c r="E178" s="41"/>
      <c r="F178" s="41"/>
      <c r="G178" s="41"/>
      <c r="H178" s="41"/>
      <c r="I178" s="41"/>
      <c r="J178" s="41"/>
      <c r="K178" s="41"/>
      <c r="L178" s="41"/>
      <c r="M178" s="41"/>
      <c r="N178" s="41"/>
      <c r="O178" s="41"/>
      <c r="P178" s="41"/>
      <c r="Q178" s="41"/>
      <c r="R178" s="41"/>
      <c r="S178" s="41"/>
      <c r="T178" s="575"/>
      <c r="U178" s="575"/>
      <c r="V178" s="575"/>
      <c r="W178" s="575"/>
    </row>
    <row r="179">
      <c r="A179" s="41"/>
      <c r="B179" s="41"/>
      <c r="C179" s="41"/>
      <c r="D179" s="41"/>
      <c r="E179" s="41"/>
      <c r="F179" s="41"/>
      <c r="G179" s="41"/>
      <c r="H179" s="41"/>
      <c r="I179" s="41"/>
      <c r="J179" s="41"/>
      <c r="K179" s="41"/>
      <c r="L179" s="41"/>
      <c r="M179" s="41"/>
      <c r="N179" s="41"/>
      <c r="O179" s="41"/>
      <c r="P179" s="41"/>
      <c r="Q179" s="41"/>
      <c r="R179" s="41"/>
      <c r="S179" s="41"/>
      <c r="T179" s="575"/>
      <c r="U179" s="575"/>
      <c r="V179" s="575"/>
      <c r="W179" s="575"/>
    </row>
    <row r="180">
      <c r="A180" s="41"/>
      <c r="B180" s="41"/>
      <c r="C180" s="41"/>
      <c r="D180" s="41"/>
      <c r="E180" s="41"/>
      <c r="F180" s="41"/>
      <c r="G180" s="41"/>
      <c r="H180" s="41"/>
      <c r="I180" s="41"/>
      <c r="J180" s="41"/>
      <c r="K180" s="41"/>
      <c r="L180" s="41"/>
      <c r="M180" s="41"/>
      <c r="N180" s="41"/>
      <c r="O180" s="41"/>
      <c r="P180" s="41"/>
      <c r="Q180" s="41"/>
      <c r="R180" s="41"/>
      <c r="S180" s="41"/>
      <c r="T180" s="575"/>
      <c r="U180" s="575"/>
      <c r="V180" s="575"/>
      <c r="W180" s="575"/>
    </row>
    <row r="181">
      <c r="A181" s="41"/>
      <c r="B181" s="41"/>
      <c r="C181" s="41"/>
      <c r="D181" s="41"/>
      <c r="E181" s="41"/>
      <c r="F181" s="41"/>
      <c r="G181" s="41"/>
      <c r="H181" s="41"/>
      <c r="I181" s="41"/>
      <c r="J181" s="41"/>
      <c r="K181" s="41"/>
      <c r="L181" s="41"/>
      <c r="M181" s="41"/>
      <c r="N181" s="41"/>
      <c r="O181" s="41"/>
      <c r="P181" s="41"/>
      <c r="Q181" s="41"/>
      <c r="R181" s="41"/>
      <c r="S181" s="41"/>
      <c r="T181" s="575"/>
      <c r="U181" s="575"/>
      <c r="V181" s="575"/>
      <c r="W181" s="575"/>
    </row>
    <row r="182">
      <c r="A182" s="41"/>
      <c r="B182" s="41"/>
      <c r="C182" s="41"/>
      <c r="D182" s="41"/>
      <c r="E182" s="41"/>
      <c r="F182" s="41"/>
      <c r="G182" s="41"/>
      <c r="H182" s="41"/>
      <c r="I182" s="41"/>
      <c r="J182" s="41"/>
      <c r="K182" s="41"/>
      <c r="L182" s="41"/>
      <c r="M182" s="41"/>
      <c r="N182" s="41"/>
      <c r="O182" s="41"/>
      <c r="P182" s="41"/>
      <c r="Q182" s="41"/>
      <c r="R182" s="41"/>
      <c r="S182" s="41"/>
      <c r="T182" s="575"/>
      <c r="U182" s="575"/>
      <c r="V182" s="575"/>
      <c r="W182" s="575"/>
    </row>
    <row r="183">
      <c r="A183" s="41"/>
      <c r="B183" s="41"/>
      <c r="C183" s="41"/>
      <c r="D183" s="41"/>
      <c r="E183" s="41"/>
      <c r="F183" s="41"/>
      <c r="G183" s="41"/>
      <c r="H183" s="41"/>
      <c r="I183" s="41"/>
      <c r="J183" s="41"/>
      <c r="K183" s="41"/>
      <c r="L183" s="41"/>
      <c r="M183" s="41"/>
      <c r="N183" s="41"/>
      <c r="O183" s="41"/>
      <c r="P183" s="41"/>
      <c r="Q183" s="41"/>
      <c r="R183" s="41"/>
      <c r="S183" s="41"/>
      <c r="T183" s="575"/>
      <c r="U183" s="575"/>
      <c r="V183" s="575"/>
      <c r="W183" s="575"/>
    </row>
    <row r="184">
      <c r="A184" s="41"/>
      <c r="B184" s="41"/>
      <c r="C184" s="41"/>
      <c r="D184" s="41"/>
      <c r="E184" s="41"/>
      <c r="F184" s="41"/>
      <c r="G184" s="41"/>
      <c r="H184" s="41"/>
      <c r="I184" s="41"/>
      <c r="J184" s="41"/>
      <c r="K184" s="41"/>
      <c r="L184" s="41"/>
      <c r="M184" s="41"/>
      <c r="N184" s="41"/>
      <c r="O184" s="41"/>
      <c r="P184" s="41"/>
      <c r="Q184" s="41"/>
      <c r="R184" s="41"/>
      <c r="S184" s="41"/>
      <c r="T184" s="575"/>
      <c r="U184" s="575"/>
      <c r="V184" s="575"/>
      <c r="W184" s="575"/>
    </row>
    <row r="185">
      <c r="A185" s="41"/>
      <c r="B185" s="41"/>
      <c r="C185" s="41"/>
      <c r="D185" s="41"/>
      <c r="E185" s="41"/>
      <c r="F185" s="41"/>
      <c r="G185" s="41"/>
      <c r="H185" s="41"/>
      <c r="I185" s="41"/>
      <c r="J185" s="41"/>
      <c r="K185" s="41"/>
      <c r="L185" s="41"/>
      <c r="M185" s="41"/>
      <c r="N185" s="41"/>
      <c r="O185" s="41"/>
      <c r="P185" s="41"/>
      <c r="Q185" s="41"/>
      <c r="R185" s="41"/>
      <c r="S185" s="41"/>
      <c r="T185" s="575"/>
      <c r="U185" s="575"/>
      <c r="V185" s="575"/>
      <c r="W185" s="575"/>
    </row>
    <row r="186">
      <c r="A186" s="41"/>
      <c r="B186" s="41"/>
      <c r="C186" s="41"/>
      <c r="D186" s="41"/>
      <c r="E186" s="41"/>
      <c r="F186" s="41"/>
      <c r="G186" s="41"/>
      <c r="H186" s="41"/>
      <c r="I186" s="41"/>
      <c r="J186" s="41"/>
      <c r="K186" s="41"/>
      <c r="L186" s="41"/>
      <c r="M186" s="41"/>
      <c r="N186" s="41"/>
      <c r="O186" s="41"/>
      <c r="P186" s="41"/>
      <c r="Q186" s="41"/>
      <c r="R186" s="41"/>
      <c r="S186" s="41"/>
      <c r="T186" s="575"/>
      <c r="U186" s="575"/>
      <c r="V186" s="575"/>
      <c r="W186" s="575"/>
    </row>
    <row r="187">
      <c r="A187" s="41"/>
      <c r="B187" s="41"/>
      <c r="C187" s="41"/>
      <c r="D187" s="41"/>
      <c r="E187" s="41"/>
      <c r="F187" s="41"/>
      <c r="G187" s="41"/>
      <c r="H187" s="41"/>
      <c r="I187" s="41"/>
      <c r="J187" s="41"/>
      <c r="K187" s="41"/>
      <c r="L187" s="41"/>
      <c r="M187" s="41"/>
      <c r="N187" s="41"/>
      <c r="O187" s="41"/>
      <c r="P187" s="41"/>
      <c r="Q187" s="41"/>
      <c r="R187" s="41"/>
      <c r="S187" s="41"/>
      <c r="T187" s="575"/>
      <c r="U187" s="575"/>
      <c r="V187" s="575"/>
      <c r="W187" s="575"/>
    </row>
    <row r="188">
      <c r="A188" s="41"/>
      <c r="B188" s="41"/>
      <c r="C188" s="41"/>
      <c r="D188" s="41"/>
      <c r="E188" s="41"/>
      <c r="F188" s="41"/>
      <c r="G188" s="41"/>
      <c r="H188" s="41"/>
      <c r="I188" s="41"/>
      <c r="J188" s="41"/>
      <c r="K188" s="41"/>
      <c r="L188" s="41"/>
      <c r="M188" s="41"/>
      <c r="N188" s="41"/>
      <c r="O188" s="41"/>
      <c r="P188" s="41"/>
      <c r="Q188" s="41"/>
      <c r="R188" s="41"/>
      <c r="S188" s="41"/>
      <c r="T188" s="575"/>
      <c r="U188" s="575"/>
      <c r="V188" s="575"/>
      <c r="W188" s="575"/>
    </row>
    <row r="189">
      <c r="A189" s="41"/>
      <c r="B189" s="41"/>
      <c r="C189" s="41"/>
      <c r="D189" s="41"/>
      <c r="E189" s="41"/>
      <c r="F189" s="41"/>
      <c r="G189" s="41"/>
      <c r="H189" s="41"/>
      <c r="I189" s="41"/>
      <c r="J189" s="41"/>
      <c r="K189" s="41"/>
      <c r="L189" s="41"/>
      <c r="M189" s="41"/>
      <c r="N189" s="41"/>
      <c r="O189" s="41"/>
      <c r="P189" s="41"/>
      <c r="Q189" s="41"/>
      <c r="R189" s="41"/>
      <c r="S189" s="41"/>
      <c r="T189" s="575"/>
      <c r="U189" s="575"/>
      <c r="V189" s="575"/>
      <c r="W189" s="575"/>
    </row>
    <row r="190">
      <c r="A190" s="41"/>
      <c r="B190" s="41"/>
      <c r="C190" s="41"/>
      <c r="D190" s="41"/>
      <c r="E190" s="41"/>
      <c r="F190" s="41"/>
      <c r="G190" s="41"/>
      <c r="H190" s="41"/>
      <c r="I190" s="41"/>
      <c r="J190" s="41"/>
      <c r="K190" s="41"/>
      <c r="L190" s="41"/>
      <c r="M190" s="41"/>
      <c r="N190" s="41"/>
      <c r="O190" s="41"/>
      <c r="P190" s="41"/>
      <c r="Q190" s="41"/>
      <c r="R190" s="41"/>
      <c r="S190" s="41"/>
      <c r="T190" s="575"/>
      <c r="U190" s="575"/>
      <c r="V190" s="575"/>
      <c r="W190" s="575"/>
    </row>
    <row r="191">
      <c r="A191" s="41"/>
      <c r="B191" s="41"/>
      <c r="C191" s="41"/>
      <c r="D191" s="41"/>
      <c r="E191" s="41"/>
      <c r="F191" s="41"/>
      <c r="G191" s="41"/>
      <c r="H191" s="41"/>
      <c r="I191" s="41"/>
      <c r="J191" s="41"/>
      <c r="K191" s="41"/>
      <c r="L191" s="41"/>
      <c r="M191" s="41"/>
      <c r="N191" s="41"/>
      <c r="O191" s="41"/>
      <c r="P191" s="41"/>
      <c r="Q191" s="41"/>
      <c r="R191" s="41"/>
      <c r="S191" s="41"/>
      <c r="T191" s="575"/>
      <c r="U191" s="575"/>
      <c r="V191" s="575"/>
      <c r="W191" s="575"/>
    </row>
    <row r="192">
      <c r="A192" s="41"/>
      <c r="B192" s="41"/>
      <c r="C192" s="41"/>
      <c r="D192" s="41"/>
      <c r="E192" s="41"/>
      <c r="F192" s="41"/>
      <c r="G192" s="41"/>
      <c r="H192" s="41"/>
      <c r="I192" s="41"/>
      <c r="J192" s="41"/>
      <c r="K192" s="41"/>
      <c r="L192" s="41"/>
      <c r="M192" s="41"/>
      <c r="N192" s="41"/>
      <c r="O192" s="41"/>
      <c r="P192" s="41"/>
      <c r="Q192" s="41"/>
      <c r="R192" s="41"/>
      <c r="S192" s="41"/>
      <c r="T192" s="575"/>
      <c r="U192" s="575"/>
      <c r="V192" s="575"/>
      <c r="W192" s="575"/>
    </row>
    <row r="193">
      <c r="A193" s="41"/>
      <c r="B193" s="41"/>
      <c r="C193" s="41"/>
      <c r="D193" s="41"/>
      <c r="E193" s="41"/>
      <c r="F193" s="41"/>
      <c r="G193" s="41"/>
      <c r="H193" s="41"/>
      <c r="I193" s="41"/>
      <c r="J193" s="41"/>
      <c r="K193" s="41"/>
      <c r="L193" s="41"/>
      <c r="M193" s="41"/>
      <c r="N193" s="41"/>
      <c r="O193" s="41"/>
      <c r="P193" s="41"/>
      <c r="Q193" s="41"/>
      <c r="R193" s="41"/>
      <c r="S193" s="41"/>
      <c r="T193" s="575"/>
      <c r="U193" s="575"/>
      <c r="V193" s="575"/>
      <c r="W193" s="575"/>
    </row>
    <row r="194">
      <c r="A194" s="41"/>
      <c r="B194" s="41"/>
      <c r="C194" s="41"/>
      <c r="D194" s="41"/>
      <c r="E194" s="41"/>
      <c r="F194" s="41"/>
      <c r="G194" s="41"/>
      <c r="H194" s="41"/>
      <c r="I194" s="41"/>
      <c r="J194" s="41"/>
      <c r="K194" s="41"/>
      <c r="L194" s="41"/>
      <c r="M194" s="41"/>
      <c r="N194" s="41"/>
      <c r="O194" s="41"/>
      <c r="P194" s="41"/>
      <c r="Q194" s="41"/>
      <c r="R194" s="41"/>
      <c r="S194" s="41"/>
      <c r="T194" s="575"/>
      <c r="U194" s="575"/>
      <c r="V194" s="575"/>
      <c r="W194" s="575"/>
    </row>
    <row r="195">
      <c r="A195" s="41"/>
      <c r="B195" s="41"/>
      <c r="C195" s="41"/>
      <c r="D195" s="41"/>
      <c r="E195" s="41"/>
      <c r="F195" s="41"/>
      <c r="G195" s="41"/>
      <c r="H195" s="41"/>
      <c r="I195" s="41"/>
      <c r="J195" s="41"/>
      <c r="K195" s="41"/>
      <c r="L195" s="41"/>
      <c r="M195" s="41"/>
      <c r="N195" s="41"/>
      <c r="O195" s="41"/>
      <c r="P195" s="41"/>
      <c r="Q195" s="41"/>
      <c r="R195" s="41"/>
      <c r="S195" s="41"/>
      <c r="T195" s="575"/>
      <c r="U195" s="575"/>
      <c r="V195" s="575"/>
      <c r="W195" s="575"/>
    </row>
    <row r="196">
      <c r="A196" s="41"/>
      <c r="B196" s="41"/>
      <c r="C196" s="41"/>
      <c r="D196" s="41"/>
      <c r="E196" s="41"/>
      <c r="F196" s="41"/>
      <c r="G196" s="41"/>
      <c r="H196" s="41"/>
      <c r="I196" s="41"/>
      <c r="J196" s="41"/>
      <c r="K196" s="41"/>
      <c r="L196" s="41"/>
      <c r="M196" s="41"/>
      <c r="N196" s="41"/>
      <c r="O196" s="41"/>
      <c r="P196" s="41"/>
      <c r="Q196" s="41"/>
      <c r="R196" s="41"/>
      <c r="S196" s="41"/>
      <c r="T196" s="575"/>
      <c r="U196" s="575"/>
      <c r="V196" s="575"/>
      <c r="W196" s="575"/>
    </row>
    <row r="197">
      <c r="A197" s="41"/>
      <c r="B197" s="41"/>
      <c r="C197" s="41"/>
      <c r="D197" s="41"/>
      <c r="E197" s="41"/>
      <c r="F197" s="41"/>
      <c r="G197" s="41"/>
      <c r="H197" s="41"/>
      <c r="I197" s="41"/>
      <c r="J197" s="41"/>
      <c r="K197" s="41"/>
      <c r="L197" s="41"/>
      <c r="M197" s="41"/>
      <c r="N197" s="41"/>
      <c r="O197" s="41"/>
      <c r="P197" s="41"/>
      <c r="Q197" s="41"/>
      <c r="R197" s="41"/>
      <c r="S197" s="41"/>
      <c r="T197" s="575"/>
      <c r="U197" s="575"/>
      <c r="V197" s="575"/>
      <c r="W197" s="575"/>
    </row>
    <row r="198">
      <c r="A198" s="41"/>
      <c r="B198" s="41"/>
      <c r="C198" s="41"/>
      <c r="D198" s="41"/>
      <c r="E198" s="41"/>
      <c r="F198" s="41"/>
      <c r="G198" s="41"/>
      <c r="H198" s="41"/>
      <c r="I198" s="41"/>
      <c r="J198" s="41"/>
      <c r="K198" s="41"/>
      <c r="L198" s="41"/>
      <c r="M198" s="41"/>
      <c r="N198" s="41"/>
      <c r="O198" s="41"/>
      <c r="P198" s="41"/>
      <c r="Q198" s="41"/>
      <c r="R198" s="41"/>
      <c r="S198" s="41"/>
      <c r="T198" s="575"/>
      <c r="U198" s="575"/>
      <c r="V198" s="575"/>
      <c r="W198" s="575"/>
    </row>
    <row r="199">
      <c r="A199" s="41"/>
      <c r="B199" s="41"/>
      <c r="C199" s="41"/>
      <c r="D199" s="41"/>
      <c r="E199" s="41"/>
      <c r="F199" s="41"/>
      <c r="G199" s="41"/>
      <c r="H199" s="41"/>
      <c r="I199" s="41"/>
      <c r="J199" s="41"/>
      <c r="K199" s="41"/>
      <c r="L199" s="41"/>
      <c r="M199" s="41"/>
      <c r="N199" s="41"/>
      <c r="O199" s="41"/>
      <c r="P199" s="41"/>
      <c r="Q199" s="41"/>
      <c r="R199" s="41"/>
      <c r="S199" s="41"/>
      <c r="T199" s="575"/>
      <c r="U199" s="575"/>
      <c r="V199" s="575"/>
      <c r="W199" s="575"/>
    </row>
    <row r="200">
      <c r="A200" s="41"/>
      <c r="B200" s="41"/>
      <c r="C200" s="41"/>
      <c r="D200" s="41"/>
      <c r="E200" s="41"/>
      <c r="F200" s="41"/>
      <c r="G200" s="41"/>
      <c r="H200" s="41"/>
      <c r="I200" s="41"/>
      <c r="J200" s="41"/>
      <c r="K200" s="41"/>
      <c r="L200" s="41"/>
      <c r="M200" s="41"/>
      <c r="N200" s="41"/>
      <c r="O200" s="41"/>
      <c r="P200" s="41"/>
      <c r="Q200" s="41"/>
      <c r="R200" s="41"/>
      <c r="S200" s="41"/>
      <c r="T200" s="575"/>
      <c r="U200" s="575"/>
      <c r="V200" s="575"/>
      <c r="W200" s="575"/>
    </row>
    <row r="201">
      <c r="A201" s="41"/>
      <c r="B201" s="41"/>
      <c r="C201" s="41"/>
      <c r="D201" s="41"/>
      <c r="E201" s="41"/>
      <c r="F201" s="41"/>
      <c r="G201" s="41"/>
      <c r="H201" s="41"/>
      <c r="I201" s="41"/>
      <c r="J201" s="41"/>
      <c r="K201" s="41"/>
      <c r="L201" s="41"/>
      <c r="M201" s="41"/>
      <c r="N201" s="41"/>
      <c r="O201" s="41"/>
      <c r="P201" s="41"/>
      <c r="Q201" s="41"/>
      <c r="R201" s="41"/>
      <c r="S201" s="41"/>
      <c r="T201" s="575"/>
      <c r="U201" s="575"/>
      <c r="V201" s="575"/>
      <c r="W201" s="575"/>
    </row>
    <row r="202">
      <c r="A202" s="41"/>
      <c r="B202" s="41"/>
      <c r="C202" s="41"/>
      <c r="D202" s="41"/>
      <c r="E202" s="41"/>
      <c r="F202" s="41"/>
      <c r="G202" s="41"/>
      <c r="H202" s="41"/>
      <c r="I202" s="41"/>
      <c r="J202" s="41"/>
      <c r="K202" s="41"/>
      <c r="L202" s="41"/>
      <c r="M202" s="41"/>
      <c r="N202" s="41"/>
      <c r="O202" s="41"/>
      <c r="P202" s="41"/>
      <c r="Q202" s="41"/>
      <c r="R202" s="41"/>
      <c r="S202" s="41"/>
      <c r="T202" s="575"/>
      <c r="U202" s="575"/>
      <c r="V202" s="575"/>
      <c r="W202" s="575"/>
    </row>
    <row r="203">
      <c r="A203" s="41"/>
      <c r="B203" s="41"/>
      <c r="C203" s="41"/>
      <c r="D203" s="41"/>
      <c r="E203" s="41"/>
      <c r="F203" s="41"/>
      <c r="G203" s="41"/>
      <c r="H203" s="41"/>
      <c r="I203" s="41"/>
      <c r="J203" s="41"/>
      <c r="K203" s="41"/>
      <c r="L203" s="41"/>
      <c r="M203" s="41"/>
      <c r="N203" s="41"/>
      <c r="O203" s="41"/>
      <c r="P203" s="41"/>
      <c r="Q203" s="41"/>
      <c r="R203" s="41"/>
      <c r="S203" s="41"/>
      <c r="T203" s="575"/>
      <c r="U203" s="575"/>
      <c r="V203" s="575"/>
      <c r="W203" s="575"/>
    </row>
    <row r="204">
      <c r="A204" s="41"/>
      <c r="B204" s="41"/>
      <c r="C204" s="41"/>
      <c r="D204" s="41"/>
      <c r="E204" s="41"/>
      <c r="F204" s="41"/>
      <c r="G204" s="41"/>
      <c r="H204" s="41"/>
      <c r="I204" s="41"/>
      <c r="J204" s="41"/>
      <c r="K204" s="41"/>
      <c r="L204" s="41"/>
      <c r="M204" s="41"/>
      <c r="N204" s="41"/>
      <c r="O204" s="41"/>
      <c r="P204" s="41"/>
      <c r="Q204" s="41"/>
      <c r="R204" s="41"/>
      <c r="S204" s="41"/>
      <c r="T204" s="575"/>
      <c r="U204" s="575"/>
      <c r="V204" s="575"/>
      <c r="W204" s="575"/>
    </row>
    <row r="205">
      <c r="A205" s="41"/>
      <c r="B205" s="41"/>
      <c r="C205" s="41"/>
      <c r="D205" s="41"/>
      <c r="E205" s="41"/>
      <c r="F205" s="41"/>
      <c r="G205" s="41"/>
      <c r="H205" s="41"/>
      <c r="I205" s="41"/>
      <c r="J205" s="41"/>
      <c r="K205" s="41"/>
      <c r="L205" s="41"/>
      <c r="M205" s="41"/>
      <c r="N205" s="41"/>
      <c r="O205" s="41"/>
      <c r="P205" s="41"/>
      <c r="Q205" s="41"/>
      <c r="R205" s="41"/>
      <c r="S205" s="41"/>
      <c r="T205" s="575"/>
      <c r="U205" s="575"/>
      <c r="V205" s="575"/>
      <c r="W205" s="575"/>
    </row>
    <row r="206">
      <c r="A206" s="41"/>
      <c r="B206" s="41"/>
      <c r="C206" s="41"/>
      <c r="D206" s="41"/>
      <c r="E206" s="41"/>
      <c r="F206" s="41"/>
      <c r="G206" s="41"/>
      <c r="H206" s="41"/>
      <c r="I206" s="41"/>
      <c r="J206" s="41"/>
      <c r="K206" s="41"/>
      <c r="L206" s="41"/>
      <c r="M206" s="41"/>
      <c r="N206" s="41"/>
      <c r="O206" s="41"/>
      <c r="P206" s="41"/>
      <c r="Q206" s="41"/>
      <c r="R206" s="41"/>
      <c r="S206" s="41"/>
      <c r="T206" s="575"/>
      <c r="U206" s="575"/>
      <c r="V206" s="575"/>
      <c r="W206" s="575"/>
    </row>
    <row r="207">
      <c r="A207" s="41"/>
      <c r="B207" s="41"/>
      <c r="C207" s="41"/>
      <c r="D207" s="41"/>
      <c r="E207" s="41"/>
      <c r="F207" s="41"/>
      <c r="G207" s="41"/>
      <c r="H207" s="41"/>
      <c r="I207" s="41"/>
      <c r="J207" s="41"/>
      <c r="K207" s="41"/>
      <c r="L207" s="41"/>
      <c r="M207" s="41"/>
      <c r="N207" s="41"/>
      <c r="O207" s="41"/>
      <c r="P207" s="41"/>
      <c r="Q207" s="41"/>
      <c r="R207" s="41"/>
      <c r="S207" s="41"/>
      <c r="T207" s="575"/>
      <c r="U207" s="575"/>
      <c r="V207" s="575"/>
      <c r="W207" s="575"/>
    </row>
    <row r="208">
      <c r="A208" s="41"/>
      <c r="B208" s="41"/>
      <c r="C208" s="41"/>
      <c r="D208" s="41"/>
      <c r="E208" s="41"/>
      <c r="F208" s="41"/>
      <c r="G208" s="41"/>
      <c r="H208" s="41"/>
      <c r="I208" s="41"/>
      <c r="J208" s="41"/>
      <c r="K208" s="41"/>
      <c r="L208" s="41"/>
      <c r="M208" s="41"/>
      <c r="N208" s="41"/>
      <c r="O208" s="41"/>
      <c r="P208" s="41"/>
      <c r="Q208" s="41"/>
      <c r="R208" s="41"/>
      <c r="S208" s="41"/>
      <c r="T208" s="575"/>
      <c r="U208" s="575"/>
      <c r="V208" s="575"/>
      <c r="W208" s="575"/>
    </row>
    <row r="209">
      <c r="A209" s="41"/>
      <c r="B209" s="41"/>
      <c r="C209" s="41"/>
      <c r="D209" s="41"/>
      <c r="E209" s="41"/>
      <c r="F209" s="41"/>
      <c r="G209" s="41"/>
      <c r="H209" s="41"/>
      <c r="I209" s="41"/>
      <c r="J209" s="41"/>
      <c r="K209" s="41"/>
      <c r="L209" s="41"/>
      <c r="M209" s="41"/>
      <c r="N209" s="41"/>
      <c r="O209" s="41"/>
      <c r="P209" s="41"/>
      <c r="Q209" s="41"/>
      <c r="R209" s="41"/>
      <c r="S209" s="41"/>
      <c r="T209" s="575"/>
      <c r="U209" s="575"/>
      <c r="V209" s="575"/>
      <c r="W209" s="575"/>
    </row>
    <row r="210">
      <c r="A210" s="41"/>
      <c r="B210" s="41"/>
      <c r="C210" s="41"/>
      <c r="D210" s="41"/>
      <c r="E210" s="41"/>
      <c r="F210" s="41"/>
      <c r="G210" s="41"/>
      <c r="H210" s="41"/>
      <c r="I210" s="41"/>
      <c r="J210" s="41"/>
      <c r="K210" s="41"/>
      <c r="L210" s="41"/>
      <c r="M210" s="41"/>
      <c r="N210" s="41"/>
      <c r="O210" s="41"/>
      <c r="P210" s="41"/>
      <c r="Q210" s="41"/>
      <c r="R210" s="41"/>
      <c r="S210" s="41"/>
      <c r="T210" s="575"/>
      <c r="U210" s="575"/>
      <c r="V210" s="575"/>
      <c r="W210" s="575"/>
    </row>
    <row r="211">
      <c r="A211" s="41"/>
      <c r="B211" s="41"/>
      <c r="C211" s="41"/>
      <c r="D211" s="41"/>
      <c r="E211" s="41"/>
      <c r="F211" s="41"/>
      <c r="G211" s="41"/>
      <c r="H211" s="41"/>
      <c r="I211" s="41"/>
      <c r="J211" s="41"/>
      <c r="K211" s="41"/>
      <c r="L211" s="41"/>
      <c r="M211" s="41"/>
      <c r="N211" s="41"/>
      <c r="O211" s="41"/>
      <c r="P211" s="41"/>
      <c r="Q211" s="41"/>
      <c r="R211" s="41"/>
      <c r="S211" s="41"/>
      <c r="T211" s="575"/>
      <c r="U211" s="575"/>
      <c r="V211" s="575"/>
      <c r="W211" s="575"/>
    </row>
    <row r="212">
      <c r="A212" s="41"/>
      <c r="B212" s="41"/>
      <c r="C212" s="41"/>
      <c r="D212" s="41"/>
      <c r="E212" s="41"/>
      <c r="F212" s="41"/>
      <c r="G212" s="41"/>
      <c r="H212" s="41"/>
      <c r="I212" s="41"/>
      <c r="J212" s="41"/>
      <c r="K212" s="41"/>
      <c r="L212" s="41"/>
      <c r="M212" s="41"/>
      <c r="N212" s="41"/>
      <c r="O212" s="41"/>
      <c r="P212" s="41"/>
      <c r="Q212" s="41"/>
      <c r="R212" s="41"/>
      <c r="S212" s="41"/>
      <c r="T212" s="575"/>
      <c r="U212" s="575"/>
      <c r="V212" s="575"/>
      <c r="W212" s="575"/>
    </row>
    <row r="213">
      <c r="A213" s="41"/>
      <c r="B213" s="41"/>
      <c r="C213" s="41"/>
      <c r="D213" s="41"/>
      <c r="E213" s="41"/>
      <c r="F213" s="41"/>
      <c r="G213" s="41"/>
      <c r="H213" s="41"/>
      <c r="I213" s="41"/>
      <c r="J213" s="41"/>
      <c r="K213" s="41"/>
      <c r="L213" s="41"/>
      <c r="M213" s="41"/>
      <c r="N213" s="41"/>
      <c r="O213" s="41"/>
      <c r="P213" s="41"/>
      <c r="Q213" s="41"/>
      <c r="R213" s="41"/>
      <c r="S213" s="41"/>
      <c r="T213" s="575"/>
      <c r="U213" s="575"/>
      <c r="V213" s="575"/>
      <c r="W213" s="575"/>
    </row>
    <row r="214">
      <c r="A214" s="41"/>
      <c r="B214" s="41"/>
      <c r="C214" s="41"/>
      <c r="D214" s="41"/>
      <c r="E214" s="41"/>
      <c r="F214" s="41"/>
      <c r="G214" s="41"/>
      <c r="H214" s="41"/>
      <c r="I214" s="41"/>
      <c r="J214" s="41"/>
      <c r="K214" s="41"/>
      <c r="L214" s="41"/>
      <c r="M214" s="41"/>
      <c r="N214" s="41"/>
      <c r="O214" s="41"/>
      <c r="P214" s="41"/>
      <c r="Q214" s="41"/>
      <c r="R214" s="41"/>
      <c r="S214" s="41"/>
      <c r="T214" s="575"/>
      <c r="U214" s="575"/>
      <c r="V214" s="575"/>
      <c r="W214" s="575"/>
    </row>
    <row r="215">
      <c r="A215" s="41"/>
      <c r="B215" s="41"/>
      <c r="C215" s="41"/>
      <c r="D215" s="41"/>
      <c r="E215" s="41"/>
      <c r="F215" s="41"/>
      <c r="G215" s="41"/>
      <c r="H215" s="41"/>
      <c r="I215" s="41"/>
      <c r="J215" s="41"/>
      <c r="K215" s="41"/>
      <c r="L215" s="41"/>
      <c r="M215" s="41"/>
      <c r="N215" s="41"/>
      <c r="O215" s="41"/>
      <c r="P215" s="41"/>
      <c r="Q215" s="41"/>
      <c r="R215" s="41"/>
      <c r="S215" s="41"/>
      <c r="T215" s="575"/>
      <c r="U215" s="575"/>
      <c r="V215" s="575"/>
      <c r="W215" s="575"/>
    </row>
    <row r="216">
      <c r="A216" s="41"/>
      <c r="B216" s="41"/>
      <c r="C216" s="41"/>
      <c r="D216" s="41"/>
      <c r="E216" s="41"/>
      <c r="F216" s="41"/>
      <c r="G216" s="41"/>
      <c r="H216" s="41"/>
      <c r="I216" s="41"/>
      <c r="J216" s="41"/>
      <c r="K216" s="41"/>
      <c r="L216" s="41"/>
      <c r="M216" s="41"/>
      <c r="N216" s="41"/>
      <c r="O216" s="41"/>
      <c r="P216" s="41"/>
      <c r="Q216" s="41"/>
      <c r="R216" s="41"/>
      <c r="S216" s="41"/>
      <c r="T216" s="575"/>
      <c r="U216" s="575"/>
      <c r="V216" s="575"/>
      <c r="W216" s="575"/>
    </row>
    <row r="217">
      <c r="A217" s="41"/>
      <c r="B217" s="41"/>
      <c r="C217" s="41"/>
      <c r="D217" s="41"/>
      <c r="E217" s="41"/>
      <c r="F217" s="41"/>
      <c r="G217" s="41"/>
      <c r="H217" s="41"/>
      <c r="I217" s="41"/>
      <c r="J217" s="41"/>
      <c r="K217" s="41"/>
      <c r="L217" s="41"/>
      <c r="M217" s="41"/>
      <c r="N217" s="41"/>
      <c r="O217" s="41"/>
      <c r="P217" s="41"/>
      <c r="Q217" s="41"/>
      <c r="R217" s="41"/>
      <c r="S217" s="41"/>
      <c r="T217" s="575"/>
      <c r="U217" s="575"/>
      <c r="V217" s="575"/>
      <c r="W217" s="575"/>
    </row>
    <row r="218">
      <c r="A218" s="41"/>
      <c r="B218" s="41"/>
      <c r="C218" s="41"/>
      <c r="D218" s="41"/>
      <c r="E218" s="41"/>
      <c r="F218" s="41"/>
      <c r="G218" s="41"/>
      <c r="H218" s="41"/>
      <c r="I218" s="41"/>
      <c r="J218" s="41"/>
      <c r="K218" s="41"/>
      <c r="L218" s="41"/>
      <c r="M218" s="41"/>
      <c r="N218" s="41"/>
      <c r="O218" s="41"/>
      <c r="P218" s="41"/>
      <c r="Q218" s="41"/>
      <c r="R218" s="41"/>
      <c r="S218" s="41"/>
      <c r="T218" s="575"/>
      <c r="U218" s="575"/>
      <c r="V218" s="575"/>
      <c r="W218" s="575"/>
    </row>
    <row r="219">
      <c r="A219" s="41"/>
      <c r="B219" s="41"/>
      <c r="C219" s="41"/>
      <c r="D219" s="41"/>
      <c r="E219" s="41"/>
      <c r="F219" s="41"/>
      <c r="G219" s="41"/>
      <c r="H219" s="41"/>
      <c r="I219" s="41"/>
      <c r="J219" s="41"/>
      <c r="K219" s="41"/>
      <c r="L219" s="41"/>
      <c r="M219" s="41"/>
      <c r="N219" s="41"/>
      <c r="O219" s="41"/>
      <c r="P219" s="41"/>
      <c r="Q219" s="41"/>
      <c r="R219" s="41"/>
      <c r="S219" s="41"/>
      <c r="T219" s="575"/>
      <c r="U219" s="575"/>
      <c r="V219" s="575"/>
      <c r="W219" s="575"/>
    </row>
    <row r="220">
      <c r="A220" s="41"/>
      <c r="B220" s="41"/>
      <c r="C220" s="41"/>
      <c r="D220" s="41"/>
      <c r="E220" s="41"/>
      <c r="F220" s="41"/>
      <c r="G220" s="41"/>
      <c r="H220" s="41"/>
      <c r="I220" s="41"/>
      <c r="J220" s="41"/>
      <c r="K220" s="41"/>
      <c r="L220" s="41"/>
      <c r="M220" s="41"/>
      <c r="N220" s="41"/>
      <c r="O220" s="41"/>
      <c r="P220" s="41"/>
      <c r="Q220" s="41"/>
      <c r="R220" s="41"/>
      <c r="S220" s="41"/>
      <c r="T220" s="575"/>
      <c r="U220" s="575"/>
      <c r="V220" s="575"/>
      <c r="W220" s="575"/>
    </row>
    <row r="221">
      <c r="A221" s="41"/>
      <c r="B221" s="41"/>
      <c r="C221" s="41"/>
      <c r="D221" s="41"/>
      <c r="E221" s="41"/>
      <c r="F221" s="41"/>
      <c r="G221" s="41"/>
      <c r="H221" s="41"/>
      <c r="I221" s="41"/>
      <c r="J221" s="41"/>
      <c r="K221" s="41"/>
      <c r="L221" s="41"/>
      <c r="M221" s="41"/>
      <c r="N221" s="41"/>
      <c r="O221" s="41"/>
      <c r="P221" s="41"/>
      <c r="Q221" s="41"/>
      <c r="R221" s="41"/>
      <c r="S221" s="41"/>
      <c r="T221" s="575"/>
      <c r="U221" s="575"/>
      <c r="V221" s="575"/>
      <c r="W221" s="575"/>
    </row>
    <row r="222">
      <c r="A222" s="41"/>
      <c r="B222" s="41"/>
      <c r="C222" s="41"/>
      <c r="D222" s="41"/>
      <c r="E222" s="41"/>
      <c r="F222" s="41"/>
      <c r="G222" s="41"/>
      <c r="H222" s="41"/>
      <c r="I222" s="41"/>
      <c r="J222" s="41"/>
      <c r="K222" s="41"/>
      <c r="L222" s="41"/>
      <c r="M222" s="41"/>
      <c r="N222" s="41"/>
      <c r="O222" s="41"/>
      <c r="P222" s="41"/>
      <c r="Q222" s="41"/>
      <c r="R222" s="41"/>
      <c r="S222" s="41"/>
      <c r="T222" s="575"/>
      <c r="U222" s="575"/>
      <c r="V222" s="575"/>
      <c r="W222" s="575"/>
    </row>
    <row r="223">
      <c r="A223" s="41"/>
      <c r="B223" s="41"/>
      <c r="C223" s="41"/>
      <c r="D223" s="41"/>
      <c r="E223" s="41"/>
      <c r="F223" s="41"/>
      <c r="G223" s="41"/>
      <c r="H223" s="41"/>
      <c r="I223" s="41"/>
      <c r="J223" s="41"/>
      <c r="K223" s="41"/>
      <c r="L223" s="41"/>
      <c r="M223" s="41"/>
      <c r="N223" s="41"/>
      <c r="O223" s="41"/>
      <c r="P223" s="41"/>
      <c r="Q223" s="41"/>
      <c r="R223" s="41"/>
      <c r="S223" s="41"/>
      <c r="T223" s="575"/>
      <c r="U223" s="575"/>
      <c r="V223" s="575"/>
      <c r="W223" s="575"/>
    </row>
    <row r="224">
      <c r="A224" s="41"/>
      <c r="B224" s="41"/>
      <c r="C224" s="41"/>
      <c r="D224" s="41"/>
      <c r="E224" s="41"/>
      <c r="F224" s="41"/>
      <c r="G224" s="41"/>
      <c r="H224" s="41"/>
      <c r="I224" s="41"/>
      <c r="J224" s="41"/>
      <c r="K224" s="41"/>
      <c r="L224" s="41"/>
      <c r="M224" s="41"/>
      <c r="N224" s="41"/>
      <c r="O224" s="41"/>
      <c r="P224" s="41"/>
      <c r="Q224" s="41"/>
      <c r="R224" s="41"/>
      <c r="S224" s="41"/>
      <c r="T224" s="575"/>
      <c r="U224" s="575"/>
      <c r="V224" s="575"/>
      <c r="W224" s="575"/>
    </row>
    <row r="225">
      <c r="A225" s="41"/>
      <c r="B225" s="41"/>
      <c r="C225" s="41"/>
      <c r="D225" s="41"/>
      <c r="E225" s="41"/>
      <c r="F225" s="41"/>
      <c r="G225" s="41"/>
      <c r="H225" s="41"/>
      <c r="I225" s="41"/>
      <c r="J225" s="41"/>
      <c r="K225" s="41"/>
      <c r="L225" s="41"/>
      <c r="M225" s="41"/>
      <c r="N225" s="41"/>
      <c r="O225" s="41"/>
      <c r="P225" s="41"/>
      <c r="Q225" s="41"/>
      <c r="R225" s="41"/>
      <c r="S225" s="41"/>
      <c r="T225" s="575"/>
      <c r="U225" s="575"/>
      <c r="V225" s="575"/>
      <c r="W225" s="575"/>
    </row>
    <row r="226">
      <c r="A226" s="41"/>
      <c r="B226" s="41"/>
      <c r="C226" s="41"/>
      <c r="D226" s="41"/>
      <c r="E226" s="41"/>
      <c r="F226" s="41"/>
      <c r="G226" s="41"/>
      <c r="H226" s="41"/>
      <c r="I226" s="41"/>
      <c r="J226" s="41"/>
      <c r="K226" s="41"/>
      <c r="L226" s="41"/>
      <c r="M226" s="41"/>
      <c r="N226" s="41"/>
      <c r="O226" s="41"/>
      <c r="P226" s="41"/>
      <c r="Q226" s="41"/>
      <c r="R226" s="41"/>
      <c r="S226" s="41"/>
      <c r="T226" s="575"/>
      <c r="U226" s="575"/>
      <c r="V226" s="575"/>
      <c r="W226" s="575"/>
    </row>
    <row r="227">
      <c r="A227" s="41"/>
      <c r="B227" s="41"/>
      <c r="C227" s="41"/>
      <c r="D227" s="41"/>
      <c r="E227" s="41"/>
      <c r="F227" s="41"/>
      <c r="G227" s="41"/>
      <c r="H227" s="41"/>
      <c r="I227" s="41"/>
      <c r="J227" s="41"/>
      <c r="K227" s="41"/>
      <c r="L227" s="41"/>
      <c r="M227" s="41"/>
      <c r="N227" s="41"/>
      <c r="O227" s="41"/>
      <c r="P227" s="41"/>
      <c r="Q227" s="41"/>
      <c r="R227" s="41"/>
      <c r="S227" s="41"/>
      <c r="T227" s="575"/>
      <c r="U227" s="575"/>
      <c r="V227" s="575"/>
      <c r="W227" s="575"/>
    </row>
    <row r="228">
      <c r="A228" s="41"/>
      <c r="B228" s="41"/>
      <c r="C228" s="41"/>
      <c r="D228" s="41"/>
      <c r="E228" s="41"/>
      <c r="F228" s="41"/>
      <c r="G228" s="41"/>
      <c r="H228" s="41"/>
      <c r="I228" s="41"/>
      <c r="J228" s="41"/>
      <c r="K228" s="41"/>
      <c r="L228" s="41"/>
      <c r="M228" s="41"/>
      <c r="N228" s="41"/>
      <c r="O228" s="41"/>
      <c r="P228" s="41"/>
      <c r="Q228" s="41"/>
      <c r="R228" s="41"/>
      <c r="S228" s="41"/>
      <c r="T228" s="575"/>
      <c r="U228" s="575"/>
      <c r="V228" s="575"/>
      <c r="W228" s="575"/>
    </row>
    <row r="229">
      <c r="A229" s="41"/>
      <c r="B229" s="41"/>
      <c r="C229" s="41"/>
      <c r="D229" s="41"/>
      <c r="E229" s="41"/>
      <c r="F229" s="41"/>
      <c r="G229" s="41"/>
      <c r="H229" s="41"/>
      <c r="I229" s="41"/>
      <c r="J229" s="41"/>
      <c r="K229" s="41"/>
      <c r="L229" s="41"/>
      <c r="M229" s="41"/>
      <c r="N229" s="41"/>
      <c r="O229" s="41"/>
      <c r="P229" s="41"/>
      <c r="Q229" s="41"/>
      <c r="R229" s="41"/>
      <c r="S229" s="41"/>
      <c r="T229" s="575"/>
      <c r="U229" s="575"/>
      <c r="V229" s="575"/>
      <c r="W229" s="575"/>
    </row>
    <row r="230">
      <c r="A230" s="41"/>
      <c r="B230" s="41"/>
      <c r="C230" s="41"/>
      <c r="D230" s="41"/>
      <c r="E230" s="41"/>
      <c r="F230" s="41"/>
      <c r="G230" s="41"/>
      <c r="H230" s="41"/>
      <c r="I230" s="41"/>
      <c r="J230" s="41"/>
      <c r="K230" s="41"/>
      <c r="L230" s="41"/>
      <c r="M230" s="41"/>
      <c r="N230" s="41"/>
      <c r="O230" s="41"/>
      <c r="P230" s="41"/>
      <c r="Q230" s="41"/>
      <c r="R230" s="41"/>
      <c r="S230" s="41"/>
      <c r="T230" s="575"/>
      <c r="U230" s="575"/>
      <c r="V230" s="575"/>
      <c r="W230" s="575"/>
    </row>
    <row r="231">
      <c r="A231" s="41"/>
      <c r="B231" s="41"/>
      <c r="C231" s="41"/>
      <c r="D231" s="41"/>
      <c r="E231" s="41"/>
      <c r="F231" s="41"/>
      <c r="G231" s="41"/>
      <c r="H231" s="41"/>
      <c r="I231" s="41"/>
      <c r="J231" s="41"/>
      <c r="K231" s="41"/>
      <c r="L231" s="41"/>
      <c r="M231" s="41"/>
      <c r="N231" s="41"/>
      <c r="O231" s="41"/>
      <c r="P231" s="41"/>
      <c r="Q231" s="41"/>
      <c r="R231" s="41"/>
      <c r="S231" s="41"/>
      <c r="T231" s="575"/>
      <c r="U231" s="575"/>
      <c r="V231" s="575"/>
      <c r="W231" s="575"/>
    </row>
    <row r="232">
      <c r="A232" s="41"/>
      <c r="B232" s="41"/>
      <c r="C232" s="41"/>
      <c r="D232" s="41"/>
      <c r="E232" s="41"/>
      <c r="F232" s="41"/>
      <c r="G232" s="41"/>
      <c r="H232" s="41"/>
      <c r="I232" s="41"/>
      <c r="J232" s="41"/>
      <c r="K232" s="41"/>
      <c r="L232" s="41"/>
      <c r="M232" s="41"/>
      <c r="N232" s="41"/>
      <c r="O232" s="41"/>
      <c r="P232" s="41"/>
      <c r="Q232" s="41"/>
      <c r="R232" s="41"/>
      <c r="S232" s="41"/>
      <c r="T232" s="575"/>
      <c r="U232" s="575"/>
      <c r="V232" s="575"/>
      <c r="W232" s="575"/>
    </row>
    <row r="233">
      <c r="A233" s="41"/>
      <c r="B233" s="41"/>
      <c r="C233" s="41"/>
      <c r="D233" s="41"/>
      <c r="E233" s="41"/>
      <c r="F233" s="41"/>
      <c r="G233" s="41"/>
      <c r="H233" s="41"/>
      <c r="I233" s="41"/>
      <c r="J233" s="41"/>
      <c r="K233" s="41"/>
      <c r="L233" s="41"/>
      <c r="M233" s="41"/>
      <c r="N233" s="41"/>
      <c r="O233" s="41"/>
      <c r="P233" s="41"/>
      <c r="Q233" s="41"/>
      <c r="R233" s="41"/>
      <c r="S233" s="41"/>
      <c r="T233" s="575"/>
      <c r="U233" s="575"/>
      <c r="V233" s="575"/>
      <c r="W233" s="575"/>
    </row>
    <row r="234">
      <c r="A234" s="41"/>
      <c r="B234" s="41"/>
      <c r="C234" s="41"/>
      <c r="D234" s="41"/>
      <c r="E234" s="41"/>
      <c r="F234" s="41"/>
      <c r="G234" s="41"/>
      <c r="H234" s="41"/>
      <c r="I234" s="41"/>
      <c r="J234" s="41"/>
      <c r="K234" s="41"/>
      <c r="L234" s="41"/>
      <c r="M234" s="41"/>
      <c r="N234" s="41"/>
      <c r="O234" s="41"/>
      <c r="P234" s="41"/>
      <c r="Q234" s="41"/>
      <c r="R234" s="41"/>
      <c r="S234" s="41"/>
      <c r="T234" s="575"/>
      <c r="U234" s="575"/>
      <c r="V234" s="575"/>
      <c r="W234" s="575"/>
    </row>
    <row r="235">
      <c r="A235" s="41"/>
      <c r="B235" s="41"/>
      <c r="C235" s="41"/>
      <c r="D235" s="41"/>
      <c r="E235" s="41"/>
      <c r="F235" s="41"/>
      <c r="G235" s="41"/>
      <c r="H235" s="41"/>
      <c r="I235" s="41"/>
      <c r="J235" s="41"/>
      <c r="K235" s="41"/>
      <c r="L235" s="41"/>
      <c r="M235" s="41"/>
      <c r="N235" s="41"/>
      <c r="O235" s="41"/>
      <c r="P235" s="41"/>
      <c r="Q235" s="41"/>
      <c r="R235" s="41"/>
      <c r="S235" s="41"/>
      <c r="T235" s="575"/>
      <c r="U235" s="575"/>
      <c r="V235" s="575"/>
      <c r="W235" s="575"/>
    </row>
    <row r="236">
      <c r="A236" s="41"/>
      <c r="B236" s="41"/>
      <c r="C236" s="41"/>
      <c r="D236" s="41"/>
      <c r="E236" s="41"/>
      <c r="F236" s="41"/>
      <c r="G236" s="41"/>
      <c r="H236" s="41"/>
      <c r="I236" s="41"/>
      <c r="J236" s="41"/>
      <c r="K236" s="41"/>
      <c r="L236" s="41"/>
      <c r="M236" s="41"/>
      <c r="N236" s="41"/>
      <c r="O236" s="41"/>
      <c r="P236" s="41"/>
      <c r="Q236" s="41"/>
      <c r="R236" s="41"/>
      <c r="S236" s="41"/>
      <c r="T236" s="575"/>
      <c r="U236" s="575"/>
      <c r="V236" s="575"/>
      <c r="W236" s="575"/>
    </row>
    <row r="237">
      <c r="A237" s="41"/>
      <c r="B237" s="41"/>
      <c r="C237" s="41"/>
      <c r="D237" s="41"/>
      <c r="E237" s="41"/>
      <c r="F237" s="41"/>
      <c r="G237" s="41"/>
      <c r="H237" s="41"/>
      <c r="I237" s="41"/>
      <c r="J237" s="41"/>
      <c r="K237" s="41"/>
      <c r="L237" s="41"/>
      <c r="M237" s="41"/>
      <c r="N237" s="41"/>
      <c r="O237" s="41"/>
      <c r="P237" s="41"/>
      <c r="Q237" s="41"/>
      <c r="R237" s="41"/>
      <c r="S237" s="41"/>
      <c r="T237" s="575"/>
      <c r="U237" s="575"/>
      <c r="V237" s="575"/>
      <c r="W237" s="575"/>
    </row>
    <row r="238">
      <c r="A238" s="41"/>
      <c r="B238" s="41"/>
      <c r="C238" s="41"/>
      <c r="D238" s="41"/>
      <c r="E238" s="41"/>
      <c r="F238" s="41"/>
      <c r="G238" s="41"/>
      <c r="H238" s="41"/>
      <c r="I238" s="41"/>
      <c r="J238" s="41"/>
      <c r="K238" s="41"/>
      <c r="L238" s="41"/>
      <c r="M238" s="41"/>
      <c r="N238" s="41"/>
      <c r="O238" s="41"/>
      <c r="P238" s="41"/>
      <c r="Q238" s="41"/>
      <c r="R238" s="41"/>
      <c r="S238" s="41"/>
      <c r="T238" s="575"/>
      <c r="U238" s="575"/>
      <c r="V238" s="575"/>
      <c r="W238" s="575"/>
    </row>
    <row r="239">
      <c r="A239" s="41"/>
      <c r="B239" s="41"/>
      <c r="C239" s="41"/>
      <c r="D239" s="41"/>
      <c r="E239" s="41"/>
      <c r="F239" s="41"/>
      <c r="G239" s="41"/>
      <c r="H239" s="41"/>
      <c r="I239" s="41"/>
      <c r="J239" s="41"/>
      <c r="K239" s="41"/>
      <c r="L239" s="41"/>
      <c r="M239" s="41"/>
      <c r="N239" s="41"/>
      <c r="O239" s="41"/>
      <c r="P239" s="41"/>
      <c r="Q239" s="41"/>
      <c r="R239" s="41"/>
      <c r="S239" s="41"/>
      <c r="T239" s="575"/>
      <c r="U239" s="575"/>
      <c r="V239" s="575"/>
      <c r="W239" s="575"/>
    </row>
    <row r="240">
      <c r="A240" s="41"/>
      <c r="B240" s="41"/>
      <c r="C240" s="41"/>
      <c r="D240" s="41"/>
      <c r="E240" s="41"/>
      <c r="F240" s="41"/>
      <c r="G240" s="41"/>
      <c r="H240" s="41"/>
      <c r="I240" s="41"/>
      <c r="J240" s="41"/>
      <c r="K240" s="41"/>
      <c r="L240" s="41"/>
      <c r="M240" s="41"/>
      <c r="N240" s="41"/>
      <c r="O240" s="41"/>
      <c r="P240" s="41"/>
      <c r="Q240" s="41"/>
      <c r="R240" s="41"/>
      <c r="S240" s="41"/>
      <c r="T240" s="575"/>
      <c r="U240" s="575"/>
      <c r="V240" s="575"/>
      <c r="W240" s="575"/>
    </row>
    <row r="241">
      <c r="A241" s="41"/>
      <c r="B241" s="41"/>
      <c r="C241" s="41"/>
      <c r="D241" s="41"/>
      <c r="E241" s="41"/>
      <c r="F241" s="41"/>
      <c r="G241" s="41"/>
      <c r="H241" s="41"/>
      <c r="I241" s="41"/>
      <c r="J241" s="41"/>
      <c r="K241" s="41"/>
      <c r="L241" s="41"/>
      <c r="M241" s="41"/>
      <c r="N241" s="41"/>
      <c r="O241" s="41"/>
      <c r="P241" s="41"/>
      <c r="Q241" s="41"/>
      <c r="R241" s="41"/>
      <c r="S241" s="41"/>
      <c r="T241" s="575"/>
      <c r="U241" s="575"/>
      <c r="V241" s="575"/>
      <c r="W241" s="575"/>
    </row>
    <row r="242">
      <c r="A242" s="41"/>
      <c r="B242" s="41"/>
      <c r="C242" s="41"/>
      <c r="D242" s="41"/>
      <c r="E242" s="41"/>
      <c r="F242" s="41"/>
      <c r="G242" s="41"/>
      <c r="H242" s="41"/>
      <c r="I242" s="41"/>
      <c r="J242" s="41"/>
      <c r="K242" s="41"/>
      <c r="L242" s="41"/>
      <c r="M242" s="41"/>
      <c r="N242" s="41"/>
      <c r="O242" s="41"/>
      <c r="P242" s="41"/>
      <c r="Q242" s="41"/>
      <c r="R242" s="41"/>
      <c r="S242" s="41"/>
      <c r="T242" s="575"/>
      <c r="U242" s="575"/>
      <c r="V242" s="575"/>
      <c r="W242" s="575"/>
    </row>
    <row r="243">
      <c r="A243" s="41"/>
      <c r="B243" s="41"/>
      <c r="C243" s="41"/>
      <c r="D243" s="41"/>
      <c r="E243" s="41"/>
      <c r="F243" s="41"/>
      <c r="G243" s="41"/>
      <c r="H243" s="41"/>
      <c r="I243" s="41"/>
      <c r="J243" s="41"/>
      <c r="K243" s="41"/>
      <c r="L243" s="41"/>
      <c r="M243" s="41"/>
      <c r="N243" s="41"/>
      <c r="O243" s="41"/>
      <c r="P243" s="41"/>
      <c r="Q243" s="41"/>
      <c r="R243" s="41"/>
      <c r="S243" s="41"/>
      <c r="T243" s="575"/>
      <c r="U243" s="575"/>
      <c r="V243" s="575"/>
      <c r="W243" s="575"/>
    </row>
    <row r="244">
      <c r="A244" s="41"/>
      <c r="B244" s="41"/>
      <c r="C244" s="41"/>
      <c r="D244" s="41"/>
      <c r="E244" s="41"/>
      <c r="F244" s="41"/>
      <c r="G244" s="41"/>
      <c r="H244" s="41"/>
      <c r="I244" s="41"/>
      <c r="J244" s="41"/>
      <c r="K244" s="41"/>
      <c r="L244" s="41"/>
      <c r="M244" s="41"/>
      <c r="N244" s="41"/>
      <c r="O244" s="41"/>
      <c r="P244" s="41"/>
      <c r="Q244" s="41"/>
      <c r="R244" s="41"/>
      <c r="S244" s="41"/>
      <c r="T244" s="575"/>
      <c r="U244" s="575"/>
      <c r="V244" s="575"/>
      <c r="W244" s="575"/>
    </row>
    <row r="245">
      <c r="A245" s="41"/>
      <c r="B245" s="41"/>
      <c r="C245" s="41"/>
      <c r="D245" s="41"/>
      <c r="E245" s="41"/>
      <c r="F245" s="41"/>
      <c r="G245" s="41"/>
      <c r="H245" s="41"/>
      <c r="I245" s="41"/>
      <c r="J245" s="41"/>
      <c r="K245" s="41"/>
      <c r="L245" s="41"/>
      <c r="M245" s="41"/>
      <c r="N245" s="41"/>
      <c r="O245" s="41"/>
      <c r="P245" s="41"/>
      <c r="Q245" s="41"/>
      <c r="R245" s="41"/>
      <c r="S245" s="41"/>
      <c r="T245" s="575"/>
      <c r="U245" s="575"/>
      <c r="V245" s="575"/>
      <c r="W245" s="575"/>
    </row>
    <row r="246">
      <c r="A246" s="41"/>
      <c r="B246" s="41"/>
      <c r="C246" s="41"/>
      <c r="D246" s="41"/>
      <c r="E246" s="41"/>
      <c r="F246" s="41"/>
      <c r="G246" s="41"/>
      <c r="H246" s="41"/>
      <c r="I246" s="41"/>
      <c r="J246" s="41"/>
      <c r="K246" s="41"/>
      <c r="L246" s="41"/>
      <c r="M246" s="41"/>
      <c r="N246" s="41"/>
      <c r="O246" s="41"/>
      <c r="P246" s="41"/>
      <c r="Q246" s="41"/>
      <c r="R246" s="41"/>
      <c r="S246" s="41"/>
      <c r="T246" s="575"/>
      <c r="U246" s="575"/>
      <c r="V246" s="575"/>
      <c r="W246" s="575"/>
    </row>
    <row r="247">
      <c r="A247" s="41"/>
      <c r="B247" s="41"/>
      <c r="C247" s="41"/>
      <c r="D247" s="41"/>
      <c r="E247" s="41"/>
      <c r="F247" s="41"/>
      <c r="G247" s="41"/>
      <c r="H247" s="41"/>
      <c r="I247" s="41"/>
      <c r="J247" s="41"/>
      <c r="K247" s="41"/>
      <c r="L247" s="41"/>
      <c r="M247" s="41"/>
      <c r="N247" s="41"/>
      <c r="O247" s="41"/>
      <c r="P247" s="41"/>
      <c r="Q247" s="41"/>
      <c r="R247" s="41"/>
      <c r="S247" s="41"/>
      <c r="T247" s="575"/>
      <c r="U247" s="575"/>
      <c r="V247" s="575"/>
      <c r="W247" s="575"/>
    </row>
    <row r="248">
      <c r="A248" s="41"/>
      <c r="B248" s="41"/>
      <c r="C248" s="41"/>
      <c r="D248" s="41"/>
      <c r="E248" s="41"/>
      <c r="F248" s="41"/>
      <c r="G248" s="41"/>
      <c r="H248" s="41"/>
      <c r="I248" s="41"/>
      <c r="J248" s="41"/>
      <c r="K248" s="41"/>
      <c r="L248" s="41"/>
      <c r="M248" s="41"/>
      <c r="N248" s="41"/>
      <c r="O248" s="41"/>
      <c r="P248" s="41"/>
      <c r="Q248" s="41"/>
      <c r="R248" s="41"/>
      <c r="S248" s="41"/>
      <c r="T248" s="575"/>
      <c r="U248" s="575"/>
      <c r="V248" s="575"/>
      <c r="W248" s="575"/>
    </row>
    <row r="249">
      <c r="A249" s="41"/>
      <c r="B249" s="41"/>
      <c r="C249" s="41"/>
      <c r="D249" s="41"/>
      <c r="E249" s="41"/>
      <c r="F249" s="41"/>
      <c r="G249" s="41"/>
      <c r="H249" s="41"/>
      <c r="I249" s="41"/>
      <c r="J249" s="41"/>
      <c r="K249" s="41"/>
      <c r="L249" s="41"/>
      <c r="M249" s="41"/>
      <c r="N249" s="41"/>
      <c r="O249" s="41"/>
      <c r="P249" s="41"/>
      <c r="Q249" s="41"/>
      <c r="R249" s="41"/>
      <c r="S249" s="41"/>
      <c r="T249" s="575"/>
      <c r="U249" s="575"/>
      <c r="V249" s="575"/>
      <c r="W249" s="575"/>
    </row>
    <row r="250">
      <c r="A250" s="41"/>
      <c r="B250" s="41"/>
      <c r="C250" s="41"/>
      <c r="D250" s="41"/>
      <c r="E250" s="41"/>
      <c r="F250" s="41"/>
      <c r="G250" s="41"/>
      <c r="H250" s="41"/>
      <c r="I250" s="41"/>
      <c r="J250" s="41"/>
      <c r="K250" s="41"/>
      <c r="L250" s="41"/>
      <c r="M250" s="41"/>
      <c r="N250" s="41"/>
      <c r="O250" s="41"/>
      <c r="P250" s="41"/>
      <c r="Q250" s="41"/>
      <c r="R250" s="41"/>
      <c r="S250" s="41"/>
      <c r="T250" s="575"/>
      <c r="U250" s="575"/>
      <c r="V250" s="575"/>
      <c r="W250" s="575"/>
    </row>
    <row r="251">
      <c r="A251" s="41"/>
      <c r="B251" s="41"/>
      <c r="C251" s="41"/>
      <c r="D251" s="41"/>
      <c r="E251" s="41"/>
      <c r="F251" s="41"/>
      <c r="G251" s="41"/>
      <c r="H251" s="41"/>
      <c r="I251" s="41"/>
      <c r="J251" s="41"/>
      <c r="K251" s="41"/>
      <c r="L251" s="41"/>
      <c r="M251" s="41"/>
      <c r="N251" s="41"/>
      <c r="O251" s="41"/>
      <c r="P251" s="41"/>
      <c r="Q251" s="41"/>
      <c r="R251" s="41"/>
      <c r="S251" s="41"/>
      <c r="T251" s="575"/>
      <c r="U251" s="575"/>
      <c r="V251" s="575"/>
      <c r="W251" s="575"/>
    </row>
    <row r="252">
      <c r="A252" s="41"/>
      <c r="B252" s="41"/>
      <c r="C252" s="41"/>
      <c r="D252" s="41"/>
      <c r="E252" s="41"/>
      <c r="F252" s="41"/>
      <c r="G252" s="41"/>
      <c r="H252" s="41"/>
      <c r="I252" s="41"/>
      <c r="J252" s="41"/>
      <c r="K252" s="41"/>
      <c r="L252" s="41"/>
      <c r="M252" s="41"/>
      <c r="N252" s="41"/>
      <c r="O252" s="41"/>
      <c r="P252" s="41"/>
      <c r="Q252" s="41"/>
      <c r="R252" s="41"/>
      <c r="S252" s="41"/>
      <c r="T252" s="575"/>
      <c r="U252" s="575"/>
      <c r="V252" s="575"/>
      <c r="W252" s="575"/>
    </row>
    <row r="253">
      <c r="A253" s="41"/>
      <c r="B253" s="41"/>
      <c r="C253" s="41"/>
      <c r="D253" s="41"/>
      <c r="E253" s="41"/>
      <c r="F253" s="41"/>
      <c r="G253" s="41"/>
      <c r="H253" s="41"/>
      <c r="I253" s="41"/>
      <c r="J253" s="41"/>
      <c r="K253" s="41"/>
      <c r="L253" s="41"/>
      <c r="M253" s="41"/>
      <c r="N253" s="41"/>
      <c r="O253" s="41"/>
      <c r="P253" s="41"/>
      <c r="Q253" s="41"/>
      <c r="R253" s="41"/>
      <c r="S253" s="41"/>
      <c r="T253" s="575"/>
      <c r="U253" s="575"/>
      <c r="V253" s="575"/>
      <c r="W253" s="575"/>
    </row>
    <row r="254">
      <c r="A254" s="41"/>
      <c r="B254" s="41"/>
      <c r="C254" s="41"/>
      <c r="D254" s="41"/>
      <c r="E254" s="41"/>
      <c r="F254" s="41"/>
      <c r="G254" s="41"/>
      <c r="H254" s="41"/>
      <c r="I254" s="41"/>
      <c r="J254" s="41"/>
      <c r="K254" s="41"/>
      <c r="L254" s="41"/>
      <c r="M254" s="41"/>
      <c r="N254" s="41"/>
      <c r="O254" s="41"/>
      <c r="P254" s="41"/>
      <c r="Q254" s="41"/>
      <c r="R254" s="41"/>
      <c r="S254" s="41"/>
      <c r="T254" s="575"/>
      <c r="U254" s="575"/>
      <c r="V254" s="575"/>
      <c r="W254" s="575"/>
    </row>
    <row r="255">
      <c r="A255" s="41"/>
      <c r="B255" s="41"/>
      <c r="C255" s="41"/>
      <c r="D255" s="41"/>
      <c r="E255" s="41"/>
      <c r="F255" s="41"/>
      <c r="G255" s="41"/>
      <c r="H255" s="41"/>
      <c r="I255" s="41"/>
      <c r="J255" s="41"/>
      <c r="K255" s="41"/>
      <c r="L255" s="41"/>
      <c r="M255" s="41"/>
      <c r="N255" s="41"/>
      <c r="O255" s="41"/>
      <c r="P255" s="41"/>
      <c r="Q255" s="41"/>
      <c r="R255" s="41"/>
      <c r="S255" s="41"/>
      <c r="T255" s="575"/>
      <c r="U255" s="575"/>
      <c r="V255" s="575"/>
      <c r="W255" s="575"/>
    </row>
    <row r="256">
      <c r="A256" s="41"/>
      <c r="B256" s="41"/>
      <c r="C256" s="41"/>
      <c r="D256" s="41"/>
      <c r="E256" s="41"/>
      <c r="F256" s="41"/>
      <c r="G256" s="41"/>
      <c r="H256" s="41"/>
      <c r="I256" s="41"/>
      <c r="J256" s="41"/>
      <c r="K256" s="41"/>
      <c r="L256" s="41"/>
      <c r="M256" s="41"/>
      <c r="N256" s="41"/>
      <c r="O256" s="41"/>
      <c r="P256" s="41"/>
      <c r="Q256" s="41"/>
      <c r="R256" s="41"/>
      <c r="S256" s="41"/>
      <c r="T256" s="575"/>
      <c r="U256" s="575"/>
      <c r="V256" s="575"/>
      <c r="W256" s="575"/>
    </row>
    <row r="257">
      <c r="A257" s="41"/>
      <c r="B257" s="41"/>
      <c r="C257" s="41"/>
      <c r="D257" s="41"/>
      <c r="E257" s="41"/>
      <c r="F257" s="41"/>
      <c r="G257" s="41"/>
      <c r="H257" s="41"/>
      <c r="I257" s="41"/>
      <c r="J257" s="41"/>
      <c r="K257" s="41"/>
      <c r="L257" s="41"/>
      <c r="M257" s="41"/>
      <c r="N257" s="41"/>
      <c r="O257" s="41"/>
      <c r="P257" s="41"/>
      <c r="Q257" s="41"/>
      <c r="R257" s="41"/>
      <c r="S257" s="41"/>
      <c r="T257" s="575"/>
      <c r="U257" s="575"/>
      <c r="V257" s="575"/>
      <c r="W257" s="575"/>
    </row>
    <row r="258">
      <c r="A258" s="41"/>
      <c r="B258" s="41"/>
      <c r="C258" s="41"/>
      <c r="D258" s="41"/>
      <c r="E258" s="41"/>
      <c r="F258" s="41"/>
      <c r="G258" s="41"/>
      <c r="H258" s="41"/>
      <c r="I258" s="41"/>
      <c r="J258" s="41"/>
      <c r="K258" s="41"/>
      <c r="L258" s="41"/>
      <c r="M258" s="41"/>
      <c r="N258" s="41"/>
      <c r="O258" s="41"/>
      <c r="P258" s="41"/>
      <c r="Q258" s="41"/>
      <c r="R258" s="41"/>
      <c r="S258" s="41"/>
      <c r="T258" s="575"/>
      <c r="U258" s="575"/>
      <c r="V258" s="575"/>
      <c r="W258" s="575"/>
    </row>
    <row r="259">
      <c r="A259" s="41"/>
      <c r="B259" s="41"/>
      <c r="C259" s="41"/>
      <c r="D259" s="41"/>
      <c r="E259" s="41"/>
      <c r="F259" s="41"/>
      <c r="G259" s="41"/>
      <c r="H259" s="41"/>
      <c r="I259" s="41"/>
      <c r="J259" s="41"/>
      <c r="K259" s="41"/>
      <c r="L259" s="41"/>
      <c r="M259" s="41"/>
      <c r="N259" s="41"/>
      <c r="O259" s="41"/>
      <c r="P259" s="41"/>
      <c r="Q259" s="41"/>
      <c r="R259" s="41"/>
      <c r="S259" s="41"/>
      <c r="T259" s="575"/>
      <c r="U259" s="575"/>
      <c r="V259" s="575"/>
      <c r="W259" s="575"/>
    </row>
    <row r="260">
      <c r="A260" s="41"/>
      <c r="B260" s="41"/>
      <c r="C260" s="41"/>
      <c r="D260" s="41"/>
      <c r="E260" s="41"/>
      <c r="F260" s="41"/>
      <c r="G260" s="41"/>
      <c r="H260" s="41"/>
      <c r="I260" s="41"/>
      <c r="J260" s="41"/>
      <c r="K260" s="41"/>
      <c r="L260" s="41"/>
      <c r="M260" s="41"/>
      <c r="N260" s="41"/>
      <c r="O260" s="41"/>
      <c r="P260" s="41"/>
      <c r="Q260" s="41"/>
      <c r="R260" s="41"/>
      <c r="S260" s="41"/>
      <c r="T260" s="575"/>
      <c r="U260" s="575"/>
      <c r="V260" s="575"/>
      <c r="W260" s="575"/>
    </row>
    <row r="261">
      <c r="A261" s="41"/>
      <c r="B261" s="41"/>
      <c r="C261" s="41"/>
      <c r="D261" s="41"/>
      <c r="E261" s="41"/>
      <c r="F261" s="41"/>
      <c r="G261" s="41"/>
      <c r="H261" s="41"/>
      <c r="I261" s="41"/>
      <c r="J261" s="41"/>
      <c r="K261" s="41"/>
      <c r="L261" s="41"/>
      <c r="M261" s="41"/>
      <c r="N261" s="41"/>
      <c r="O261" s="41"/>
      <c r="P261" s="41"/>
      <c r="Q261" s="41"/>
      <c r="R261" s="41"/>
      <c r="S261" s="41"/>
      <c r="T261" s="575"/>
      <c r="U261" s="575"/>
      <c r="V261" s="575"/>
      <c r="W261" s="575"/>
    </row>
    <row r="262">
      <c r="A262" s="41"/>
      <c r="B262" s="41"/>
      <c r="C262" s="41"/>
      <c r="D262" s="41"/>
      <c r="E262" s="41"/>
      <c r="F262" s="41"/>
      <c r="G262" s="41"/>
      <c r="H262" s="41"/>
      <c r="I262" s="41"/>
      <c r="J262" s="41"/>
      <c r="K262" s="41"/>
      <c r="L262" s="41"/>
      <c r="M262" s="41"/>
      <c r="N262" s="41"/>
      <c r="O262" s="41"/>
      <c r="P262" s="41"/>
      <c r="Q262" s="41"/>
      <c r="R262" s="41"/>
      <c r="S262" s="41"/>
      <c r="T262" s="575"/>
      <c r="U262" s="575"/>
      <c r="V262" s="575"/>
      <c r="W262" s="575"/>
    </row>
    <row r="263">
      <c r="A263" s="41"/>
      <c r="B263" s="41"/>
      <c r="C263" s="41"/>
      <c r="D263" s="41"/>
      <c r="E263" s="41"/>
      <c r="F263" s="41"/>
      <c r="G263" s="41"/>
      <c r="H263" s="41"/>
      <c r="I263" s="41"/>
      <c r="J263" s="41"/>
      <c r="K263" s="41"/>
      <c r="L263" s="41"/>
      <c r="M263" s="41"/>
      <c r="N263" s="41"/>
      <c r="O263" s="41"/>
      <c r="P263" s="41"/>
      <c r="Q263" s="41"/>
      <c r="R263" s="41"/>
      <c r="S263" s="41"/>
      <c r="T263" s="575"/>
      <c r="U263" s="575"/>
      <c r="V263" s="575"/>
      <c r="W263" s="575"/>
    </row>
    <row r="264">
      <c r="A264" s="41"/>
      <c r="B264" s="41"/>
      <c r="C264" s="41"/>
      <c r="D264" s="41"/>
      <c r="E264" s="41"/>
      <c r="F264" s="41"/>
      <c r="G264" s="41"/>
      <c r="H264" s="41"/>
      <c r="I264" s="41"/>
      <c r="J264" s="41"/>
      <c r="K264" s="41"/>
      <c r="L264" s="41"/>
      <c r="M264" s="41"/>
      <c r="N264" s="41"/>
      <c r="O264" s="41"/>
      <c r="P264" s="41"/>
      <c r="Q264" s="41"/>
      <c r="R264" s="41"/>
      <c r="S264" s="41"/>
      <c r="T264" s="575"/>
      <c r="U264" s="575"/>
      <c r="V264" s="575"/>
      <c r="W264" s="575"/>
    </row>
    <row r="265">
      <c r="A265" s="41"/>
      <c r="B265" s="41"/>
      <c r="C265" s="41"/>
      <c r="D265" s="41"/>
      <c r="E265" s="41"/>
      <c r="F265" s="41"/>
      <c r="G265" s="41"/>
      <c r="H265" s="41"/>
      <c r="I265" s="41"/>
      <c r="J265" s="41"/>
      <c r="K265" s="41"/>
      <c r="L265" s="41"/>
      <c r="M265" s="41"/>
      <c r="N265" s="41"/>
      <c r="O265" s="41"/>
      <c r="P265" s="41"/>
      <c r="Q265" s="41"/>
      <c r="R265" s="41"/>
      <c r="S265" s="41"/>
      <c r="T265" s="575"/>
      <c r="U265" s="575"/>
      <c r="V265" s="575"/>
      <c r="W265" s="575"/>
    </row>
    <row r="266">
      <c r="A266" s="41"/>
      <c r="B266" s="41"/>
      <c r="C266" s="41"/>
      <c r="D266" s="41"/>
      <c r="E266" s="41"/>
      <c r="F266" s="41"/>
      <c r="G266" s="41"/>
      <c r="H266" s="41"/>
      <c r="I266" s="41"/>
      <c r="J266" s="41"/>
      <c r="K266" s="41"/>
      <c r="L266" s="41"/>
      <c r="M266" s="41"/>
      <c r="N266" s="41"/>
      <c r="O266" s="41"/>
      <c r="P266" s="41"/>
      <c r="Q266" s="41"/>
      <c r="R266" s="41"/>
      <c r="S266" s="41"/>
      <c r="T266" s="575"/>
      <c r="U266" s="575"/>
      <c r="V266" s="575"/>
      <c r="W266" s="575"/>
    </row>
    <row r="267">
      <c r="A267" s="41"/>
      <c r="B267" s="41"/>
      <c r="C267" s="41"/>
      <c r="D267" s="41"/>
      <c r="E267" s="41"/>
      <c r="F267" s="41"/>
      <c r="G267" s="41"/>
      <c r="H267" s="41"/>
      <c r="I267" s="41"/>
      <c r="J267" s="41"/>
      <c r="K267" s="41"/>
      <c r="L267" s="41"/>
      <c r="M267" s="41"/>
      <c r="N267" s="41"/>
      <c r="O267" s="41"/>
      <c r="P267" s="41"/>
      <c r="Q267" s="41"/>
      <c r="R267" s="41"/>
      <c r="S267" s="41"/>
      <c r="T267" s="575"/>
      <c r="U267" s="575"/>
      <c r="V267" s="575"/>
      <c r="W267" s="575"/>
    </row>
    <row r="268">
      <c r="A268" s="41"/>
      <c r="B268" s="41"/>
      <c r="C268" s="41"/>
      <c r="D268" s="41"/>
      <c r="E268" s="41"/>
      <c r="F268" s="41"/>
      <c r="G268" s="41"/>
      <c r="H268" s="41"/>
      <c r="I268" s="41"/>
      <c r="J268" s="41"/>
      <c r="K268" s="41"/>
      <c r="L268" s="41"/>
      <c r="M268" s="41"/>
      <c r="N268" s="41"/>
      <c r="O268" s="41"/>
      <c r="P268" s="41"/>
      <c r="Q268" s="41"/>
      <c r="R268" s="41"/>
      <c r="S268" s="41"/>
      <c r="T268" s="575"/>
      <c r="U268" s="575"/>
      <c r="V268" s="575"/>
      <c r="W268" s="575"/>
    </row>
    <row r="269">
      <c r="A269" s="41"/>
      <c r="B269" s="41"/>
      <c r="C269" s="41"/>
      <c r="D269" s="41"/>
      <c r="E269" s="41"/>
      <c r="F269" s="41"/>
      <c r="G269" s="41"/>
      <c r="H269" s="41"/>
      <c r="I269" s="41"/>
      <c r="J269" s="41"/>
      <c r="K269" s="41"/>
      <c r="L269" s="41"/>
      <c r="M269" s="41"/>
      <c r="N269" s="41"/>
      <c r="O269" s="41"/>
      <c r="P269" s="41"/>
      <c r="Q269" s="41"/>
      <c r="R269" s="41"/>
      <c r="S269" s="41"/>
      <c r="T269" s="575"/>
      <c r="U269" s="575"/>
      <c r="V269" s="575"/>
      <c r="W269" s="575"/>
    </row>
    <row r="270">
      <c r="A270" s="41"/>
      <c r="B270" s="41"/>
      <c r="C270" s="41"/>
      <c r="D270" s="41"/>
      <c r="E270" s="41"/>
      <c r="F270" s="41"/>
      <c r="G270" s="41"/>
      <c r="H270" s="41"/>
      <c r="I270" s="41"/>
      <c r="J270" s="41"/>
      <c r="K270" s="41"/>
      <c r="L270" s="41"/>
      <c r="M270" s="41"/>
      <c r="N270" s="41"/>
      <c r="O270" s="41"/>
      <c r="P270" s="41"/>
      <c r="Q270" s="41"/>
      <c r="R270" s="41"/>
      <c r="S270" s="41"/>
      <c r="T270" s="575"/>
      <c r="U270" s="575"/>
      <c r="V270" s="575"/>
      <c r="W270" s="575"/>
    </row>
    <row r="271">
      <c r="A271" s="41"/>
      <c r="B271" s="41"/>
      <c r="C271" s="41"/>
      <c r="D271" s="41"/>
      <c r="E271" s="41"/>
      <c r="F271" s="41"/>
      <c r="G271" s="41"/>
      <c r="H271" s="41"/>
      <c r="I271" s="41"/>
      <c r="J271" s="41"/>
      <c r="K271" s="41"/>
      <c r="L271" s="41"/>
      <c r="M271" s="41"/>
      <c r="N271" s="41"/>
      <c r="O271" s="41"/>
      <c r="P271" s="41"/>
      <c r="Q271" s="41"/>
      <c r="R271" s="41"/>
      <c r="S271" s="41"/>
      <c r="T271" s="575"/>
      <c r="U271" s="575"/>
      <c r="V271" s="575"/>
      <c r="W271" s="575"/>
    </row>
    <row r="272">
      <c r="A272" s="41"/>
      <c r="B272" s="41"/>
      <c r="C272" s="41"/>
      <c r="D272" s="41"/>
      <c r="E272" s="41"/>
      <c r="F272" s="41"/>
      <c r="G272" s="41"/>
      <c r="H272" s="41"/>
      <c r="I272" s="41"/>
      <c r="J272" s="41"/>
      <c r="K272" s="41"/>
      <c r="L272" s="41"/>
      <c r="M272" s="41"/>
      <c r="N272" s="41"/>
      <c r="O272" s="41"/>
      <c r="P272" s="41"/>
      <c r="Q272" s="41"/>
      <c r="R272" s="41"/>
      <c r="S272" s="41"/>
      <c r="T272" s="575"/>
      <c r="U272" s="575"/>
      <c r="V272" s="575"/>
      <c r="W272" s="575"/>
    </row>
    <row r="273">
      <c r="A273" s="41"/>
      <c r="B273" s="41"/>
      <c r="C273" s="41"/>
      <c r="D273" s="41"/>
      <c r="E273" s="41"/>
      <c r="F273" s="41"/>
      <c r="G273" s="41"/>
      <c r="H273" s="41"/>
      <c r="I273" s="41"/>
      <c r="J273" s="41"/>
      <c r="K273" s="41"/>
      <c r="L273" s="41"/>
      <c r="M273" s="41"/>
      <c r="N273" s="41"/>
      <c r="O273" s="41"/>
      <c r="P273" s="41"/>
      <c r="Q273" s="41"/>
      <c r="R273" s="41"/>
      <c r="S273" s="41"/>
      <c r="T273" s="575"/>
      <c r="U273" s="575"/>
      <c r="V273" s="575"/>
      <c r="W273" s="575"/>
    </row>
    <row r="274">
      <c r="A274" s="41"/>
      <c r="B274" s="41"/>
      <c r="C274" s="41"/>
      <c r="D274" s="41"/>
      <c r="E274" s="41"/>
      <c r="F274" s="41"/>
      <c r="G274" s="41"/>
      <c r="H274" s="41"/>
      <c r="I274" s="41"/>
      <c r="J274" s="41"/>
      <c r="K274" s="41"/>
      <c r="L274" s="41"/>
      <c r="M274" s="41"/>
      <c r="N274" s="41"/>
      <c r="O274" s="41"/>
      <c r="P274" s="41"/>
      <c r="Q274" s="41"/>
      <c r="R274" s="41"/>
      <c r="S274" s="41"/>
      <c r="T274" s="575"/>
      <c r="U274" s="575"/>
      <c r="V274" s="575"/>
      <c r="W274" s="575"/>
    </row>
    <row r="275">
      <c r="A275" s="41"/>
      <c r="B275" s="41"/>
      <c r="C275" s="41"/>
      <c r="D275" s="41"/>
      <c r="E275" s="41"/>
      <c r="F275" s="41"/>
      <c r="G275" s="41"/>
      <c r="H275" s="41"/>
      <c r="I275" s="41"/>
      <c r="J275" s="41"/>
      <c r="K275" s="41"/>
      <c r="L275" s="41"/>
      <c r="M275" s="41"/>
      <c r="N275" s="41"/>
      <c r="O275" s="41"/>
      <c r="P275" s="41"/>
      <c r="Q275" s="41"/>
      <c r="R275" s="41"/>
      <c r="S275" s="41"/>
      <c r="T275" s="575"/>
      <c r="U275" s="575"/>
      <c r="V275" s="575"/>
      <c r="W275" s="575"/>
    </row>
    <row r="276">
      <c r="A276" s="41"/>
      <c r="B276" s="41"/>
      <c r="C276" s="41"/>
      <c r="D276" s="41"/>
      <c r="E276" s="41"/>
      <c r="F276" s="41"/>
      <c r="G276" s="41"/>
      <c r="H276" s="41"/>
      <c r="I276" s="41"/>
      <c r="J276" s="41"/>
      <c r="K276" s="41"/>
      <c r="L276" s="41"/>
      <c r="M276" s="41"/>
      <c r="N276" s="41"/>
      <c r="O276" s="41"/>
      <c r="P276" s="41"/>
      <c r="Q276" s="41"/>
      <c r="R276" s="41"/>
      <c r="S276" s="41"/>
      <c r="T276" s="575"/>
      <c r="U276" s="575"/>
      <c r="V276" s="575"/>
      <c r="W276" s="575"/>
    </row>
    <row r="277">
      <c r="A277" s="41"/>
      <c r="B277" s="41"/>
      <c r="C277" s="41"/>
      <c r="D277" s="41"/>
      <c r="E277" s="41"/>
      <c r="F277" s="41"/>
      <c r="G277" s="41"/>
      <c r="H277" s="41"/>
      <c r="I277" s="41"/>
      <c r="J277" s="41"/>
      <c r="K277" s="41"/>
      <c r="L277" s="41"/>
      <c r="M277" s="41"/>
      <c r="N277" s="41"/>
      <c r="O277" s="41"/>
      <c r="P277" s="41"/>
      <c r="Q277" s="41"/>
      <c r="R277" s="41"/>
      <c r="S277" s="41"/>
      <c r="T277" s="575"/>
      <c r="U277" s="575"/>
      <c r="V277" s="575"/>
      <c r="W277" s="575"/>
    </row>
    <row r="278">
      <c r="A278" s="41"/>
      <c r="B278" s="41"/>
      <c r="C278" s="41"/>
      <c r="D278" s="41"/>
      <c r="E278" s="41"/>
      <c r="F278" s="41"/>
      <c r="G278" s="41"/>
      <c r="H278" s="41"/>
      <c r="I278" s="41"/>
      <c r="J278" s="41"/>
      <c r="K278" s="41"/>
      <c r="L278" s="41"/>
      <c r="M278" s="41"/>
      <c r="N278" s="41"/>
      <c r="O278" s="41"/>
      <c r="P278" s="41"/>
      <c r="Q278" s="41"/>
      <c r="R278" s="41"/>
      <c r="S278" s="41"/>
      <c r="T278" s="575"/>
      <c r="U278" s="575"/>
      <c r="V278" s="575"/>
      <c r="W278" s="575"/>
    </row>
    <row r="279">
      <c r="A279" s="41"/>
      <c r="B279" s="41"/>
      <c r="C279" s="41"/>
      <c r="D279" s="41"/>
      <c r="E279" s="41"/>
      <c r="F279" s="41"/>
      <c r="G279" s="41"/>
      <c r="H279" s="41"/>
      <c r="I279" s="41"/>
      <c r="J279" s="41"/>
      <c r="K279" s="41"/>
      <c r="L279" s="41"/>
      <c r="M279" s="41"/>
      <c r="N279" s="41"/>
      <c r="O279" s="41"/>
      <c r="P279" s="41"/>
      <c r="Q279" s="41"/>
      <c r="R279" s="41"/>
      <c r="S279" s="41"/>
      <c r="T279" s="575"/>
      <c r="U279" s="575"/>
      <c r="V279" s="575"/>
      <c r="W279" s="575"/>
    </row>
    <row r="280">
      <c r="A280" s="41"/>
      <c r="B280" s="41"/>
      <c r="C280" s="41"/>
      <c r="D280" s="41"/>
      <c r="E280" s="41"/>
      <c r="F280" s="41"/>
      <c r="G280" s="41"/>
      <c r="H280" s="41"/>
      <c r="I280" s="41"/>
      <c r="J280" s="41"/>
      <c r="K280" s="41"/>
      <c r="L280" s="41"/>
      <c r="M280" s="41"/>
      <c r="N280" s="41"/>
      <c r="O280" s="41"/>
      <c r="P280" s="41"/>
      <c r="Q280" s="41"/>
      <c r="R280" s="41"/>
      <c r="S280" s="41"/>
      <c r="T280" s="575"/>
      <c r="U280" s="575"/>
      <c r="V280" s="575"/>
      <c r="W280" s="575"/>
    </row>
    <row r="281">
      <c r="A281" s="41"/>
      <c r="B281" s="41"/>
      <c r="C281" s="41"/>
      <c r="D281" s="41"/>
      <c r="E281" s="41"/>
      <c r="F281" s="41"/>
      <c r="G281" s="41"/>
      <c r="H281" s="41"/>
      <c r="I281" s="41"/>
      <c r="J281" s="41"/>
      <c r="K281" s="41"/>
      <c r="L281" s="41"/>
      <c r="M281" s="41"/>
      <c r="N281" s="41"/>
      <c r="O281" s="41"/>
      <c r="P281" s="41"/>
      <c r="Q281" s="41"/>
      <c r="R281" s="41"/>
      <c r="S281" s="41"/>
      <c r="T281" s="575"/>
      <c r="U281" s="575"/>
      <c r="V281" s="575"/>
      <c r="W281" s="575"/>
    </row>
    <row r="282">
      <c r="A282" s="41"/>
      <c r="B282" s="41"/>
      <c r="C282" s="41"/>
      <c r="D282" s="41"/>
      <c r="E282" s="41"/>
      <c r="F282" s="41"/>
      <c r="G282" s="41"/>
      <c r="H282" s="41"/>
      <c r="I282" s="41"/>
      <c r="J282" s="41"/>
      <c r="K282" s="41"/>
      <c r="L282" s="41"/>
      <c r="M282" s="41"/>
      <c r="N282" s="41"/>
      <c r="O282" s="41"/>
      <c r="P282" s="41"/>
      <c r="Q282" s="41"/>
      <c r="R282" s="41"/>
      <c r="S282" s="41"/>
      <c r="T282" s="575"/>
      <c r="U282" s="575"/>
      <c r="V282" s="575"/>
      <c r="W282" s="575"/>
    </row>
    <row r="283">
      <c r="A283" s="41"/>
      <c r="B283" s="41"/>
      <c r="C283" s="41"/>
      <c r="D283" s="41"/>
      <c r="E283" s="41"/>
      <c r="F283" s="41"/>
      <c r="G283" s="41"/>
      <c r="H283" s="41"/>
      <c r="I283" s="41"/>
      <c r="J283" s="41"/>
      <c r="K283" s="41"/>
      <c r="L283" s="41"/>
      <c r="M283" s="41"/>
      <c r="N283" s="41"/>
      <c r="O283" s="41"/>
      <c r="P283" s="41"/>
      <c r="Q283" s="41"/>
      <c r="R283" s="41"/>
      <c r="S283" s="41"/>
      <c r="T283" s="575"/>
      <c r="U283" s="575"/>
      <c r="V283" s="575"/>
      <c r="W283" s="575"/>
    </row>
    <row r="284">
      <c r="A284" s="41"/>
      <c r="B284" s="41"/>
      <c r="C284" s="41"/>
      <c r="D284" s="41"/>
      <c r="E284" s="41"/>
      <c r="F284" s="41"/>
      <c r="G284" s="41"/>
      <c r="H284" s="41"/>
      <c r="I284" s="41"/>
      <c r="J284" s="41"/>
      <c r="K284" s="41"/>
      <c r="L284" s="41"/>
      <c r="M284" s="41"/>
      <c r="N284" s="41"/>
      <c r="O284" s="41"/>
      <c r="P284" s="41"/>
      <c r="Q284" s="41"/>
      <c r="R284" s="41"/>
      <c r="S284" s="41"/>
      <c r="T284" s="575"/>
      <c r="U284" s="575"/>
      <c r="V284" s="575"/>
      <c r="W284" s="575"/>
    </row>
    <row r="285">
      <c r="A285" s="41"/>
      <c r="B285" s="41"/>
      <c r="C285" s="41"/>
      <c r="D285" s="41"/>
      <c r="E285" s="41"/>
      <c r="F285" s="41"/>
      <c r="G285" s="41"/>
      <c r="H285" s="41"/>
      <c r="I285" s="41"/>
      <c r="J285" s="41"/>
      <c r="K285" s="41"/>
      <c r="L285" s="41"/>
      <c r="M285" s="41"/>
      <c r="N285" s="41"/>
      <c r="O285" s="41"/>
      <c r="P285" s="41"/>
      <c r="Q285" s="41"/>
      <c r="R285" s="41"/>
      <c r="S285" s="41"/>
      <c r="T285" s="575"/>
      <c r="U285" s="575"/>
      <c r="V285" s="575"/>
      <c r="W285" s="575"/>
    </row>
    <row r="286">
      <c r="A286" s="41"/>
      <c r="B286" s="41"/>
      <c r="C286" s="41"/>
      <c r="D286" s="41"/>
      <c r="E286" s="41"/>
      <c r="F286" s="41"/>
      <c r="G286" s="41"/>
      <c r="H286" s="41"/>
      <c r="I286" s="41"/>
      <c r="J286" s="41"/>
      <c r="K286" s="41"/>
      <c r="L286" s="41"/>
      <c r="M286" s="41"/>
      <c r="N286" s="41"/>
      <c r="O286" s="41"/>
      <c r="P286" s="41"/>
      <c r="Q286" s="41"/>
      <c r="R286" s="41"/>
      <c r="S286" s="41"/>
      <c r="T286" s="575"/>
      <c r="U286" s="575"/>
      <c r="V286" s="575"/>
      <c r="W286" s="575"/>
    </row>
    <row r="287">
      <c r="A287" s="41"/>
      <c r="B287" s="41"/>
      <c r="C287" s="41"/>
      <c r="D287" s="41"/>
      <c r="E287" s="41"/>
      <c r="F287" s="41"/>
      <c r="G287" s="41"/>
      <c r="H287" s="41"/>
      <c r="I287" s="41"/>
      <c r="J287" s="41"/>
      <c r="K287" s="41"/>
      <c r="L287" s="41"/>
      <c r="M287" s="41"/>
      <c r="N287" s="41"/>
      <c r="O287" s="41"/>
      <c r="P287" s="41"/>
      <c r="Q287" s="41"/>
      <c r="R287" s="41"/>
      <c r="S287" s="41"/>
      <c r="T287" s="575"/>
      <c r="U287" s="575"/>
      <c r="V287" s="575"/>
      <c r="W287" s="575"/>
    </row>
    <row r="288">
      <c r="A288" s="41"/>
      <c r="B288" s="41"/>
      <c r="C288" s="41"/>
      <c r="D288" s="41"/>
      <c r="E288" s="41"/>
      <c r="F288" s="41"/>
      <c r="G288" s="41"/>
      <c r="H288" s="41"/>
      <c r="I288" s="41"/>
      <c r="J288" s="41"/>
      <c r="K288" s="41"/>
      <c r="L288" s="41"/>
      <c r="M288" s="41"/>
      <c r="N288" s="41"/>
      <c r="O288" s="41"/>
      <c r="P288" s="41"/>
      <c r="Q288" s="41"/>
      <c r="R288" s="41"/>
      <c r="S288" s="41"/>
      <c r="T288" s="575"/>
      <c r="U288" s="575"/>
      <c r="V288" s="575"/>
      <c r="W288" s="575"/>
    </row>
    <row r="289">
      <c r="A289" s="41"/>
      <c r="B289" s="41"/>
      <c r="C289" s="41"/>
      <c r="D289" s="41"/>
      <c r="E289" s="41"/>
      <c r="F289" s="41"/>
      <c r="G289" s="41"/>
      <c r="H289" s="41"/>
      <c r="I289" s="41"/>
      <c r="J289" s="41"/>
      <c r="K289" s="41"/>
      <c r="L289" s="41"/>
      <c r="M289" s="41"/>
      <c r="N289" s="41"/>
      <c r="O289" s="41"/>
      <c r="P289" s="41"/>
      <c r="Q289" s="41"/>
      <c r="R289" s="41"/>
      <c r="S289" s="41"/>
      <c r="T289" s="575"/>
      <c r="U289" s="575"/>
      <c r="V289" s="575"/>
      <c r="W289" s="575"/>
    </row>
    <row r="290">
      <c r="A290" s="41"/>
      <c r="B290" s="41"/>
      <c r="C290" s="41"/>
      <c r="D290" s="41"/>
      <c r="E290" s="41"/>
      <c r="F290" s="41"/>
      <c r="G290" s="41"/>
      <c r="H290" s="41"/>
      <c r="I290" s="41"/>
      <c r="J290" s="41"/>
      <c r="K290" s="41"/>
      <c r="L290" s="41"/>
      <c r="M290" s="41"/>
      <c r="N290" s="41"/>
      <c r="O290" s="41"/>
      <c r="P290" s="41"/>
      <c r="Q290" s="41"/>
      <c r="R290" s="41"/>
      <c r="S290" s="41"/>
      <c r="T290" s="575"/>
      <c r="U290" s="575"/>
      <c r="V290" s="575"/>
      <c r="W290" s="575"/>
    </row>
    <row r="291">
      <c r="A291" s="41"/>
      <c r="B291" s="41"/>
      <c r="C291" s="41"/>
      <c r="D291" s="41"/>
      <c r="E291" s="41"/>
      <c r="F291" s="41"/>
      <c r="G291" s="41"/>
      <c r="H291" s="41"/>
      <c r="I291" s="41"/>
      <c r="J291" s="41"/>
      <c r="K291" s="41"/>
      <c r="L291" s="41"/>
      <c r="M291" s="41"/>
      <c r="N291" s="41"/>
      <c r="O291" s="41"/>
      <c r="P291" s="41"/>
      <c r="Q291" s="41"/>
      <c r="R291" s="41"/>
      <c r="S291" s="41"/>
      <c r="T291" s="575"/>
      <c r="U291" s="575"/>
      <c r="V291" s="575"/>
      <c r="W291" s="575"/>
    </row>
    <row r="292">
      <c r="A292" s="41"/>
      <c r="B292" s="41"/>
      <c r="C292" s="41"/>
      <c r="D292" s="41"/>
      <c r="E292" s="41"/>
      <c r="F292" s="41"/>
      <c r="G292" s="41"/>
      <c r="H292" s="41"/>
      <c r="I292" s="41"/>
      <c r="J292" s="41"/>
      <c r="K292" s="41"/>
      <c r="L292" s="41"/>
      <c r="M292" s="41"/>
      <c r="N292" s="41"/>
      <c r="O292" s="41"/>
      <c r="P292" s="41"/>
      <c r="Q292" s="41"/>
      <c r="R292" s="41"/>
      <c r="S292" s="41"/>
      <c r="T292" s="575"/>
      <c r="U292" s="575"/>
      <c r="V292" s="575"/>
      <c r="W292" s="575"/>
    </row>
    <row r="293">
      <c r="A293" s="41"/>
      <c r="B293" s="41"/>
      <c r="C293" s="41"/>
      <c r="D293" s="41"/>
      <c r="E293" s="41"/>
      <c r="F293" s="41"/>
      <c r="G293" s="41"/>
      <c r="H293" s="41"/>
      <c r="I293" s="41"/>
      <c r="J293" s="41"/>
      <c r="K293" s="41"/>
      <c r="L293" s="41"/>
      <c r="M293" s="41"/>
      <c r="N293" s="41"/>
      <c r="O293" s="41"/>
      <c r="P293" s="41"/>
      <c r="Q293" s="41"/>
      <c r="R293" s="41"/>
      <c r="S293" s="41"/>
      <c r="T293" s="575"/>
      <c r="U293" s="575"/>
      <c r="V293" s="575"/>
      <c r="W293" s="575"/>
    </row>
    <row r="294">
      <c r="A294" s="41"/>
      <c r="B294" s="41"/>
      <c r="C294" s="41"/>
      <c r="D294" s="41"/>
      <c r="E294" s="41"/>
      <c r="F294" s="41"/>
      <c r="G294" s="41"/>
      <c r="H294" s="41"/>
      <c r="I294" s="41"/>
      <c r="J294" s="41"/>
      <c r="K294" s="41"/>
      <c r="L294" s="41"/>
      <c r="M294" s="41"/>
      <c r="N294" s="41"/>
      <c r="O294" s="41"/>
      <c r="P294" s="41"/>
      <c r="Q294" s="41"/>
      <c r="R294" s="41"/>
      <c r="S294" s="41"/>
      <c r="T294" s="575"/>
      <c r="U294" s="575"/>
      <c r="V294" s="575"/>
      <c r="W294" s="575"/>
    </row>
    <row r="295">
      <c r="A295" s="41"/>
      <c r="B295" s="41"/>
      <c r="C295" s="41"/>
      <c r="D295" s="41"/>
      <c r="E295" s="41"/>
      <c r="F295" s="41"/>
      <c r="G295" s="41"/>
      <c r="H295" s="41"/>
      <c r="I295" s="41"/>
      <c r="J295" s="41"/>
      <c r="K295" s="41"/>
      <c r="L295" s="41"/>
      <c r="M295" s="41"/>
      <c r="N295" s="41"/>
      <c r="O295" s="41"/>
      <c r="P295" s="41"/>
      <c r="Q295" s="41"/>
      <c r="R295" s="41"/>
      <c r="S295" s="41"/>
      <c r="T295" s="575"/>
      <c r="U295" s="575"/>
      <c r="V295" s="575"/>
      <c r="W295" s="575"/>
    </row>
    <row r="296">
      <c r="A296" s="41"/>
      <c r="B296" s="41"/>
      <c r="C296" s="41"/>
      <c r="D296" s="41"/>
      <c r="E296" s="41"/>
      <c r="F296" s="41"/>
      <c r="G296" s="41"/>
      <c r="H296" s="41"/>
      <c r="I296" s="41"/>
      <c r="J296" s="41"/>
      <c r="K296" s="41"/>
      <c r="L296" s="41"/>
      <c r="M296" s="41"/>
      <c r="N296" s="41"/>
      <c r="O296" s="41"/>
      <c r="P296" s="41"/>
      <c r="Q296" s="41"/>
      <c r="R296" s="41"/>
      <c r="S296" s="41"/>
      <c r="T296" s="575"/>
      <c r="U296" s="575"/>
      <c r="V296" s="575"/>
      <c r="W296" s="575"/>
    </row>
    <row r="297">
      <c r="A297" s="41"/>
      <c r="B297" s="41"/>
      <c r="C297" s="41"/>
      <c r="D297" s="41"/>
      <c r="E297" s="41"/>
      <c r="F297" s="41"/>
      <c r="G297" s="41"/>
      <c r="H297" s="41"/>
      <c r="I297" s="41"/>
      <c r="J297" s="41"/>
      <c r="K297" s="41"/>
      <c r="L297" s="41"/>
      <c r="M297" s="41"/>
      <c r="N297" s="41"/>
      <c r="O297" s="41"/>
      <c r="P297" s="41"/>
      <c r="Q297" s="41"/>
      <c r="R297" s="41"/>
      <c r="S297" s="41"/>
      <c r="T297" s="575"/>
      <c r="U297" s="575"/>
      <c r="V297" s="575"/>
      <c r="W297" s="575"/>
    </row>
    <row r="298">
      <c r="A298" s="41"/>
      <c r="B298" s="41"/>
      <c r="C298" s="41"/>
      <c r="D298" s="41"/>
      <c r="E298" s="41"/>
      <c r="F298" s="41"/>
      <c r="G298" s="41"/>
      <c r="H298" s="41"/>
      <c r="I298" s="41"/>
      <c r="J298" s="41"/>
      <c r="K298" s="41"/>
      <c r="L298" s="41"/>
      <c r="M298" s="41"/>
      <c r="N298" s="41"/>
      <c r="O298" s="41"/>
      <c r="P298" s="41"/>
      <c r="Q298" s="41"/>
      <c r="R298" s="41"/>
      <c r="S298" s="41"/>
      <c r="T298" s="575"/>
      <c r="U298" s="575"/>
      <c r="V298" s="575"/>
      <c r="W298" s="575"/>
    </row>
    <row r="299">
      <c r="A299" s="41"/>
      <c r="B299" s="41"/>
      <c r="C299" s="41"/>
      <c r="D299" s="41"/>
      <c r="E299" s="41"/>
      <c r="F299" s="41"/>
      <c r="G299" s="41"/>
      <c r="H299" s="41"/>
      <c r="I299" s="41"/>
      <c r="J299" s="41"/>
      <c r="K299" s="41"/>
      <c r="L299" s="41"/>
      <c r="M299" s="41"/>
      <c r="N299" s="41"/>
      <c r="O299" s="41"/>
      <c r="P299" s="41"/>
      <c r="Q299" s="41"/>
      <c r="R299" s="41"/>
      <c r="S299" s="41"/>
      <c r="T299" s="575"/>
      <c r="U299" s="575"/>
      <c r="V299" s="575"/>
      <c r="W299" s="575"/>
    </row>
    <row r="300">
      <c r="A300" s="41"/>
      <c r="B300" s="41"/>
      <c r="C300" s="41"/>
      <c r="D300" s="41"/>
      <c r="E300" s="41"/>
      <c r="F300" s="41"/>
      <c r="G300" s="41"/>
      <c r="H300" s="41"/>
      <c r="I300" s="41"/>
      <c r="J300" s="41"/>
      <c r="K300" s="41"/>
      <c r="L300" s="41"/>
      <c r="M300" s="41"/>
      <c r="N300" s="41"/>
      <c r="O300" s="41"/>
      <c r="P300" s="41"/>
      <c r="Q300" s="41"/>
      <c r="R300" s="41"/>
      <c r="S300" s="41"/>
      <c r="T300" s="575"/>
      <c r="U300" s="575"/>
      <c r="V300" s="575"/>
      <c r="W300" s="575"/>
    </row>
    <row r="301">
      <c r="A301" s="41"/>
      <c r="B301" s="41"/>
      <c r="C301" s="41"/>
      <c r="D301" s="41"/>
      <c r="E301" s="41"/>
      <c r="F301" s="41"/>
      <c r="G301" s="41"/>
      <c r="H301" s="41"/>
      <c r="I301" s="41"/>
      <c r="J301" s="41"/>
      <c r="K301" s="41"/>
      <c r="L301" s="41"/>
      <c r="M301" s="41"/>
      <c r="N301" s="41"/>
      <c r="O301" s="41"/>
      <c r="P301" s="41"/>
      <c r="Q301" s="41"/>
      <c r="R301" s="41"/>
      <c r="S301" s="41"/>
      <c r="T301" s="575"/>
      <c r="U301" s="575"/>
      <c r="V301" s="575"/>
      <c r="W301" s="575"/>
    </row>
    <row r="302">
      <c r="A302" s="41"/>
      <c r="B302" s="41"/>
      <c r="C302" s="41"/>
      <c r="D302" s="41"/>
      <c r="E302" s="41"/>
      <c r="F302" s="41"/>
      <c r="G302" s="41"/>
      <c r="H302" s="41"/>
      <c r="I302" s="41"/>
      <c r="J302" s="41"/>
      <c r="K302" s="41"/>
      <c r="L302" s="41"/>
      <c r="M302" s="41"/>
      <c r="N302" s="41"/>
      <c r="O302" s="41"/>
      <c r="P302" s="41"/>
      <c r="Q302" s="41"/>
      <c r="R302" s="41"/>
      <c r="S302" s="41"/>
      <c r="T302" s="575"/>
      <c r="U302" s="575"/>
      <c r="V302" s="575"/>
      <c r="W302" s="575"/>
    </row>
    <row r="303">
      <c r="A303" s="41"/>
      <c r="B303" s="41"/>
      <c r="C303" s="41"/>
      <c r="D303" s="41"/>
      <c r="E303" s="41"/>
      <c r="F303" s="41"/>
      <c r="G303" s="41"/>
      <c r="H303" s="41"/>
      <c r="I303" s="41"/>
      <c r="J303" s="41"/>
      <c r="K303" s="41"/>
      <c r="L303" s="41"/>
      <c r="M303" s="41"/>
      <c r="N303" s="41"/>
      <c r="O303" s="41"/>
      <c r="P303" s="41"/>
      <c r="Q303" s="41"/>
      <c r="R303" s="41"/>
      <c r="S303" s="41"/>
      <c r="T303" s="575"/>
      <c r="U303" s="575"/>
      <c r="V303" s="575"/>
      <c r="W303" s="575"/>
    </row>
    <row r="304">
      <c r="A304" s="41"/>
      <c r="B304" s="41"/>
      <c r="C304" s="41"/>
      <c r="D304" s="41"/>
      <c r="E304" s="41"/>
      <c r="F304" s="41"/>
      <c r="G304" s="41"/>
      <c r="H304" s="41"/>
      <c r="I304" s="41"/>
      <c r="J304" s="41"/>
      <c r="K304" s="41"/>
      <c r="L304" s="41"/>
      <c r="M304" s="41"/>
      <c r="N304" s="41"/>
      <c r="O304" s="41"/>
      <c r="P304" s="41"/>
      <c r="Q304" s="41"/>
      <c r="R304" s="41"/>
      <c r="S304" s="41"/>
      <c r="T304" s="575"/>
      <c r="U304" s="575"/>
      <c r="V304" s="575"/>
      <c r="W304" s="575"/>
    </row>
    <row r="305">
      <c r="A305" s="41"/>
      <c r="B305" s="41"/>
      <c r="C305" s="41"/>
      <c r="D305" s="41"/>
      <c r="E305" s="41"/>
      <c r="F305" s="41"/>
      <c r="G305" s="41"/>
      <c r="H305" s="41"/>
      <c r="I305" s="41"/>
      <c r="J305" s="41"/>
      <c r="K305" s="41"/>
      <c r="L305" s="41"/>
      <c r="M305" s="41"/>
      <c r="N305" s="41"/>
      <c r="O305" s="41"/>
      <c r="P305" s="41"/>
      <c r="Q305" s="41"/>
      <c r="R305" s="41"/>
      <c r="S305" s="41"/>
      <c r="T305" s="575"/>
      <c r="U305" s="575"/>
      <c r="V305" s="575"/>
      <c r="W305" s="575"/>
    </row>
    <row r="306">
      <c r="A306" s="41"/>
      <c r="B306" s="41"/>
      <c r="C306" s="41"/>
      <c r="D306" s="41"/>
      <c r="E306" s="41"/>
      <c r="F306" s="41"/>
      <c r="G306" s="41"/>
      <c r="H306" s="41"/>
      <c r="I306" s="41"/>
      <c r="J306" s="41"/>
      <c r="K306" s="41"/>
      <c r="L306" s="41"/>
      <c r="M306" s="41"/>
      <c r="N306" s="41"/>
      <c r="O306" s="41"/>
      <c r="P306" s="41"/>
      <c r="Q306" s="41"/>
      <c r="R306" s="41"/>
      <c r="S306" s="41"/>
      <c r="T306" s="575"/>
      <c r="U306" s="575"/>
      <c r="V306" s="575"/>
      <c r="W306" s="575"/>
    </row>
    <row r="307">
      <c r="A307" s="41"/>
      <c r="B307" s="41"/>
      <c r="C307" s="41"/>
      <c r="D307" s="41"/>
      <c r="E307" s="41"/>
      <c r="F307" s="41"/>
      <c r="G307" s="41"/>
      <c r="H307" s="41"/>
      <c r="I307" s="41"/>
      <c r="J307" s="41"/>
      <c r="K307" s="41"/>
      <c r="L307" s="41"/>
      <c r="M307" s="41"/>
      <c r="N307" s="41"/>
      <c r="O307" s="41"/>
      <c r="P307" s="41"/>
      <c r="Q307" s="41"/>
      <c r="R307" s="41"/>
      <c r="S307" s="41"/>
      <c r="T307" s="575"/>
      <c r="U307" s="575"/>
      <c r="V307" s="575"/>
      <c r="W307" s="575"/>
    </row>
    <row r="308">
      <c r="A308" s="41"/>
      <c r="B308" s="41"/>
      <c r="C308" s="41"/>
      <c r="D308" s="41"/>
      <c r="E308" s="41"/>
      <c r="F308" s="41"/>
      <c r="G308" s="41"/>
      <c r="H308" s="41"/>
      <c r="I308" s="41"/>
      <c r="J308" s="41"/>
      <c r="K308" s="41"/>
      <c r="L308" s="41"/>
      <c r="M308" s="41"/>
      <c r="N308" s="41"/>
      <c r="O308" s="41"/>
      <c r="P308" s="41"/>
      <c r="Q308" s="41"/>
      <c r="R308" s="41"/>
      <c r="S308" s="41"/>
      <c r="T308" s="575"/>
      <c r="U308" s="575"/>
      <c r="V308" s="575"/>
      <c r="W308" s="575"/>
    </row>
    <row r="309">
      <c r="A309" s="41"/>
      <c r="B309" s="41"/>
      <c r="C309" s="41"/>
      <c r="D309" s="41"/>
      <c r="E309" s="41"/>
      <c r="F309" s="41"/>
      <c r="G309" s="41"/>
      <c r="H309" s="41"/>
      <c r="I309" s="41"/>
      <c r="J309" s="41"/>
      <c r="K309" s="41"/>
      <c r="L309" s="41"/>
      <c r="M309" s="41"/>
      <c r="N309" s="41"/>
      <c r="O309" s="41"/>
      <c r="P309" s="41"/>
      <c r="Q309" s="41"/>
      <c r="R309" s="41"/>
      <c r="S309" s="41"/>
      <c r="T309" s="575"/>
      <c r="U309" s="575"/>
      <c r="V309" s="575"/>
      <c r="W309" s="575"/>
    </row>
    <row r="310">
      <c r="A310" s="41"/>
      <c r="B310" s="41"/>
      <c r="C310" s="41"/>
      <c r="D310" s="41"/>
      <c r="E310" s="41"/>
      <c r="F310" s="41"/>
      <c r="G310" s="41"/>
      <c r="H310" s="41"/>
      <c r="I310" s="41"/>
      <c r="J310" s="41"/>
      <c r="K310" s="41"/>
      <c r="L310" s="41"/>
      <c r="M310" s="41"/>
      <c r="N310" s="41"/>
      <c r="O310" s="41"/>
      <c r="P310" s="41"/>
      <c r="Q310" s="41"/>
      <c r="R310" s="41"/>
      <c r="S310" s="41"/>
      <c r="T310" s="575"/>
      <c r="U310" s="575"/>
      <c r="V310" s="575"/>
      <c r="W310" s="575"/>
    </row>
    <row r="311">
      <c r="A311" s="41"/>
      <c r="B311" s="41"/>
      <c r="C311" s="41"/>
      <c r="D311" s="41"/>
      <c r="E311" s="41"/>
      <c r="F311" s="41"/>
      <c r="G311" s="41"/>
      <c r="H311" s="41"/>
      <c r="I311" s="41"/>
      <c r="J311" s="41"/>
      <c r="K311" s="41"/>
      <c r="L311" s="41"/>
      <c r="M311" s="41"/>
      <c r="N311" s="41"/>
      <c r="O311" s="41"/>
      <c r="P311" s="41"/>
      <c r="Q311" s="41"/>
      <c r="R311" s="41"/>
      <c r="S311" s="41"/>
      <c r="T311" s="575"/>
      <c r="U311" s="575"/>
      <c r="V311" s="575"/>
      <c r="W311" s="575"/>
    </row>
    <row r="312">
      <c r="A312" s="41"/>
      <c r="B312" s="41"/>
      <c r="C312" s="41"/>
      <c r="D312" s="41"/>
      <c r="E312" s="41"/>
      <c r="F312" s="41"/>
      <c r="G312" s="41"/>
      <c r="H312" s="41"/>
      <c r="I312" s="41"/>
      <c r="J312" s="41"/>
      <c r="K312" s="41"/>
      <c r="L312" s="41"/>
      <c r="M312" s="41"/>
      <c r="N312" s="41"/>
      <c r="O312" s="41"/>
      <c r="P312" s="41"/>
      <c r="Q312" s="41"/>
      <c r="R312" s="41"/>
      <c r="S312" s="41"/>
      <c r="T312" s="575"/>
      <c r="U312" s="575"/>
      <c r="V312" s="575"/>
      <c r="W312" s="575"/>
    </row>
    <row r="313">
      <c r="A313" s="41"/>
      <c r="B313" s="41"/>
      <c r="C313" s="41"/>
      <c r="D313" s="41"/>
      <c r="E313" s="41"/>
      <c r="F313" s="41"/>
      <c r="G313" s="41"/>
      <c r="H313" s="41"/>
      <c r="I313" s="41"/>
      <c r="J313" s="41"/>
      <c r="K313" s="41"/>
      <c r="L313" s="41"/>
      <c r="M313" s="41"/>
      <c r="N313" s="41"/>
      <c r="O313" s="41"/>
      <c r="P313" s="41"/>
      <c r="Q313" s="41"/>
      <c r="R313" s="41"/>
      <c r="S313" s="41"/>
      <c r="T313" s="575"/>
      <c r="U313" s="575"/>
      <c r="V313" s="575"/>
      <c r="W313" s="575"/>
    </row>
    <row r="314">
      <c r="A314" s="41"/>
      <c r="B314" s="41"/>
      <c r="C314" s="41"/>
      <c r="D314" s="41"/>
      <c r="E314" s="41"/>
      <c r="F314" s="41"/>
      <c r="G314" s="41"/>
      <c r="H314" s="41"/>
      <c r="I314" s="41"/>
      <c r="J314" s="41"/>
      <c r="K314" s="41"/>
      <c r="L314" s="41"/>
      <c r="M314" s="41"/>
      <c r="N314" s="41"/>
      <c r="O314" s="41"/>
      <c r="P314" s="41"/>
      <c r="Q314" s="41"/>
      <c r="R314" s="41"/>
      <c r="S314" s="41"/>
      <c r="T314" s="575"/>
      <c r="U314" s="575"/>
      <c r="V314" s="575"/>
      <c r="W314" s="575"/>
    </row>
    <row r="315">
      <c r="A315" s="41"/>
      <c r="B315" s="41"/>
      <c r="C315" s="41"/>
      <c r="D315" s="41"/>
      <c r="E315" s="41"/>
      <c r="F315" s="41"/>
      <c r="G315" s="41"/>
      <c r="H315" s="41"/>
      <c r="I315" s="41"/>
      <c r="J315" s="41"/>
      <c r="K315" s="41"/>
      <c r="L315" s="41"/>
      <c r="M315" s="41"/>
      <c r="N315" s="41"/>
      <c r="O315" s="41"/>
      <c r="P315" s="41"/>
      <c r="Q315" s="41"/>
      <c r="R315" s="41"/>
      <c r="S315" s="41"/>
      <c r="T315" s="575"/>
      <c r="U315" s="575"/>
      <c r="V315" s="575"/>
      <c r="W315" s="575"/>
    </row>
    <row r="316">
      <c r="A316" s="41"/>
      <c r="B316" s="41"/>
      <c r="C316" s="41"/>
      <c r="D316" s="41"/>
      <c r="E316" s="41"/>
      <c r="F316" s="41"/>
      <c r="G316" s="41"/>
      <c r="H316" s="41"/>
      <c r="I316" s="41"/>
      <c r="J316" s="41"/>
      <c r="K316" s="41"/>
      <c r="L316" s="41"/>
      <c r="M316" s="41"/>
      <c r="N316" s="41"/>
      <c r="O316" s="41"/>
      <c r="P316" s="41"/>
      <c r="Q316" s="41"/>
      <c r="R316" s="41"/>
      <c r="S316" s="41"/>
      <c r="T316" s="575"/>
      <c r="U316" s="575"/>
      <c r="V316" s="575"/>
      <c r="W316" s="575"/>
    </row>
    <row r="317">
      <c r="A317" s="41"/>
      <c r="B317" s="41"/>
      <c r="C317" s="41"/>
      <c r="D317" s="41"/>
      <c r="E317" s="41"/>
      <c r="F317" s="41"/>
      <c r="G317" s="41"/>
      <c r="H317" s="41"/>
      <c r="I317" s="41"/>
      <c r="J317" s="41"/>
      <c r="K317" s="41"/>
      <c r="L317" s="41"/>
      <c r="M317" s="41"/>
      <c r="N317" s="41"/>
      <c r="O317" s="41"/>
      <c r="P317" s="41"/>
      <c r="Q317" s="41"/>
      <c r="R317" s="41"/>
      <c r="S317" s="41"/>
      <c r="T317" s="575"/>
      <c r="U317" s="575"/>
      <c r="V317" s="575"/>
      <c r="W317" s="575"/>
    </row>
    <row r="318">
      <c r="A318" s="41"/>
      <c r="B318" s="41"/>
      <c r="C318" s="41"/>
      <c r="D318" s="41"/>
      <c r="E318" s="41"/>
      <c r="F318" s="41"/>
      <c r="G318" s="41"/>
      <c r="H318" s="41"/>
      <c r="I318" s="41"/>
      <c r="J318" s="41"/>
      <c r="K318" s="41"/>
      <c r="L318" s="41"/>
      <c r="M318" s="41"/>
      <c r="N318" s="41"/>
      <c r="O318" s="41"/>
      <c r="P318" s="41"/>
      <c r="Q318" s="41"/>
      <c r="R318" s="41"/>
      <c r="S318" s="41"/>
      <c r="T318" s="575"/>
      <c r="U318" s="575"/>
      <c r="V318" s="575"/>
      <c r="W318" s="575"/>
    </row>
    <row r="319">
      <c r="A319" s="41"/>
      <c r="B319" s="41"/>
      <c r="C319" s="41"/>
      <c r="D319" s="41"/>
      <c r="E319" s="41"/>
      <c r="F319" s="41"/>
      <c r="G319" s="41"/>
      <c r="H319" s="41"/>
      <c r="I319" s="41"/>
      <c r="J319" s="41"/>
      <c r="K319" s="41"/>
      <c r="L319" s="41"/>
      <c r="M319" s="41"/>
      <c r="N319" s="41"/>
      <c r="O319" s="41"/>
      <c r="P319" s="41"/>
      <c r="Q319" s="41"/>
      <c r="R319" s="41"/>
      <c r="S319" s="41"/>
      <c r="T319" s="575"/>
      <c r="U319" s="575"/>
      <c r="V319" s="575"/>
      <c r="W319" s="575"/>
    </row>
    <row r="320">
      <c r="A320" s="41"/>
      <c r="B320" s="41"/>
      <c r="C320" s="41"/>
      <c r="D320" s="41"/>
      <c r="E320" s="41"/>
      <c r="F320" s="41"/>
      <c r="G320" s="41"/>
      <c r="H320" s="41"/>
      <c r="I320" s="41"/>
      <c r="J320" s="41"/>
      <c r="K320" s="41"/>
      <c r="L320" s="41"/>
      <c r="M320" s="41"/>
      <c r="N320" s="41"/>
      <c r="O320" s="41"/>
      <c r="P320" s="41"/>
      <c r="Q320" s="41"/>
      <c r="R320" s="41"/>
      <c r="S320" s="41"/>
      <c r="T320" s="575"/>
      <c r="U320" s="575"/>
      <c r="V320" s="575"/>
      <c r="W320" s="575"/>
    </row>
    <row r="321">
      <c r="A321" s="41"/>
      <c r="B321" s="41"/>
      <c r="C321" s="41"/>
      <c r="D321" s="41"/>
      <c r="E321" s="41"/>
      <c r="F321" s="41"/>
      <c r="G321" s="41"/>
      <c r="H321" s="41"/>
      <c r="I321" s="41"/>
      <c r="J321" s="41"/>
      <c r="K321" s="41"/>
      <c r="L321" s="41"/>
      <c r="M321" s="41"/>
      <c r="N321" s="41"/>
      <c r="O321" s="41"/>
      <c r="P321" s="41"/>
      <c r="Q321" s="41"/>
      <c r="R321" s="41"/>
      <c r="S321" s="41"/>
      <c r="T321" s="575"/>
      <c r="U321" s="575"/>
      <c r="V321" s="575"/>
      <c r="W321" s="575"/>
    </row>
    <row r="322">
      <c r="A322" s="41"/>
      <c r="B322" s="41"/>
      <c r="C322" s="41"/>
      <c r="D322" s="41"/>
      <c r="E322" s="41"/>
      <c r="F322" s="41"/>
      <c r="G322" s="41"/>
      <c r="H322" s="41"/>
      <c r="I322" s="41"/>
      <c r="J322" s="41"/>
      <c r="K322" s="41"/>
      <c r="L322" s="41"/>
      <c r="M322" s="41"/>
      <c r="N322" s="41"/>
      <c r="O322" s="41"/>
      <c r="P322" s="41"/>
      <c r="Q322" s="41"/>
      <c r="R322" s="41"/>
      <c r="S322" s="41"/>
      <c r="T322" s="575"/>
      <c r="U322" s="575"/>
      <c r="V322" s="575"/>
      <c r="W322" s="575"/>
    </row>
    <row r="323">
      <c r="A323" s="41"/>
      <c r="B323" s="41"/>
      <c r="C323" s="41"/>
      <c r="D323" s="41"/>
      <c r="E323" s="41"/>
      <c r="F323" s="41"/>
      <c r="G323" s="41"/>
      <c r="H323" s="41"/>
      <c r="I323" s="41"/>
      <c r="J323" s="41"/>
      <c r="K323" s="41"/>
      <c r="L323" s="41"/>
      <c r="M323" s="41"/>
      <c r="N323" s="41"/>
      <c r="O323" s="41"/>
      <c r="P323" s="41"/>
      <c r="Q323" s="41"/>
      <c r="R323" s="41"/>
      <c r="S323" s="41"/>
      <c r="T323" s="575"/>
      <c r="U323" s="575"/>
      <c r="V323" s="575"/>
      <c r="W323" s="575"/>
    </row>
    <row r="324">
      <c r="A324" s="41"/>
      <c r="B324" s="41"/>
      <c r="C324" s="41"/>
      <c r="D324" s="41"/>
      <c r="E324" s="41"/>
      <c r="F324" s="41"/>
      <c r="G324" s="41"/>
      <c r="H324" s="41"/>
      <c r="I324" s="41"/>
      <c r="J324" s="41"/>
      <c r="K324" s="41"/>
      <c r="L324" s="41"/>
      <c r="M324" s="41"/>
      <c r="N324" s="41"/>
      <c r="O324" s="41"/>
      <c r="P324" s="41"/>
      <c r="Q324" s="41"/>
      <c r="R324" s="41"/>
      <c r="S324" s="41"/>
      <c r="T324" s="575"/>
      <c r="U324" s="575"/>
      <c r="V324" s="575"/>
      <c r="W324" s="575"/>
    </row>
    <row r="325">
      <c r="A325" s="41"/>
      <c r="B325" s="41"/>
      <c r="C325" s="41"/>
      <c r="D325" s="41"/>
      <c r="E325" s="41"/>
      <c r="F325" s="41"/>
      <c r="G325" s="41"/>
      <c r="H325" s="41"/>
      <c r="I325" s="41"/>
      <c r="J325" s="41"/>
      <c r="K325" s="41"/>
      <c r="L325" s="41"/>
      <c r="M325" s="41"/>
      <c r="N325" s="41"/>
      <c r="O325" s="41"/>
      <c r="P325" s="41"/>
      <c r="Q325" s="41"/>
      <c r="R325" s="41"/>
      <c r="S325" s="41"/>
      <c r="T325" s="575"/>
      <c r="U325" s="575"/>
      <c r="V325" s="575"/>
      <c r="W325" s="575"/>
    </row>
    <row r="326">
      <c r="A326" s="41"/>
      <c r="B326" s="41"/>
      <c r="C326" s="41"/>
      <c r="D326" s="41"/>
      <c r="E326" s="41"/>
      <c r="F326" s="41"/>
      <c r="G326" s="41"/>
      <c r="H326" s="41"/>
      <c r="I326" s="41"/>
      <c r="J326" s="41"/>
      <c r="K326" s="41"/>
      <c r="L326" s="41"/>
      <c r="M326" s="41"/>
      <c r="N326" s="41"/>
      <c r="O326" s="41"/>
      <c r="P326" s="41"/>
      <c r="Q326" s="41"/>
      <c r="R326" s="41"/>
      <c r="S326" s="41"/>
      <c r="T326" s="575"/>
      <c r="U326" s="575"/>
      <c r="V326" s="575"/>
      <c r="W326" s="575"/>
    </row>
    <row r="327">
      <c r="A327" s="41"/>
      <c r="B327" s="41"/>
      <c r="C327" s="41"/>
      <c r="D327" s="41"/>
      <c r="E327" s="41"/>
      <c r="F327" s="41"/>
      <c r="G327" s="41"/>
      <c r="H327" s="41"/>
      <c r="I327" s="41"/>
      <c r="J327" s="41"/>
      <c r="K327" s="41"/>
      <c r="L327" s="41"/>
      <c r="M327" s="41"/>
      <c r="N327" s="41"/>
      <c r="O327" s="41"/>
      <c r="P327" s="41"/>
      <c r="Q327" s="41"/>
      <c r="R327" s="41"/>
      <c r="S327" s="41"/>
      <c r="T327" s="575"/>
      <c r="U327" s="575"/>
      <c r="V327" s="575"/>
      <c r="W327" s="575"/>
    </row>
    <row r="328">
      <c r="A328" s="41"/>
      <c r="B328" s="41"/>
      <c r="C328" s="41"/>
      <c r="D328" s="41"/>
      <c r="E328" s="41"/>
      <c r="F328" s="41"/>
      <c r="G328" s="41"/>
      <c r="H328" s="41"/>
      <c r="I328" s="41"/>
      <c r="J328" s="41"/>
      <c r="K328" s="41"/>
      <c r="L328" s="41"/>
      <c r="M328" s="41"/>
      <c r="N328" s="41"/>
      <c r="O328" s="41"/>
      <c r="P328" s="41"/>
      <c r="Q328" s="41"/>
      <c r="R328" s="41"/>
      <c r="S328" s="41"/>
      <c r="T328" s="575"/>
      <c r="U328" s="575"/>
      <c r="V328" s="575"/>
      <c r="W328" s="575"/>
    </row>
    <row r="329">
      <c r="A329" s="41"/>
      <c r="B329" s="41"/>
      <c r="C329" s="41"/>
      <c r="D329" s="41"/>
      <c r="E329" s="41"/>
      <c r="F329" s="41"/>
      <c r="G329" s="41"/>
      <c r="H329" s="41"/>
      <c r="I329" s="41"/>
      <c r="J329" s="41"/>
      <c r="K329" s="41"/>
      <c r="L329" s="41"/>
      <c r="M329" s="41"/>
      <c r="N329" s="41"/>
      <c r="O329" s="41"/>
      <c r="P329" s="41"/>
      <c r="Q329" s="41"/>
      <c r="R329" s="41"/>
      <c r="S329" s="41"/>
      <c r="T329" s="575"/>
      <c r="U329" s="575"/>
      <c r="V329" s="575"/>
      <c r="W329" s="575"/>
    </row>
    <row r="330">
      <c r="A330" s="41"/>
      <c r="B330" s="41"/>
      <c r="C330" s="41"/>
      <c r="D330" s="41"/>
      <c r="E330" s="41"/>
      <c r="F330" s="41"/>
      <c r="G330" s="41"/>
      <c r="H330" s="41"/>
      <c r="I330" s="41"/>
      <c r="J330" s="41"/>
      <c r="K330" s="41"/>
      <c r="L330" s="41"/>
      <c r="M330" s="41"/>
      <c r="N330" s="41"/>
      <c r="O330" s="41"/>
      <c r="P330" s="41"/>
      <c r="Q330" s="41"/>
      <c r="R330" s="41"/>
      <c r="S330" s="41"/>
      <c r="T330" s="575"/>
      <c r="U330" s="575"/>
      <c r="V330" s="575"/>
      <c r="W330" s="575"/>
    </row>
    <row r="331">
      <c r="A331" s="41"/>
      <c r="B331" s="41"/>
      <c r="C331" s="41"/>
      <c r="D331" s="41"/>
      <c r="E331" s="41"/>
      <c r="F331" s="41"/>
      <c r="G331" s="41"/>
      <c r="H331" s="41"/>
      <c r="I331" s="41"/>
      <c r="J331" s="41"/>
      <c r="K331" s="41"/>
      <c r="L331" s="41"/>
      <c r="M331" s="41"/>
      <c r="N331" s="41"/>
      <c r="O331" s="41"/>
      <c r="P331" s="41"/>
      <c r="Q331" s="41"/>
      <c r="R331" s="41"/>
      <c r="S331" s="41"/>
      <c r="T331" s="575"/>
      <c r="U331" s="575"/>
      <c r="V331" s="575"/>
      <c r="W331" s="575"/>
    </row>
    <row r="332">
      <c r="A332" s="41"/>
      <c r="B332" s="41"/>
      <c r="C332" s="41"/>
      <c r="D332" s="41"/>
      <c r="E332" s="41"/>
      <c r="F332" s="41"/>
      <c r="G332" s="41"/>
      <c r="H332" s="41"/>
      <c r="I332" s="41"/>
      <c r="J332" s="41"/>
      <c r="K332" s="41"/>
      <c r="L332" s="41"/>
      <c r="M332" s="41"/>
      <c r="N332" s="41"/>
      <c r="O332" s="41"/>
      <c r="P332" s="41"/>
      <c r="Q332" s="41"/>
      <c r="R332" s="41"/>
      <c r="S332" s="41"/>
      <c r="T332" s="575"/>
      <c r="U332" s="575"/>
      <c r="V332" s="575"/>
      <c r="W332" s="575"/>
    </row>
    <row r="333">
      <c r="A333" s="41"/>
      <c r="B333" s="41"/>
      <c r="C333" s="41"/>
      <c r="D333" s="41"/>
      <c r="E333" s="41"/>
      <c r="F333" s="41"/>
      <c r="G333" s="41"/>
      <c r="H333" s="41"/>
      <c r="I333" s="41"/>
      <c r="J333" s="41"/>
      <c r="K333" s="41"/>
      <c r="L333" s="41"/>
      <c r="M333" s="41"/>
      <c r="N333" s="41"/>
      <c r="O333" s="41"/>
      <c r="P333" s="41"/>
      <c r="Q333" s="41"/>
      <c r="R333" s="41"/>
      <c r="S333" s="41"/>
      <c r="T333" s="575"/>
      <c r="U333" s="575"/>
      <c r="V333" s="575"/>
      <c r="W333" s="575"/>
    </row>
    <row r="334">
      <c r="A334" s="41"/>
      <c r="B334" s="41"/>
      <c r="C334" s="41"/>
      <c r="D334" s="41"/>
      <c r="E334" s="41"/>
      <c r="F334" s="41"/>
      <c r="G334" s="41"/>
      <c r="H334" s="41"/>
      <c r="I334" s="41"/>
      <c r="J334" s="41"/>
      <c r="K334" s="41"/>
      <c r="L334" s="41"/>
      <c r="M334" s="41"/>
      <c r="N334" s="41"/>
      <c r="O334" s="41"/>
      <c r="P334" s="41"/>
      <c r="Q334" s="41"/>
      <c r="R334" s="41"/>
      <c r="S334" s="41"/>
      <c r="T334" s="575"/>
      <c r="U334" s="575"/>
      <c r="V334" s="575"/>
      <c r="W334" s="575"/>
    </row>
    <row r="335">
      <c r="A335" s="41"/>
      <c r="B335" s="41"/>
      <c r="C335" s="41"/>
      <c r="D335" s="41"/>
      <c r="E335" s="41"/>
      <c r="F335" s="41"/>
      <c r="G335" s="41"/>
      <c r="H335" s="41"/>
      <c r="I335" s="41"/>
      <c r="J335" s="41"/>
      <c r="K335" s="41"/>
      <c r="L335" s="41"/>
      <c r="M335" s="41"/>
      <c r="N335" s="41"/>
      <c r="O335" s="41"/>
      <c r="P335" s="41"/>
      <c r="Q335" s="41"/>
      <c r="R335" s="41"/>
      <c r="S335" s="41"/>
      <c r="T335" s="575"/>
      <c r="U335" s="575"/>
      <c r="V335" s="575"/>
      <c r="W335" s="575"/>
    </row>
    <row r="336">
      <c r="A336" s="41"/>
      <c r="B336" s="41"/>
      <c r="C336" s="41"/>
      <c r="D336" s="41"/>
      <c r="E336" s="41"/>
      <c r="F336" s="41"/>
      <c r="G336" s="41"/>
      <c r="H336" s="41"/>
      <c r="I336" s="41"/>
      <c r="J336" s="41"/>
      <c r="K336" s="41"/>
      <c r="L336" s="41"/>
      <c r="M336" s="41"/>
      <c r="N336" s="41"/>
      <c r="O336" s="41"/>
      <c r="P336" s="41"/>
      <c r="Q336" s="41"/>
      <c r="R336" s="41"/>
      <c r="S336" s="41"/>
      <c r="T336" s="575"/>
      <c r="U336" s="575"/>
      <c r="V336" s="575"/>
      <c r="W336" s="575"/>
    </row>
    <row r="337">
      <c r="A337" s="41"/>
      <c r="B337" s="41"/>
      <c r="C337" s="41"/>
      <c r="D337" s="41"/>
      <c r="E337" s="41"/>
      <c r="F337" s="41"/>
      <c r="G337" s="41"/>
      <c r="H337" s="41"/>
      <c r="I337" s="41"/>
      <c r="J337" s="41"/>
      <c r="K337" s="41"/>
      <c r="L337" s="41"/>
      <c r="M337" s="41"/>
      <c r="N337" s="41"/>
      <c r="O337" s="41"/>
      <c r="P337" s="41"/>
      <c r="Q337" s="41"/>
      <c r="R337" s="41"/>
      <c r="S337" s="41"/>
      <c r="T337" s="575"/>
      <c r="U337" s="575"/>
      <c r="V337" s="575"/>
      <c r="W337" s="575"/>
    </row>
    <row r="338">
      <c r="A338" s="41"/>
      <c r="B338" s="41"/>
      <c r="C338" s="41"/>
      <c r="D338" s="41"/>
      <c r="E338" s="41"/>
      <c r="F338" s="41"/>
      <c r="G338" s="41"/>
      <c r="H338" s="41"/>
      <c r="I338" s="41"/>
      <c r="J338" s="41"/>
      <c r="K338" s="41"/>
      <c r="L338" s="41"/>
      <c r="M338" s="41"/>
      <c r="N338" s="41"/>
      <c r="O338" s="41"/>
      <c r="P338" s="41"/>
      <c r="Q338" s="41"/>
      <c r="R338" s="41"/>
      <c r="S338" s="41"/>
      <c r="T338" s="575"/>
      <c r="U338" s="575"/>
      <c r="V338" s="575"/>
      <c r="W338" s="575"/>
    </row>
    <row r="339">
      <c r="A339" s="41"/>
      <c r="B339" s="41"/>
      <c r="C339" s="41"/>
      <c r="D339" s="41"/>
      <c r="E339" s="41"/>
      <c r="F339" s="41"/>
      <c r="G339" s="41"/>
      <c r="H339" s="41"/>
      <c r="I339" s="41"/>
      <c r="J339" s="41"/>
      <c r="K339" s="41"/>
      <c r="L339" s="41"/>
      <c r="M339" s="41"/>
      <c r="N339" s="41"/>
      <c r="O339" s="41"/>
      <c r="P339" s="41"/>
      <c r="Q339" s="41"/>
      <c r="R339" s="41"/>
      <c r="S339" s="41"/>
      <c r="T339" s="575"/>
      <c r="U339" s="575"/>
      <c r="V339" s="575"/>
      <c r="W339" s="575"/>
    </row>
    <row r="340">
      <c r="A340" s="41"/>
      <c r="B340" s="41"/>
      <c r="C340" s="41"/>
      <c r="D340" s="41"/>
      <c r="E340" s="41"/>
      <c r="F340" s="41"/>
      <c r="G340" s="41"/>
      <c r="H340" s="41"/>
      <c r="I340" s="41"/>
      <c r="J340" s="41"/>
      <c r="K340" s="41"/>
      <c r="L340" s="41"/>
      <c r="M340" s="41"/>
      <c r="N340" s="41"/>
      <c r="O340" s="41"/>
      <c r="P340" s="41"/>
      <c r="Q340" s="41"/>
      <c r="R340" s="41"/>
      <c r="S340" s="41"/>
      <c r="T340" s="575"/>
      <c r="U340" s="575"/>
      <c r="V340" s="575"/>
      <c r="W340" s="575"/>
    </row>
    <row r="341">
      <c r="A341" s="41"/>
      <c r="B341" s="41"/>
      <c r="C341" s="41"/>
      <c r="D341" s="41"/>
      <c r="E341" s="41"/>
      <c r="F341" s="41"/>
      <c r="G341" s="41"/>
      <c r="H341" s="41"/>
      <c r="I341" s="41"/>
      <c r="J341" s="41"/>
      <c r="K341" s="41"/>
      <c r="L341" s="41"/>
      <c r="M341" s="41"/>
      <c r="N341" s="41"/>
      <c r="O341" s="41"/>
      <c r="P341" s="41"/>
      <c r="Q341" s="41"/>
      <c r="R341" s="41"/>
      <c r="S341" s="41"/>
      <c r="T341" s="575"/>
      <c r="U341" s="575"/>
      <c r="V341" s="575"/>
      <c r="W341" s="575"/>
    </row>
    <row r="342">
      <c r="A342" s="41"/>
      <c r="B342" s="41"/>
      <c r="C342" s="41"/>
      <c r="D342" s="41"/>
      <c r="E342" s="41"/>
      <c r="F342" s="41"/>
      <c r="G342" s="41"/>
      <c r="H342" s="41"/>
      <c r="I342" s="41"/>
      <c r="J342" s="41"/>
      <c r="K342" s="41"/>
      <c r="L342" s="41"/>
      <c r="M342" s="41"/>
      <c r="N342" s="41"/>
      <c r="O342" s="41"/>
      <c r="P342" s="41"/>
      <c r="Q342" s="41"/>
      <c r="R342" s="41"/>
      <c r="S342" s="41"/>
      <c r="T342" s="575"/>
      <c r="U342" s="575"/>
      <c r="V342" s="575"/>
      <c r="W342" s="575"/>
    </row>
    <row r="343">
      <c r="A343" s="41"/>
      <c r="B343" s="41"/>
      <c r="C343" s="41"/>
      <c r="D343" s="41"/>
      <c r="E343" s="41"/>
      <c r="F343" s="41"/>
      <c r="G343" s="41"/>
      <c r="H343" s="41"/>
      <c r="I343" s="41"/>
      <c r="J343" s="41"/>
      <c r="K343" s="41"/>
      <c r="L343" s="41"/>
      <c r="M343" s="41"/>
      <c r="N343" s="41"/>
      <c r="O343" s="41"/>
      <c r="P343" s="41"/>
      <c r="Q343" s="41"/>
      <c r="R343" s="41"/>
      <c r="S343" s="41"/>
      <c r="T343" s="575"/>
      <c r="U343" s="575"/>
      <c r="V343" s="575"/>
      <c r="W343" s="575"/>
    </row>
    <row r="344">
      <c r="A344" s="41"/>
      <c r="B344" s="41"/>
      <c r="C344" s="41"/>
      <c r="D344" s="41"/>
      <c r="E344" s="41"/>
      <c r="F344" s="41"/>
      <c r="G344" s="41"/>
      <c r="H344" s="41"/>
      <c r="I344" s="41"/>
      <c r="J344" s="41"/>
      <c r="K344" s="41"/>
      <c r="L344" s="41"/>
      <c r="M344" s="41"/>
      <c r="N344" s="41"/>
      <c r="O344" s="41"/>
      <c r="P344" s="41"/>
      <c r="Q344" s="41"/>
      <c r="R344" s="41"/>
      <c r="S344" s="41"/>
      <c r="T344" s="575"/>
      <c r="U344" s="575"/>
      <c r="V344" s="575"/>
      <c r="W344" s="575"/>
    </row>
    <row r="345">
      <c r="A345" s="41"/>
      <c r="B345" s="41"/>
      <c r="C345" s="41"/>
      <c r="D345" s="41"/>
      <c r="E345" s="41"/>
      <c r="F345" s="41"/>
      <c r="G345" s="41"/>
      <c r="H345" s="41"/>
      <c r="I345" s="41"/>
      <c r="J345" s="41"/>
      <c r="K345" s="41"/>
      <c r="L345" s="41"/>
      <c r="M345" s="41"/>
      <c r="N345" s="41"/>
      <c r="O345" s="41"/>
      <c r="P345" s="41"/>
      <c r="Q345" s="41"/>
      <c r="R345" s="41"/>
      <c r="S345" s="41"/>
      <c r="T345" s="575"/>
      <c r="U345" s="575"/>
      <c r="V345" s="575"/>
      <c r="W345" s="575"/>
    </row>
    <row r="346">
      <c r="A346" s="41"/>
      <c r="B346" s="41"/>
      <c r="C346" s="41"/>
      <c r="D346" s="41"/>
      <c r="E346" s="41"/>
      <c r="F346" s="41"/>
      <c r="G346" s="41"/>
      <c r="H346" s="41"/>
      <c r="I346" s="41"/>
      <c r="J346" s="41"/>
      <c r="K346" s="41"/>
      <c r="L346" s="41"/>
      <c r="M346" s="41"/>
      <c r="N346" s="41"/>
      <c r="O346" s="41"/>
      <c r="P346" s="41"/>
      <c r="Q346" s="41"/>
      <c r="R346" s="41"/>
      <c r="S346" s="41"/>
      <c r="T346" s="575"/>
      <c r="U346" s="575"/>
      <c r="V346" s="575"/>
      <c r="W346" s="575"/>
    </row>
    <row r="347">
      <c r="A347" s="41"/>
      <c r="B347" s="41"/>
      <c r="C347" s="41"/>
      <c r="D347" s="41"/>
      <c r="E347" s="41"/>
      <c r="F347" s="41"/>
      <c r="G347" s="41"/>
      <c r="H347" s="41"/>
      <c r="I347" s="41"/>
      <c r="J347" s="41"/>
      <c r="K347" s="41"/>
      <c r="L347" s="41"/>
      <c r="M347" s="41"/>
      <c r="N347" s="41"/>
      <c r="O347" s="41"/>
      <c r="P347" s="41"/>
      <c r="Q347" s="41"/>
      <c r="R347" s="41"/>
      <c r="S347" s="41"/>
      <c r="T347" s="575"/>
      <c r="U347" s="575"/>
      <c r="V347" s="575"/>
      <c r="W347" s="575"/>
    </row>
    <row r="348">
      <c r="A348" s="41"/>
      <c r="B348" s="41"/>
      <c r="C348" s="41"/>
      <c r="D348" s="41"/>
      <c r="E348" s="41"/>
      <c r="F348" s="41"/>
      <c r="G348" s="41"/>
      <c r="H348" s="41"/>
      <c r="I348" s="41"/>
      <c r="J348" s="41"/>
      <c r="K348" s="41"/>
      <c r="L348" s="41"/>
      <c r="M348" s="41"/>
      <c r="N348" s="41"/>
      <c r="O348" s="41"/>
      <c r="P348" s="41"/>
      <c r="Q348" s="41"/>
      <c r="R348" s="41"/>
      <c r="S348" s="41"/>
      <c r="T348" s="575"/>
      <c r="U348" s="575"/>
      <c r="V348" s="575"/>
      <c r="W348" s="575"/>
    </row>
    <row r="349">
      <c r="A349" s="41"/>
      <c r="B349" s="41"/>
      <c r="C349" s="41"/>
      <c r="D349" s="41"/>
      <c r="E349" s="41"/>
      <c r="F349" s="41"/>
      <c r="G349" s="41"/>
      <c r="H349" s="41"/>
      <c r="I349" s="41"/>
      <c r="J349" s="41"/>
      <c r="K349" s="41"/>
      <c r="L349" s="41"/>
      <c r="M349" s="41"/>
      <c r="N349" s="41"/>
      <c r="O349" s="41"/>
      <c r="P349" s="41"/>
      <c r="Q349" s="41"/>
      <c r="R349" s="41"/>
      <c r="S349" s="41"/>
      <c r="T349" s="575"/>
      <c r="U349" s="575"/>
      <c r="V349" s="575"/>
      <c r="W349" s="575"/>
    </row>
    <row r="350">
      <c r="A350" s="41"/>
      <c r="B350" s="41"/>
      <c r="C350" s="41"/>
      <c r="D350" s="41"/>
      <c r="E350" s="41"/>
      <c r="F350" s="41"/>
      <c r="G350" s="41"/>
      <c r="H350" s="41"/>
      <c r="I350" s="41"/>
      <c r="J350" s="41"/>
      <c r="K350" s="41"/>
      <c r="L350" s="41"/>
      <c r="M350" s="41"/>
      <c r="N350" s="41"/>
      <c r="O350" s="41"/>
      <c r="P350" s="41"/>
      <c r="Q350" s="41"/>
      <c r="R350" s="41"/>
      <c r="S350" s="41"/>
      <c r="T350" s="575"/>
      <c r="U350" s="575"/>
      <c r="V350" s="575"/>
      <c r="W350" s="575"/>
    </row>
    <row r="351">
      <c r="A351" s="41"/>
      <c r="B351" s="41"/>
      <c r="C351" s="41"/>
      <c r="D351" s="41"/>
      <c r="E351" s="41"/>
      <c r="F351" s="41"/>
      <c r="G351" s="41"/>
      <c r="H351" s="41"/>
      <c r="I351" s="41"/>
      <c r="J351" s="41"/>
      <c r="K351" s="41"/>
      <c r="L351" s="41"/>
      <c r="M351" s="41"/>
      <c r="N351" s="41"/>
      <c r="O351" s="41"/>
      <c r="P351" s="41"/>
      <c r="Q351" s="41"/>
      <c r="R351" s="41"/>
      <c r="S351" s="41"/>
      <c r="T351" s="575"/>
      <c r="U351" s="575"/>
      <c r="V351" s="575"/>
      <c r="W351" s="575"/>
    </row>
    <row r="352">
      <c r="A352" s="41"/>
      <c r="B352" s="41"/>
      <c r="C352" s="41"/>
      <c r="D352" s="41"/>
      <c r="E352" s="41"/>
      <c r="F352" s="41"/>
      <c r="G352" s="41"/>
      <c r="H352" s="41"/>
      <c r="I352" s="41"/>
      <c r="J352" s="41"/>
      <c r="K352" s="41"/>
      <c r="L352" s="41"/>
      <c r="M352" s="41"/>
      <c r="N352" s="41"/>
      <c r="O352" s="41"/>
      <c r="P352" s="41"/>
      <c r="Q352" s="41"/>
      <c r="R352" s="41"/>
      <c r="S352" s="41"/>
      <c r="T352" s="575"/>
      <c r="U352" s="575"/>
      <c r="V352" s="575"/>
      <c r="W352" s="575"/>
    </row>
    <row r="353">
      <c r="A353" s="41"/>
      <c r="B353" s="41"/>
      <c r="C353" s="41"/>
      <c r="D353" s="41"/>
      <c r="E353" s="41"/>
      <c r="F353" s="41"/>
      <c r="G353" s="41"/>
      <c r="H353" s="41"/>
      <c r="I353" s="41"/>
      <c r="J353" s="41"/>
      <c r="K353" s="41"/>
      <c r="L353" s="41"/>
      <c r="M353" s="41"/>
      <c r="N353" s="41"/>
      <c r="O353" s="41"/>
      <c r="P353" s="41"/>
      <c r="Q353" s="41"/>
      <c r="R353" s="41"/>
      <c r="S353" s="41"/>
      <c r="T353" s="575"/>
      <c r="U353" s="575"/>
      <c r="V353" s="575"/>
      <c r="W353" s="575"/>
    </row>
    <row r="354">
      <c r="A354" s="41"/>
      <c r="B354" s="41"/>
      <c r="C354" s="41"/>
      <c r="D354" s="41"/>
      <c r="E354" s="41"/>
      <c r="F354" s="41"/>
      <c r="G354" s="41"/>
      <c r="H354" s="41"/>
      <c r="I354" s="41"/>
      <c r="J354" s="41"/>
      <c r="K354" s="41"/>
      <c r="L354" s="41"/>
      <c r="M354" s="41"/>
      <c r="N354" s="41"/>
      <c r="O354" s="41"/>
      <c r="P354" s="41"/>
      <c r="Q354" s="41"/>
      <c r="R354" s="41"/>
      <c r="S354" s="41"/>
      <c r="T354" s="575"/>
      <c r="U354" s="575"/>
      <c r="V354" s="575"/>
      <c r="W354" s="575"/>
    </row>
    <row r="355">
      <c r="A355" s="41"/>
      <c r="B355" s="41"/>
      <c r="C355" s="41"/>
      <c r="D355" s="41"/>
      <c r="E355" s="41"/>
      <c r="F355" s="41"/>
      <c r="G355" s="41"/>
      <c r="H355" s="41"/>
      <c r="I355" s="41"/>
      <c r="J355" s="41"/>
      <c r="K355" s="41"/>
      <c r="L355" s="41"/>
      <c r="M355" s="41"/>
      <c r="N355" s="41"/>
      <c r="O355" s="41"/>
      <c r="P355" s="41"/>
      <c r="Q355" s="41"/>
      <c r="R355" s="41"/>
      <c r="S355" s="41"/>
      <c r="T355" s="575"/>
      <c r="U355" s="575"/>
      <c r="V355" s="575"/>
      <c r="W355" s="575"/>
    </row>
    <row r="356">
      <c r="A356" s="41"/>
      <c r="B356" s="41"/>
      <c r="C356" s="41"/>
      <c r="D356" s="41"/>
      <c r="E356" s="41"/>
      <c r="F356" s="41"/>
      <c r="G356" s="41"/>
      <c r="H356" s="41"/>
      <c r="I356" s="41"/>
      <c r="J356" s="41"/>
      <c r="K356" s="41"/>
      <c r="L356" s="41"/>
      <c r="M356" s="41"/>
      <c r="N356" s="41"/>
      <c r="O356" s="41"/>
      <c r="P356" s="41"/>
      <c r="Q356" s="41"/>
      <c r="R356" s="41"/>
      <c r="S356" s="41"/>
      <c r="T356" s="575"/>
      <c r="U356" s="575"/>
      <c r="V356" s="575"/>
      <c r="W356" s="575"/>
    </row>
    <row r="357">
      <c r="A357" s="41"/>
      <c r="B357" s="41"/>
      <c r="C357" s="41"/>
      <c r="D357" s="41"/>
      <c r="E357" s="41"/>
      <c r="F357" s="41"/>
      <c r="G357" s="41"/>
      <c r="H357" s="41"/>
      <c r="I357" s="41"/>
      <c r="J357" s="41"/>
      <c r="K357" s="41"/>
      <c r="L357" s="41"/>
      <c r="M357" s="41"/>
      <c r="N357" s="41"/>
      <c r="O357" s="41"/>
      <c r="P357" s="41"/>
      <c r="Q357" s="41"/>
      <c r="R357" s="41"/>
      <c r="S357" s="41"/>
      <c r="T357" s="575"/>
      <c r="U357" s="575"/>
      <c r="V357" s="575"/>
      <c r="W357" s="575"/>
    </row>
    <row r="358">
      <c r="A358" s="41"/>
      <c r="B358" s="41"/>
      <c r="C358" s="41"/>
      <c r="D358" s="41"/>
      <c r="E358" s="41"/>
      <c r="F358" s="41"/>
      <c r="G358" s="41"/>
      <c r="H358" s="41"/>
      <c r="I358" s="41"/>
      <c r="J358" s="41"/>
      <c r="K358" s="41"/>
      <c r="L358" s="41"/>
      <c r="M358" s="41"/>
      <c r="N358" s="41"/>
      <c r="O358" s="41"/>
      <c r="P358" s="41"/>
      <c r="Q358" s="41"/>
      <c r="R358" s="41"/>
      <c r="S358" s="41"/>
      <c r="T358" s="575"/>
      <c r="U358" s="575"/>
      <c r="V358" s="575"/>
      <c r="W358" s="575"/>
    </row>
    <row r="359">
      <c r="A359" s="41"/>
      <c r="B359" s="41"/>
      <c r="C359" s="41"/>
      <c r="D359" s="41"/>
      <c r="E359" s="41"/>
      <c r="F359" s="41"/>
      <c r="G359" s="41"/>
      <c r="H359" s="41"/>
      <c r="I359" s="41"/>
      <c r="J359" s="41"/>
      <c r="K359" s="41"/>
      <c r="L359" s="41"/>
      <c r="M359" s="41"/>
      <c r="N359" s="41"/>
      <c r="O359" s="41"/>
      <c r="P359" s="41"/>
      <c r="Q359" s="41"/>
      <c r="R359" s="41"/>
      <c r="S359" s="41"/>
      <c r="T359" s="575"/>
      <c r="U359" s="575"/>
      <c r="V359" s="575"/>
      <c r="W359" s="575"/>
    </row>
    <row r="360">
      <c r="A360" s="41"/>
      <c r="B360" s="41"/>
      <c r="C360" s="41"/>
      <c r="D360" s="41"/>
      <c r="E360" s="41"/>
      <c r="F360" s="41"/>
      <c r="G360" s="41"/>
      <c r="H360" s="41"/>
      <c r="I360" s="41"/>
      <c r="J360" s="41"/>
      <c r="K360" s="41"/>
      <c r="L360" s="41"/>
      <c r="M360" s="41"/>
      <c r="N360" s="41"/>
      <c r="O360" s="41"/>
      <c r="P360" s="41"/>
      <c r="Q360" s="41"/>
      <c r="R360" s="41"/>
      <c r="S360" s="41"/>
      <c r="T360" s="575"/>
      <c r="U360" s="575"/>
      <c r="V360" s="575"/>
      <c r="W360" s="575"/>
    </row>
    <row r="361">
      <c r="A361" s="41"/>
      <c r="B361" s="41"/>
      <c r="C361" s="41"/>
      <c r="D361" s="41"/>
      <c r="E361" s="41"/>
      <c r="F361" s="41"/>
      <c r="G361" s="41"/>
      <c r="H361" s="41"/>
      <c r="I361" s="41"/>
      <c r="J361" s="41"/>
      <c r="K361" s="41"/>
      <c r="L361" s="41"/>
      <c r="M361" s="41"/>
      <c r="N361" s="41"/>
      <c r="O361" s="41"/>
      <c r="P361" s="41"/>
      <c r="Q361" s="41"/>
      <c r="R361" s="41"/>
      <c r="S361" s="41"/>
      <c r="T361" s="575"/>
      <c r="U361" s="575"/>
      <c r="V361" s="575"/>
      <c r="W361" s="575"/>
    </row>
    <row r="362">
      <c r="A362" s="41"/>
      <c r="B362" s="41"/>
      <c r="C362" s="41"/>
      <c r="D362" s="41"/>
      <c r="E362" s="41"/>
      <c r="F362" s="41"/>
      <c r="G362" s="41"/>
      <c r="H362" s="41"/>
      <c r="I362" s="41"/>
      <c r="J362" s="41"/>
      <c r="K362" s="41"/>
      <c r="L362" s="41"/>
      <c r="M362" s="41"/>
      <c r="N362" s="41"/>
      <c r="O362" s="41"/>
      <c r="P362" s="41"/>
      <c r="Q362" s="41"/>
      <c r="R362" s="41"/>
      <c r="S362" s="41"/>
      <c r="T362" s="575"/>
      <c r="U362" s="575"/>
      <c r="V362" s="575"/>
      <c r="W362" s="575"/>
    </row>
    <row r="363">
      <c r="A363" s="41"/>
      <c r="B363" s="41"/>
      <c r="C363" s="41"/>
      <c r="D363" s="41"/>
      <c r="E363" s="41"/>
      <c r="F363" s="41"/>
      <c r="G363" s="41"/>
      <c r="H363" s="41"/>
      <c r="I363" s="41"/>
      <c r="J363" s="41"/>
      <c r="K363" s="41"/>
      <c r="L363" s="41"/>
      <c r="M363" s="41"/>
      <c r="N363" s="41"/>
      <c r="O363" s="41"/>
      <c r="P363" s="41"/>
      <c r="Q363" s="41"/>
      <c r="R363" s="41"/>
      <c r="S363" s="41"/>
      <c r="T363" s="575"/>
      <c r="U363" s="575"/>
      <c r="V363" s="575"/>
      <c r="W363" s="575"/>
    </row>
    <row r="364">
      <c r="A364" s="41"/>
      <c r="B364" s="41"/>
      <c r="C364" s="41"/>
      <c r="D364" s="41"/>
      <c r="E364" s="41"/>
      <c r="F364" s="41"/>
      <c r="G364" s="41"/>
      <c r="H364" s="41"/>
      <c r="I364" s="41"/>
      <c r="J364" s="41"/>
      <c r="K364" s="41"/>
      <c r="L364" s="41"/>
      <c r="M364" s="41"/>
      <c r="N364" s="41"/>
      <c r="O364" s="41"/>
      <c r="P364" s="41"/>
      <c r="Q364" s="41"/>
      <c r="R364" s="41"/>
      <c r="S364" s="41"/>
      <c r="T364" s="575"/>
      <c r="U364" s="575"/>
      <c r="V364" s="575"/>
      <c r="W364" s="575"/>
    </row>
    <row r="365">
      <c r="A365" s="41"/>
      <c r="B365" s="41"/>
      <c r="C365" s="41"/>
      <c r="D365" s="41"/>
      <c r="E365" s="41"/>
      <c r="F365" s="41"/>
      <c r="G365" s="41"/>
      <c r="H365" s="41"/>
      <c r="I365" s="41"/>
      <c r="J365" s="41"/>
      <c r="K365" s="41"/>
      <c r="L365" s="41"/>
      <c r="M365" s="41"/>
      <c r="N365" s="41"/>
      <c r="O365" s="41"/>
      <c r="P365" s="41"/>
      <c r="Q365" s="41"/>
      <c r="R365" s="41"/>
      <c r="S365" s="41"/>
      <c r="T365" s="575"/>
      <c r="U365" s="575"/>
      <c r="V365" s="575"/>
      <c r="W365" s="575"/>
    </row>
    <row r="366">
      <c r="A366" s="41"/>
      <c r="B366" s="41"/>
      <c r="C366" s="41"/>
      <c r="D366" s="41"/>
      <c r="E366" s="41"/>
      <c r="F366" s="41"/>
      <c r="G366" s="41"/>
      <c r="H366" s="41"/>
      <c r="I366" s="41"/>
      <c r="J366" s="41"/>
      <c r="K366" s="41"/>
      <c r="L366" s="41"/>
      <c r="M366" s="41"/>
      <c r="N366" s="41"/>
      <c r="O366" s="41"/>
      <c r="P366" s="41"/>
      <c r="Q366" s="41"/>
      <c r="R366" s="41"/>
      <c r="S366" s="41"/>
      <c r="T366" s="575"/>
      <c r="U366" s="575"/>
      <c r="V366" s="575"/>
      <c r="W366" s="575"/>
    </row>
    <row r="367">
      <c r="A367" s="41"/>
      <c r="B367" s="41"/>
      <c r="C367" s="41"/>
      <c r="D367" s="41"/>
      <c r="E367" s="41"/>
      <c r="F367" s="41"/>
      <c r="G367" s="41"/>
      <c r="H367" s="41"/>
      <c r="I367" s="41"/>
      <c r="J367" s="41"/>
      <c r="K367" s="41"/>
      <c r="L367" s="41"/>
      <c r="M367" s="41"/>
      <c r="N367" s="41"/>
      <c r="O367" s="41"/>
      <c r="P367" s="41"/>
      <c r="Q367" s="41"/>
      <c r="R367" s="41"/>
      <c r="S367" s="41"/>
      <c r="T367" s="575"/>
      <c r="U367" s="575"/>
      <c r="V367" s="575"/>
      <c r="W367" s="575"/>
    </row>
    <row r="368">
      <c r="A368" s="41"/>
      <c r="B368" s="41"/>
      <c r="C368" s="41"/>
      <c r="D368" s="41"/>
      <c r="E368" s="41"/>
      <c r="F368" s="41"/>
      <c r="G368" s="41"/>
      <c r="H368" s="41"/>
      <c r="I368" s="41"/>
      <c r="J368" s="41"/>
      <c r="K368" s="41"/>
      <c r="L368" s="41"/>
      <c r="M368" s="41"/>
      <c r="N368" s="41"/>
      <c r="O368" s="41"/>
      <c r="P368" s="41"/>
      <c r="Q368" s="41"/>
      <c r="R368" s="41"/>
      <c r="S368" s="41"/>
      <c r="T368" s="575"/>
      <c r="U368" s="575"/>
      <c r="V368" s="575"/>
      <c r="W368" s="575"/>
    </row>
    <row r="369">
      <c r="A369" s="41"/>
      <c r="B369" s="41"/>
      <c r="C369" s="41"/>
      <c r="D369" s="41"/>
      <c r="E369" s="41"/>
      <c r="F369" s="41"/>
      <c r="G369" s="41"/>
      <c r="H369" s="41"/>
      <c r="I369" s="41"/>
      <c r="J369" s="41"/>
      <c r="K369" s="41"/>
      <c r="L369" s="41"/>
      <c r="M369" s="41"/>
      <c r="N369" s="41"/>
      <c r="O369" s="41"/>
      <c r="P369" s="41"/>
      <c r="Q369" s="41"/>
      <c r="R369" s="41"/>
      <c r="S369" s="41"/>
      <c r="T369" s="575"/>
      <c r="U369" s="575"/>
      <c r="V369" s="575"/>
      <c r="W369" s="575"/>
    </row>
    <row r="370">
      <c r="A370" s="41"/>
      <c r="B370" s="41"/>
      <c r="C370" s="41"/>
      <c r="D370" s="41"/>
      <c r="E370" s="41"/>
      <c r="F370" s="41"/>
      <c r="G370" s="41"/>
      <c r="H370" s="41"/>
      <c r="I370" s="41"/>
      <c r="J370" s="41"/>
      <c r="K370" s="41"/>
      <c r="L370" s="41"/>
      <c r="M370" s="41"/>
      <c r="N370" s="41"/>
      <c r="O370" s="41"/>
      <c r="P370" s="41"/>
      <c r="Q370" s="41"/>
      <c r="R370" s="41"/>
      <c r="S370" s="41"/>
      <c r="T370" s="575"/>
      <c r="U370" s="575"/>
      <c r="V370" s="575"/>
      <c r="W370" s="575"/>
    </row>
    <row r="371">
      <c r="A371" s="41"/>
      <c r="B371" s="41"/>
      <c r="C371" s="41"/>
      <c r="D371" s="41"/>
      <c r="E371" s="41"/>
      <c r="F371" s="41"/>
      <c r="G371" s="41"/>
      <c r="H371" s="41"/>
      <c r="I371" s="41"/>
      <c r="J371" s="41"/>
      <c r="K371" s="41"/>
      <c r="L371" s="41"/>
      <c r="M371" s="41"/>
      <c r="N371" s="41"/>
      <c r="O371" s="41"/>
      <c r="P371" s="41"/>
      <c r="Q371" s="41"/>
      <c r="R371" s="41"/>
      <c r="S371" s="41"/>
      <c r="T371" s="575"/>
      <c r="U371" s="575"/>
      <c r="V371" s="575"/>
      <c r="W371" s="575"/>
    </row>
    <row r="372">
      <c r="A372" s="41"/>
      <c r="B372" s="41"/>
      <c r="C372" s="41"/>
      <c r="D372" s="41"/>
      <c r="E372" s="41"/>
      <c r="F372" s="41"/>
      <c r="G372" s="41"/>
      <c r="H372" s="41"/>
      <c r="I372" s="41"/>
      <c r="J372" s="41"/>
      <c r="K372" s="41"/>
      <c r="L372" s="41"/>
      <c r="M372" s="41"/>
      <c r="N372" s="41"/>
      <c r="O372" s="41"/>
      <c r="P372" s="41"/>
      <c r="Q372" s="41"/>
      <c r="R372" s="41"/>
      <c r="S372" s="41"/>
      <c r="T372" s="575"/>
      <c r="U372" s="575"/>
      <c r="V372" s="575"/>
      <c r="W372" s="575"/>
    </row>
    <row r="373">
      <c r="A373" s="41"/>
      <c r="B373" s="41"/>
      <c r="C373" s="41"/>
      <c r="D373" s="41"/>
      <c r="E373" s="41"/>
      <c r="F373" s="41"/>
      <c r="G373" s="41"/>
      <c r="H373" s="41"/>
      <c r="I373" s="41"/>
      <c r="J373" s="41"/>
      <c r="K373" s="41"/>
      <c r="L373" s="41"/>
      <c r="M373" s="41"/>
      <c r="N373" s="41"/>
      <c r="O373" s="41"/>
      <c r="P373" s="41"/>
      <c r="Q373" s="41"/>
      <c r="R373" s="41"/>
      <c r="S373" s="41"/>
      <c r="T373" s="575"/>
      <c r="U373" s="575"/>
      <c r="V373" s="575"/>
      <c r="W373" s="575"/>
    </row>
    <row r="374">
      <c r="A374" s="41"/>
      <c r="B374" s="41"/>
      <c r="C374" s="41"/>
      <c r="D374" s="41"/>
      <c r="E374" s="41"/>
      <c r="F374" s="41"/>
      <c r="G374" s="41"/>
      <c r="H374" s="41"/>
      <c r="I374" s="41"/>
      <c r="J374" s="41"/>
      <c r="K374" s="41"/>
      <c r="L374" s="41"/>
      <c r="M374" s="41"/>
      <c r="N374" s="41"/>
      <c r="O374" s="41"/>
      <c r="P374" s="41"/>
      <c r="Q374" s="41"/>
      <c r="R374" s="41"/>
      <c r="S374" s="41"/>
      <c r="T374" s="575"/>
      <c r="U374" s="575"/>
      <c r="V374" s="575"/>
      <c r="W374" s="575"/>
    </row>
    <row r="375">
      <c r="A375" s="41"/>
      <c r="B375" s="41"/>
      <c r="C375" s="41"/>
      <c r="D375" s="41"/>
      <c r="E375" s="41"/>
      <c r="F375" s="41"/>
      <c r="G375" s="41"/>
      <c r="H375" s="41"/>
      <c r="I375" s="41"/>
      <c r="J375" s="41"/>
      <c r="K375" s="41"/>
      <c r="L375" s="41"/>
      <c r="M375" s="41"/>
      <c r="N375" s="41"/>
      <c r="O375" s="41"/>
      <c r="P375" s="41"/>
      <c r="Q375" s="41"/>
      <c r="R375" s="41"/>
      <c r="S375" s="41"/>
      <c r="T375" s="575"/>
      <c r="U375" s="575"/>
      <c r="V375" s="575"/>
      <c r="W375" s="575"/>
    </row>
    <row r="376">
      <c r="A376" s="41"/>
      <c r="B376" s="41"/>
      <c r="C376" s="41"/>
      <c r="D376" s="41"/>
      <c r="E376" s="41"/>
      <c r="F376" s="41"/>
      <c r="G376" s="41"/>
      <c r="H376" s="41"/>
      <c r="I376" s="41"/>
      <c r="J376" s="41"/>
      <c r="K376" s="41"/>
      <c r="L376" s="41"/>
      <c r="M376" s="41"/>
      <c r="N376" s="41"/>
      <c r="O376" s="41"/>
      <c r="P376" s="41"/>
      <c r="Q376" s="41"/>
      <c r="R376" s="41"/>
      <c r="S376" s="41"/>
      <c r="T376" s="575"/>
      <c r="U376" s="575"/>
      <c r="V376" s="575"/>
      <c r="W376" s="575"/>
    </row>
    <row r="377">
      <c r="A377" s="41"/>
      <c r="B377" s="41"/>
      <c r="C377" s="41"/>
      <c r="D377" s="41"/>
      <c r="E377" s="41"/>
      <c r="F377" s="41"/>
      <c r="G377" s="41"/>
      <c r="H377" s="41"/>
      <c r="I377" s="41"/>
      <c r="J377" s="41"/>
      <c r="K377" s="41"/>
      <c r="L377" s="41"/>
      <c r="M377" s="41"/>
      <c r="N377" s="41"/>
      <c r="O377" s="41"/>
      <c r="P377" s="41"/>
      <c r="Q377" s="41"/>
      <c r="R377" s="41"/>
      <c r="S377" s="41"/>
      <c r="T377" s="575"/>
      <c r="U377" s="575"/>
      <c r="V377" s="575"/>
      <c r="W377" s="575"/>
    </row>
    <row r="378">
      <c r="A378" s="41"/>
      <c r="B378" s="41"/>
      <c r="C378" s="41"/>
      <c r="D378" s="41"/>
      <c r="E378" s="41"/>
      <c r="F378" s="41"/>
      <c r="G378" s="41"/>
      <c r="H378" s="41"/>
      <c r="I378" s="41"/>
      <c r="J378" s="41"/>
      <c r="K378" s="41"/>
      <c r="L378" s="41"/>
      <c r="M378" s="41"/>
      <c r="N378" s="41"/>
      <c r="O378" s="41"/>
      <c r="P378" s="41"/>
      <c r="Q378" s="41"/>
      <c r="R378" s="41"/>
      <c r="S378" s="41"/>
      <c r="T378" s="575"/>
      <c r="U378" s="575"/>
      <c r="V378" s="575"/>
      <c r="W378" s="575"/>
    </row>
    <row r="379">
      <c r="A379" s="41"/>
      <c r="B379" s="41"/>
      <c r="C379" s="41"/>
      <c r="D379" s="41"/>
      <c r="E379" s="41"/>
      <c r="F379" s="41"/>
      <c r="G379" s="41"/>
      <c r="H379" s="41"/>
      <c r="I379" s="41"/>
      <c r="J379" s="41"/>
      <c r="K379" s="41"/>
      <c r="L379" s="41"/>
      <c r="M379" s="41"/>
      <c r="N379" s="41"/>
      <c r="O379" s="41"/>
      <c r="P379" s="41"/>
      <c r="Q379" s="41"/>
      <c r="R379" s="41"/>
      <c r="S379" s="41"/>
      <c r="T379" s="575"/>
      <c r="U379" s="575"/>
      <c r="V379" s="575"/>
      <c r="W379" s="575"/>
    </row>
    <row r="380">
      <c r="A380" s="41"/>
      <c r="B380" s="41"/>
      <c r="C380" s="41"/>
      <c r="D380" s="41"/>
      <c r="E380" s="41"/>
      <c r="F380" s="41"/>
      <c r="G380" s="41"/>
      <c r="H380" s="41"/>
      <c r="I380" s="41"/>
      <c r="J380" s="41"/>
      <c r="K380" s="41"/>
      <c r="L380" s="41"/>
      <c r="M380" s="41"/>
      <c r="N380" s="41"/>
      <c r="O380" s="41"/>
      <c r="P380" s="41"/>
      <c r="Q380" s="41"/>
      <c r="R380" s="41"/>
      <c r="S380" s="41"/>
      <c r="T380" s="575"/>
      <c r="U380" s="575"/>
      <c r="V380" s="575"/>
      <c r="W380" s="575"/>
    </row>
    <row r="381">
      <c r="A381" s="41"/>
      <c r="B381" s="41"/>
      <c r="C381" s="41"/>
      <c r="D381" s="41"/>
      <c r="E381" s="41"/>
      <c r="F381" s="41"/>
      <c r="G381" s="41"/>
      <c r="H381" s="41"/>
      <c r="I381" s="41"/>
      <c r="J381" s="41"/>
      <c r="K381" s="41"/>
      <c r="L381" s="41"/>
      <c r="M381" s="41"/>
      <c r="N381" s="41"/>
      <c r="O381" s="41"/>
      <c r="P381" s="41"/>
      <c r="Q381" s="41"/>
      <c r="R381" s="41"/>
      <c r="S381" s="41"/>
      <c r="T381" s="575"/>
      <c r="U381" s="575"/>
      <c r="V381" s="575"/>
      <c r="W381" s="575"/>
    </row>
    <row r="382">
      <c r="A382" s="41"/>
      <c r="B382" s="41"/>
      <c r="C382" s="41"/>
      <c r="D382" s="41"/>
      <c r="E382" s="41"/>
      <c r="F382" s="41"/>
      <c r="G382" s="41"/>
      <c r="H382" s="41"/>
      <c r="I382" s="41"/>
      <c r="J382" s="41"/>
      <c r="K382" s="41"/>
      <c r="L382" s="41"/>
      <c r="M382" s="41"/>
      <c r="N382" s="41"/>
      <c r="O382" s="41"/>
      <c r="P382" s="41"/>
      <c r="Q382" s="41"/>
      <c r="R382" s="41"/>
      <c r="S382" s="41"/>
      <c r="T382" s="575"/>
      <c r="U382" s="575"/>
      <c r="V382" s="575"/>
      <c r="W382" s="575"/>
    </row>
    <row r="383">
      <c r="A383" s="41"/>
      <c r="B383" s="41"/>
      <c r="C383" s="41"/>
      <c r="D383" s="41"/>
      <c r="E383" s="41"/>
      <c r="F383" s="41"/>
      <c r="G383" s="41"/>
      <c r="H383" s="41"/>
      <c r="I383" s="41"/>
      <c r="J383" s="41"/>
      <c r="K383" s="41"/>
      <c r="L383" s="41"/>
      <c r="M383" s="41"/>
      <c r="N383" s="41"/>
      <c r="O383" s="41"/>
      <c r="P383" s="41"/>
      <c r="Q383" s="41"/>
      <c r="R383" s="41"/>
      <c r="S383" s="41"/>
      <c r="T383" s="575"/>
      <c r="U383" s="575"/>
      <c r="V383" s="575"/>
      <c r="W383" s="575"/>
    </row>
    <row r="384">
      <c r="A384" s="41"/>
      <c r="B384" s="41"/>
      <c r="C384" s="41"/>
      <c r="D384" s="41"/>
      <c r="E384" s="41"/>
      <c r="F384" s="41"/>
      <c r="G384" s="41"/>
      <c r="H384" s="41"/>
      <c r="I384" s="41"/>
      <c r="J384" s="41"/>
      <c r="K384" s="41"/>
      <c r="L384" s="41"/>
      <c r="M384" s="41"/>
      <c r="N384" s="41"/>
      <c r="O384" s="41"/>
      <c r="P384" s="41"/>
      <c r="Q384" s="41"/>
      <c r="R384" s="41"/>
      <c r="S384" s="41"/>
      <c r="T384" s="575"/>
      <c r="U384" s="575"/>
      <c r="V384" s="575"/>
      <c r="W384" s="575"/>
    </row>
    <row r="385">
      <c r="A385" s="41"/>
      <c r="B385" s="41"/>
      <c r="C385" s="41"/>
      <c r="D385" s="41"/>
      <c r="E385" s="41"/>
      <c r="F385" s="41"/>
      <c r="G385" s="41"/>
      <c r="H385" s="41"/>
      <c r="I385" s="41"/>
      <c r="J385" s="41"/>
      <c r="K385" s="41"/>
      <c r="L385" s="41"/>
      <c r="M385" s="41"/>
      <c r="N385" s="41"/>
      <c r="O385" s="41"/>
      <c r="P385" s="41"/>
      <c r="Q385" s="41"/>
      <c r="R385" s="41"/>
      <c r="S385" s="41"/>
      <c r="T385" s="575"/>
      <c r="U385" s="575"/>
      <c r="V385" s="575"/>
      <c r="W385" s="575"/>
    </row>
    <row r="386">
      <c r="A386" s="41"/>
      <c r="B386" s="41"/>
      <c r="C386" s="41"/>
      <c r="D386" s="41"/>
      <c r="E386" s="41"/>
      <c r="F386" s="41"/>
      <c r="G386" s="41"/>
      <c r="H386" s="41"/>
      <c r="I386" s="41"/>
      <c r="J386" s="41"/>
      <c r="K386" s="41"/>
      <c r="L386" s="41"/>
      <c r="M386" s="41"/>
      <c r="N386" s="41"/>
      <c r="O386" s="41"/>
      <c r="P386" s="41"/>
      <c r="Q386" s="41"/>
      <c r="R386" s="41"/>
      <c r="S386" s="41"/>
      <c r="T386" s="575"/>
      <c r="U386" s="575"/>
      <c r="V386" s="575"/>
      <c r="W386" s="575"/>
    </row>
    <row r="387">
      <c r="A387" s="41"/>
      <c r="B387" s="41"/>
      <c r="C387" s="41"/>
      <c r="D387" s="41"/>
      <c r="E387" s="41"/>
      <c r="F387" s="41"/>
      <c r="G387" s="41"/>
      <c r="H387" s="41"/>
      <c r="I387" s="41"/>
      <c r="J387" s="41"/>
      <c r="K387" s="41"/>
      <c r="L387" s="41"/>
      <c r="M387" s="41"/>
      <c r="N387" s="41"/>
      <c r="O387" s="41"/>
      <c r="P387" s="41"/>
      <c r="Q387" s="41"/>
      <c r="R387" s="41"/>
      <c r="S387" s="41"/>
      <c r="T387" s="575"/>
      <c r="U387" s="575"/>
      <c r="V387" s="575"/>
      <c r="W387" s="575"/>
    </row>
    <row r="388">
      <c r="A388" s="41"/>
      <c r="B388" s="41"/>
      <c r="C388" s="41"/>
      <c r="D388" s="41"/>
      <c r="E388" s="41"/>
      <c r="F388" s="41"/>
      <c r="G388" s="41"/>
      <c r="H388" s="41"/>
      <c r="I388" s="41"/>
      <c r="J388" s="41"/>
      <c r="K388" s="41"/>
      <c r="L388" s="41"/>
      <c r="M388" s="41"/>
      <c r="N388" s="41"/>
      <c r="O388" s="41"/>
      <c r="P388" s="41"/>
      <c r="Q388" s="41"/>
      <c r="R388" s="41"/>
      <c r="S388" s="41"/>
      <c r="T388" s="575"/>
      <c r="U388" s="575"/>
      <c r="V388" s="575"/>
      <c r="W388" s="575"/>
    </row>
    <row r="389">
      <c r="A389" s="41"/>
      <c r="B389" s="41"/>
      <c r="C389" s="41"/>
      <c r="D389" s="41"/>
      <c r="E389" s="41"/>
      <c r="F389" s="41"/>
      <c r="G389" s="41"/>
      <c r="H389" s="41"/>
      <c r="I389" s="41"/>
      <c r="J389" s="41"/>
      <c r="K389" s="41"/>
      <c r="L389" s="41"/>
      <c r="M389" s="41"/>
      <c r="N389" s="41"/>
      <c r="O389" s="41"/>
      <c r="P389" s="41"/>
      <c r="Q389" s="41"/>
      <c r="R389" s="41"/>
      <c r="S389" s="41"/>
      <c r="T389" s="575"/>
      <c r="U389" s="575"/>
      <c r="V389" s="575"/>
      <c r="W389" s="575"/>
    </row>
    <row r="390">
      <c r="A390" s="41"/>
      <c r="B390" s="41"/>
      <c r="C390" s="41"/>
      <c r="D390" s="41"/>
      <c r="E390" s="41"/>
      <c r="F390" s="41"/>
      <c r="G390" s="41"/>
      <c r="H390" s="41"/>
      <c r="I390" s="41"/>
      <c r="J390" s="41"/>
      <c r="K390" s="41"/>
      <c r="L390" s="41"/>
      <c r="M390" s="41"/>
      <c r="N390" s="41"/>
      <c r="O390" s="41"/>
      <c r="P390" s="41"/>
      <c r="Q390" s="41"/>
      <c r="R390" s="41"/>
      <c r="S390" s="41"/>
      <c r="T390" s="575"/>
      <c r="U390" s="575"/>
      <c r="V390" s="575"/>
      <c r="W390" s="575"/>
    </row>
    <row r="391">
      <c r="A391" s="41"/>
      <c r="B391" s="41"/>
      <c r="C391" s="41"/>
      <c r="D391" s="41"/>
      <c r="E391" s="41"/>
      <c r="F391" s="41"/>
      <c r="G391" s="41"/>
      <c r="H391" s="41"/>
      <c r="I391" s="41"/>
      <c r="J391" s="41"/>
      <c r="K391" s="41"/>
      <c r="L391" s="41"/>
      <c r="M391" s="41"/>
      <c r="N391" s="41"/>
      <c r="O391" s="41"/>
      <c r="P391" s="41"/>
      <c r="Q391" s="41"/>
      <c r="R391" s="41"/>
      <c r="S391" s="41"/>
      <c r="T391" s="575"/>
      <c r="U391" s="575"/>
      <c r="V391" s="575"/>
      <c r="W391" s="575"/>
    </row>
    <row r="392">
      <c r="A392" s="41"/>
      <c r="B392" s="41"/>
      <c r="C392" s="41"/>
      <c r="D392" s="41"/>
      <c r="E392" s="41"/>
      <c r="F392" s="41"/>
      <c r="G392" s="41"/>
      <c r="H392" s="41"/>
      <c r="I392" s="41"/>
      <c r="J392" s="41"/>
      <c r="K392" s="41"/>
      <c r="L392" s="41"/>
      <c r="M392" s="41"/>
      <c r="N392" s="41"/>
      <c r="O392" s="41"/>
      <c r="P392" s="41"/>
      <c r="Q392" s="41"/>
      <c r="R392" s="41"/>
      <c r="S392" s="41"/>
      <c r="T392" s="575"/>
      <c r="U392" s="575"/>
      <c r="V392" s="575"/>
      <c r="W392" s="575"/>
    </row>
    <row r="393">
      <c r="A393" s="41"/>
      <c r="B393" s="41"/>
      <c r="C393" s="41"/>
      <c r="D393" s="41"/>
      <c r="E393" s="41"/>
      <c r="F393" s="41"/>
      <c r="G393" s="41"/>
      <c r="H393" s="41"/>
      <c r="I393" s="41"/>
      <c r="J393" s="41"/>
      <c r="K393" s="41"/>
      <c r="L393" s="41"/>
      <c r="M393" s="41"/>
      <c r="N393" s="41"/>
      <c r="O393" s="41"/>
      <c r="P393" s="41"/>
      <c r="Q393" s="41"/>
      <c r="R393" s="41"/>
      <c r="S393" s="41"/>
      <c r="T393" s="575"/>
      <c r="U393" s="575"/>
      <c r="V393" s="575"/>
      <c r="W393" s="575"/>
    </row>
    <row r="394">
      <c r="A394" s="41"/>
      <c r="B394" s="41"/>
      <c r="C394" s="41"/>
      <c r="D394" s="41"/>
      <c r="E394" s="41"/>
      <c r="F394" s="41"/>
      <c r="G394" s="41"/>
      <c r="H394" s="41"/>
      <c r="I394" s="41"/>
      <c r="J394" s="41"/>
      <c r="K394" s="41"/>
      <c r="L394" s="41"/>
      <c r="M394" s="41"/>
      <c r="N394" s="41"/>
      <c r="O394" s="41"/>
      <c r="P394" s="41"/>
      <c r="Q394" s="41"/>
      <c r="R394" s="41"/>
      <c r="S394" s="41"/>
      <c r="T394" s="575"/>
      <c r="U394" s="575"/>
      <c r="V394" s="575"/>
      <c r="W394" s="575"/>
    </row>
    <row r="395">
      <c r="A395" s="41"/>
      <c r="B395" s="41"/>
      <c r="C395" s="41"/>
      <c r="D395" s="41"/>
      <c r="E395" s="41"/>
      <c r="F395" s="41"/>
      <c r="G395" s="41"/>
      <c r="H395" s="41"/>
      <c r="I395" s="41"/>
      <c r="J395" s="41"/>
      <c r="K395" s="41"/>
      <c r="L395" s="41"/>
      <c r="M395" s="41"/>
      <c r="N395" s="41"/>
      <c r="O395" s="41"/>
      <c r="P395" s="41"/>
      <c r="Q395" s="41"/>
      <c r="R395" s="41"/>
      <c r="S395" s="41"/>
      <c r="T395" s="575"/>
      <c r="U395" s="575"/>
      <c r="V395" s="575"/>
      <c r="W395" s="575"/>
    </row>
    <row r="396">
      <c r="A396" s="41"/>
      <c r="B396" s="41"/>
      <c r="C396" s="41"/>
      <c r="D396" s="41"/>
      <c r="E396" s="41"/>
      <c r="F396" s="41"/>
      <c r="G396" s="41"/>
      <c r="H396" s="41"/>
      <c r="I396" s="41"/>
      <c r="J396" s="41"/>
      <c r="K396" s="41"/>
      <c r="L396" s="41"/>
      <c r="M396" s="41"/>
      <c r="N396" s="41"/>
      <c r="O396" s="41"/>
      <c r="P396" s="41"/>
      <c r="Q396" s="41"/>
      <c r="R396" s="41"/>
      <c r="S396" s="41"/>
      <c r="T396" s="575"/>
      <c r="U396" s="575"/>
      <c r="V396" s="575"/>
      <c r="W396" s="575"/>
    </row>
    <row r="397">
      <c r="A397" s="41"/>
      <c r="B397" s="41"/>
      <c r="C397" s="41"/>
      <c r="D397" s="41"/>
      <c r="E397" s="41"/>
      <c r="F397" s="41"/>
      <c r="G397" s="41"/>
      <c r="H397" s="41"/>
      <c r="I397" s="41"/>
      <c r="J397" s="41"/>
      <c r="K397" s="41"/>
      <c r="L397" s="41"/>
      <c r="M397" s="41"/>
      <c r="N397" s="41"/>
      <c r="O397" s="41"/>
      <c r="P397" s="41"/>
      <c r="Q397" s="41"/>
      <c r="R397" s="41"/>
      <c r="S397" s="41"/>
      <c r="T397" s="575"/>
      <c r="U397" s="575"/>
      <c r="V397" s="575"/>
      <c r="W397" s="575"/>
    </row>
    <row r="398">
      <c r="A398" s="41"/>
      <c r="B398" s="41"/>
      <c r="C398" s="41"/>
      <c r="D398" s="41"/>
      <c r="E398" s="41"/>
      <c r="F398" s="41"/>
      <c r="G398" s="41"/>
      <c r="H398" s="41"/>
      <c r="I398" s="41"/>
      <c r="J398" s="41"/>
      <c r="K398" s="41"/>
      <c r="L398" s="41"/>
      <c r="M398" s="41"/>
      <c r="N398" s="41"/>
      <c r="O398" s="41"/>
      <c r="P398" s="41"/>
      <c r="Q398" s="41"/>
      <c r="R398" s="41"/>
      <c r="S398" s="41"/>
      <c r="T398" s="575"/>
      <c r="U398" s="575"/>
      <c r="V398" s="575"/>
      <c r="W398" s="575"/>
    </row>
    <row r="399">
      <c r="A399" s="41"/>
      <c r="B399" s="41"/>
      <c r="C399" s="41"/>
      <c r="D399" s="41"/>
      <c r="E399" s="41"/>
      <c r="F399" s="41"/>
      <c r="G399" s="41"/>
      <c r="H399" s="41"/>
      <c r="I399" s="41"/>
      <c r="J399" s="41"/>
      <c r="K399" s="41"/>
      <c r="L399" s="41"/>
      <c r="M399" s="41"/>
      <c r="N399" s="41"/>
      <c r="O399" s="41"/>
      <c r="P399" s="41"/>
      <c r="Q399" s="41"/>
      <c r="R399" s="41"/>
      <c r="S399" s="41"/>
      <c r="T399" s="575"/>
      <c r="U399" s="575"/>
      <c r="V399" s="575"/>
      <c r="W399" s="575"/>
    </row>
    <row r="400">
      <c r="A400" s="41"/>
      <c r="B400" s="41"/>
      <c r="C400" s="41"/>
      <c r="D400" s="41"/>
      <c r="E400" s="41"/>
      <c r="F400" s="41"/>
      <c r="G400" s="41"/>
      <c r="H400" s="41"/>
      <c r="I400" s="41"/>
      <c r="J400" s="41"/>
      <c r="K400" s="41"/>
      <c r="L400" s="41"/>
      <c r="M400" s="41"/>
      <c r="N400" s="41"/>
      <c r="O400" s="41"/>
      <c r="P400" s="41"/>
      <c r="Q400" s="41"/>
      <c r="R400" s="41"/>
      <c r="S400" s="41"/>
      <c r="T400" s="575"/>
      <c r="U400" s="575"/>
      <c r="V400" s="575"/>
      <c r="W400" s="575"/>
    </row>
    <row r="401">
      <c r="A401" s="41"/>
      <c r="B401" s="41"/>
      <c r="C401" s="41"/>
      <c r="D401" s="41"/>
      <c r="E401" s="41"/>
      <c r="F401" s="41"/>
      <c r="G401" s="41"/>
      <c r="H401" s="41"/>
      <c r="I401" s="41"/>
      <c r="J401" s="41"/>
      <c r="K401" s="41"/>
      <c r="L401" s="41"/>
      <c r="M401" s="41"/>
      <c r="N401" s="41"/>
      <c r="O401" s="41"/>
      <c r="P401" s="41"/>
      <c r="Q401" s="41"/>
      <c r="R401" s="41"/>
      <c r="S401" s="41"/>
      <c r="T401" s="575"/>
      <c r="U401" s="575"/>
      <c r="V401" s="575"/>
      <c r="W401" s="575"/>
    </row>
    <row r="402">
      <c r="A402" s="41"/>
      <c r="B402" s="41"/>
      <c r="C402" s="41"/>
      <c r="D402" s="41"/>
      <c r="E402" s="41"/>
      <c r="F402" s="41"/>
      <c r="G402" s="41"/>
      <c r="H402" s="41"/>
      <c r="I402" s="41"/>
      <c r="J402" s="41"/>
      <c r="K402" s="41"/>
      <c r="L402" s="41"/>
      <c r="M402" s="41"/>
      <c r="N402" s="41"/>
      <c r="O402" s="41"/>
      <c r="P402" s="41"/>
      <c r="Q402" s="41"/>
      <c r="R402" s="41"/>
      <c r="S402" s="41"/>
      <c r="T402" s="575"/>
      <c r="U402" s="575"/>
      <c r="V402" s="575"/>
      <c r="W402" s="575"/>
    </row>
    <row r="403">
      <c r="A403" s="41"/>
      <c r="B403" s="41"/>
      <c r="C403" s="41"/>
      <c r="D403" s="41"/>
      <c r="E403" s="41"/>
      <c r="F403" s="41"/>
      <c r="G403" s="41"/>
      <c r="H403" s="41"/>
      <c r="I403" s="41"/>
      <c r="J403" s="41"/>
      <c r="K403" s="41"/>
      <c r="L403" s="41"/>
      <c r="M403" s="41"/>
      <c r="N403" s="41"/>
      <c r="O403" s="41"/>
      <c r="P403" s="41"/>
      <c r="Q403" s="41"/>
      <c r="R403" s="41"/>
      <c r="S403" s="41"/>
      <c r="T403" s="575"/>
      <c r="U403" s="575"/>
      <c r="V403" s="575"/>
      <c r="W403" s="575"/>
    </row>
    <row r="404">
      <c r="A404" s="41"/>
      <c r="B404" s="41"/>
      <c r="C404" s="41"/>
      <c r="D404" s="41"/>
      <c r="E404" s="41"/>
      <c r="F404" s="41"/>
      <c r="G404" s="41"/>
      <c r="H404" s="41"/>
      <c r="I404" s="41"/>
      <c r="J404" s="41"/>
      <c r="K404" s="41"/>
      <c r="L404" s="41"/>
      <c r="M404" s="41"/>
      <c r="N404" s="41"/>
      <c r="O404" s="41"/>
      <c r="P404" s="41"/>
      <c r="Q404" s="41"/>
      <c r="R404" s="41"/>
      <c r="S404" s="41"/>
      <c r="T404" s="575"/>
      <c r="U404" s="575"/>
      <c r="V404" s="575"/>
      <c r="W404" s="575"/>
    </row>
    <row r="405">
      <c r="A405" s="41"/>
      <c r="B405" s="41"/>
      <c r="C405" s="41"/>
      <c r="D405" s="41"/>
      <c r="E405" s="41"/>
      <c r="F405" s="41"/>
      <c r="G405" s="41"/>
      <c r="H405" s="41"/>
      <c r="I405" s="41"/>
      <c r="J405" s="41"/>
      <c r="K405" s="41"/>
      <c r="L405" s="41"/>
      <c r="M405" s="41"/>
      <c r="N405" s="41"/>
      <c r="O405" s="41"/>
      <c r="P405" s="41"/>
      <c r="Q405" s="41"/>
      <c r="R405" s="41"/>
      <c r="S405" s="41"/>
      <c r="T405" s="575"/>
      <c r="U405" s="575"/>
      <c r="V405" s="575"/>
      <c r="W405" s="575"/>
    </row>
    <row r="406">
      <c r="A406" s="41"/>
      <c r="B406" s="41"/>
      <c r="C406" s="41"/>
      <c r="D406" s="41"/>
      <c r="E406" s="41"/>
      <c r="F406" s="41"/>
      <c r="G406" s="41"/>
      <c r="H406" s="41"/>
      <c r="I406" s="41"/>
      <c r="J406" s="41"/>
      <c r="K406" s="41"/>
      <c r="L406" s="41"/>
      <c r="M406" s="41"/>
      <c r="N406" s="41"/>
      <c r="O406" s="41"/>
      <c r="P406" s="41"/>
      <c r="Q406" s="41"/>
      <c r="R406" s="41"/>
      <c r="S406" s="41"/>
      <c r="T406" s="575"/>
      <c r="U406" s="575"/>
      <c r="V406" s="575"/>
      <c r="W406" s="575"/>
    </row>
    <row r="407">
      <c r="A407" s="41"/>
      <c r="B407" s="41"/>
      <c r="C407" s="41"/>
      <c r="D407" s="41"/>
      <c r="E407" s="41"/>
      <c r="F407" s="41"/>
      <c r="G407" s="41"/>
      <c r="H407" s="41"/>
      <c r="I407" s="41"/>
      <c r="J407" s="41"/>
      <c r="K407" s="41"/>
      <c r="L407" s="41"/>
      <c r="M407" s="41"/>
      <c r="N407" s="41"/>
      <c r="O407" s="41"/>
      <c r="P407" s="41"/>
      <c r="Q407" s="41"/>
      <c r="R407" s="41"/>
      <c r="S407" s="41"/>
      <c r="T407" s="575"/>
      <c r="U407" s="575"/>
      <c r="V407" s="575"/>
      <c r="W407" s="575"/>
    </row>
    <row r="408">
      <c r="A408" s="41"/>
      <c r="B408" s="41"/>
      <c r="C408" s="41"/>
      <c r="D408" s="41"/>
      <c r="E408" s="41"/>
      <c r="F408" s="41"/>
      <c r="G408" s="41"/>
      <c r="H408" s="41"/>
      <c r="I408" s="41"/>
      <c r="J408" s="41"/>
      <c r="K408" s="41"/>
      <c r="L408" s="41"/>
      <c r="M408" s="41"/>
      <c r="N408" s="41"/>
      <c r="O408" s="41"/>
      <c r="P408" s="41"/>
      <c r="Q408" s="41"/>
      <c r="R408" s="41"/>
      <c r="S408" s="41"/>
      <c r="T408" s="575"/>
      <c r="U408" s="575"/>
      <c r="V408" s="575"/>
      <c r="W408" s="575"/>
    </row>
    <row r="409">
      <c r="A409" s="41"/>
      <c r="B409" s="41"/>
      <c r="C409" s="41"/>
      <c r="D409" s="41"/>
      <c r="E409" s="41"/>
      <c r="F409" s="41"/>
      <c r="G409" s="41"/>
      <c r="H409" s="41"/>
      <c r="I409" s="41"/>
      <c r="J409" s="41"/>
      <c r="K409" s="41"/>
      <c r="L409" s="41"/>
      <c r="M409" s="41"/>
      <c r="N409" s="41"/>
      <c r="O409" s="41"/>
      <c r="P409" s="41"/>
      <c r="Q409" s="41"/>
      <c r="R409" s="41"/>
      <c r="S409" s="41"/>
      <c r="T409" s="575"/>
      <c r="U409" s="575"/>
      <c r="V409" s="575"/>
      <c r="W409" s="575"/>
    </row>
    <row r="410">
      <c r="A410" s="41"/>
      <c r="B410" s="41"/>
      <c r="C410" s="41"/>
      <c r="D410" s="41"/>
      <c r="E410" s="41"/>
      <c r="F410" s="41"/>
      <c r="G410" s="41"/>
      <c r="H410" s="41"/>
      <c r="I410" s="41"/>
      <c r="J410" s="41"/>
      <c r="K410" s="41"/>
      <c r="L410" s="41"/>
      <c r="M410" s="41"/>
      <c r="N410" s="41"/>
      <c r="O410" s="41"/>
      <c r="P410" s="41"/>
      <c r="Q410" s="41"/>
      <c r="R410" s="41"/>
      <c r="S410" s="41"/>
      <c r="T410" s="575"/>
      <c r="U410" s="575"/>
      <c r="V410" s="575"/>
      <c r="W410" s="575"/>
    </row>
    <row r="411">
      <c r="A411" s="41"/>
      <c r="B411" s="41"/>
      <c r="C411" s="41"/>
      <c r="D411" s="41"/>
      <c r="E411" s="41"/>
      <c r="F411" s="41"/>
      <c r="G411" s="41"/>
      <c r="H411" s="41"/>
      <c r="I411" s="41"/>
      <c r="J411" s="41"/>
      <c r="K411" s="41"/>
      <c r="L411" s="41"/>
      <c r="M411" s="41"/>
      <c r="N411" s="41"/>
      <c r="O411" s="41"/>
      <c r="P411" s="41"/>
      <c r="Q411" s="41"/>
      <c r="R411" s="41"/>
      <c r="S411" s="41"/>
      <c r="T411" s="575"/>
      <c r="U411" s="575"/>
      <c r="V411" s="575"/>
      <c r="W411" s="575"/>
    </row>
    <row r="412">
      <c r="A412" s="41"/>
      <c r="B412" s="41"/>
      <c r="C412" s="41"/>
      <c r="D412" s="41"/>
      <c r="E412" s="41"/>
      <c r="F412" s="41"/>
      <c r="G412" s="41"/>
      <c r="H412" s="41"/>
      <c r="I412" s="41"/>
      <c r="J412" s="41"/>
      <c r="K412" s="41"/>
      <c r="L412" s="41"/>
      <c r="M412" s="41"/>
      <c r="N412" s="41"/>
      <c r="O412" s="41"/>
      <c r="P412" s="41"/>
      <c r="Q412" s="41"/>
      <c r="R412" s="41"/>
      <c r="S412" s="41"/>
      <c r="T412" s="575"/>
      <c r="U412" s="575"/>
      <c r="V412" s="575"/>
      <c r="W412" s="575"/>
    </row>
    <row r="413">
      <c r="A413" s="41"/>
      <c r="B413" s="41"/>
      <c r="C413" s="41"/>
      <c r="D413" s="41"/>
      <c r="E413" s="41"/>
      <c r="F413" s="41"/>
      <c r="G413" s="41"/>
      <c r="H413" s="41"/>
      <c r="I413" s="41"/>
      <c r="J413" s="41"/>
      <c r="K413" s="41"/>
      <c r="L413" s="41"/>
      <c r="M413" s="41"/>
      <c r="N413" s="41"/>
      <c r="O413" s="41"/>
      <c r="P413" s="41"/>
      <c r="Q413" s="41"/>
      <c r="R413" s="41"/>
      <c r="S413" s="41"/>
      <c r="T413" s="575"/>
      <c r="U413" s="575"/>
      <c r="V413" s="575"/>
      <c r="W413" s="575"/>
    </row>
    <row r="414">
      <c r="A414" s="41"/>
      <c r="B414" s="41"/>
      <c r="C414" s="41"/>
      <c r="D414" s="41"/>
      <c r="E414" s="41"/>
      <c r="F414" s="41"/>
      <c r="G414" s="41"/>
      <c r="H414" s="41"/>
      <c r="I414" s="41"/>
      <c r="J414" s="41"/>
      <c r="K414" s="41"/>
      <c r="L414" s="41"/>
      <c r="M414" s="41"/>
      <c r="N414" s="41"/>
      <c r="O414" s="41"/>
      <c r="P414" s="41"/>
      <c r="Q414" s="41"/>
      <c r="R414" s="41"/>
      <c r="S414" s="41"/>
      <c r="T414" s="575"/>
      <c r="U414" s="575"/>
      <c r="V414" s="575"/>
      <c r="W414" s="575"/>
    </row>
    <row r="415">
      <c r="A415" s="41"/>
      <c r="B415" s="41"/>
      <c r="C415" s="41"/>
      <c r="D415" s="41"/>
      <c r="E415" s="41"/>
      <c r="F415" s="41"/>
      <c r="G415" s="41"/>
      <c r="H415" s="41"/>
      <c r="I415" s="41"/>
      <c r="J415" s="41"/>
      <c r="K415" s="41"/>
      <c r="L415" s="41"/>
      <c r="M415" s="41"/>
      <c r="N415" s="41"/>
      <c r="O415" s="41"/>
      <c r="P415" s="41"/>
      <c r="Q415" s="41"/>
      <c r="R415" s="41"/>
      <c r="S415" s="41"/>
      <c r="T415" s="575"/>
      <c r="U415" s="575"/>
      <c r="V415" s="575"/>
      <c r="W415" s="575"/>
    </row>
    <row r="416">
      <c r="A416" s="41"/>
      <c r="B416" s="41"/>
      <c r="C416" s="41"/>
      <c r="D416" s="41"/>
      <c r="E416" s="41"/>
      <c r="F416" s="41"/>
      <c r="G416" s="41"/>
      <c r="H416" s="41"/>
      <c r="I416" s="41"/>
      <c r="J416" s="41"/>
      <c r="K416" s="41"/>
      <c r="L416" s="41"/>
      <c r="M416" s="41"/>
      <c r="N416" s="41"/>
      <c r="O416" s="41"/>
      <c r="P416" s="41"/>
      <c r="Q416" s="41"/>
      <c r="R416" s="41"/>
      <c r="S416" s="41"/>
      <c r="T416" s="575"/>
      <c r="U416" s="575"/>
      <c r="V416" s="575"/>
      <c r="W416" s="575"/>
    </row>
    <row r="417">
      <c r="A417" s="41"/>
      <c r="B417" s="41"/>
      <c r="C417" s="41"/>
      <c r="D417" s="41"/>
      <c r="E417" s="41"/>
      <c r="F417" s="41"/>
      <c r="G417" s="41"/>
      <c r="H417" s="41"/>
      <c r="I417" s="41"/>
      <c r="J417" s="41"/>
      <c r="K417" s="41"/>
      <c r="L417" s="41"/>
      <c r="M417" s="41"/>
      <c r="N417" s="41"/>
      <c r="O417" s="41"/>
      <c r="P417" s="41"/>
      <c r="Q417" s="41"/>
      <c r="R417" s="41"/>
      <c r="S417" s="41"/>
      <c r="T417" s="575"/>
      <c r="U417" s="575"/>
      <c r="V417" s="575"/>
      <c r="W417" s="575"/>
    </row>
    <row r="418">
      <c r="A418" s="41"/>
      <c r="B418" s="41"/>
      <c r="C418" s="41"/>
      <c r="D418" s="41"/>
      <c r="E418" s="41"/>
      <c r="F418" s="41"/>
      <c r="G418" s="41"/>
      <c r="H418" s="41"/>
      <c r="I418" s="41"/>
      <c r="J418" s="41"/>
      <c r="K418" s="41"/>
      <c r="L418" s="41"/>
      <c r="M418" s="41"/>
      <c r="N418" s="41"/>
      <c r="O418" s="41"/>
      <c r="P418" s="41"/>
      <c r="Q418" s="41"/>
      <c r="R418" s="41"/>
      <c r="S418" s="41"/>
      <c r="T418" s="575"/>
      <c r="U418" s="575"/>
      <c r="V418" s="575"/>
      <c r="W418" s="575"/>
    </row>
    <row r="419">
      <c r="A419" s="41"/>
      <c r="B419" s="41"/>
      <c r="C419" s="41"/>
      <c r="D419" s="41"/>
      <c r="E419" s="41"/>
      <c r="F419" s="41"/>
      <c r="G419" s="41"/>
      <c r="H419" s="41"/>
      <c r="I419" s="41"/>
      <c r="J419" s="41"/>
      <c r="K419" s="41"/>
      <c r="L419" s="41"/>
      <c r="M419" s="41"/>
      <c r="N419" s="41"/>
      <c r="O419" s="41"/>
      <c r="P419" s="41"/>
      <c r="Q419" s="41"/>
      <c r="R419" s="41"/>
      <c r="S419" s="41"/>
      <c r="T419" s="575"/>
      <c r="U419" s="575"/>
      <c r="V419" s="575"/>
      <c r="W419" s="575"/>
    </row>
    <row r="420">
      <c r="A420" s="41"/>
      <c r="B420" s="41"/>
      <c r="C420" s="41"/>
      <c r="D420" s="41"/>
      <c r="E420" s="41"/>
      <c r="F420" s="41"/>
      <c r="G420" s="41"/>
      <c r="H420" s="41"/>
      <c r="I420" s="41"/>
      <c r="J420" s="41"/>
      <c r="K420" s="41"/>
      <c r="L420" s="41"/>
      <c r="M420" s="41"/>
      <c r="N420" s="41"/>
      <c r="O420" s="41"/>
      <c r="P420" s="41"/>
      <c r="Q420" s="41"/>
      <c r="R420" s="41"/>
      <c r="S420" s="41"/>
      <c r="T420" s="575"/>
      <c r="U420" s="575"/>
      <c r="V420" s="575"/>
      <c r="W420" s="575"/>
    </row>
    <row r="421">
      <c r="A421" s="41"/>
      <c r="B421" s="41"/>
      <c r="C421" s="41"/>
      <c r="D421" s="41"/>
      <c r="E421" s="41"/>
      <c r="F421" s="41"/>
      <c r="G421" s="41"/>
      <c r="H421" s="41"/>
      <c r="I421" s="41"/>
      <c r="J421" s="41"/>
      <c r="K421" s="41"/>
      <c r="L421" s="41"/>
      <c r="M421" s="41"/>
      <c r="N421" s="41"/>
      <c r="O421" s="41"/>
      <c r="P421" s="41"/>
      <c r="Q421" s="41"/>
      <c r="R421" s="41"/>
      <c r="S421" s="41"/>
      <c r="T421" s="575"/>
      <c r="U421" s="575"/>
      <c r="V421" s="575"/>
      <c r="W421" s="575"/>
    </row>
    <row r="422">
      <c r="A422" s="41"/>
      <c r="B422" s="41"/>
      <c r="C422" s="41"/>
      <c r="D422" s="41"/>
      <c r="E422" s="41"/>
      <c r="F422" s="41"/>
      <c r="G422" s="41"/>
      <c r="H422" s="41"/>
      <c r="I422" s="41"/>
      <c r="J422" s="41"/>
      <c r="K422" s="41"/>
      <c r="L422" s="41"/>
      <c r="M422" s="41"/>
      <c r="N422" s="41"/>
      <c r="O422" s="41"/>
      <c r="P422" s="41"/>
      <c r="Q422" s="41"/>
      <c r="R422" s="41"/>
      <c r="S422" s="41"/>
      <c r="T422" s="575"/>
      <c r="U422" s="575"/>
      <c r="V422" s="575"/>
      <c r="W422" s="575"/>
    </row>
    <row r="423">
      <c r="A423" s="41"/>
      <c r="B423" s="41"/>
      <c r="C423" s="41"/>
      <c r="D423" s="41"/>
      <c r="E423" s="41"/>
      <c r="F423" s="41"/>
      <c r="G423" s="41"/>
      <c r="H423" s="41"/>
      <c r="I423" s="41"/>
      <c r="J423" s="41"/>
      <c r="K423" s="41"/>
      <c r="L423" s="41"/>
      <c r="M423" s="41"/>
      <c r="N423" s="41"/>
      <c r="O423" s="41"/>
      <c r="P423" s="41"/>
      <c r="Q423" s="41"/>
      <c r="R423" s="41"/>
      <c r="S423" s="41"/>
      <c r="T423" s="575"/>
      <c r="U423" s="575"/>
      <c r="V423" s="575"/>
      <c r="W423" s="575"/>
    </row>
    <row r="424">
      <c r="A424" s="41"/>
      <c r="B424" s="41"/>
      <c r="C424" s="41"/>
      <c r="D424" s="41"/>
      <c r="E424" s="41"/>
      <c r="F424" s="41"/>
      <c r="G424" s="41"/>
      <c r="H424" s="41"/>
      <c r="I424" s="41"/>
      <c r="J424" s="41"/>
      <c r="K424" s="41"/>
      <c r="L424" s="41"/>
      <c r="M424" s="41"/>
      <c r="N424" s="41"/>
      <c r="O424" s="41"/>
      <c r="P424" s="41"/>
      <c r="Q424" s="41"/>
      <c r="R424" s="41"/>
      <c r="S424" s="41"/>
      <c r="T424" s="575"/>
      <c r="U424" s="575"/>
      <c r="V424" s="575"/>
      <c r="W424" s="575"/>
    </row>
    <row r="425">
      <c r="A425" s="41"/>
      <c r="B425" s="41"/>
      <c r="C425" s="41"/>
      <c r="D425" s="41"/>
      <c r="E425" s="41"/>
      <c r="F425" s="41"/>
      <c r="G425" s="41"/>
      <c r="H425" s="41"/>
      <c r="I425" s="41"/>
      <c r="J425" s="41"/>
      <c r="K425" s="41"/>
      <c r="L425" s="41"/>
      <c r="M425" s="41"/>
      <c r="N425" s="41"/>
      <c r="O425" s="41"/>
      <c r="P425" s="41"/>
      <c r="Q425" s="41"/>
      <c r="R425" s="41"/>
      <c r="S425" s="41"/>
      <c r="T425" s="575"/>
      <c r="U425" s="575"/>
      <c r="V425" s="575"/>
      <c r="W425" s="575"/>
    </row>
    <row r="426">
      <c r="A426" s="41"/>
      <c r="B426" s="41"/>
      <c r="C426" s="41"/>
      <c r="D426" s="41"/>
      <c r="E426" s="41"/>
      <c r="F426" s="41"/>
      <c r="G426" s="41"/>
      <c r="H426" s="41"/>
      <c r="I426" s="41"/>
      <c r="J426" s="41"/>
      <c r="K426" s="41"/>
      <c r="L426" s="41"/>
      <c r="M426" s="41"/>
      <c r="N426" s="41"/>
      <c r="O426" s="41"/>
      <c r="P426" s="41"/>
      <c r="Q426" s="41"/>
      <c r="R426" s="41"/>
      <c r="S426" s="41"/>
      <c r="T426" s="575"/>
      <c r="U426" s="575"/>
      <c r="V426" s="575"/>
      <c r="W426" s="575"/>
    </row>
    <row r="427">
      <c r="A427" s="41"/>
      <c r="B427" s="41"/>
      <c r="C427" s="41"/>
      <c r="D427" s="41"/>
      <c r="E427" s="41"/>
      <c r="F427" s="41"/>
      <c r="G427" s="41"/>
      <c r="H427" s="41"/>
      <c r="I427" s="41"/>
      <c r="J427" s="41"/>
      <c r="K427" s="41"/>
      <c r="L427" s="41"/>
      <c r="M427" s="41"/>
      <c r="N427" s="41"/>
      <c r="O427" s="41"/>
      <c r="P427" s="41"/>
      <c r="Q427" s="41"/>
      <c r="R427" s="41"/>
      <c r="S427" s="41"/>
      <c r="T427" s="575"/>
      <c r="U427" s="575"/>
      <c r="V427" s="575"/>
      <c r="W427" s="575"/>
    </row>
    <row r="428">
      <c r="A428" s="41"/>
      <c r="B428" s="41"/>
      <c r="C428" s="41"/>
      <c r="D428" s="41"/>
      <c r="E428" s="41"/>
      <c r="F428" s="41"/>
      <c r="G428" s="41"/>
      <c r="H428" s="41"/>
      <c r="I428" s="41"/>
      <c r="J428" s="41"/>
      <c r="K428" s="41"/>
      <c r="L428" s="41"/>
      <c r="M428" s="41"/>
      <c r="N428" s="41"/>
      <c r="O428" s="41"/>
      <c r="P428" s="41"/>
      <c r="Q428" s="41"/>
      <c r="R428" s="41"/>
      <c r="S428" s="41"/>
      <c r="T428" s="575"/>
      <c r="U428" s="575"/>
      <c r="V428" s="575"/>
      <c r="W428" s="575"/>
    </row>
    <row r="429">
      <c r="A429" s="41"/>
      <c r="B429" s="41"/>
      <c r="C429" s="41"/>
      <c r="D429" s="41"/>
      <c r="E429" s="41"/>
      <c r="F429" s="41"/>
      <c r="G429" s="41"/>
      <c r="H429" s="41"/>
      <c r="I429" s="41"/>
      <c r="J429" s="41"/>
      <c r="K429" s="41"/>
      <c r="L429" s="41"/>
      <c r="M429" s="41"/>
      <c r="N429" s="41"/>
      <c r="O429" s="41"/>
      <c r="P429" s="41"/>
      <c r="Q429" s="41"/>
      <c r="R429" s="41"/>
      <c r="S429" s="41"/>
      <c r="T429" s="575"/>
      <c r="U429" s="575"/>
      <c r="V429" s="575"/>
      <c r="W429" s="575"/>
    </row>
    <row r="430">
      <c r="A430" s="41"/>
      <c r="B430" s="41"/>
      <c r="C430" s="41"/>
      <c r="D430" s="41"/>
      <c r="E430" s="41"/>
      <c r="F430" s="41"/>
      <c r="G430" s="41"/>
      <c r="H430" s="41"/>
      <c r="I430" s="41"/>
      <c r="J430" s="41"/>
      <c r="K430" s="41"/>
      <c r="L430" s="41"/>
      <c r="M430" s="41"/>
      <c r="N430" s="41"/>
      <c r="O430" s="41"/>
      <c r="P430" s="41"/>
      <c r="Q430" s="41"/>
      <c r="R430" s="41"/>
      <c r="S430" s="41"/>
      <c r="T430" s="575"/>
      <c r="U430" s="575"/>
      <c r="V430" s="575"/>
      <c r="W430" s="575"/>
    </row>
    <row r="431">
      <c r="A431" s="41"/>
      <c r="B431" s="41"/>
      <c r="C431" s="41"/>
      <c r="D431" s="41"/>
      <c r="E431" s="41"/>
      <c r="F431" s="41"/>
      <c r="G431" s="41"/>
      <c r="H431" s="41"/>
      <c r="I431" s="41"/>
      <c r="J431" s="41"/>
      <c r="K431" s="41"/>
      <c r="L431" s="41"/>
      <c r="M431" s="41"/>
      <c r="N431" s="41"/>
      <c r="O431" s="41"/>
      <c r="P431" s="41"/>
      <c r="Q431" s="41"/>
      <c r="R431" s="41"/>
      <c r="S431" s="41"/>
      <c r="T431" s="575"/>
      <c r="U431" s="575"/>
      <c r="V431" s="575"/>
      <c r="W431" s="575"/>
    </row>
    <row r="432">
      <c r="A432" s="41"/>
      <c r="B432" s="41"/>
      <c r="C432" s="41"/>
      <c r="D432" s="41"/>
      <c r="E432" s="41"/>
      <c r="F432" s="41"/>
      <c r="G432" s="41"/>
      <c r="H432" s="41"/>
      <c r="I432" s="41"/>
      <c r="J432" s="41"/>
      <c r="K432" s="41"/>
      <c r="L432" s="41"/>
      <c r="M432" s="41"/>
      <c r="N432" s="41"/>
      <c r="O432" s="41"/>
      <c r="P432" s="41"/>
      <c r="Q432" s="41"/>
      <c r="R432" s="41"/>
      <c r="S432" s="41"/>
      <c r="T432" s="575"/>
      <c r="U432" s="575"/>
      <c r="V432" s="575"/>
      <c r="W432" s="575"/>
    </row>
    <row r="433">
      <c r="A433" s="41"/>
      <c r="B433" s="41"/>
      <c r="C433" s="41"/>
      <c r="D433" s="41"/>
      <c r="E433" s="41"/>
      <c r="F433" s="41"/>
      <c r="G433" s="41"/>
      <c r="H433" s="41"/>
      <c r="I433" s="41"/>
      <c r="J433" s="41"/>
      <c r="K433" s="41"/>
      <c r="L433" s="41"/>
      <c r="M433" s="41"/>
      <c r="N433" s="41"/>
      <c r="O433" s="41"/>
      <c r="P433" s="41"/>
      <c r="Q433" s="41"/>
      <c r="R433" s="41"/>
      <c r="S433" s="41"/>
      <c r="T433" s="575"/>
      <c r="U433" s="575"/>
      <c r="V433" s="575"/>
      <c r="W433" s="575"/>
    </row>
    <row r="434">
      <c r="A434" s="41"/>
      <c r="B434" s="41"/>
      <c r="C434" s="41"/>
      <c r="D434" s="41"/>
      <c r="E434" s="41"/>
      <c r="F434" s="41"/>
      <c r="G434" s="41"/>
      <c r="H434" s="41"/>
      <c r="I434" s="41"/>
      <c r="J434" s="41"/>
      <c r="K434" s="41"/>
      <c r="L434" s="41"/>
      <c r="M434" s="41"/>
      <c r="N434" s="41"/>
      <c r="O434" s="41"/>
      <c r="P434" s="41"/>
      <c r="Q434" s="41"/>
      <c r="R434" s="41"/>
      <c r="S434" s="41"/>
      <c r="T434" s="575"/>
      <c r="U434" s="575"/>
      <c r="V434" s="575"/>
      <c r="W434" s="575"/>
    </row>
    <row r="435">
      <c r="A435" s="41"/>
      <c r="B435" s="41"/>
      <c r="C435" s="41"/>
      <c r="D435" s="41"/>
      <c r="E435" s="41"/>
      <c r="F435" s="41"/>
      <c r="G435" s="41"/>
      <c r="H435" s="41"/>
      <c r="I435" s="41"/>
      <c r="J435" s="41"/>
      <c r="K435" s="41"/>
      <c r="L435" s="41"/>
      <c r="M435" s="41"/>
      <c r="N435" s="41"/>
      <c r="O435" s="41"/>
      <c r="P435" s="41"/>
      <c r="Q435" s="41"/>
      <c r="R435" s="41"/>
      <c r="S435" s="41"/>
      <c r="T435" s="575"/>
      <c r="U435" s="575"/>
      <c r="V435" s="575"/>
      <c r="W435" s="575"/>
    </row>
    <row r="436">
      <c r="A436" s="41"/>
      <c r="B436" s="41"/>
      <c r="C436" s="41"/>
      <c r="D436" s="41"/>
      <c r="E436" s="41"/>
      <c r="F436" s="41"/>
      <c r="G436" s="41"/>
      <c r="H436" s="41"/>
      <c r="I436" s="41"/>
      <c r="J436" s="41"/>
      <c r="K436" s="41"/>
      <c r="L436" s="41"/>
      <c r="M436" s="41"/>
      <c r="N436" s="41"/>
      <c r="O436" s="41"/>
      <c r="P436" s="41"/>
      <c r="Q436" s="41"/>
      <c r="R436" s="41"/>
      <c r="S436" s="41"/>
      <c r="T436" s="575"/>
      <c r="U436" s="575"/>
      <c r="V436" s="575"/>
      <c r="W436" s="575"/>
    </row>
    <row r="437">
      <c r="A437" s="41"/>
      <c r="B437" s="41"/>
      <c r="C437" s="41"/>
      <c r="D437" s="41"/>
      <c r="E437" s="41"/>
      <c r="F437" s="41"/>
      <c r="G437" s="41"/>
      <c r="H437" s="41"/>
      <c r="I437" s="41"/>
      <c r="J437" s="41"/>
      <c r="K437" s="41"/>
      <c r="L437" s="41"/>
      <c r="M437" s="41"/>
      <c r="N437" s="41"/>
      <c r="O437" s="41"/>
      <c r="P437" s="41"/>
      <c r="Q437" s="41"/>
      <c r="R437" s="41"/>
      <c r="S437" s="41"/>
      <c r="T437" s="575"/>
      <c r="U437" s="575"/>
      <c r="V437" s="575"/>
      <c r="W437" s="575"/>
    </row>
    <row r="438">
      <c r="A438" s="41"/>
      <c r="B438" s="41"/>
      <c r="C438" s="41"/>
      <c r="D438" s="41"/>
      <c r="E438" s="41"/>
      <c r="F438" s="41"/>
      <c r="G438" s="41"/>
      <c r="H438" s="41"/>
      <c r="I438" s="41"/>
      <c r="J438" s="41"/>
      <c r="K438" s="41"/>
      <c r="L438" s="41"/>
      <c r="M438" s="41"/>
      <c r="N438" s="41"/>
      <c r="O438" s="41"/>
      <c r="P438" s="41"/>
      <c r="Q438" s="41"/>
      <c r="R438" s="41"/>
      <c r="S438" s="41"/>
      <c r="T438" s="575"/>
      <c r="U438" s="575"/>
      <c r="V438" s="575"/>
      <c r="W438" s="575"/>
    </row>
    <row r="439">
      <c r="A439" s="41"/>
      <c r="B439" s="41"/>
      <c r="C439" s="41"/>
      <c r="D439" s="41"/>
      <c r="E439" s="41"/>
      <c r="F439" s="41"/>
      <c r="G439" s="41"/>
      <c r="H439" s="41"/>
      <c r="I439" s="41"/>
      <c r="J439" s="41"/>
      <c r="K439" s="41"/>
      <c r="L439" s="41"/>
      <c r="M439" s="41"/>
      <c r="N439" s="41"/>
      <c r="O439" s="41"/>
      <c r="P439" s="41"/>
      <c r="Q439" s="41"/>
      <c r="R439" s="41"/>
      <c r="S439" s="41"/>
      <c r="T439" s="575"/>
      <c r="U439" s="575"/>
      <c r="V439" s="575"/>
      <c r="W439" s="575"/>
    </row>
    <row r="440">
      <c r="A440" s="41"/>
      <c r="B440" s="41"/>
      <c r="C440" s="41"/>
      <c r="D440" s="41"/>
      <c r="E440" s="41"/>
      <c r="F440" s="41"/>
      <c r="G440" s="41"/>
      <c r="H440" s="41"/>
      <c r="I440" s="41"/>
      <c r="J440" s="41"/>
      <c r="K440" s="41"/>
      <c r="L440" s="41"/>
      <c r="M440" s="41"/>
      <c r="N440" s="41"/>
      <c r="O440" s="41"/>
      <c r="P440" s="41"/>
      <c r="Q440" s="41"/>
      <c r="R440" s="41"/>
      <c r="S440" s="41"/>
      <c r="T440" s="575"/>
      <c r="U440" s="575"/>
      <c r="V440" s="575"/>
      <c r="W440" s="575"/>
    </row>
    <row r="441">
      <c r="A441" s="41"/>
      <c r="B441" s="41"/>
      <c r="C441" s="41"/>
      <c r="D441" s="41"/>
      <c r="E441" s="41"/>
      <c r="F441" s="41"/>
      <c r="G441" s="41"/>
      <c r="H441" s="41"/>
      <c r="I441" s="41"/>
      <c r="J441" s="41"/>
      <c r="K441" s="41"/>
      <c r="L441" s="41"/>
      <c r="M441" s="41"/>
      <c r="N441" s="41"/>
      <c r="O441" s="41"/>
      <c r="P441" s="41"/>
      <c r="Q441" s="41"/>
      <c r="R441" s="41"/>
      <c r="S441" s="41"/>
      <c r="T441" s="575"/>
      <c r="U441" s="575"/>
      <c r="V441" s="575"/>
      <c r="W441" s="575"/>
    </row>
    <row r="442">
      <c r="A442" s="41"/>
      <c r="B442" s="41"/>
      <c r="C442" s="41"/>
      <c r="D442" s="41"/>
      <c r="E442" s="41"/>
      <c r="F442" s="41"/>
      <c r="G442" s="41"/>
      <c r="H442" s="41"/>
      <c r="I442" s="41"/>
      <c r="J442" s="41"/>
      <c r="K442" s="41"/>
      <c r="L442" s="41"/>
      <c r="M442" s="41"/>
      <c r="N442" s="41"/>
      <c r="O442" s="41"/>
      <c r="P442" s="41"/>
      <c r="Q442" s="41"/>
      <c r="R442" s="41"/>
      <c r="S442" s="41"/>
      <c r="T442" s="575"/>
      <c r="U442" s="575"/>
      <c r="V442" s="575"/>
      <c r="W442" s="575"/>
    </row>
    <row r="443">
      <c r="A443" s="41"/>
      <c r="B443" s="41"/>
      <c r="C443" s="41"/>
      <c r="D443" s="41"/>
      <c r="E443" s="41"/>
      <c r="F443" s="41"/>
      <c r="G443" s="41"/>
      <c r="H443" s="41"/>
      <c r="I443" s="41"/>
      <c r="J443" s="41"/>
      <c r="K443" s="41"/>
      <c r="L443" s="41"/>
      <c r="M443" s="41"/>
      <c r="N443" s="41"/>
      <c r="O443" s="41"/>
      <c r="P443" s="41"/>
      <c r="Q443" s="41"/>
      <c r="R443" s="41"/>
      <c r="S443" s="41"/>
      <c r="T443" s="575"/>
      <c r="U443" s="575"/>
      <c r="V443" s="575"/>
      <c r="W443" s="575"/>
    </row>
    <row r="444">
      <c r="A444" s="41"/>
      <c r="B444" s="41"/>
      <c r="C444" s="41"/>
      <c r="D444" s="41"/>
      <c r="E444" s="41"/>
      <c r="F444" s="41"/>
      <c r="G444" s="41"/>
      <c r="H444" s="41"/>
      <c r="I444" s="41"/>
      <c r="J444" s="41"/>
      <c r="K444" s="41"/>
      <c r="L444" s="41"/>
      <c r="M444" s="41"/>
      <c r="N444" s="41"/>
      <c r="O444" s="41"/>
      <c r="P444" s="41"/>
      <c r="Q444" s="41"/>
      <c r="R444" s="41"/>
      <c r="S444" s="41"/>
      <c r="T444" s="575"/>
      <c r="U444" s="575"/>
      <c r="V444" s="575"/>
      <c r="W444" s="575"/>
    </row>
    <row r="445">
      <c r="A445" s="41"/>
      <c r="B445" s="41"/>
      <c r="C445" s="41"/>
      <c r="D445" s="41"/>
      <c r="E445" s="41"/>
      <c r="F445" s="41"/>
      <c r="G445" s="41"/>
      <c r="H445" s="41"/>
      <c r="I445" s="41"/>
      <c r="J445" s="41"/>
      <c r="K445" s="41"/>
      <c r="L445" s="41"/>
      <c r="M445" s="41"/>
      <c r="N445" s="41"/>
      <c r="O445" s="41"/>
      <c r="P445" s="41"/>
      <c r="Q445" s="41"/>
      <c r="R445" s="41"/>
      <c r="S445" s="41"/>
      <c r="T445" s="575"/>
      <c r="U445" s="575"/>
      <c r="V445" s="575"/>
      <c r="W445" s="575"/>
    </row>
    <row r="446">
      <c r="A446" s="41"/>
      <c r="B446" s="41"/>
      <c r="C446" s="41"/>
      <c r="D446" s="41"/>
      <c r="E446" s="41"/>
      <c r="F446" s="41"/>
      <c r="G446" s="41"/>
      <c r="H446" s="41"/>
      <c r="I446" s="41"/>
      <c r="J446" s="41"/>
      <c r="K446" s="41"/>
      <c r="L446" s="41"/>
      <c r="M446" s="41"/>
      <c r="N446" s="41"/>
      <c r="O446" s="41"/>
      <c r="P446" s="41"/>
      <c r="Q446" s="41"/>
      <c r="R446" s="41"/>
      <c r="S446" s="41"/>
      <c r="T446" s="575"/>
      <c r="U446" s="575"/>
      <c r="V446" s="575"/>
      <c r="W446" s="575"/>
    </row>
    <row r="447">
      <c r="A447" s="41"/>
      <c r="B447" s="41"/>
      <c r="C447" s="41"/>
      <c r="D447" s="41"/>
      <c r="E447" s="41"/>
      <c r="F447" s="41"/>
      <c r="G447" s="41"/>
      <c r="H447" s="41"/>
      <c r="I447" s="41"/>
      <c r="J447" s="41"/>
      <c r="K447" s="41"/>
      <c r="L447" s="41"/>
      <c r="M447" s="41"/>
      <c r="N447" s="41"/>
      <c r="O447" s="41"/>
      <c r="P447" s="41"/>
      <c r="Q447" s="41"/>
      <c r="R447" s="41"/>
      <c r="S447" s="41"/>
      <c r="T447" s="575"/>
      <c r="U447" s="575"/>
      <c r="V447" s="575"/>
      <c r="W447" s="575"/>
    </row>
    <row r="448">
      <c r="A448" s="41"/>
      <c r="B448" s="41"/>
      <c r="C448" s="41"/>
      <c r="D448" s="41"/>
      <c r="E448" s="41"/>
      <c r="F448" s="41"/>
      <c r="G448" s="41"/>
      <c r="H448" s="41"/>
      <c r="I448" s="41"/>
      <c r="J448" s="41"/>
      <c r="K448" s="41"/>
      <c r="L448" s="41"/>
      <c r="M448" s="41"/>
      <c r="N448" s="41"/>
      <c r="O448" s="41"/>
      <c r="P448" s="41"/>
      <c r="Q448" s="41"/>
      <c r="R448" s="41"/>
      <c r="S448" s="41"/>
      <c r="T448" s="575"/>
      <c r="U448" s="575"/>
      <c r="V448" s="575"/>
      <c r="W448" s="575"/>
    </row>
    <row r="449">
      <c r="A449" s="41"/>
      <c r="B449" s="41"/>
      <c r="C449" s="41"/>
      <c r="D449" s="41"/>
      <c r="E449" s="41"/>
      <c r="F449" s="41"/>
      <c r="G449" s="41"/>
      <c r="H449" s="41"/>
      <c r="I449" s="41"/>
      <c r="J449" s="41"/>
      <c r="K449" s="41"/>
      <c r="L449" s="41"/>
      <c r="M449" s="41"/>
      <c r="N449" s="41"/>
      <c r="O449" s="41"/>
      <c r="P449" s="41"/>
      <c r="Q449" s="41"/>
      <c r="R449" s="41"/>
      <c r="S449" s="41"/>
      <c r="T449" s="575"/>
      <c r="U449" s="575"/>
      <c r="V449" s="575"/>
      <c r="W449" s="575"/>
    </row>
    <row r="450">
      <c r="A450" s="41"/>
      <c r="B450" s="41"/>
      <c r="C450" s="41"/>
      <c r="D450" s="41"/>
      <c r="E450" s="41"/>
      <c r="F450" s="41"/>
      <c r="G450" s="41"/>
      <c r="H450" s="41"/>
      <c r="I450" s="41"/>
      <c r="J450" s="41"/>
      <c r="K450" s="41"/>
      <c r="L450" s="41"/>
      <c r="M450" s="41"/>
      <c r="N450" s="41"/>
      <c r="O450" s="41"/>
      <c r="P450" s="41"/>
      <c r="Q450" s="41"/>
      <c r="R450" s="41"/>
      <c r="S450" s="41"/>
      <c r="T450" s="575"/>
      <c r="U450" s="575"/>
      <c r="V450" s="575"/>
      <c r="W450" s="575"/>
    </row>
    <row r="451">
      <c r="A451" s="41"/>
      <c r="B451" s="41"/>
      <c r="C451" s="41"/>
      <c r="D451" s="41"/>
      <c r="E451" s="41"/>
      <c r="F451" s="41"/>
      <c r="G451" s="41"/>
      <c r="H451" s="41"/>
      <c r="I451" s="41"/>
      <c r="J451" s="41"/>
      <c r="K451" s="41"/>
      <c r="L451" s="41"/>
      <c r="M451" s="41"/>
      <c r="N451" s="41"/>
      <c r="O451" s="41"/>
      <c r="P451" s="41"/>
      <c r="Q451" s="41"/>
      <c r="R451" s="41"/>
      <c r="S451" s="41"/>
      <c r="T451" s="575"/>
      <c r="U451" s="575"/>
      <c r="V451" s="575"/>
      <c r="W451" s="575"/>
    </row>
    <row r="452">
      <c r="A452" s="41"/>
      <c r="B452" s="41"/>
      <c r="C452" s="41"/>
      <c r="D452" s="41"/>
      <c r="E452" s="41"/>
      <c r="F452" s="41"/>
      <c r="G452" s="41"/>
      <c r="H452" s="41"/>
      <c r="I452" s="41"/>
      <c r="J452" s="41"/>
      <c r="K452" s="41"/>
      <c r="L452" s="41"/>
      <c r="M452" s="41"/>
      <c r="N452" s="41"/>
      <c r="O452" s="41"/>
      <c r="P452" s="41"/>
      <c r="Q452" s="41"/>
      <c r="R452" s="41"/>
      <c r="S452" s="41"/>
      <c r="T452" s="575"/>
      <c r="U452" s="575"/>
      <c r="V452" s="575"/>
      <c r="W452" s="575"/>
    </row>
    <row r="453">
      <c r="A453" s="41"/>
      <c r="B453" s="41"/>
      <c r="C453" s="41"/>
      <c r="D453" s="41"/>
      <c r="E453" s="41"/>
      <c r="F453" s="41"/>
      <c r="G453" s="41"/>
      <c r="H453" s="41"/>
      <c r="I453" s="41"/>
      <c r="J453" s="41"/>
      <c r="K453" s="41"/>
      <c r="L453" s="41"/>
      <c r="M453" s="41"/>
      <c r="N453" s="41"/>
      <c r="O453" s="41"/>
      <c r="P453" s="41"/>
      <c r="Q453" s="41"/>
      <c r="R453" s="41"/>
      <c r="S453" s="41"/>
      <c r="T453" s="575"/>
      <c r="U453" s="575"/>
      <c r="V453" s="575"/>
      <c r="W453" s="575"/>
    </row>
    <row r="454">
      <c r="A454" s="41"/>
      <c r="B454" s="41"/>
      <c r="C454" s="41"/>
      <c r="D454" s="41"/>
      <c r="E454" s="41"/>
      <c r="F454" s="41"/>
      <c r="G454" s="41"/>
      <c r="H454" s="41"/>
      <c r="I454" s="41"/>
      <c r="J454" s="41"/>
      <c r="K454" s="41"/>
      <c r="L454" s="41"/>
      <c r="M454" s="41"/>
      <c r="N454" s="41"/>
      <c r="O454" s="41"/>
      <c r="P454" s="41"/>
      <c r="Q454" s="41"/>
      <c r="R454" s="41"/>
      <c r="S454" s="41"/>
      <c r="T454" s="575"/>
      <c r="U454" s="575"/>
      <c r="V454" s="575"/>
      <c r="W454" s="575"/>
    </row>
    <row r="455">
      <c r="A455" s="41"/>
      <c r="B455" s="41"/>
      <c r="C455" s="41"/>
      <c r="D455" s="41"/>
      <c r="E455" s="41"/>
      <c r="F455" s="41"/>
      <c r="G455" s="41"/>
      <c r="H455" s="41"/>
      <c r="I455" s="41"/>
      <c r="J455" s="41"/>
      <c r="K455" s="41"/>
      <c r="L455" s="41"/>
      <c r="M455" s="41"/>
      <c r="N455" s="41"/>
      <c r="O455" s="41"/>
      <c r="P455" s="41"/>
      <c r="Q455" s="41"/>
      <c r="R455" s="41"/>
      <c r="S455" s="41"/>
      <c r="T455" s="575"/>
      <c r="U455" s="575"/>
      <c r="V455" s="575"/>
      <c r="W455" s="575"/>
    </row>
    <row r="456">
      <c r="A456" s="41"/>
      <c r="B456" s="41"/>
      <c r="C456" s="41"/>
      <c r="D456" s="41"/>
      <c r="E456" s="41"/>
      <c r="F456" s="41"/>
      <c r="G456" s="41"/>
      <c r="H456" s="41"/>
      <c r="I456" s="41"/>
      <c r="J456" s="41"/>
      <c r="K456" s="41"/>
      <c r="L456" s="41"/>
      <c r="M456" s="41"/>
      <c r="N456" s="41"/>
      <c r="O456" s="41"/>
      <c r="P456" s="41"/>
      <c r="Q456" s="41"/>
      <c r="R456" s="41"/>
      <c r="S456" s="41"/>
      <c r="T456" s="575"/>
      <c r="U456" s="575"/>
      <c r="V456" s="575"/>
      <c r="W456" s="575"/>
    </row>
    <row r="457">
      <c r="A457" s="41"/>
      <c r="B457" s="41"/>
      <c r="C457" s="41"/>
      <c r="D457" s="41"/>
      <c r="E457" s="41"/>
      <c r="F457" s="41"/>
      <c r="G457" s="41"/>
      <c r="H457" s="41"/>
      <c r="I457" s="41"/>
      <c r="J457" s="41"/>
      <c r="K457" s="41"/>
      <c r="L457" s="41"/>
      <c r="M457" s="41"/>
      <c r="N457" s="41"/>
      <c r="O457" s="41"/>
      <c r="P457" s="41"/>
      <c r="Q457" s="41"/>
      <c r="R457" s="41"/>
      <c r="S457" s="41"/>
      <c r="T457" s="575"/>
      <c r="U457" s="575"/>
      <c r="V457" s="575"/>
      <c r="W457" s="575"/>
    </row>
    <row r="458">
      <c r="A458" s="41"/>
      <c r="B458" s="41"/>
      <c r="C458" s="41"/>
      <c r="D458" s="41"/>
      <c r="E458" s="41"/>
      <c r="F458" s="41"/>
      <c r="G458" s="41"/>
      <c r="H458" s="41"/>
      <c r="I458" s="41"/>
      <c r="J458" s="41"/>
      <c r="K458" s="41"/>
      <c r="L458" s="41"/>
      <c r="M458" s="41"/>
      <c r="N458" s="41"/>
      <c r="O458" s="41"/>
      <c r="P458" s="41"/>
      <c r="Q458" s="41"/>
      <c r="R458" s="41"/>
      <c r="S458" s="41"/>
      <c r="T458" s="575"/>
      <c r="U458" s="575"/>
      <c r="V458" s="575"/>
      <c r="W458" s="575"/>
    </row>
    <row r="459">
      <c r="A459" s="41"/>
      <c r="B459" s="41"/>
      <c r="C459" s="41"/>
      <c r="D459" s="41"/>
      <c r="E459" s="41"/>
      <c r="F459" s="41"/>
      <c r="G459" s="41"/>
      <c r="H459" s="41"/>
      <c r="I459" s="41"/>
      <c r="J459" s="41"/>
      <c r="K459" s="41"/>
      <c r="L459" s="41"/>
      <c r="M459" s="41"/>
      <c r="N459" s="41"/>
      <c r="O459" s="41"/>
      <c r="P459" s="41"/>
      <c r="Q459" s="41"/>
      <c r="R459" s="41"/>
      <c r="S459" s="41"/>
      <c r="T459" s="575"/>
      <c r="U459" s="575"/>
      <c r="V459" s="575"/>
      <c r="W459" s="575"/>
    </row>
    <row r="460">
      <c r="A460" s="41"/>
      <c r="B460" s="41"/>
      <c r="C460" s="41"/>
      <c r="D460" s="41"/>
      <c r="E460" s="41"/>
      <c r="F460" s="41"/>
      <c r="G460" s="41"/>
      <c r="H460" s="41"/>
      <c r="I460" s="41"/>
      <c r="J460" s="41"/>
      <c r="K460" s="41"/>
      <c r="L460" s="41"/>
      <c r="M460" s="41"/>
      <c r="N460" s="41"/>
      <c r="O460" s="41"/>
      <c r="P460" s="41"/>
      <c r="Q460" s="41"/>
      <c r="R460" s="41"/>
      <c r="S460" s="41"/>
      <c r="T460" s="575"/>
      <c r="U460" s="575"/>
      <c r="V460" s="575"/>
      <c r="W460" s="575"/>
    </row>
    <row r="461">
      <c r="A461" s="41"/>
      <c r="B461" s="41"/>
      <c r="C461" s="41"/>
      <c r="D461" s="41"/>
      <c r="E461" s="41"/>
      <c r="F461" s="41"/>
      <c r="G461" s="41"/>
      <c r="H461" s="41"/>
      <c r="I461" s="41"/>
      <c r="J461" s="41"/>
      <c r="K461" s="41"/>
      <c r="L461" s="41"/>
      <c r="M461" s="41"/>
      <c r="N461" s="41"/>
      <c r="O461" s="41"/>
      <c r="P461" s="41"/>
      <c r="Q461" s="41"/>
      <c r="R461" s="41"/>
      <c r="S461" s="41"/>
      <c r="T461" s="575"/>
      <c r="U461" s="575"/>
      <c r="V461" s="575"/>
      <c r="W461" s="575"/>
    </row>
    <row r="462">
      <c r="A462" s="41"/>
      <c r="B462" s="41"/>
      <c r="C462" s="41"/>
      <c r="D462" s="41"/>
      <c r="E462" s="41"/>
      <c r="F462" s="41"/>
      <c r="G462" s="41"/>
      <c r="H462" s="41"/>
      <c r="I462" s="41"/>
      <c r="J462" s="41"/>
      <c r="K462" s="41"/>
      <c r="L462" s="41"/>
      <c r="M462" s="41"/>
      <c r="N462" s="41"/>
      <c r="O462" s="41"/>
      <c r="P462" s="41"/>
      <c r="Q462" s="41"/>
      <c r="R462" s="41"/>
      <c r="S462" s="41"/>
      <c r="T462" s="575"/>
      <c r="U462" s="575"/>
      <c r="V462" s="575"/>
      <c r="W462" s="575"/>
    </row>
    <row r="463">
      <c r="A463" s="41"/>
      <c r="B463" s="41"/>
      <c r="C463" s="41"/>
      <c r="D463" s="41"/>
      <c r="E463" s="41"/>
      <c r="F463" s="41"/>
      <c r="G463" s="41"/>
      <c r="H463" s="41"/>
      <c r="I463" s="41"/>
      <c r="J463" s="41"/>
      <c r="K463" s="41"/>
      <c r="L463" s="41"/>
      <c r="M463" s="41"/>
      <c r="N463" s="41"/>
      <c r="O463" s="41"/>
      <c r="P463" s="41"/>
      <c r="Q463" s="41"/>
      <c r="R463" s="41"/>
      <c r="S463" s="41"/>
      <c r="T463" s="575"/>
      <c r="U463" s="575"/>
      <c r="V463" s="575"/>
      <c r="W463" s="575"/>
    </row>
    <row r="464">
      <c r="A464" s="41"/>
      <c r="B464" s="41"/>
      <c r="C464" s="41"/>
      <c r="D464" s="41"/>
      <c r="E464" s="41"/>
      <c r="F464" s="41"/>
      <c r="G464" s="41"/>
      <c r="H464" s="41"/>
      <c r="I464" s="41"/>
      <c r="J464" s="41"/>
      <c r="K464" s="41"/>
      <c r="L464" s="41"/>
      <c r="M464" s="41"/>
      <c r="N464" s="41"/>
      <c r="O464" s="41"/>
      <c r="P464" s="41"/>
      <c r="Q464" s="41"/>
      <c r="R464" s="41"/>
      <c r="S464" s="41"/>
      <c r="T464" s="575"/>
      <c r="U464" s="575"/>
      <c r="V464" s="575"/>
      <c r="W464" s="575"/>
    </row>
    <row r="465">
      <c r="A465" s="41"/>
      <c r="B465" s="41"/>
      <c r="C465" s="41"/>
      <c r="D465" s="41"/>
      <c r="E465" s="41"/>
      <c r="F465" s="41"/>
      <c r="G465" s="41"/>
      <c r="H465" s="41"/>
      <c r="I465" s="41"/>
      <c r="J465" s="41"/>
      <c r="K465" s="41"/>
      <c r="L465" s="41"/>
      <c r="M465" s="41"/>
      <c r="N465" s="41"/>
      <c r="O465" s="41"/>
      <c r="P465" s="41"/>
      <c r="Q465" s="41"/>
      <c r="R465" s="41"/>
      <c r="S465" s="41"/>
      <c r="T465" s="575"/>
      <c r="U465" s="575"/>
      <c r="V465" s="575"/>
      <c r="W465" s="575"/>
    </row>
    <row r="466">
      <c r="A466" s="41"/>
      <c r="B466" s="41"/>
      <c r="C466" s="41"/>
      <c r="D466" s="41"/>
      <c r="E466" s="41"/>
      <c r="F466" s="41"/>
      <c r="G466" s="41"/>
      <c r="H466" s="41"/>
      <c r="I466" s="41"/>
      <c r="J466" s="41"/>
      <c r="K466" s="41"/>
      <c r="L466" s="41"/>
      <c r="M466" s="41"/>
      <c r="N466" s="41"/>
      <c r="O466" s="41"/>
      <c r="P466" s="41"/>
      <c r="Q466" s="41"/>
      <c r="R466" s="41"/>
      <c r="S466" s="41"/>
      <c r="T466" s="575"/>
      <c r="U466" s="575"/>
      <c r="V466" s="575"/>
      <c r="W466" s="575"/>
    </row>
    <row r="467">
      <c r="A467" s="41"/>
      <c r="B467" s="41"/>
      <c r="C467" s="41"/>
      <c r="D467" s="41"/>
      <c r="E467" s="41"/>
      <c r="F467" s="41"/>
      <c r="G467" s="41"/>
      <c r="H467" s="41"/>
      <c r="I467" s="41"/>
      <c r="J467" s="41"/>
      <c r="K467" s="41"/>
      <c r="L467" s="41"/>
      <c r="M467" s="41"/>
      <c r="N467" s="41"/>
      <c r="O467" s="41"/>
      <c r="P467" s="41"/>
      <c r="Q467" s="41"/>
      <c r="R467" s="41"/>
      <c r="S467" s="41"/>
      <c r="T467" s="575"/>
      <c r="U467" s="575"/>
      <c r="V467" s="575"/>
      <c r="W467" s="575"/>
    </row>
    <row r="468">
      <c r="A468" s="41"/>
      <c r="B468" s="41"/>
      <c r="C468" s="41"/>
      <c r="D468" s="41"/>
      <c r="E468" s="41"/>
      <c r="F468" s="41"/>
      <c r="G468" s="41"/>
      <c r="H468" s="41"/>
      <c r="I468" s="41"/>
      <c r="J468" s="41"/>
      <c r="K468" s="41"/>
      <c r="L468" s="41"/>
      <c r="M468" s="41"/>
      <c r="N468" s="41"/>
      <c r="O468" s="41"/>
      <c r="P468" s="41"/>
      <c r="Q468" s="41"/>
      <c r="R468" s="41"/>
      <c r="S468" s="41"/>
      <c r="T468" s="575"/>
      <c r="U468" s="575"/>
      <c r="V468" s="575"/>
      <c r="W468" s="575"/>
    </row>
    <row r="469">
      <c r="A469" s="41"/>
      <c r="B469" s="41"/>
      <c r="C469" s="41"/>
      <c r="D469" s="41"/>
      <c r="E469" s="41"/>
      <c r="F469" s="41"/>
      <c r="G469" s="41"/>
      <c r="H469" s="41"/>
      <c r="I469" s="41"/>
      <c r="J469" s="41"/>
      <c r="K469" s="41"/>
      <c r="L469" s="41"/>
      <c r="M469" s="41"/>
      <c r="N469" s="41"/>
      <c r="O469" s="41"/>
      <c r="P469" s="41"/>
      <c r="Q469" s="41"/>
      <c r="R469" s="41"/>
      <c r="S469" s="41"/>
      <c r="T469" s="575"/>
      <c r="U469" s="575"/>
      <c r="V469" s="575"/>
      <c r="W469" s="575"/>
    </row>
    <row r="470">
      <c r="A470" s="41"/>
      <c r="B470" s="41"/>
      <c r="C470" s="41"/>
      <c r="D470" s="41"/>
      <c r="E470" s="41"/>
      <c r="F470" s="41"/>
      <c r="G470" s="41"/>
      <c r="H470" s="41"/>
      <c r="I470" s="41"/>
      <c r="J470" s="41"/>
      <c r="K470" s="41"/>
      <c r="L470" s="41"/>
      <c r="M470" s="41"/>
      <c r="N470" s="41"/>
      <c r="O470" s="41"/>
      <c r="P470" s="41"/>
      <c r="Q470" s="41"/>
      <c r="R470" s="41"/>
      <c r="S470" s="41"/>
      <c r="T470" s="575"/>
      <c r="U470" s="575"/>
      <c r="V470" s="575"/>
      <c r="W470" s="575"/>
    </row>
    <row r="471">
      <c r="A471" s="41"/>
      <c r="B471" s="41"/>
      <c r="C471" s="41"/>
      <c r="D471" s="41"/>
      <c r="E471" s="41"/>
      <c r="F471" s="41"/>
      <c r="G471" s="41"/>
      <c r="H471" s="41"/>
      <c r="I471" s="41"/>
      <c r="J471" s="41"/>
      <c r="K471" s="41"/>
      <c r="L471" s="41"/>
      <c r="M471" s="41"/>
      <c r="N471" s="41"/>
      <c r="O471" s="41"/>
      <c r="P471" s="41"/>
      <c r="Q471" s="41"/>
      <c r="R471" s="41"/>
      <c r="S471" s="41"/>
      <c r="T471" s="575"/>
      <c r="U471" s="575"/>
      <c r="V471" s="575"/>
      <c r="W471" s="575"/>
    </row>
    <row r="472">
      <c r="A472" s="41"/>
      <c r="B472" s="41"/>
      <c r="C472" s="41"/>
      <c r="D472" s="41"/>
      <c r="E472" s="41"/>
      <c r="F472" s="41"/>
      <c r="G472" s="41"/>
      <c r="H472" s="41"/>
      <c r="I472" s="41"/>
      <c r="J472" s="41"/>
      <c r="K472" s="41"/>
      <c r="L472" s="41"/>
      <c r="M472" s="41"/>
      <c r="N472" s="41"/>
      <c r="O472" s="41"/>
      <c r="P472" s="41"/>
      <c r="Q472" s="41"/>
      <c r="R472" s="41"/>
      <c r="S472" s="41"/>
      <c r="T472" s="575"/>
      <c r="U472" s="575"/>
      <c r="V472" s="575"/>
      <c r="W472" s="575"/>
    </row>
    <row r="473">
      <c r="A473" s="41"/>
      <c r="B473" s="41"/>
      <c r="C473" s="41"/>
      <c r="D473" s="41"/>
      <c r="E473" s="41"/>
      <c r="F473" s="41"/>
      <c r="G473" s="41"/>
      <c r="H473" s="41"/>
      <c r="I473" s="41"/>
      <c r="J473" s="41"/>
      <c r="K473" s="41"/>
      <c r="L473" s="41"/>
      <c r="M473" s="41"/>
      <c r="N473" s="41"/>
      <c r="O473" s="41"/>
      <c r="P473" s="41"/>
      <c r="Q473" s="41"/>
      <c r="R473" s="41"/>
      <c r="S473" s="41"/>
      <c r="T473" s="575"/>
      <c r="U473" s="575"/>
      <c r="V473" s="575"/>
      <c r="W473" s="575"/>
    </row>
    <row r="474">
      <c r="A474" s="41"/>
      <c r="B474" s="41"/>
      <c r="C474" s="41"/>
      <c r="D474" s="41"/>
      <c r="E474" s="41"/>
      <c r="F474" s="41"/>
      <c r="G474" s="41"/>
      <c r="H474" s="41"/>
      <c r="I474" s="41"/>
      <c r="J474" s="41"/>
      <c r="K474" s="41"/>
      <c r="L474" s="41"/>
      <c r="M474" s="41"/>
      <c r="N474" s="41"/>
      <c r="O474" s="41"/>
      <c r="P474" s="41"/>
      <c r="Q474" s="41"/>
      <c r="R474" s="41"/>
      <c r="S474" s="41"/>
      <c r="T474" s="575"/>
      <c r="U474" s="575"/>
      <c r="V474" s="575"/>
      <c r="W474" s="575"/>
    </row>
    <row r="475">
      <c r="A475" s="41"/>
      <c r="B475" s="41"/>
      <c r="C475" s="41"/>
      <c r="D475" s="41"/>
      <c r="E475" s="41"/>
      <c r="F475" s="41"/>
      <c r="G475" s="41"/>
      <c r="H475" s="41"/>
      <c r="I475" s="41"/>
      <c r="J475" s="41"/>
      <c r="K475" s="41"/>
      <c r="L475" s="41"/>
      <c r="M475" s="41"/>
      <c r="N475" s="41"/>
      <c r="O475" s="41"/>
      <c r="P475" s="41"/>
      <c r="Q475" s="41"/>
      <c r="R475" s="41"/>
      <c r="S475" s="41"/>
      <c r="T475" s="575"/>
      <c r="U475" s="575"/>
      <c r="V475" s="575"/>
      <c r="W475" s="575"/>
    </row>
    <row r="476">
      <c r="A476" s="41"/>
      <c r="B476" s="41"/>
      <c r="C476" s="41"/>
      <c r="D476" s="41"/>
      <c r="E476" s="41"/>
      <c r="F476" s="41"/>
      <c r="G476" s="41"/>
      <c r="H476" s="41"/>
      <c r="I476" s="41"/>
      <c r="J476" s="41"/>
      <c r="K476" s="41"/>
      <c r="L476" s="41"/>
      <c r="M476" s="41"/>
      <c r="N476" s="41"/>
      <c r="O476" s="41"/>
      <c r="P476" s="41"/>
      <c r="Q476" s="41"/>
      <c r="R476" s="41"/>
      <c r="S476" s="41"/>
      <c r="T476" s="575"/>
      <c r="U476" s="575"/>
      <c r="V476" s="575"/>
      <c r="W476" s="575"/>
    </row>
    <row r="477">
      <c r="A477" s="41"/>
      <c r="B477" s="41"/>
      <c r="C477" s="41"/>
      <c r="D477" s="41"/>
      <c r="E477" s="41"/>
      <c r="F477" s="41"/>
      <c r="G477" s="41"/>
      <c r="H477" s="41"/>
      <c r="I477" s="41"/>
      <c r="J477" s="41"/>
      <c r="K477" s="41"/>
      <c r="L477" s="41"/>
      <c r="M477" s="41"/>
      <c r="N477" s="41"/>
      <c r="O477" s="41"/>
      <c r="P477" s="41"/>
      <c r="Q477" s="41"/>
      <c r="R477" s="41"/>
      <c r="S477" s="41"/>
      <c r="T477" s="575"/>
      <c r="U477" s="575"/>
      <c r="V477" s="575"/>
      <c r="W477" s="575"/>
    </row>
    <row r="478">
      <c r="A478" s="41"/>
      <c r="B478" s="41"/>
      <c r="C478" s="41"/>
      <c r="D478" s="41"/>
      <c r="E478" s="41"/>
      <c r="F478" s="41"/>
      <c r="G478" s="41"/>
      <c r="H478" s="41"/>
      <c r="I478" s="41"/>
      <c r="J478" s="41"/>
      <c r="K478" s="41"/>
      <c r="L478" s="41"/>
      <c r="M478" s="41"/>
      <c r="N478" s="41"/>
      <c r="O478" s="41"/>
      <c r="P478" s="41"/>
      <c r="Q478" s="41"/>
      <c r="R478" s="41"/>
      <c r="S478" s="41"/>
      <c r="T478" s="575"/>
      <c r="U478" s="575"/>
      <c r="V478" s="575"/>
      <c r="W478" s="575"/>
    </row>
    <row r="479">
      <c r="A479" s="41"/>
      <c r="B479" s="41"/>
      <c r="C479" s="41"/>
      <c r="D479" s="41"/>
      <c r="E479" s="41"/>
      <c r="F479" s="41"/>
      <c r="G479" s="41"/>
      <c r="H479" s="41"/>
      <c r="I479" s="41"/>
      <c r="J479" s="41"/>
      <c r="K479" s="41"/>
      <c r="L479" s="41"/>
      <c r="M479" s="41"/>
      <c r="N479" s="41"/>
      <c r="O479" s="41"/>
      <c r="P479" s="41"/>
      <c r="Q479" s="41"/>
      <c r="R479" s="41"/>
      <c r="S479" s="41"/>
      <c r="T479" s="575"/>
      <c r="U479" s="575"/>
      <c r="V479" s="575"/>
      <c r="W479" s="575"/>
    </row>
    <row r="480">
      <c r="A480" s="41"/>
      <c r="B480" s="41"/>
      <c r="C480" s="41"/>
      <c r="D480" s="41"/>
      <c r="E480" s="41"/>
      <c r="F480" s="41"/>
      <c r="G480" s="41"/>
      <c r="H480" s="41"/>
      <c r="I480" s="41"/>
      <c r="J480" s="41"/>
      <c r="K480" s="41"/>
      <c r="L480" s="41"/>
      <c r="M480" s="41"/>
      <c r="N480" s="41"/>
      <c r="O480" s="41"/>
      <c r="P480" s="41"/>
      <c r="Q480" s="41"/>
      <c r="R480" s="41"/>
      <c r="S480" s="41"/>
      <c r="T480" s="575"/>
      <c r="U480" s="575"/>
      <c r="V480" s="575"/>
      <c r="W480" s="575"/>
    </row>
    <row r="481">
      <c r="A481" s="41"/>
      <c r="B481" s="41"/>
      <c r="C481" s="41"/>
      <c r="D481" s="41"/>
      <c r="E481" s="41"/>
      <c r="F481" s="41"/>
      <c r="G481" s="41"/>
      <c r="H481" s="41"/>
      <c r="I481" s="41"/>
      <c r="J481" s="41"/>
      <c r="K481" s="41"/>
      <c r="L481" s="41"/>
      <c r="M481" s="41"/>
      <c r="N481" s="41"/>
      <c r="O481" s="41"/>
      <c r="P481" s="41"/>
      <c r="Q481" s="41"/>
      <c r="R481" s="41"/>
      <c r="S481" s="41"/>
      <c r="T481" s="575"/>
      <c r="U481" s="575"/>
      <c r="V481" s="575"/>
      <c r="W481" s="575"/>
    </row>
    <row r="482">
      <c r="A482" s="41"/>
      <c r="B482" s="41"/>
      <c r="C482" s="41"/>
      <c r="D482" s="41"/>
      <c r="E482" s="41"/>
      <c r="F482" s="41"/>
      <c r="G482" s="41"/>
      <c r="H482" s="41"/>
      <c r="I482" s="41"/>
      <c r="J482" s="41"/>
      <c r="K482" s="41"/>
      <c r="L482" s="41"/>
      <c r="M482" s="41"/>
      <c r="N482" s="41"/>
      <c r="O482" s="41"/>
      <c r="P482" s="41"/>
      <c r="Q482" s="41"/>
      <c r="R482" s="41"/>
      <c r="S482" s="41"/>
      <c r="T482" s="575"/>
      <c r="U482" s="575"/>
      <c r="V482" s="575"/>
      <c r="W482" s="575"/>
    </row>
    <row r="483">
      <c r="A483" s="41"/>
      <c r="B483" s="41"/>
      <c r="C483" s="41"/>
      <c r="D483" s="41"/>
      <c r="E483" s="41"/>
      <c r="F483" s="41"/>
      <c r="G483" s="41"/>
      <c r="H483" s="41"/>
      <c r="I483" s="41"/>
      <c r="J483" s="41"/>
      <c r="K483" s="41"/>
      <c r="L483" s="41"/>
      <c r="M483" s="41"/>
      <c r="N483" s="41"/>
      <c r="O483" s="41"/>
      <c r="P483" s="41"/>
      <c r="Q483" s="41"/>
      <c r="R483" s="41"/>
      <c r="S483" s="41"/>
      <c r="T483" s="575"/>
      <c r="U483" s="575"/>
      <c r="V483" s="575"/>
      <c r="W483" s="575"/>
    </row>
    <row r="484">
      <c r="A484" s="41"/>
      <c r="B484" s="41"/>
      <c r="C484" s="41"/>
      <c r="D484" s="41"/>
      <c r="E484" s="41"/>
      <c r="F484" s="41"/>
      <c r="G484" s="41"/>
      <c r="H484" s="41"/>
      <c r="I484" s="41"/>
      <c r="J484" s="41"/>
      <c r="K484" s="41"/>
      <c r="L484" s="41"/>
      <c r="M484" s="41"/>
      <c r="N484" s="41"/>
      <c r="O484" s="41"/>
      <c r="P484" s="41"/>
      <c r="Q484" s="41"/>
      <c r="R484" s="41"/>
      <c r="S484" s="41"/>
      <c r="T484" s="575"/>
      <c r="U484" s="575"/>
      <c r="V484" s="575"/>
      <c r="W484" s="575"/>
    </row>
    <row r="485">
      <c r="A485" s="41"/>
      <c r="B485" s="41"/>
      <c r="C485" s="41"/>
      <c r="D485" s="41"/>
      <c r="E485" s="41"/>
      <c r="F485" s="41"/>
      <c r="G485" s="41"/>
      <c r="H485" s="41"/>
      <c r="I485" s="41"/>
      <c r="J485" s="41"/>
      <c r="K485" s="41"/>
      <c r="L485" s="41"/>
      <c r="M485" s="41"/>
      <c r="N485" s="41"/>
      <c r="O485" s="41"/>
      <c r="P485" s="41"/>
      <c r="Q485" s="41"/>
      <c r="R485" s="41"/>
      <c r="S485" s="41"/>
      <c r="T485" s="575"/>
      <c r="U485" s="575"/>
      <c r="V485" s="575"/>
      <c r="W485" s="575"/>
    </row>
    <row r="486">
      <c r="A486" s="41"/>
      <c r="B486" s="41"/>
      <c r="C486" s="41"/>
      <c r="D486" s="41"/>
      <c r="E486" s="41"/>
      <c r="F486" s="41"/>
      <c r="G486" s="41"/>
      <c r="H486" s="41"/>
      <c r="I486" s="41"/>
      <c r="J486" s="41"/>
      <c r="K486" s="41"/>
      <c r="L486" s="41"/>
      <c r="M486" s="41"/>
      <c r="N486" s="41"/>
      <c r="O486" s="41"/>
      <c r="P486" s="41"/>
      <c r="Q486" s="41"/>
      <c r="R486" s="41"/>
      <c r="S486" s="41"/>
      <c r="T486" s="575"/>
      <c r="U486" s="575"/>
      <c r="V486" s="575"/>
      <c r="W486" s="575"/>
    </row>
    <row r="487">
      <c r="A487" s="41"/>
      <c r="B487" s="41"/>
      <c r="C487" s="41"/>
      <c r="D487" s="41"/>
      <c r="E487" s="41"/>
      <c r="F487" s="41"/>
      <c r="G487" s="41"/>
      <c r="H487" s="41"/>
      <c r="I487" s="41"/>
      <c r="J487" s="41"/>
      <c r="K487" s="41"/>
      <c r="L487" s="41"/>
      <c r="M487" s="41"/>
      <c r="N487" s="41"/>
      <c r="O487" s="41"/>
      <c r="P487" s="41"/>
      <c r="Q487" s="41"/>
      <c r="R487" s="41"/>
      <c r="S487" s="41"/>
      <c r="T487" s="575"/>
      <c r="U487" s="575"/>
      <c r="V487" s="575"/>
      <c r="W487" s="575"/>
    </row>
    <row r="488">
      <c r="A488" s="41"/>
      <c r="B488" s="41"/>
      <c r="C488" s="41"/>
      <c r="D488" s="41"/>
      <c r="E488" s="41"/>
      <c r="F488" s="41"/>
      <c r="G488" s="41"/>
      <c r="H488" s="41"/>
      <c r="I488" s="41"/>
      <c r="J488" s="41"/>
      <c r="K488" s="41"/>
      <c r="L488" s="41"/>
      <c r="M488" s="41"/>
      <c r="N488" s="41"/>
      <c r="O488" s="41"/>
      <c r="P488" s="41"/>
      <c r="Q488" s="41"/>
      <c r="R488" s="41"/>
      <c r="S488" s="41"/>
      <c r="T488" s="575"/>
      <c r="U488" s="575"/>
      <c r="V488" s="575"/>
      <c r="W488" s="575"/>
    </row>
    <row r="489">
      <c r="A489" s="41"/>
      <c r="B489" s="41"/>
      <c r="C489" s="41"/>
      <c r="D489" s="41"/>
      <c r="E489" s="41"/>
      <c r="F489" s="41"/>
      <c r="G489" s="41"/>
      <c r="H489" s="41"/>
      <c r="I489" s="41"/>
      <c r="J489" s="41"/>
      <c r="K489" s="41"/>
      <c r="L489" s="41"/>
      <c r="M489" s="41"/>
      <c r="N489" s="41"/>
      <c r="O489" s="41"/>
      <c r="P489" s="41"/>
      <c r="Q489" s="41"/>
      <c r="R489" s="41"/>
      <c r="S489" s="41"/>
      <c r="T489" s="575"/>
      <c r="U489" s="575"/>
      <c r="V489" s="575"/>
      <c r="W489" s="575"/>
    </row>
    <row r="490">
      <c r="A490" s="41"/>
      <c r="B490" s="41"/>
      <c r="C490" s="41"/>
      <c r="D490" s="41"/>
      <c r="E490" s="41"/>
      <c r="F490" s="41"/>
      <c r="G490" s="41"/>
      <c r="H490" s="41"/>
      <c r="I490" s="41"/>
      <c r="J490" s="41"/>
      <c r="K490" s="41"/>
      <c r="L490" s="41"/>
      <c r="M490" s="41"/>
      <c r="N490" s="41"/>
      <c r="O490" s="41"/>
      <c r="P490" s="41"/>
      <c r="Q490" s="41"/>
      <c r="R490" s="41"/>
      <c r="S490" s="41"/>
      <c r="T490" s="575"/>
      <c r="U490" s="575"/>
      <c r="V490" s="575"/>
      <c r="W490" s="575"/>
    </row>
    <row r="491">
      <c r="A491" s="41"/>
      <c r="B491" s="41"/>
      <c r="C491" s="41"/>
      <c r="D491" s="41"/>
      <c r="E491" s="41"/>
      <c r="F491" s="41"/>
      <c r="G491" s="41"/>
      <c r="H491" s="41"/>
      <c r="I491" s="41"/>
      <c r="J491" s="41"/>
      <c r="K491" s="41"/>
      <c r="L491" s="41"/>
      <c r="M491" s="41"/>
      <c r="N491" s="41"/>
      <c r="O491" s="41"/>
      <c r="P491" s="41"/>
      <c r="Q491" s="41"/>
      <c r="R491" s="41"/>
      <c r="S491" s="41"/>
      <c r="T491" s="575"/>
      <c r="U491" s="575"/>
      <c r="V491" s="575"/>
      <c r="W491" s="575"/>
    </row>
    <row r="492">
      <c r="A492" s="41"/>
      <c r="B492" s="41"/>
      <c r="C492" s="41"/>
      <c r="D492" s="41"/>
      <c r="E492" s="41"/>
      <c r="F492" s="41"/>
      <c r="G492" s="41"/>
      <c r="H492" s="41"/>
      <c r="I492" s="41"/>
      <c r="J492" s="41"/>
      <c r="K492" s="41"/>
      <c r="L492" s="41"/>
      <c r="M492" s="41"/>
      <c r="N492" s="41"/>
      <c r="O492" s="41"/>
      <c r="P492" s="41"/>
      <c r="Q492" s="41"/>
      <c r="R492" s="41"/>
      <c r="S492" s="41"/>
      <c r="T492" s="575"/>
      <c r="U492" s="575"/>
      <c r="V492" s="575"/>
      <c r="W492" s="575"/>
    </row>
    <row r="493">
      <c r="A493" s="41"/>
      <c r="B493" s="41"/>
      <c r="C493" s="41"/>
      <c r="D493" s="41"/>
      <c r="E493" s="41"/>
      <c r="F493" s="41"/>
      <c r="G493" s="41"/>
      <c r="H493" s="41"/>
      <c r="I493" s="41"/>
      <c r="J493" s="41"/>
      <c r="K493" s="41"/>
      <c r="L493" s="41"/>
      <c r="M493" s="41"/>
      <c r="N493" s="41"/>
      <c r="O493" s="41"/>
      <c r="P493" s="41"/>
      <c r="Q493" s="41"/>
      <c r="R493" s="41"/>
      <c r="S493" s="41"/>
      <c r="T493" s="575"/>
      <c r="U493" s="575"/>
      <c r="V493" s="575"/>
      <c r="W493" s="575"/>
    </row>
    <row r="494">
      <c r="A494" s="41"/>
      <c r="B494" s="41"/>
      <c r="C494" s="41"/>
      <c r="D494" s="41"/>
      <c r="E494" s="41"/>
      <c r="F494" s="41"/>
      <c r="G494" s="41"/>
      <c r="H494" s="41"/>
      <c r="I494" s="41"/>
      <c r="J494" s="41"/>
      <c r="K494" s="41"/>
      <c r="L494" s="41"/>
      <c r="M494" s="41"/>
      <c r="N494" s="41"/>
      <c r="O494" s="41"/>
      <c r="P494" s="41"/>
      <c r="Q494" s="41"/>
      <c r="R494" s="41"/>
      <c r="S494" s="41"/>
      <c r="T494" s="575"/>
      <c r="U494" s="575"/>
      <c r="V494" s="575"/>
      <c r="W494" s="575"/>
    </row>
    <row r="495">
      <c r="A495" s="41"/>
      <c r="B495" s="41"/>
      <c r="C495" s="41"/>
      <c r="D495" s="41"/>
      <c r="E495" s="41"/>
      <c r="F495" s="41"/>
      <c r="G495" s="41"/>
      <c r="H495" s="41"/>
      <c r="I495" s="41"/>
      <c r="J495" s="41"/>
      <c r="K495" s="41"/>
      <c r="L495" s="41"/>
      <c r="M495" s="41"/>
      <c r="N495" s="41"/>
      <c r="O495" s="41"/>
      <c r="P495" s="41"/>
      <c r="Q495" s="41"/>
      <c r="R495" s="41"/>
      <c r="S495" s="41"/>
      <c r="T495" s="575"/>
      <c r="U495" s="575"/>
      <c r="V495" s="575"/>
      <c r="W495" s="575"/>
    </row>
    <row r="496">
      <c r="A496" s="41"/>
      <c r="B496" s="41"/>
      <c r="C496" s="41"/>
      <c r="D496" s="41"/>
      <c r="E496" s="41"/>
      <c r="F496" s="41"/>
      <c r="G496" s="41"/>
      <c r="H496" s="41"/>
      <c r="I496" s="41"/>
      <c r="J496" s="41"/>
      <c r="K496" s="41"/>
      <c r="L496" s="41"/>
      <c r="M496" s="41"/>
      <c r="N496" s="41"/>
      <c r="O496" s="41"/>
      <c r="P496" s="41"/>
      <c r="Q496" s="41"/>
      <c r="R496" s="41"/>
      <c r="S496" s="41"/>
      <c r="T496" s="575"/>
      <c r="U496" s="575"/>
      <c r="V496" s="575"/>
      <c r="W496" s="575"/>
    </row>
    <row r="497">
      <c r="A497" s="41"/>
      <c r="B497" s="41"/>
      <c r="C497" s="41"/>
      <c r="D497" s="41"/>
      <c r="E497" s="41"/>
      <c r="F497" s="41"/>
      <c r="G497" s="41"/>
      <c r="H497" s="41"/>
      <c r="I497" s="41"/>
      <c r="J497" s="41"/>
      <c r="K497" s="41"/>
      <c r="L497" s="41"/>
      <c r="M497" s="41"/>
      <c r="N497" s="41"/>
      <c r="O497" s="41"/>
      <c r="P497" s="41"/>
      <c r="Q497" s="41"/>
      <c r="R497" s="41"/>
      <c r="S497" s="41"/>
      <c r="T497" s="575"/>
      <c r="U497" s="575"/>
      <c r="V497" s="575"/>
      <c r="W497" s="575"/>
    </row>
    <row r="498">
      <c r="A498" s="41"/>
      <c r="B498" s="41"/>
      <c r="C498" s="41"/>
      <c r="D498" s="41"/>
      <c r="E498" s="41"/>
      <c r="F498" s="41"/>
      <c r="G498" s="41"/>
      <c r="H498" s="41"/>
      <c r="I498" s="41"/>
      <c r="J498" s="41"/>
      <c r="K498" s="41"/>
      <c r="L498" s="41"/>
      <c r="M498" s="41"/>
      <c r="N498" s="41"/>
      <c r="O498" s="41"/>
      <c r="P498" s="41"/>
      <c r="Q498" s="41"/>
      <c r="R498" s="41"/>
      <c r="S498" s="41"/>
      <c r="T498" s="575"/>
      <c r="U498" s="575"/>
      <c r="V498" s="575"/>
      <c r="W498" s="575"/>
    </row>
    <row r="499">
      <c r="A499" s="41"/>
      <c r="B499" s="41"/>
      <c r="C499" s="41"/>
      <c r="D499" s="41"/>
      <c r="E499" s="41"/>
      <c r="F499" s="41"/>
      <c r="G499" s="41"/>
      <c r="H499" s="41"/>
      <c r="I499" s="41"/>
      <c r="J499" s="41"/>
      <c r="K499" s="41"/>
      <c r="L499" s="41"/>
      <c r="M499" s="41"/>
      <c r="N499" s="41"/>
      <c r="O499" s="41"/>
      <c r="P499" s="41"/>
      <c r="Q499" s="41"/>
      <c r="R499" s="41"/>
      <c r="S499" s="41"/>
      <c r="T499" s="575"/>
      <c r="U499" s="575"/>
      <c r="V499" s="575"/>
      <c r="W499" s="575"/>
    </row>
    <row r="500">
      <c r="A500" s="41"/>
      <c r="B500" s="41"/>
      <c r="C500" s="41"/>
      <c r="D500" s="41"/>
      <c r="E500" s="41"/>
      <c r="F500" s="41"/>
      <c r="G500" s="41"/>
      <c r="H500" s="41"/>
      <c r="I500" s="41"/>
      <c r="J500" s="41"/>
      <c r="K500" s="41"/>
      <c r="L500" s="41"/>
      <c r="M500" s="41"/>
      <c r="N500" s="41"/>
      <c r="O500" s="41"/>
      <c r="P500" s="41"/>
      <c r="Q500" s="41"/>
      <c r="R500" s="41"/>
      <c r="S500" s="41"/>
      <c r="T500" s="575"/>
      <c r="U500" s="575"/>
      <c r="V500" s="575"/>
      <c r="W500" s="575"/>
    </row>
    <row r="501">
      <c r="A501" s="41"/>
      <c r="B501" s="41"/>
      <c r="C501" s="41"/>
      <c r="D501" s="41"/>
      <c r="E501" s="41"/>
      <c r="F501" s="41"/>
      <c r="G501" s="41"/>
      <c r="H501" s="41"/>
      <c r="I501" s="41"/>
      <c r="J501" s="41"/>
      <c r="K501" s="41"/>
      <c r="L501" s="41"/>
      <c r="M501" s="41"/>
      <c r="N501" s="41"/>
      <c r="O501" s="41"/>
      <c r="P501" s="41"/>
      <c r="Q501" s="41"/>
      <c r="R501" s="41"/>
      <c r="S501" s="41"/>
      <c r="T501" s="575"/>
      <c r="U501" s="575"/>
      <c r="V501" s="575"/>
      <c r="W501" s="575"/>
    </row>
    <row r="502">
      <c r="A502" s="41"/>
      <c r="B502" s="41"/>
      <c r="C502" s="41"/>
      <c r="D502" s="41"/>
      <c r="E502" s="41"/>
      <c r="F502" s="41"/>
      <c r="G502" s="41"/>
      <c r="H502" s="41"/>
      <c r="I502" s="41"/>
      <c r="J502" s="41"/>
      <c r="K502" s="41"/>
      <c r="L502" s="41"/>
      <c r="M502" s="41"/>
      <c r="N502" s="41"/>
      <c r="O502" s="41"/>
      <c r="P502" s="41"/>
      <c r="Q502" s="41"/>
      <c r="R502" s="41"/>
      <c r="S502" s="41"/>
      <c r="T502" s="575"/>
      <c r="U502" s="575"/>
      <c r="V502" s="575"/>
      <c r="W502" s="575"/>
    </row>
    <row r="503">
      <c r="A503" s="41"/>
      <c r="B503" s="41"/>
      <c r="C503" s="41"/>
      <c r="D503" s="41"/>
      <c r="E503" s="41"/>
      <c r="F503" s="41"/>
      <c r="G503" s="41"/>
      <c r="H503" s="41"/>
      <c r="I503" s="41"/>
      <c r="J503" s="41"/>
      <c r="K503" s="41"/>
      <c r="L503" s="41"/>
      <c r="M503" s="41"/>
      <c r="N503" s="41"/>
      <c r="O503" s="41"/>
      <c r="P503" s="41"/>
      <c r="Q503" s="41"/>
      <c r="R503" s="41"/>
      <c r="S503" s="41"/>
      <c r="T503" s="575"/>
      <c r="U503" s="575"/>
      <c r="V503" s="575"/>
      <c r="W503" s="575"/>
    </row>
    <row r="504">
      <c r="A504" s="41"/>
      <c r="B504" s="41"/>
      <c r="C504" s="41"/>
      <c r="D504" s="41"/>
      <c r="E504" s="41"/>
      <c r="F504" s="41"/>
      <c r="G504" s="41"/>
      <c r="H504" s="41"/>
      <c r="I504" s="41"/>
      <c r="J504" s="41"/>
      <c r="K504" s="41"/>
      <c r="L504" s="41"/>
      <c r="M504" s="41"/>
      <c r="N504" s="41"/>
      <c r="O504" s="41"/>
      <c r="P504" s="41"/>
      <c r="Q504" s="41"/>
      <c r="R504" s="41"/>
      <c r="S504" s="41"/>
      <c r="T504" s="575"/>
      <c r="U504" s="575"/>
      <c r="V504" s="575"/>
      <c r="W504" s="575"/>
    </row>
    <row r="505">
      <c r="A505" s="41"/>
      <c r="B505" s="41"/>
      <c r="C505" s="41"/>
      <c r="D505" s="41"/>
      <c r="E505" s="41"/>
      <c r="F505" s="41"/>
      <c r="G505" s="41"/>
      <c r="H505" s="41"/>
      <c r="I505" s="41"/>
      <c r="J505" s="41"/>
      <c r="K505" s="41"/>
      <c r="L505" s="41"/>
      <c r="M505" s="41"/>
      <c r="N505" s="41"/>
      <c r="O505" s="41"/>
      <c r="P505" s="41"/>
      <c r="Q505" s="41"/>
      <c r="R505" s="41"/>
      <c r="S505" s="41"/>
      <c r="T505" s="575"/>
      <c r="U505" s="575"/>
      <c r="V505" s="575"/>
      <c r="W505" s="575"/>
    </row>
    <row r="506">
      <c r="A506" s="41"/>
      <c r="B506" s="41"/>
      <c r="C506" s="41"/>
      <c r="D506" s="41"/>
      <c r="E506" s="41"/>
      <c r="F506" s="41"/>
      <c r="G506" s="41"/>
      <c r="H506" s="41"/>
      <c r="I506" s="41"/>
      <c r="J506" s="41"/>
      <c r="K506" s="41"/>
      <c r="L506" s="41"/>
      <c r="M506" s="41"/>
      <c r="N506" s="41"/>
      <c r="O506" s="41"/>
      <c r="P506" s="41"/>
      <c r="Q506" s="41"/>
      <c r="R506" s="41"/>
      <c r="S506" s="41"/>
      <c r="T506" s="575"/>
      <c r="U506" s="575"/>
      <c r="V506" s="575"/>
      <c r="W506" s="575"/>
    </row>
    <row r="507">
      <c r="A507" s="41"/>
      <c r="B507" s="41"/>
      <c r="C507" s="41"/>
      <c r="D507" s="41"/>
      <c r="E507" s="41"/>
      <c r="F507" s="41"/>
      <c r="G507" s="41"/>
      <c r="H507" s="41"/>
      <c r="I507" s="41"/>
      <c r="J507" s="41"/>
      <c r="K507" s="41"/>
      <c r="L507" s="41"/>
      <c r="M507" s="41"/>
      <c r="N507" s="41"/>
      <c r="O507" s="41"/>
      <c r="P507" s="41"/>
      <c r="Q507" s="41"/>
      <c r="R507" s="41"/>
      <c r="S507" s="41"/>
      <c r="T507" s="575"/>
      <c r="U507" s="575"/>
      <c r="V507" s="575"/>
      <c r="W507" s="575"/>
    </row>
    <row r="508">
      <c r="A508" s="41"/>
      <c r="B508" s="41"/>
      <c r="C508" s="41"/>
      <c r="D508" s="41"/>
      <c r="E508" s="41"/>
      <c r="F508" s="41"/>
      <c r="G508" s="41"/>
      <c r="H508" s="41"/>
      <c r="I508" s="41"/>
      <c r="J508" s="41"/>
      <c r="K508" s="41"/>
      <c r="L508" s="41"/>
      <c r="M508" s="41"/>
      <c r="N508" s="41"/>
      <c r="O508" s="41"/>
      <c r="P508" s="41"/>
      <c r="Q508" s="41"/>
      <c r="R508" s="41"/>
      <c r="S508" s="41"/>
      <c r="T508" s="575"/>
      <c r="U508" s="575"/>
      <c r="V508" s="575"/>
      <c r="W508" s="575"/>
    </row>
    <row r="509">
      <c r="A509" s="41"/>
      <c r="B509" s="41"/>
      <c r="C509" s="41"/>
      <c r="D509" s="41"/>
      <c r="E509" s="41"/>
      <c r="F509" s="41"/>
      <c r="G509" s="41"/>
      <c r="H509" s="41"/>
      <c r="I509" s="41"/>
      <c r="J509" s="41"/>
      <c r="K509" s="41"/>
      <c r="L509" s="41"/>
      <c r="M509" s="41"/>
      <c r="N509" s="41"/>
      <c r="O509" s="41"/>
      <c r="P509" s="41"/>
      <c r="Q509" s="41"/>
      <c r="R509" s="41"/>
      <c r="S509" s="41"/>
      <c r="T509" s="575"/>
      <c r="U509" s="575"/>
      <c r="V509" s="575"/>
      <c r="W509" s="575"/>
    </row>
    <row r="510">
      <c r="A510" s="41"/>
      <c r="B510" s="41"/>
      <c r="C510" s="41"/>
      <c r="D510" s="41"/>
      <c r="E510" s="41"/>
      <c r="F510" s="41"/>
      <c r="G510" s="41"/>
      <c r="H510" s="41"/>
      <c r="I510" s="41"/>
      <c r="J510" s="41"/>
      <c r="K510" s="41"/>
      <c r="L510" s="41"/>
      <c r="M510" s="41"/>
      <c r="N510" s="41"/>
      <c r="O510" s="41"/>
      <c r="P510" s="41"/>
      <c r="Q510" s="41"/>
      <c r="R510" s="41"/>
      <c r="S510" s="41"/>
      <c r="T510" s="575"/>
      <c r="U510" s="575"/>
      <c r="V510" s="575"/>
      <c r="W510" s="575"/>
    </row>
    <row r="511">
      <c r="A511" s="41"/>
      <c r="B511" s="41"/>
      <c r="C511" s="41"/>
      <c r="D511" s="41"/>
      <c r="E511" s="41"/>
      <c r="F511" s="41"/>
      <c r="G511" s="41"/>
      <c r="H511" s="41"/>
      <c r="I511" s="41"/>
      <c r="J511" s="41"/>
      <c r="K511" s="41"/>
      <c r="L511" s="41"/>
      <c r="M511" s="41"/>
      <c r="N511" s="41"/>
      <c r="O511" s="41"/>
      <c r="P511" s="41"/>
      <c r="Q511" s="41"/>
      <c r="R511" s="41"/>
      <c r="S511" s="41"/>
      <c r="T511" s="575"/>
      <c r="U511" s="575"/>
      <c r="V511" s="575"/>
      <c r="W511" s="575"/>
    </row>
    <row r="512">
      <c r="A512" s="41"/>
      <c r="B512" s="41"/>
      <c r="C512" s="41"/>
      <c r="D512" s="41"/>
      <c r="E512" s="41"/>
      <c r="F512" s="41"/>
      <c r="G512" s="41"/>
      <c r="H512" s="41"/>
      <c r="I512" s="41"/>
      <c r="J512" s="41"/>
      <c r="K512" s="41"/>
      <c r="L512" s="41"/>
      <c r="M512" s="41"/>
      <c r="N512" s="41"/>
      <c r="O512" s="41"/>
      <c r="P512" s="41"/>
      <c r="Q512" s="41"/>
      <c r="R512" s="41"/>
      <c r="S512" s="41"/>
      <c r="T512" s="575"/>
      <c r="U512" s="575"/>
      <c r="V512" s="575"/>
      <c r="W512" s="575"/>
    </row>
    <row r="513">
      <c r="A513" s="41"/>
      <c r="B513" s="41"/>
      <c r="C513" s="41"/>
      <c r="D513" s="41"/>
      <c r="E513" s="41"/>
      <c r="F513" s="41"/>
      <c r="G513" s="41"/>
      <c r="H513" s="41"/>
      <c r="I513" s="41"/>
      <c r="J513" s="41"/>
      <c r="K513" s="41"/>
      <c r="L513" s="41"/>
      <c r="M513" s="41"/>
      <c r="N513" s="41"/>
      <c r="O513" s="41"/>
      <c r="P513" s="41"/>
      <c r="Q513" s="41"/>
      <c r="R513" s="41"/>
      <c r="S513" s="41"/>
      <c r="T513" s="575"/>
      <c r="U513" s="575"/>
      <c r="V513" s="575"/>
      <c r="W513" s="575"/>
    </row>
    <row r="514">
      <c r="A514" s="41"/>
      <c r="B514" s="41"/>
      <c r="C514" s="41"/>
      <c r="D514" s="41"/>
      <c r="E514" s="41"/>
      <c r="F514" s="41"/>
      <c r="G514" s="41"/>
      <c r="H514" s="41"/>
      <c r="I514" s="41"/>
      <c r="J514" s="41"/>
      <c r="K514" s="41"/>
      <c r="L514" s="41"/>
      <c r="M514" s="41"/>
      <c r="N514" s="41"/>
      <c r="O514" s="41"/>
      <c r="P514" s="41"/>
      <c r="Q514" s="41"/>
      <c r="R514" s="41"/>
      <c r="S514" s="41"/>
      <c r="T514" s="575"/>
      <c r="U514" s="575"/>
      <c r="V514" s="575"/>
      <c r="W514" s="575"/>
    </row>
    <row r="515">
      <c r="A515" s="41"/>
      <c r="B515" s="41"/>
      <c r="C515" s="41"/>
      <c r="D515" s="41"/>
      <c r="E515" s="41"/>
      <c r="F515" s="41"/>
      <c r="G515" s="41"/>
      <c r="H515" s="41"/>
      <c r="I515" s="41"/>
      <c r="J515" s="41"/>
      <c r="K515" s="41"/>
      <c r="L515" s="41"/>
      <c r="M515" s="41"/>
      <c r="N515" s="41"/>
      <c r="O515" s="41"/>
      <c r="P515" s="41"/>
      <c r="Q515" s="41"/>
      <c r="R515" s="41"/>
      <c r="S515" s="41"/>
      <c r="T515" s="575"/>
      <c r="U515" s="575"/>
      <c r="V515" s="575"/>
      <c r="W515" s="575"/>
    </row>
    <row r="516">
      <c r="A516" s="41"/>
      <c r="B516" s="41"/>
      <c r="C516" s="41"/>
      <c r="D516" s="41"/>
      <c r="E516" s="41"/>
      <c r="F516" s="41"/>
      <c r="G516" s="41"/>
      <c r="H516" s="41"/>
      <c r="I516" s="41"/>
      <c r="J516" s="41"/>
      <c r="K516" s="41"/>
      <c r="L516" s="41"/>
      <c r="M516" s="41"/>
      <c r="N516" s="41"/>
      <c r="O516" s="41"/>
      <c r="P516" s="41"/>
      <c r="Q516" s="41"/>
      <c r="R516" s="41"/>
      <c r="S516" s="41"/>
      <c r="T516" s="575"/>
      <c r="U516" s="575"/>
      <c r="V516" s="575"/>
      <c r="W516" s="575"/>
    </row>
    <row r="517">
      <c r="A517" s="41"/>
      <c r="B517" s="41"/>
      <c r="C517" s="41"/>
      <c r="D517" s="41"/>
      <c r="E517" s="41"/>
      <c r="F517" s="41"/>
      <c r="G517" s="41"/>
      <c r="H517" s="41"/>
      <c r="I517" s="41"/>
      <c r="J517" s="41"/>
      <c r="K517" s="41"/>
      <c r="L517" s="41"/>
      <c r="M517" s="41"/>
      <c r="N517" s="41"/>
      <c r="O517" s="41"/>
      <c r="P517" s="41"/>
      <c r="Q517" s="41"/>
      <c r="R517" s="41"/>
      <c r="S517" s="41"/>
      <c r="T517" s="575"/>
      <c r="U517" s="575"/>
      <c r="V517" s="575"/>
      <c r="W517" s="575"/>
    </row>
    <row r="518">
      <c r="A518" s="41"/>
      <c r="B518" s="41"/>
      <c r="C518" s="41"/>
      <c r="D518" s="41"/>
      <c r="E518" s="41"/>
      <c r="F518" s="41"/>
      <c r="G518" s="41"/>
      <c r="H518" s="41"/>
      <c r="I518" s="41"/>
      <c r="J518" s="41"/>
      <c r="K518" s="41"/>
      <c r="L518" s="41"/>
      <c r="M518" s="41"/>
      <c r="N518" s="41"/>
      <c r="O518" s="41"/>
      <c r="P518" s="41"/>
      <c r="Q518" s="41"/>
      <c r="R518" s="41"/>
      <c r="S518" s="41"/>
      <c r="T518" s="575"/>
      <c r="U518" s="575"/>
      <c r="V518" s="575"/>
      <c r="W518" s="575"/>
    </row>
    <row r="519">
      <c r="A519" s="41"/>
      <c r="B519" s="41"/>
      <c r="C519" s="41"/>
      <c r="D519" s="41"/>
      <c r="E519" s="41"/>
      <c r="F519" s="41"/>
      <c r="G519" s="41"/>
      <c r="H519" s="41"/>
      <c r="I519" s="41"/>
      <c r="J519" s="41"/>
      <c r="K519" s="41"/>
      <c r="L519" s="41"/>
      <c r="M519" s="41"/>
      <c r="N519" s="41"/>
      <c r="O519" s="41"/>
      <c r="P519" s="41"/>
      <c r="Q519" s="41"/>
      <c r="R519" s="41"/>
      <c r="S519" s="41"/>
      <c r="T519" s="575"/>
      <c r="U519" s="575"/>
      <c r="V519" s="575"/>
      <c r="W519" s="575"/>
    </row>
    <row r="520">
      <c r="A520" s="41"/>
      <c r="B520" s="41"/>
      <c r="C520" s="41"/>
      <c r="D520" s="41"/>
      <c r="E520" s="41"/>
      <c r="F520" s="41"/>
      <c r="G520" s="41"/>
      <c r="H520" s="41"/>
      <c r="I520" s="41"/>
      <c r="J520" s="41"/>
      <c r="K520" s="41"/>
      <c r="L520" s="41"/>
      <c r="M520" s="41"/>
      <c r="N520" s="41"/>
      <c r="O520" s="41"/>
      <c r="P520" s="41"/>
      <c r="Q520" s="41"/>
      <c r="R520" s="41"/>
      <c r="S520" s="41"/>
      <c r="T520" s="575"/>
      <c r="U520" s="575"/>
      <c r="V520" s="575"/>
      <c r="W520" s="575"/>
    </row>
    <row r="521">
      <c r="A521" s="41"/>
      <c r="B521" s="41"/>
      <c r="C521" s="41"/>
      <c r="D521" s="41"/>
      <c r="E521" s="41"/>
      <c r="F521" s="41"/>
      <c r="G521" s="41"/>
      <c r="H521" s="41"/>
      <c r="I521" s="41"/>
      <c r="J521" s="41"/>
      <c r="K521" s="41"/>
      <c r="L521" s="41"/>
      <c r="M521" s="41"/>
      <c r="N521" s="41"/>
      <c r="O521" s="41"/>
      <c r="P521" s="41"/>
      <c r="Q521" s="41"/>
      <c r="R521" s="41"/>
      <c r="S521" s="41"/>
      <c r="T521" s="575"/>
      <c r="U521" s="575"/>
      <c r="V521" s="575"/>
      <c r="W521" s="575"/>
    </row>
    <row r="522">
      <c r="A522" s="41"/>
      <c r="B522" s="41"/>
      <c r="C522" s="41"/>
      <c r="D522" s="41"/>
      <c r="E522" s="41"/>
      <c r="F522" s="41"/>
      <c r="G522" s="41"/>
      <c r="H522" s="41"/>
      <c r="I522" s="41"/>
      <c r="J522" s="41"/>
      <c r="K522" s="41"/>
      <c r="L522" s="41"/>
      <c r="M522" s="41"/>
      <c r="N522" s="41"/>
      <c r="O522" s="41"/>
      <c r="P522" s="41"/>
      <c r="Q522" s="41"/>
      <c r="R522" s="41"/>
      <c r="S522" s="41"/>
      <c r="T522" s="575"/>
      <c r="U522" s="575"/>
      <c r="V522" s="575"/>
      <c r="W522" s="575"/>
    </row>
    <row r="523">
      <c r="A523" s="41"/>
      <c r="B523" s="41"/>
      <c r="C523" s="41"/>
      <c r="D523" s="41"/>
      <c r="E523" s="41"/>
      <c r="F523" s="41"/>
      <c r="G523" s="41"/>
      <c r="H523" s="41"/>
      <c r="I523" s="41"/>
      <c r="J523" s="41"/>
      <c r="K523" s="41"/>
      <c r="L523" s="41"/>
      <c r="M523" s="41"/>
      <c r="N523" s="41"/>
      <c r="O523" s="41"/>
      <c r="P523" s="41"/>
      <c r="Q523" s="41"/>
      <c r="R523" s="41"/>
      <c r="S523" s="41"/>
      <c r="T523" s="575"/>
      <c r="U523" s="575"/>
      <c r="V523" s="575"/>
      <c r="W523" s="575"/>
    </row>
    <row r="524">
      <c r="A524" s="41"/>
      <c r="B524" s="41"/>
      <c r="C524" s="41"/>
      <c r="D524" s="41"/>
      <c r="E524" s="41"/>
      <c r="F524" s="41"/>
      <c r="G524" s="41"/>
      <c r="H524" s="41"/>
      <c r="I524" s="41"/>
      <c r="J524" s="41"/>
      <c r="K524" s="41"/>
      <c r="L524" s="41"/>
      <c r="M524" s="41"/>
      <c r="N524" s="41"/>
      <c r="O524" s="41"/>
      <c r="P524" s="41"/>
      <c r="Q524" s="41"/>
      <c r="R524" s="41"/>
      <c r="S524" s="41"/>
      <c r="T524" s="575"/>
      <c r="U524" s="575"/>
      <c r="V524" s="575"/>
      <c r="W524" s="575"/>
    </row>
    <row r="525">
      <c r="A525" s="41"/>
      <c r="B525" s="41"/>
      <c r="C525" s="41"/>
      <c r="D525" s="41"/>
      <c r="E525" s="41"/>
      <c r="F525" s="41"/>
      <c r="G525" s="41"/>
      <c r="H525" s="41"/>
      <c r="I525" s="41"/>
      <c r="J525" s="41"/>
      <c r="K525" s="41"/>
      <c r="L525" s="41"/>
      <c r="M525" s="41"/>
      <c r="N525" s="41"/>
      <c r="O525" s="41"/>
      <c r="P525" s="41"/>
      <c r="Q525" s="41"/>
      <c r="R525" s="41"/>
      <c r="S525" s="41"/>
      <c r="T525" s="575"/>
      <c r="U525" s="575"/>
      <c r="V525" s="575"/>
      <c r="W525" s="575"/>
    </row>
    <row r="526">
      <c r="A526" s="41"/>
      <c r="B526" s="41"/>
      <c r="C526" s="41"/>
      <c r="D526" s="41"/>
      <c r="E526" s="41"/>
      <c r="F526" s="41"/>
      <c r="G526" s="41"/>
      <c r="H526" s="41"/>
      <c r="I526" s="41"/>
      <c r="J526" s="41"/>
      <c r="K526" s="41"/>
      <c r="L526" s="41"/>
      <c r="M526" s="41"/>
      <c r="N526" s="41"/>
      <c r="O526" s="41"/>
      <c r="P526" s="41"/>
      <c r="Q526" s="41"/>
      <c r="R526" s="41"/>
      <c r="S526" s="41"/>
      <c r="T526" s="575"/>
      <c r="U526" s="575"/>
      <c r="V526" s="575"/>
      <c r="W526" s="575"/>
    </row>
    <row r="527">
      <c r="A527" s="41"/>
      <c r="B527" s="41"/>
      <c r="C527" s="41"/>
      <c r="D527" s="41"/>
      <c r="E527" s="41"/>
      <c r="F527" s="41"/>
      <c r="G527" s="41"/>
      <c r="H527" s="41"/>
      <c r="I527" s="41"/>
      <c r="J527" s="41"/>
      <c r="K527" s="41"/>
      <c r="L527" s="41"/>
      <c r="M527" s="41"/>
      <c r="N527" s="41"/>
      <c r="O527" s="41"/>
      <c r="P527" s="41"/>
      <c r="Q527" s="41"/>
      <c r="R527" s="41"/>
      <c r="S527" s="41"/>
      <c r="T527" s="575"/>
      <c r="U527" s="575"/>
      <c r="V527" s="575"/>
      <c r="W527" s="575"/>
    </row>
    <row r="528">
      <c r="A528" s="41"/>
      <c r="B528" s="41"/>
      <c r="C528" s="41"/>
      <c r="D528" s="41"/>
      <c r="E528" s="41"/>
      <c r="F528" s="41"/>
      <c r="G528" s="41"/>
      <c r="H528" s="41"/>
      <c r="I528" s="41"/>
      <c r="J528" s="41"/>
      <c r="K528" s="41"/>
      <c r="L528" s="41"/>
      <c r="M528" s="41"/>
      <c r="N528" s="41"/>
      <c r="O528" s="41"/>
      <c r="P528" s="41"/>
      <c r="Q528" s="41"/>
      <c r="R528" s="41"/>
      <c r="S528" s="41"/>
      <c r="T528" s="575"/>
      <c r="U528" s="575"/>
      <c r="V528" s="575"/>
      <c r="W528" s="575"/>
    </row>
    <row r="529">
      <c r="A529" s="41"/>
      <c r="B529" s="41"/>
      <c r="C529" s="41"/>
      <c r="D529" s="41"/>
      <c r="E529" s="41"/>
      <c r="F529" s="41"/>
      <c r="G529" s="41"/>
      <c r="H529" s="41"/>
      <c r="I529" s="41"/>
      <c r="J529" s="41"/>
      <c r="K529" s="41"/>
      <c r="L529" s="41"/>
      <c r="M529" s="41"/>
      <c r="N529" s="41"/>
      <c r="O529" s="41"/>
      <c r="P529" s="41"/>
      <c r="Q529" s="41"/>
      <c r="R529" s="41"/>
      <c r="S529" s="41"/>
      <c r="T529" s="575"/>
      <c r="U529" s="575"/>
      <c r="V529" s="575"/>
      <c r="W529" s="575"/>
    </row>
    <row r="530">
      <c r="A530" s="41"/>
      <c r="B530" s="41"/>
      <c r="C530" s="41"/>
      <c r="D530" s="41"/>
      <c r="E530" s="41"/>
      <c r="F530" s="41"/>
      <c r="G530" s="41"/>
      <c r="H530" s="41"/>
      <c r="I530" s="41"/>
      <c r="J530" s="41"/>
      <c r="K530" s="41"/>
      <c r="L530" s="41"/>
      <c r="M530" s="41"/>
      <c r="N530" s="41"/>
      <c r="O530" s="41"/>
      <c r="P530" s="41"/>
      <c r="Q530" s="41"/>
      <c r="R530" s="41"/>
      <c r="S530" s="41"/>
      <c r="T530" s="575"/>
      <c r="U530" s="575"/>
      <c r="V530" s="575"/>
      <c r="W530" s="575"/>
    </row>
    <row r="531">
      <c r="A531" s="41"/>
      <c r="B531" s="41"/>
      <c r="C531" s="41"/>
      <c r="D531" s="41"/>
      <c r="E531" s="41"/>
      <c r="F531" s="41"/>
      <c r="G531" s="41"/>
      <c r="H531" s="41"/>
      <c r="I531" s="41"/>
      <c r="J531" s="41"/>
      <c r="K531" s="41"/>
      <c r="L531" s="41"/>
      <c r="M531" s="41"/>
      <c r="N531" s="41"/>
      <c r="O531" s="41"/>
      <c r="P531" s="41"/>
      <c r="Q531" s="41"/>
      <c r="R531" s="41"/>
      <c r="S531" s="41"/>
      <c r="T531" s="575"/>
      <c r="U531" s="575"/>
      <c r="V531" s="575"/>
      <c r="W531" s="575"/>
    </row>
    <row r="532">
      <c r="A532" s="41"/>
      <c r="B532" s="41"/>
      <c r="C532" s="41"/>
      <c r="D532" s="41"/>
      <c r="E532" s="41"/>
      <c r="F532" s="41"/>
      <c r="G532" s="41"/>
      <c r="H532" s="41"/>
      <c r="I532" s="41"/>
      <c r="J532" s="41"/>
      <c r="K532" s="41"/>
      <c r="L532" s="41"/>
      <c r="M532" s="41"/>
      <c r="N532" s="41"/>
      <c r="O532" s="41"/>
      <c r="P532" s="41"/>
      <c r="Q532" s="41"/>
      <c r="R532" s="41"/>
      <c r="S532" s="41"/>
      <c r="T532" s="575"/>
      <c r="U532" s="575"/>
      <c r="V532" s="575"/>
      <c r="W532" s="575"/>
    </row>
    <row r="533">
      <c r="A533" s="41"/>
      <c r="B533" s="41"/>
      <c r="C533" s="41"/>
      <c r="D533" s="41"/>
      <c r="E533" s="41"/>
      <c r="F533" s="41"/>
      <c r="G533" s="41"/>
      <c r="H533" s="41"/>
      <c r="I533" s="41"/>
      <c r="J533" s="41"/>
      <c r="K533" s="41"/>
      <c r="L533" s="41"/>
      <c r="M533" s="41"/>
      <c r="N533" s="41"/>
      <c r="O533" s="41"/>
      <c r="P533" s="41"/>
      <c r="Q533" s="41"/>
      <c r="R533" s="41"/>
      <c r="S533" s="41"/>
      <c r="T533" s="575"/>
      <c r="U533" s="575"/>
      <c r="V533" s="575"/>
      <c r="W533" s="575"/>
    </row>
    <row r="534">
      <c r="A534" s="41"/>
      <c r="B534" s="41"/>
      <c r="C534" s="41"/>
      <c r="D534" s="41"/>
      <c r="E534" s="41"/>
      <c r="F534" s="41"/>
      <c r="G534" s="41"/>
      <c r="H534" s="41"/>
      <c r="I534" s="41"/>
      <c r="J534" s="41"/>
      <c r="K534" s="41"/>
      <c r="L534" s="41"/>
      <c r="M534" s="41"/>
      <c r="N534" s="41"/>
      <c r="O534" s="41"/>
      <c r="P534" s="41"/>
      <c r="Q534" s="41"/>
      <c r="R534" s="41"/>
      <c r="S534" s="41"/>
      <c r="T534" s="575"/>
      <c r="U534" s="575"/>
      <c r="V534" s="575"/>
      <c r="W534" s="575"/>
    </row>
    <row r="535">
      <c r="A535" s="41"/>
      <c r="B535" s="41"/>
      <c r="C535" s="41"/>
      <c r="D535" s="41"/>
      <c r="E535" s="41"/>
      <c r="F535" s="41"/>
      <c r="G535" s="41"/>
      <c r="H535" s="41"/>
      <c r="I535" s="41"/>
      <c r="J535" s="41"/>
      <c r="K535" s="41"/>
      <c r="L535" s="41"/>
      <c r="M535" s="41"/>
      <c r="N535" s="41"/>
      <c r="O535" s="41"/>
      <c r="P535" s="41"/>
      <c r="Q535" s="41"/>
      <c r="R535" s="41"/>
      <c r="S535" s="41"/>
      <c r="T535" s="575"/>
      <c r="U535" s="575"/>
      <c r="V535" s="575"/>
      <c r="W535" s="575"/>
    </row>
    <row r="536">
      <c r="A536" s="41"/>
      <c r="B536" s="41"/>
      <c r="C536" s="41"/>
      <c r="D536" s="41"/>
      <c r="E536" s="41"/>
      <c r="F536" s="41"/>
      <c r="G536" s="41"/>
      <c r="H536" s="41"/>
      <c r="I536" s="41"/>
      <c r="J536" s="41"/>
      <c r="K536" s="41"/>
      <c r="L536" s="41"/>
      <c r="M536" s="41"/>
      <c r="N536" s="41"/>
      <c r="O536" s="41"/>
      <c r="P536" s="41"/>
      <c r="Q536" s="41"/>
      <c r="R536" s="41"/>
      <c r="S536" s="41"/>
      <c r="T536" s="575"/>
      <c r="U536" s="575"/>
      <c r="V536" s="575"/>
      <c r="W536" s="575"/>
    </row>
    <row r="537">
      <c r="A537" s="41"/>
      <c r="B537" s="41"/>
      <c r="C537" s="41"/>
      <c r="D537" s="41"/>
      <c r="E537" s="41"/>
      <c r="F537" s="41"/>
      <c r="G537" s="41"/>
      <c r="H537" s="41"/>
      <c r="I537" s="41"/>
      <c r="J537" s="41"/>
      <c r="K537" s="41"/>
      <c r="L537" s="41"/>
      <c r="M537" s="41"/>
      <c r="N537" s="41"/>
      <c r="O537" s="41"/>
      <c r="P537" s="41"/>
      <c r="Q537" s="41"/>
      <c r="R537" s="41"/>
      <c r="S537" s="41"/>
      <c r="T537" s="575"/>
      <c r="U537" s="575"/>
      <c r="V537" s="575"/>
      <c r="W537" s="575"/>
    </row>
    <row r="538">
      <c r="A538" s="41"/>
      <c r="B538" s="41"/>
      <c r="C538" s="41"/>
      <c r="D538" s="41"/>
      <c r="E538" s="41"/>
      <c r="F538" s="41"/>
      <c r="G538" s="41"/>
      <c r="H538" s="41"/>
      <c r="I538" s="41"/>
      <c r="J538" s="41"/>
      <c r="K538" s="41"/>
      <c r="L538" s="41"/>
      <c r="M538" s="41"/>
      <c r="N538" s="41"/>
      <c r="O538" s="41"/>
      <c r="P538" s="41"/>
      <c r="Q538" s="41"/>
      <c r="R538" s="41"/>
      <c r="S538" s="41"/>
      <c r="T538" s="575"/>
      <c r="U538" s="575"/>
      <c r="V538" s="575"/>
      <c r="W538" s="575"/>
    </row>
    <row r="539">
      <c r="A539" s="41"/>
      <c r="B539" s="41"/>
      <c r="C539" s="41"/>
      <c r="D539" s="41"/>
      <c r="E539" s="41"/>
      <c r="F539" s="41"/>
      <c r="G539" s="41"/>
      <c r="H539" s="41"/>
      <c r="I539" s="41"/>
      <c r="J539" s="41"/>
      <c r="K539" s="41"/>
      <c r="L539" s="41"/>
      <c r="M539" s="41"/>
      <c r="N539" s="41"/>
      <c r="O539" s="41"/>
      <c r="P539" s="41"/>
      <c r="Q539" s="41"/>
      <c r="R539" s="41"/>
      <c r="S539" s="41"/>
      <c r="T539" s="575"/>
      <c r="U539" s="575"/>
      <c r="V539" s="575"/>
      <c r="W539" s="575"/>
    </row>
    <row r="540">
      <c r="A540" s="41"/>
      <c r="B540" s="41"/>
      <c r="C540" s="41"/>
      <c r="D540" s="41"/>
      <c r="E540" s="41"/>
      <c r="F540" s="41"/>
      <c r="G540" s="41"/>
      <c r="H540" s="41"/>
      <c r="I540" s="41"/>
      <c r="J540" s="41"/>
      <c r="K540" s="41"/>
      <c r="L540" s="41"/>
      <c r="M540" s="41"/>
      <c r="N540" s="41"/>
      <c r="O540" s="41"/>
      <c r="P540" s="41"/>
      <c r="Q540" s="41"/>
      <c r="R540" s="41"/>
      <c r="S540" s="41"/>
      <c r="T540" s="575"/>
      <c r="U540" s="575"/>
      <c r="V540" s="575"/>
      <c r="W540" s="575"/>
    </row>
    <row r="541">
      <c r="A541" s="41"/>
      <c r="B541" s="41"/>
      <c r="C541" s="41"/>
      <c r="D541" s="41"/>
      <c r="E541" s="41"/>
      <c r="F541" s="41"/>
      <c r="G541" s="41"/>
      <c r="H541" s="41"/>
      <c r="I541" s="41"/>
      <c r="J541" s="41"/>
      <c r="K541" s="41"/>
      <c r="L541" s="41"/>
      <c r="M541" s="41"/>
      <c r="N541" s="41"/>
      <c r="O541" s="41"/>
      <c r="P541" s="41"/>
      <c r="Q541" s="41"/>
      <c r="R541" s="41"/>
      <c r="S541" s="41"/>
      <c r="T541" s="575"/>
      <c r="U541" s="575"/>
      <c r="V541" s="575"/>
      <c r="W541" s="575"/>
    </row>
    <row r="542">
      <c r="A542" s="41"/>
      <c r="B542" s="41"/>
      <c r="C542" s="41"/>
      <c r="D542" s="41"/>
      <c r="E542" s="41"/>
      <c r="F542" s="41"/>
      <c r="G542" s="41"/>
      <c r="H542" s="41"/>
      <c r="I542" s="41"/>
      <c r="J542" s="41"/>
      <c r="K542" s="41"/>
      <c r="L542" s="41"/>
      <c r="M542" s="41"/>
      <c r="N542" s="41"/>
      <c r="O542" s="41"/>
      <c r="P542" s="41"/>
      <c r="Q542" s="41"/>
      <c r="R542" s="41"/>
      <c r="S542" s="41"/>
      <c r="T542" s="575"/>
      <c r="U542" s="575"/>
      <c r="V542" s="575"/>
      <c r="W542" s="575"/>
    </row>
    <row r="543">
      <c r="A543" s="41"/>
      <c r="B543" s="41"/>
      <c r="C543" s="41"/>
      <c r="D543" s="41"/>
      <c r="E543" s="41"/>
      <c r="F543" s="41"/>
      <c r="G543" s="41"/>
      <c r="H543" s="41"/>
      <c r="I543" s="41"/>
      <c r="J543" s="41"/>
      <c r="K543" s="41"/>
      <c r="L543" s="41"/>
      <c r="M543" s="41"/>
      <c r="N543" s="41"/>
      <c r="O543" s="41"/>
      <c r="P543" s="41"/>
      <c r="Q543" s="41"/>
      <c r="R543" s="41"/>
      <c r="S543" s="41"/>
      <c r="T543" s="575"/>
      <c r="U543" s="575"/>
      <c r="V543" s="575"/>
      <c r="W543" s="575"/>
    </row>
    <row r="544">
      <c r="A544" s="41"/>
      <c r="B544" s="41"/>
      <c r="C544" s="41"/>
      <c r="D544" s="41"/>
      <c r="E544" s="41"/>
      <c r="F544" s="41"/>
      <c r="G544" s="41"/>
      <c r="H544" s="41"/>
      <c r="I544" s="41"/>
      <c r="J544" s="41"/>
      <c r="K544" s="41"/>
      <c r="L544" s="41"/>
      <c r="M544" s="41"/>
      <c r="N544" s="41"/>
      <c r="O544" s="41"/>
      <c r="P544" s="41"/>
      <c r="Q544" s="41"/>
      <c r="R544" s="41"/>
      <c r="S544" s="41"/>
      <c r="T544" s="575"/>
      <c r="U544" s="575"/>
      <c r="V544" s="575"/>
      <c r="W544" s="575"/>
    </row>
    <row r="545">
      <c r="A545" s="41"/>
      <c r="B545" s="41"/>
      <c r="C545" s="41"/>
      <c r="D545" s="41"/>
      <c r="E545" s="41"/>
      <c r="F545" s="41"/>
      <c r="G545" s="41"/>
      <c r="H545" s="41"/>
      <c r="I545" s="41"/>
      <c r="J545" s="41"/>
      <c r="K545" s="41"/>
      <c r="L545" s="41"/>
      <c r="M545" s="41"/>
      <c r="N545" s="41"/>
      <c r="O545" s="41"/>
      <c r="P545" s="41"/>
      <c r="Q545" s="41"/>
      <c r="R545" s="41"/>
      <c r="S545" s="41"/>
      <c r="T545" s="575"/>
      <c r="U545" s="575"/>
      <c r="V545" s="575"/>
      <c r="W545" s="575"/>
    </row>
    <row r="546">
      <c r="A546" s="41"/>
      <c r="B546" s="41"/>
      <c r="C546" s="41"/>
      <c r="D546" s="41"/>
      <c r="E546" s="41"/>
      <c r="F546" s="41"/>
      <c r="G546" s="41"/>
      <c r="H546" s="41"/>
      <c r="I546" s="41"/>
      <c r="J546" s="41"/>
      <c r="K546" s="41"/>
      <c r="L546" s="41"/>
      <c r="M546" s="41"/>
      <c r="N546" s="41"/>
      <c r="O546" s="41"/>
      <c r="P546" s="41"/>
      <c r="Q546" s="41"/>
      <c r="R546" s="41"/>
      <c r="S546" s="41"/>
      <c r="T546" s="575"/>
      <c r="U546" s="575"/>
      <c r="V546" s="575"/>
      <c r="W546" s="575"/>
    </row>
    <row r="547">
      <c r="A547" s="41"/>
      <c r="B547" s="41"/>
      <c r="C547" s="41"/>
      <c r="D547" s="41"/>
      <c r="E547" s="41"/>
      <c r="F547" s="41"/>
      <c r="G547" s="41"/>
      <c r="H547" s="41"/>
      <c r="I547" s="41"/>
      <c r="J547" s="41"/>
      <c r="K547" s="41"/>
      <c r="L547" s="41"/>
      <c r="M547" s="41"/>
      <c r="N547" s="41"/>
      <c r="O547" s="41"/>
      <c r="P547" s="41"/>
      <c r="Q547" s="41"/>
      <c r="R547" s="41"/>
      <c r="S547" s="41"/>
      <c r="T547" s="575"/>
      <c r="U547" s="575"/>
      <c r="V547" s="575"/>
      <c r="W547" s="575"/>
    </row>
    <row r="548">
      <c r="A548" s="41"/>
      <c r="B548" s="41"/>
      <c r="C548" s="41"/>
      <c r="D548" s="41"/>
      <c r="E548" s="41"/>
      <c r="F548" s="41"/>
      <c r="G548" s="41"/>
      <c r="H548" s="41"/>
      <c r="I548" s="41"/>
      <c r="J548" s="41"/>
      <c r="K548" s="41"/>
      <c r="L548" s="41"/>
      <c r="M548" s="41"/>
      <c r="N548" s="41"/>
      <c r="O548" s="41"/>
      <c r="P548" s="41"/>
      <c r="Q548" s="41"/>
      <c r="R548" s="41"/>
      <c r="S548" s="41"/>
      <c r="T548" s="575"/>
      <c r="U548" s="575"/>
      <c r="V548" s="575"/>
      <c r="W548" s="575"/>
    </row>
    <row r="549">
      <c r="A549" s="41"/>
      <c r="B549" s="41"/>
      <c r="C549" s="41"/>
      <c r="D549" s="41"/>
      <c r="E549" s="41"/>
      <c r="F549" s="41"/>
      <c r="G549" s="41"/>
      <c r="H549" s="41"/>
      <c r="I549" s="41"/>
      <c r="J549" s="41"/>
      <c r="K549" s="41"/>
      <c r="L549" s="41"/>
      <c r="M549" s="41"/>
      <c r="N549" s="41"/>
      <c r="O549" s="41"/>
      <c r="P549" s="41"/>
      <c r="Q549" s="41"/>
      <c r="R549" s="41"/>
      <c r="S549" s="41"/>
      <c r="T549" s="575"/>
      <c r="U549" s="575"/>
      <c r="V549" s="575"/>
      <c r="W549" s="575"/>
    </row>
    <row r="550">
      <c r="A550" s="41"/>
      <c r="B550" s="41"/>
      <c r="C550" s="41"/>
      <c r="D550" s="41"/>
      <c r="E550" s="41"/>
      <c r="F550" s="41"/>
      <c r="G550" s="41"/>
      <c r="H550" s="41"/>
      <c r="I550" s="41"/>
      <c r="J550" s="41"/>
      <c r="K550" s="41"/>
      <c r="L550" s="41"/>
      <c r="M550" s="41"/>
      <c r="N550" s="41"/>
      <c r="O550" s="41"/>
      <c r="P550" s="41"/>
      <c r="Q550" s="41"/>
      <c r="R550" s="41"/>
      <c r="S550" s="41"/>
      <c r="T550" s="575"/>
      <c r="U550" s="575"/>
      <c r="V550" s="575"/>
      <c r="W550" s="575"/>
    </row>
    <row r="551">
      <c r="A551" s="41"/>
      <c r="B551" s="41"/>
      <c r="C551" s="41"/>
      <c r="D551" s="41"/>
      <c r="E551" s="41"/>
      <c r="F551" s="41"/>
      <c r="G551" s="41"/>
      <c r="H551" s="41"/>
      <c r="I551" s="41"/>
      <c r="J551" s="41"/>
      <c r="K551" s="41"/>
      <c r="L551" s="41"/>
      <c r="M551" s="41"/>
      <c r="N551" s="41"/>
      <c r="O551" s="41"/>
      <c r="P551" s="41"/>
      <c r="Q551" s="41"/>
      <c r="R551" s="41"/>
      <c r="S551" s="41"/>
      <c r="T551" s="575"/>
      <c r="U551" s="575"/>
      <c r="V551" s="575"/>
      <c r="W551" s="575"/>
    </row>
    <row r="552">
      <c r="A552" s="41"/>
      <c r="B552" s="41"/>
      <c r="C552" s="41"/>
      <c r="D552" s="41"/>
      <c r="E552" s="41"/>
      <c r="F552" s="41"/>
      <c r="G552" s="41"/>
      <c r="H552" s="41"/>
      <c r="I552" s="41"/>
      <c r="J552" s="41"/>
      <c r="K552" s="41"/>
      <c r="L552" s="41"/>
      <c r="M552" s="41"/>
      <c r="N552" s="41"/>
      <c r="O552" s="41"/>
      <c r="P552" s="41"/>
      <c r="Q552" s="41"/>
      <c r="R552" s="41"/>
      <c r="S552" s="41"/>
      <c r="T552" s="575"/>
      <c r="U552" s="575"/>
      <c r="V552" s="575"/>
      <c r="W552" s="575"/>
    </row>
    <row r="553">
      <c r="A553" s="41"/>
      <c r="B553" s="41"/>
      <c r="C553" s="41"/>
      <c r="D553" s="41"/>
      <c r="E553" s="41"/>
      <c r="F553" s="41"/>
      <c r="G553" s="41"/>
      <c r="H553" s="41"/>
      <c r="I553" s="41"/>
      <c r="J553" s="41"/>
      <c r="K553" s="41"/>
      <c r="L553" s="41"/>
      <c r="M553" s="41"/>
      <c r="N553" s="41"/>
      <c r="O553" s="41"/>
      <c r="P553" s="41"/>
      <c r="Q553" s="41"/>
      <c r="R553" s="41"/>
      <c r="S553" s="41"/>
      <c r="T553" s="575"/>
      <c r="U553" s="575"/>
      <c r="V553" s="575"/>
      <c r="W553" s="575"/>
    </row>
    <row r="554">
      <c r="A554" s="41"/>
      <c r="B554" s="41"/>
      <c r="C554" s="41"/>
      <c r="D554" s="41"/>
      <c r="E554" s="41"/>
      <c r="F554" s="41"/>
      <c r="G554" s="41"/>
      <c r="H554" s="41"/>
      <c r="I554" s="41"/>
      <c r="J554" s="41"/>
      <c r="K554" s="41"/>
      <c r="L554" s="41"/>
      <c r="M554" s="41"/>
      <c r="N554" s="41"/>
      <c r="O554" s="41"/>
      <c r="P554" s="41"/>
      <c r="Q554" s="41"/>
      <c r="R554" s="41"/>
      <c r="S554" s="41"/>
      <c r="T554" s="575"/>
      <c r="U554" s="575"/>
      <c r="V554" s="575"/>
      <c r="W554" s="575"/>
    </row>
    <row r="555">
      <c r="A555" s="41"/>
      <c r="B555" s="41"/>
      <c r="C555" s="41"/>
      <c r="D555" s="41"/>
      <c r="E555" s="41"/>
      <c r="F555" s="41"/>
      <c r="G555" s="41"/>
      <c r="H555" s="41"/>
      <c r="I555" s="41"/>
      <c r="J555" s="41"/>
      <c r="K555" s="41"/>
      <c r="L555" s="41"/>
      <c r="M555" s="41"/>
      <c r="N555" s="41"/>
      <c r="O555" s="41"/>
      <c r="P555" s="41"/>
      <c r="Q555" s="41"/>
      <c r="R555" s="41"/>
      <c r="S555" s="41"/>
      <c r="T555" s="575"/>
      <c r="U555" s="575"/>
      <c r="V555" s="575"/>
      <c r="W555" s="575"/>
    </row>
    <row r="556">
      <c r="A556" s="41"/>
      <c r="B556" s="41"/>
      <c r="C556" s="41"/>
      <c r="D556" s="41"/>
      <c r="E556" s="41"/>
      <c r="F556" s="41"/>
      <c r="G556" s="41"/>
      <c r="H556" s="41"/>
      <c r="I556" s="41"/>
      <c r="J556" s="41"/>
      <c r="K556" s="41"/>
      <c r="L556" s="41"/>
      <c r="M556" s="41"/>
      <c r="N556" s="41"/>
      <c r="O556" s="41"/>
      <c r="P556" s="41"/>
      <c r="Q556" s="41"/>
      <c r="R556" s="41"/>
      <c r="S556" s="41"/>
      <c r="T556" s="575"/>
      <c r="U556" s="575"/>
      <c r="V556" s="575"/>
      <c r="W556" s="575"/>
    </row>
    <row r="557">
      <c r="A557" s="41"/>
      <c r="B557" s="41"/>
      <c r="C557" s="41"/>
      <c r="D557" s="41"/>
      <c r="E557" s="41"/>
      <c r="F557" s="41"/>
      <c r="G557" s="41"/>
      <c r="H557" s="41"/>
      <c r="I557" s="41"/>
      <c r="J557" s="41"/>
      <c r="K557" s="41"/>
      <c r="L557" s="41"/>
      <c r="M557" s="41"/>
      <c r="N557" s="41"/>
      <c r="O557" s="41"/>
      <c r="P557" s="41"/>
      <c r="Q557" s="41"/>
      <c r="R557" s="41"/>
      <c r="S557" s="41"/>
      <c r="T557" s="575"/>
      <c r="U557" s="575"/>
      <c r="V557" s="575"/>
      <c r="W557" s="575"/>
    </row>
    <row r="558">
      <c r="A558" s="41"/>
      <c r="B558" s="41"/>
      <c r="C558" s="41"/>
      <c r="D558" s="41"/>
      <c r="E558" s="41"/>
      <c r="F558" s="41"/>
      <c r="G558" s="41"/>
      <c r="H558" s="41"/>
      <c r="I558" s="41"/>
      <c r="J558" s="41"/>
      <c r="K558" s="41"/>
      <c r="L558" s="41"/>
      <c r="M558" s="41"/>
      <c r="N558" s="41"/>
      <c r="O558" s="41"/>
      <c r="P558" s="41"/>
      <c r="Q558" s="41"/>
      <c r="R558" s="41"/>
      <c r="S558" s="41"/>
      <c r="T558" s="575"/>
      <c r="U558" s="575"/>
      <c r="V558" s="575"/>
      <c r="W558" s="575"/>
    </row>
    <row r="559">
      <c r="A559" s="41"/>
      <c r="B559" s="41"/>
      <c r="C559" s="41"/>
      <c r="D559" s="41"/>
      <c r="E559" s="41"/>
      <c r="F559" s="41"/>
      <c r="G559" s="41"/>
      <c r="H559" s="41"/>
      <c r="I559" s="41"/>
      <c r="J559" s="41"/>
      <c r="K559" s="41"/>
      <c r="L559" s="41"/>
      <c r="M559" s="41"/>
      <c r="N559" s="41"/>
      <c r="O559" s="41"/>
      <c r="P559" s="41"/>
      <c r="Q559" s="41"/>
      <c r="R559" s="41"/>
      <c r="S559" s="41"/>
      <c r="T559" s="575"/>
      <c r="U559" s="575"/>
      <c r="V559" s="575"/>
      <c r="W559" s="575"/>
    </row>
    <row r="560">
      <c r="A560" s="41"/>
      <c r="B560" s="41"/>
      <c r="C560" s="41"/>
      <c r="D560" s="41"/>
      <c r="E560" s="41"/>
      <c r="F560" s="41"/>
      <c r="G560" s="41"/>
      <c r="H560" s="41"/>
      <c r="I560" s="41"/>
      <c r="J560" s="41"/>
      <c r="K560" s="41"/>
      <c r="L560" s="41"/>
      <c r="M560" s="41"/>
      <c r="N560" s="41"/>
      <c r="O560" s="41"/>
      <c r="P560" s="41"/>
      <c r="Q560" s="41"/>
      <c r="R560" s="41"/>
      <c r="S560" s="41"/>
      <c r="T560" s="575"/>
      <c r="U560" s="575"/>
      <c r="V560" s="575"/>
      <c r="W560" s="575"/>
    </row>
    <row r="561">
      <c r="A561" s="41"/>
      <c r="B561" s="41"/>
      <c r="C561" s="41"/>
      <c r="D561" s="41"/>
      <c r="E561" s="41"/>
      <c r="F561" s="41"/>
      <c r="G561" s="41"/>
      <c r="H561" s="41"/>
      <c r="I561" s="41"/>
      <c r="J561" s="41"/>
      <c r="K561" s="41"/>
      <c r="L561" s="41"/>
      <c r="M561" s="41"/>
      <c r="N561" s="41"/>
      <c r="O561" s="41"/>
      <c r="P561" s="41"/>
      <c r="Q561" s="41"/>
      <c r="R561" s="41"/>
      <c r="S561" s="41"/>
      <c r="T561" s="575"/>
      <c r="U561" s="575"/>
      <c r="V561" s="575"/>
      <c r="W561" s="575"/>
    </row>
    <row r="562">
      <c r="A562" s="41"/>
      <c r="B562" s="41"/>
      <c r="C562" s="41"/>
      <c r="D562" s="41"/>
      <c r="E562" s="41"/>
      <c r="F562" s="41"/>
      <c r="G562" s="41"/>
      <c r="H562" s="41"/>
      <c r="I562" s="41"/>
      <c r="J562" s="41"/>
      <c r="K562" s="41"/>
      <c r="L562" s="41"/>
      <c r="M562" s="41"/>
      <c r="N562" s="41"/>
      <c r="O562" s="41"/>
      <c r="P562" s="41"/>
      <c r="Q562" s="41"/>
      <c r="R562" s="41"/>
      <c r="S562" s="41"/>
      <c r="T562" s="575"/>
      <c r="U562" s="575"/>
      <c r="V562" s="575"/>
      <c r="W562" s="575"/>
    </row>
    <row r="563">
      <c r="A563" s="41"/>
      <c r="B563" s="41"/>
      <c r="C563" s="41"/>
      <c r="D563" s="41"/>
      <c r="E563" s="41"/>
      <c r="F563" s="41"/>
      <c r="G563" s="41"/>
      <c r="H563" s="41"/>
      <c r="I563" s="41"/>
      <c r="J563" s="41"/>
      <c r="K563" s="41"/>
      <c r="L563" s="41"/>
      <c r="M563" s="41"/>
      <c r="N563" s="41"/>
      <c r="O563" s="41"/>
      <c r="P563" s="41"/>
      <c r="Q563" s="41"/>
      <c r="R563" s="41"/>
      <c r="S563" s="41"/>
      <c r="T563" s="575"/>
      <c r="U563" s="575"/>
      <c r="V563" s="575"/>
      <c r="W563" s="575"/>
    </row>
    <row r="564">
      <c r="A564" s="41"/>
      <c r="B564" s="41"/>
      <c r="C564" s="41"/>
      <c r="D564" s="41"/>
      <c r="E564" s="41"/>
      <c r="F564" s="41"/>
      <c r="G564" s="41"/>
      <c r="H564" s="41"/>
      <c r="I564" s="41"/>
      <c r="J564" s="41"/>
      <c r="K564" s="41"/>
      <c r="L564" s="41"/>
      <c r="M564" s="41"/>
      <c r="N564" s="41"/>
      <c r="O564" s="41"/>
      <c r="P564" s="41"/>
      <c r="Q564" s="41"/>
      <c r="R564" s="41"/>
      <c r="S564" s="41"/>
      <c r="T564" s="575"/>
      <c r="U564" s="575"/>
      <c r="V564" s="575"/>
      <c r="W564" s="575"/>
    </row>
    <row r="565">
      <c r="A565" s="41"/>
      <c r="B565" s="41"/>
      <c r="C565" s="41"/>
      <c r="D565" s="41"/>
      <c r="E565" s="41"/>
      <c r="F565" s="41"/>
      <c r="G565" s="41"/>
      <c r="H565" s="41"/>
      <c r="I565" s="41"/>
      <c r="J565" s="41"/>
      <c r="K565" s="41"/>
      <c r="L565" s="41"/>
      <c r="M565" s="41"/>
      <c r="N565" s="41"/>
      <c r="O565" s="41"/>
      <c r="P565" s="41"/>
      <c r="Q565" s="41"/>
      <c r="R565" s="41"/>
      <c r="S565" s="41"/>
      <c r="T565" s="575"/>
      <c r="U565" s="575"/>
      <c r="V565" s="575"/>
      <c r="W565" s="575"/>
    </row>
    <row r="566">
      <c r="A566" s="41"/>
      <c r="B566" s="41"/>
      <c r="C566" s="41"/>
      <c r="D566" s="41"/>
      <c r="E566" s="41"/>
      <c r="F566" s="41"/>
      <c r="G566" s="41"/>
      <c r="H566" s="41"/>
      <c r="I566" s="41"/>
      <c r="J566" s="41"/>
      <c r="K566" s="41"/>
      <c r="L566" s="41"/>
      <c r="M566" s="41"/>
      <c r="N566" s="41"/>
      <c r="O566" s="41"/>
      <c r="P566" s="41"/>
      <c r="Q566" s="41"/>
      <c r="R566" s="41"/>
      <c r="S566" s="41"/>
      <c r="T566" s="575"/>
      <c r="U566" s="575"/>
      <c r="V566" s="575"/>
      <c r="W566" s="575"/>
    </row>
    <row r="567">
      <c r="A567" s="41"/>
      <c r="B567" s="41"/>
      <c r="C567" s="41"/>
      <c r="D567" s="41"/>
      <c r="E567" s="41"/>
      <c r="F567" s="41"/>
      <c r="G567" s="41"/>
      <c r="H567" s="41"/>
      <c r="I567" s="41"/>
      <c r="J567" s="41"/>
      <c r="K567" s="41"/>
      <c r="L567" s="41"/>
      <c r="M567" s="41"/>
      <c r="N567" s="41"/>
      <c r="O567" s="41"/>
      <c r="P567" s="41"/>
      <c r="Q567" s="41"/>
      <c r="R567" s="41"/>
      <c r="S567" s="41"/>
      <c r="T567" s="575"/>
      <c r="U567" s="575"/>
      <c r="V567" s="575"/>
      <c r="W567" s="575"/>
    </row>
    <row r="568">
      <c r="A568" s="41"/>
      <c r="B568" s="41"/>
      <c r="C568" s="41"/>
      <c r="D568" s="41"/>
      <c r="E568" s="41"/>
      <c r="F568" s="41"/>
      <c r="G568" s="41"/>
      <c r="H568" s="41"/>
      <c r="I568" s="41"/>
      <c r="J568" s="41"/>
      <c r="K568" s="41"/>
      <c r="L568" s="41"/>
      <c r="M568" s="41"/>
      <c r="N568" s="41"/>
      <c r="O568" s="41"/>
      <c r="P568" s="41"/>
      <c r="Q568" s="41"/>
      <c r="R568" s="41"/>
      <c r="S568" s="41"/>
      <c r="T568" s="575"/>
      <c r="U568" s="575"/>
      <c r="V568" s="575"/>
      <c r="W568" s="575"/>
    </row>
    <row r="569">
      <c r="A569" s="41"/>
      <c r="B569" s="41"/>
      <c r="C569" s="41"/>
      <c r="D569" s="41"/>
      <c r="E569" s="41"/>
      <c r="F569" s="41"/>
      <c r="G569" s="41"/>
      <c r="H569" s="41"/>
      <c r="I569" s="41"/>
      <c r="J569" s="41"/>
      <c r="K569" s="41"/>
      <c r="L569" s="41"/>
      <c r="M569" s="41"/>
      <c r="N569" s="41"/>
      <c r="O569" s="41"/>
      <c r="P569" s="41"/>
      <c r="Q569" s="41"/>
      <c r="R569" s="41"/>
      <c r="S569" s="41"/>
      <c r="T569" s="575"/>
      <c r="U569" s="575"/>
      <c r="V569" s="575"/>
      <c r="W569" s="575"/>
    </row>
    <row r="570">
      <c r="A570" s="41"/>
      <c r="B570" s="41"/>
      <c r="C570" s="41"/>
      <c r="D570" s="41"/>
      <c r="E570" s="41"/>
      <c r="F570" s="41"/>
      <c r="G570" s="41"/>
      <c r="H570" s="41"/>
      <c r="I570" s="41"/>
      <c r="J570" s="41"/>
      <c r="K570" s="41"/>
      <c r="L570" s="41"/>
      <c r="M570" s="41"/>
      <c r="N570" s="41"/>
      <c r="O570" s="41"/>
      <c r="P570" s="41"/>
      <c r="Q570" s="41"/>
      <c r="R570" s="41"/>
      <c r="S570" s="41"/>
      <c r="T570" s="575"/>
      <c r="U570" s="575"/>
      <c r="V570" s="575"/>
      <c r="W570" s="575"/>
    </row>
    <row r="571">
      <c r="A571" s="41"/>
      <c r="B571" s="41"/>
      <c r="C571" s="41"/>
      <c r="D571" s="41"/>
      <c r="E571" s="41"/>
      <c r="F571" s="41"/>
      <c r="G571" s="41"/>
      <c r="H571" s="41"/>
      <c r="I571" s="41"/>
      <c r="J571" s="41"/>
      <c r="K571" s="41"/>
      <c r="L571" s="41"/>
      <c r="M571" s="41"/>
      <c r="N571" s="41"/>
      <c r="O571" s="41"/>
      <c r="P571" s="41"/>
      <c r="Q571" s="41"/>
      <c r="R571" s="41"/>
      <c r="S571" s="41"/>
      <c r="T571" s="575"/>
      <c r="U571" s="575"/>
      <c r="V571" s="575"/>
      <c r="W571" s="575"/>
    </row>
    <row r="572">
      <c r="A572" s="41"/>
      <c r="B572" s="41"/>
      <c r="C572" s="41"/>
      <c r="D572" s="41"/>
      <c r="E572" s="41"/>
      <c r="F572" s="41"/>
      <c r="G572" s="41"/>
      <c r="H572" s="41"/>
      <c r="I572" s="41"/>
      <c r="J572" s="41"/>
      <c r="K572" s="41"/>
      <c r="L572" s="41"/>
      <c r="M572" s="41"/>
      <c r="N572" s="41"/>
      <c r="O572" s="41"/>
      <c r="P572" s="41"/>
      <c r="Q572" s="41"/>
      <c r="R572" s="41"/>
      <c r="S572" s="41"/>
      <c r="T572" s="575"/>
      <c r="U572" s="575"/>
      <c r="V572" s="575"/>
      <c r="W572" s="575"/>
    </row>
    <row r="573">
      <c r="A573" s="41"/>
      <c r="B573" s="41"/>
      <c r="C573" s="41"/>
      <c r="D573" s="41"/>
      <c r="E573" s="41"/>
      <c r="F573" s="41"/>
      <c r="G573" s="41"/>
      <c r="H573" s="41"/>
      <c r="I573" s="41"/>
      <c r="J573" s="41"/>
      <c r="K573" s="41"/>
      <c r="L573" s="41"/>
      <c r="M573" s="41"/>
      <c r="N573" s="41"/>
      <c r="O573" s="41"/>
      <c r="P573" s="41"/>
      <c r="Q573" s="41"/>
      <c r="R573" s="41"/>
      <c r="S573" s="41"/>
      <c r="T573" s="575"/>
      <c r="U573" s="575"/>
      <c r="V573" s="575"/>
      <c r="W573" s="575"/>
    </row>
    <row r="574">
      <c r="A574" s="41"/>
      <c r="B574" s="41"/>
      <c r="C574" s="41"/>
      <c r="D574" s="41"/>
      <c r="E574" s="41"/>
      <c r="F574" s="41"/>
      <c r="G574" s="41"/>
      <c r="H574" s="41"/>
      <c r="I574" s="41"/>
      <c r="J574" s="41"/>
      <c r="K574" s="41"/>
      <c r="L574" s="41"/>
      <c r="M574" s="41"/>
      <c r="N574" s="41"/>
      <c r="O574" s="41"/>
      <c r="P574" s="41"/>
      <c r="Q574" s="41"/>
      <c r="R574" s="41"/>
      <c r="S574" s="41"/>
      <c r="T574" s="575"/>
      <c r="U574" s="575"/>
      <c r="V574" s="575"/>
      <c r="W574" s="575"/>
    </row>
    <row r="575">
      <c r="A575" s="41"/>
      <c r="B575" s="41"/>
      <c r="C575" s="41"/>
      <c r="D575" s="41"/>
      <c r="E575" s="41"/>
      <c r="F575" s="41"/>
      <c r="G575" s="41"/>
      <c r="H575" s="41"/>
      <c r="I575" s="41"/>
      <c r="J575" s="41"/>
      <c r="K575" s="41"/>
      <c r="L575" s="41"/>
      <c r="M575" s="41"/>
      <c r="N575" s="41"/>
      <c r="O575" s="41"/>
      <c r="P575" s="41"/>
      <c r="Q575" s="41"/>
      <c r="R575" s="41"/>
      <c r="S575" s="41"/>
      <c r="T575" s="575"/>
      <c r="U575" s="575"/>
      <c r="V575" s="575"/>
      <c r="W575" s="575"/>
    </row>
    <row r="576">
      <c r="A576" s="41"/>
      <c r="B576" s="41"/>
      <c r="C576" s="41"/>
      <c r="D576" s="41"/>
      <c r="E576" s="41"/>
      <c r="F576" s="41"/>
      <c r="G576" s="41"/>
      <c r="H576" s="41"/>
      <c r="I576" s="41"/>
      <c r="J576" s="41"/>
      <c r="K576" s="41"/>
      <c r="L576" s="41"/>
      <c r="M576" s="41"/>
      <c r="N576" s="41"/>
      <c r="O576" s="41"/>
      <c r="P576" s="41"/>
      <c r="Q576" s="41"/>
      <c r="R576" s="41"/>
      <c r="S576" s="41"/>
      <c r="T576" s="575"/>
      <c r="U576" s="575"/>
      <c r="V576" s="575"/>
      <c r="W576" s="575"/>
    </row>
    <row r="577">
      <c r="A577" s="41"/>
      <c r="B577" s="41"/>
      <c r="C577" s="41"/>
      <c r="D577" s="41"/>
      <c r="E577" s="41"/>
      <c r="F577" s="41"/>
      <c r="G577" s="41"/>
      <c r="H577" s="41"/>
      <c r="I577" s="41"/>
      <c r="J577" s="41"/>
      <c r="K577" s="41"/>
      <c r="L577" s="41"/>
      <c r="M577" s="41"/>
      <c r="N577" s="41"/>
      <c r="O577" s="41"/>
      <c r="P577" s="41"/>
      <c r="Q577" s="41"/>
      <c r="R577" s="41"/>
      <c r="S577" s="41"/>
      <c r="T577" s="575"/>
      <c r="U577" s="575"/>
      <c r="V577" s="575"/>
      <c r="W577" s="575"/>
    </row>
    <row r="578">
      <c r="A578" s="41"/>
      <c r="B578" s="41"/>
      <c r="C578" s="41"/>
      <c r="D578" s="41"/>
      <c r="E578" s="41"/>
      <c r="F578" s="41"/>
      <c r="G578" s="41"/>
      <c r="H578" s="41"/>
      <c r="I578" s="41"/>
      <c r="J578" s="41"/>
      <c r="K578" s="41"/>
      <c r="L578" s="41"/>
      <c r="M578" s="41"/>
      <c r="N578" s="41"/>
      <c r="O578" s="41"/>
      <c r="P578" s="41"/>
      <c r="Q578" s="41"/>
      <c r="R578" s="41"/>
      <c r="S578" s="41"/>
      <c r="T578" s="575"/>
      <c r="U578" s="575"/>
      <c r="V578" s="575"/>
      <c r="W578" s="575"/>
    </row>
    <row r="579">
      <c r="A579" s="41"/>
      <c r="B579" s="41"/>
      <c r="C579" s="41"/>
      <c r="D579" s="41"/>
      <c r="E579" s="41"/>
      <c r="F579" s="41"/>
      <c r="G579" s="41"/>
      <c r="H579" s="41"/>
      <c r="I579" s="41"/>
      <c r="J579" s="41"/>
      <c r="K579" s="41"/>
      <c r="L579" s="41"/>
      <c r="M579" s="41"/>
      <c r="N579" s="41"/>
      <c r="O579" s="41"/>
      <c r="P579" s="41"/>
      <c r="Q579" s="41"/>
      <c r="R579" s="41"/>
      <c r="S579" s="41"/>
      <c r="T579" s="575"/>
      <c r="U579" s="575"/>
      <c r="V579" s="575"/>
      <c r="W579" s="575"/>
    </row>
    <row r="580">
      <c r="A580" s="41"/>
      <c r="B580" s="41"/>
      <c r="C580" s="41"/>
      <c r="D580" s="41"/>
      <c r="E580" s="41"/>
      <c r="F580" s="41"/>
      <c r="G580" s="41"/>
      <c r="H580" s="41"/>
      <c r="I580" s="41"/>
      <c r="J580" s="41"/>
      <c r="K580" s="41"/>
      <c r="L580" s="41"/>
      <c r="M580" s="41"/>
      <c r="N580" s="41"/>
      <c r="O580" s="41"/>
      <c r="P580" s="41"/>
      <c r="Q580" s="41"/>
      <c r="R580" s="41"/>
      <c r="S580" s="41"/>
      <c r="T580" s="575"/>
      <c r="U580" s="575"/>
      <c r="V580" s="575"/>
      <c r="W580" s="575"/>
    </row>
    <row r="581">
      <c r="A581" s="41"/>
      <c r="B581" s="41"/>
      <c r="C581" s="41"/>
      <c r="D581" s="41"/>
      <c r="E581" s="41"/>
      <c r="F581" s="41"/>
      <c r="G581" s="41"/>
      <c r="H581" s="41"/>
      <c r="I581" s="41"/>
      <c r="J581" s="41"/>
      <c r="K581" s="41"/>
      <c r="L581" s="41"/>
      <c r="M581" s="41"/>
      <c r="N581" s="41"/>
      <c r="O581" s="41"/>
      <c r="P581" s="41"/>
      <c r="Q581" s="41"/>
      <c r="R581" s="41"/>
      <c r="S581" s="41"/>
      <c r="T581" s="575"/>
      <c r="U581" s="575"/>
      <c r="V581" s="575"/>
      <c r="W581" s="575"/>
    </row>
    <row r="582">
      <c r="A582" s="41"/>
      <c r="B582" s="41"/>
      <c r="C582" s="41"/>
      <c r="D582" s="41"/>
      <c r="E582" s="41"/>
      <c r="F582" s="41"/>
      <c r="G582" s="41"/>
      <c r="H582" s="41"/>
      <c r="I582" s="41"/>
      <c r="J582" s="41"/>
      <c r="K582" s="41"/>
      <c r="L582" s="41"/>
      <c r="M582" s="41"/>
      <c r="N582" s="41"/>
      <c r="O582" s="41"/>
      <c r="P582" s="41"/>
      <c r="Q582" s="41"/>
      <c r="R582" s="41"/>
      <c r="S582" s="41"/>
      <c r="T582" s="575"/>
      <c r="U582" s="575"/>
      <c r="V582" s="575"/>
      <c r="W582" s="575"/>
    </row>
    <row r="583">
      <c r="A583" s="41"/>
      <c r="B583" s="41"/>
      <c r="C583" s="41"/>
      <c r="D583" s="41"/>
      <c r="E583" s="41"/>
      <c r="F583" s="41"/>
      <c r="G583" s="41"/>
      <c r="H583" s="41"/>
      <c r="I583" s="41"/>
      <c r="J583" s="41"/>
      <c r="K583" s="41"/>
      <c r="L583" s="41"/>
      <c r="M583" s="41"/>
      <c r="N583" s="41"/>
      <c r="O583" s="41"/>
      <c r="P583" s="41"/>
      <c r="Q583" s="41"/>
      <c r="R583" s="41"/>
      <c r="S583" s="41"/>
      <c r="T583" s="575"/>
      <c r="U583" s="575"/>
      <c r="V583" s="575"/>
      <c r="W583" s="575"/>
    </row>
    <row r="584">
      <c r="A584" s="41"/>
      <c r="B584" s="41"/>
      <c r="C584" s="41"/>
      <c r="D584" s="41"/>
      <c r="E584" s="41"/>
      <c r="F584" s="41"/>
      <c r="G584" s="41"/>
      <c r="H584" s="41"/>
      <c r="I584" s="41"/>
      <c r="J584" s="41"/>
      <c r="K584" s="41"/>
      <c r="L584" s="41"/>
      <c r="M584" s="41"/>
      <c r="N584" s="41"/>
      <c r="O584" s="41"/>
      <c r="P584" s="41"/>
      <c r="Q584" s="41"/>
      <c r="R584" s="41"/>
      <c r="S584" s="41"/>
      <c r="T584" s="575"/>
      <c r="U584" s="575"/>
      <c r="V584" s="575"/>
      <c r="W584" s="575"/>
    </row>
    <row r="585">
      <c r="A585" s="41"/>
      <c r="B585" s="41"/>
      <c r="C585" s="41"/>
      <c r="D585" s="41"/>
      <c r="E585" s="41"/>
      <c r="F585" s="41"/>
      <c r="G585" s="41"/>
      <c r="H585" s="41"/>
      <c r="I585" s="41"/>
      <c r="J585" s="41"/>
      <c r="K585" s="41"/>
      <c r="L585" s="41"/>
      <c r="M585" s="41"/>
      <c r="N585" s="41"/>
      <c r="O585" s="41"/>
      <c r="P585" s="41"/>
      <c r="Q585" s="41"/>
      <c r="R585" s="41"/>
      <c r="S585" s="41"/>
      <c r="T585" s="575"/>
      <c r="U585" s="575"/>
      <c r="V585" s="575"/>
      <c r="W585" s="575"/>
    </row>
    <row r="586">
      <c r="A586" s="41"/>
      <c r="B586" s="41"/>
      <c r="C586" s="41"/>
      <c r="D586" s="41"/>
      <c r="E586" s="41"/>
      <c r="F586" s="41"/>
      <c r="G586" s="41"/>
      <c r="H586" s="41"/>
      <c r="I586" s="41"/>
      <c r="J586" s="41"/>
      <c r="K586" s="41"/>
      <c r="L586" s="41"/>
      <c r="M586" s="41"/>
      <c r="N586" s="41"/>
      <c r="O586" s="41"/>
      <c r="P586" s="41"/>
      <c r="Q586" s="41"/>
      <c r="R586" s="41"/>
      <c r="S586" s="41"/>
      <c r="T586" s="575"/>
      <c r="U586" s="575"/>
      <c r="V586" s="575"/>
      <c r="W586" s="575"/>
    </row>
    <row r="587">
      <c r="A587" s="41"/>
      <c r="B587" s="41"/>
      <c r="C587" s="41"/>
      <c r="D587" s="41"/>
      <c r="E587" s="41"/>
      <c r="F587" s="41"/>
      <c r="G587" s="41"/>
      <c r="H587" s="41"/>
      <c r="I587" s="41"/>
      <c r="J587" s="41"/>
      <c r="K587" s="41"/>
      <c r="L587" s="41"/>
      <c r="M587" s="41"/>
      <c r="N587" s="41"/>
      <c r="O587" s="41"/>
      <c r="P587" s="41"/>
      <c r="Q587" s="41"/>
      <c r="R587" s="41"/>
      <c r="S587" s="41"/>
      <c r="T587" s="575"/>
      <c r="U587" s="575"/>
      <c r="V587" s="575"/>
      <c r="W587" s="575"/>
    </row>
    <row r="588">
      <c r="A588" s="41"/>
      <c r="B588" s="41"/>
      <c r="C588" s="41"/>
      <c r="D588" s="41"/>
      <c r="E588" s="41"/>
      <c r="F588" s="41"/>
      <c r="G588" s="41"/>
      <c r="H588" s="41"/>
      <c r="I588" s="41"/>
      <c r="J588" s="41"/>
      <c r="K588" s="41"/>
      <c r="L588" s="41"/>
      <c r="M588" s="41"/>
      <c r="N588" s="41"/>
      <c r="O588" s="41"/>
      <c r="P588" s="41"/>
      <c r="Q588" s="41"/>
      <c r="R588" s="41"/>
      <c r="S588" s="41"/>
      <c r="T588" s="575"/>
      <c r="U588" s="575"/>
      <c r="V588" s="575"/>
      <c r="W588" s="575"/>
    </row>
    <row r="589">
      <c r="A589" s="41"/>
      <c r="B589" s="41"/>
      <c r="C589" s="41"/>
      <c r="D589" s="41"/>
      <c r="E589" s="41"/>
      <c r="F589" s="41"/>
      <c r="G589" s="41"/>
      <c r="H589" s="41"/>
      <c r="I589" s="41"/>
      <c r="J589" s="41"/>
      <c r="K589" s="41"/>
      <c r="L589" s="41"/>
      <c r="M589" s="41"/>
      <c r="N589" s="41"/>
      <c r="O589" s="41"/>
      <c r="P589" s="41"/>
      <c r="Q589" s="41"/>
      <c r="R589" s="41"/>
      <c r="S589" s="41"/>
      <c r="T589" s="575"/>
      <c r="U589" s="575"/>
      <c r="V589" s="575"/>
      <c r="W589" s="575"/>
    </row>
    <row r="590">
      <c r="A590" s="41"/>
      <c r="B590" s="41"/>
      <c r="C590" s="41"/>
      <c r="D590" s="41"/>
      <c r="E590" s="41"/>
      <c r="F590" s="41"/>
      <c r="G590" s="41"/>
      <c r="H590" s="41"/>
      <c r="I590" s="41"/>
      <c r="J590" s="41"/>
      <c r="K590" s="41"/>
      <c r="L590" s="41"/>
      <c r="M590" s="41"/>
      <c r="N590" s="41"/>
      <c r="O590" s="41"/>
      <c r="P590" s="41"/>
      <c r="Q590" s="41"/>
      <c r="R590" s="41"/>
      <c r="S590" s="41"/>
      <c r="T590" s="575"/>
      <c r="U590" s="575"/>
      <c r="V590" s="575"/>
      <c r="W590" s="575"/>
    </row>
    <row r="591">
      <c r="A591" s="41"/>
      <c r="B591" s="41"/>
      <c r="C591" s="41"/>
      <c r="D591" s="41"/>
      <c r="E591" s="41"/>
      <c r="F591" s="41"/>
      <c r="G591" s="41"/>
      <c r="H591" s="41"/>
      <c r="I591" s="41"/>
      <c r="J591" s="41"/>
      <c r="K591" s="41"/>
      <c r="L591" s="41"/>
      <c r="M591" s="41"/>
      <c r="N591" s="41"/>
      <c r="O591" s="41"/>
      <c r="P591" s="41"/>
      <c r="Q591" s="41"/>
      <c r="R591" s="41"/>
      <c r="S591" s="41"/>
      <c r="T591" s="575"/>
      <c r="U591" s="575"/>
      <c r="V591" s="575"/>
      <c r="W591" s="575"/>
    </row>
    <row r="592">
      <c r="A592" s="41"/>
      <c r="B592" s="41"/>
      <c r="C592" s="41"/>
      <c r="D592" s="41"/>
      <c r="E592" s="41"/>
      <c r="F592" s="41"/>
      <c r="G592" s="41"/>
      <c r="H592" s="41"/>
      <c r="I592" s="41"/>
      <c r="J592" s="41"/>
      <c r="K592" s="41"/>
      <c r="L592" s="41"/>
      <c r="M592" s="41"/>
      <c r="N592" s="41"/>
      <c r="O592" s="41"/>
      <c r="P592" s="41"/>
      <c r="Q592" s="41"/>
      <c r="R592" s="41"/>
      <c r="S592" s="41"/>
      <c r="T592" s="575"/>
      <c r="U592" s="575"/>
      <c r="V592" s="575"/>
      <c r="W592" s="575"/>
    </row>
    <row r="593">
      <c r="A593" s="41"/>
      <c r="B593" s="41"/>
      <c r="C593" s="41"/>
      <c r="D593" s="41"/>
      <c r="E593" s="41"/>
      <c r="F593" s="41"/>
      <c r="G593" s="41"/>
      <c r="H593" s="41"/>
      <c r="I593" s="41"/>
      <c r="J593" s="41"/>
      <c r="K593" s="41"/>
      <c r="L593" s="41"/>
      <c r="M593" s="41"/>
      <c r="N593" s="41"/>
      <c r="O593" s="41"/>
      <c r="P593" s="41"/>
      <c r="Q593" s="41"/>
      <c r="R593" s="41"/>
      <c r="S593" s="41"/>
      <c r="T593" s="575"/>
      <c r="U593" s="575"/>
      <c r="V593" s="575"/>
      <c r="W593" s="575"/>
    </row>
    <row r="594">
      <c r="A594" s="41"/>
      <c r="B594" s="41"/>
      <c r="C594" s="41"/>
      <c r="D594" s="41"/>
      <c r="E594" s="41"/>
      <c r="F594" s="41"/>
      <c r="G594" s="41"/>
      <c r="H594" s="41"/>
      <c r="I594" s="41"/>
      <c r="J594" s="41"/>
      <c r="K594" s="41"/>
      <c r="L594" s="41"/>
      <c r="M594" s="41"/>
      <c r="N594" s="41"/>
      <c r="O594" s="41"/>
      <c r="P594" s="41"/>
      <c r="Q594" s="41"/>
      <c r="R594" s="41"/>
      <c r="S594" s="41"/>
      <c r="T594" s="575"/>
      <c r="U594" s="575"/>
      <c r="V594" s="575"/>
      <c r="W594" s="575"/>
    </row>
    <row r="595">
      <c r="A595" s="41"/>
      <c r="B595" s="41"/>
      <c r="C595" s="41"/>
      <c r="D595" s="41"/>
      <c r="E595" s="41"/>
      <c r="F595" s="41"/>
      <c r="G595" s="41"/>
      <c r="H595" s="41"/>
      <c r="I595" s="41"/>
      <c r="J595" s="41"/>
      <c r="K595" s="41"/>
      <c r="L595" s="41"/>
      <c r="M595" s="41"/>
      <c r="N595" s="41"/>
      <c r="O595" s="41"/>
      <c r="P595" s="41"/>
      <c r="Q595" s="41"/>
      <c r="R595" s="41"/>
      <c r="S595" s="41"/>
      <c r="T595" s="575"/>
      <c r="U595" s="575"/>
      <c r="V595" s="575"/>
      <c r="W595" s="575"/>
    </row>
    <row r="596">
      <c r="A596" s="41"/>
      <c r="B596" s="41"/>
      <c r="C596" s="41"/>
      <c r="D596" s="41"/>
      <c r="E596" s="41"/>
      <c r="F596" s="41"/>
      <c r="G596" s="41"/>
      <c r="H596" s="41"/>
      <c r="I596" s="41"/>
      <c r="J596" s="41"/>
      <c r="K596" s="41"/>
      <c r="L596" s="41"/>
      <c r="M596" s="41"/>
      <c r="N596" s="41"/>
      <c r="O596" s="41"/>
      <c r="P596" s="41"/>
      <c r="Q596" s="41"/>
      <c r="R596" s="41"/>
      <c r="S596" s="41"/>
      <c r="T596" s="575"/>
      <c r="U596" s="575"/>
      <c r="V596" s="575"/>
      <c r="W596" s="575"/>
    </row>
    <row r="597">
      <c r="A597" s="41"/>
      <c r="B597" s="41"/>
      <c r="C597" s="41"/>
      <c r="D597" s="41"/>
      <c r="E597" s="41"/>
      <c r="F597" s="41"/>
      <c r="G597" s="41"/>
      <c r="H597" s="41"/>
      <c r="I597" s="41"/>
      <c r="J597" s="41"/>
      <c r="K597" s="41"/>
      <c r="L597" s="41"/>
      <c r="M597" s="41"/>
      <c r="N597" s="41"/>
      <c r="O597" s="41"/>
      <c r="P597" s="41"/>
      <c r="Q597" s="41"/>
      <c r="R597" s="41"/>
      <c r="S597" s="41"/>
      <c r="T597" s="575"/>
      <c r="U597" s="575"/>
      <c r="V597" s="575"/>
      <c r="W597" s="575"/>
    </row>
    <row r="598">
      <c r="A598" s="41"/>
      <c r="B598" s="41"/>
      <c r="C598" s="41"/>
      <c r="D598" s="41"/>
      <c r="E598" s="41"/>
      <c r="F598" s="41"/>
      <c r="G598" s="41"/>
      <c r="H598" s="41"/>
      <c r="I598" s="41"/>
      <c r="J598" s="41"/>
      <c r="K598" s="41"/>
      <c r="L598" s="41"/>
      <c r="M598" s="41"/>
      <c r="N598" s="41"/>
      <c r="O598" s="41"/>
      <c r="P598" s="41"/>
      <c r="Q598" s="41"/>
      <c r="R598" s="41"/>
      <c r="S598" s="41"/>
      <c r="T598" s="575"/>
      <c r="U598" s="575"/>
      <c r="V598" s="575"/>
      <c r="W598" s="575"/>
    </row>
    <row r="599">
      <c r="A599" s="41"/>
      <c r="B599" s="41"/>
      <c r="C599" s="41"/>
      <c r="D599" s="41"/>
      <c r="E599" s="41"/>
      <c r="F599" s="41"/>
      <c r="G599" s="41"/>
      <c r="H599" s="41"/>
      <c r="I599" s="41"/>
      <c r="J599" s="41"/>
      <c r="K599" s="41"/>
      <c r="L599" s="41"/>
      <c r="M599" s="41"/>
      <c r="N599" s="41"/>
      <c r="O599" s="41"/>
      <c r="P599" s="41"/>
      <c r="Q599" s="41"/>
      <c r="R599" s="41"/>
      <c r="S599" s="41"/>
      <c r="T599" s="575"/>
      <c r="U599" s="575"/>
      <c r="V599" s="575"/>
      <c r="W599" s="575"/>
    </row>
    <row r="600">
      <c r="A600" s="41"/>
      <c r="B600" s="41"/>
      <c r="C600" s="41"/>
      <c r="D600" s="41"/>
      <c r="E600" s="41"/>
      <c r="F600" s="41"/>
      <c r="G600" s="41"/>
      <c r="H600" s="41"/>
      <c r="I600" s="41"/>
      <c r="J600" s="41"/>
      <c r="K600" s="41"/>
      <c r="L600" s="41"/>
      <c r="M600" s="41"/>
      <c r="N600" s="41"/>
      <c r="O600" s="41"/>
      <c r="P600" s="41"/>
      <c r="Q600" s="41"/>
      <c r="R600" s="41"/>
      <c r="S600" s="41"/>
      <c r="T600" s="575"/>
      <c r="U600" s="575"/>
      <c r="V600" s="575"/>
      <c r="W600" s="575"/>
    </row>
    <row r="601">
      <c r="A601" s="41"/>
      <c r="B601" s="41"/>
      <c r="C601" s="41"/>
      <c r="D601" s="41"/>
      <c r="E601" s="41"/>
      <c r="F601" s="41"/>
      <c r="G601" s="41"/>
      <c r="H601" s="41"/>
      <c r="I601" s="41"/>
      <c r="J601" s="41"/>
      <c r="K601" s="41"/>
      <c r="L601" s="41"/>
      <c r="M601" s="41"/>
      <c r="N601" s="41"/>
      <c r="O601" s="41"/>
      <c r="P601" s="41"/>
      <c r="Q601" s="41"/>
      <c r="R601" s="41"/>
      <c r="S601" s="41"/>
      <c r="T601" s="575"/>
      <c r="U601" s="575"/>
      <c r="V601" s="575"/>
      <c r="W601" s="575"/>
    </row>
    <row r="602">
      <c r="A602" s="41"/>
      <c r="B602" s="41"/>
      <c r="C602" s="41"/>
      <c r="D602" s="41"/>
      <c r="E602" s="41"/>
      <c r="F602" s="41"/>
      <c r="G602" s="41"/>
      <c r="H602" s="41"/>
      <c r="I602" s="41"/>
      <c r="J602" s="41"/>
      <c r="K602" s="41"/>
      <c r="L602" s="41"/>
      <c r="M602" s="41"/>
      <c r="N602" s="41"/>
      <c r="O602" s="41"/>
      <c r="P602" s="41"/>
      <c r="Q602" s="41"/>
      <c r="R602" s="41"/>
      <c r="S602" s="41"/>
      <c r="T602" s="575"/>
      <c r="U602" s="575"/>
      <c r="V602" s="575"/>
      <c r="W602" s="575"/>
    </row>
    <row r="603">
      <c r="A603" s="41"/>
      <c r="B603" s="41"/>
      <c r="C603" s="41"/>
      <c r="D603" s="41"/>
      <c r="E603" s="41"/>
      <c r="F603" s="41"/>
      <c r="G603" s="41"/>
      <c r="H603" s="41"/>
      <c r="I603" s="41"/>
      <c r="J603" s="41"/>
      <c r="K603" s="41"/>
      <c r="L603" s="41"/>
      <c r="M603" s="41"/>
      <c r="N603" s="41"/>
      <c r="O603" s="41"/>
      <c r="P603" s="41"/>
      <c r="Q603" s="41"/>
      <c r="R603" s="41"/>
      <c r="S603" s="41"/>
      <c r="T603" s="575"/>
      <c r="U603" s="575"/>
      <c r="V603" s="575"/>
      <c r="W603" s="575"/>
    </row>
    <row r="604">
      <c r="A604" s="41"/>
      <c r="B604" s="41"/>
      <c r="C604" s="41"/>
      <c r="D604" s="41"/>
      <c r="E604" s="41"/>
      <c r="F604" s="41"/>
      <c r="G604" s="41"/>
      <c r="H604" s="41"/>
      <c r="I604" s="41"/>
      <c r="J604" s="41"/>
      <c r="K604" s="41"/>
      <c r="L604" s="41"/>
      <c r="M604" s="41"/>
      <c r="N604" s="41"/>
      <c r="O604" s="41"/>
      <c r="P604" s="41"/>
      <c r="Q604" s="41"/>
      <c r="R604" s="41"/>
      <c r="S604" s="41"/>
      <c r="T604" s="575"/>
      <c r="U604" s="575"/>
      <c r="V604" s="575"/>
      <c r="W604" s="575"/>
    </row>
    <row r="605">
      <c r="A605" s="41"/>
      <c r="B605" s="41"/>
      <c r="C605" s="41"/>
      <c r="D605" s="41"/>
      <c r="E605" s="41"/>
      <c r="F605" s="41"/>
      <c r="G605" s="41"/>
      <c r="H605" s="41"/>
      <c r="I605" s="41"/>
      <c r="J605" s="41"/>
      <c r="K605" s="41"/>
      <c r="L605" s="41"/>
      <c r="M605" s="41"/>
      <c r="N605" s="41"/>
      <c r="O605" s="41"/>
      <c r="P605" s="41"/>
      <c r="Q605" s="41"/>
      <c r="R605" s="41"/>
      <c r="S605" s="41"/>
      <c r="T605" s="575"/>
      <c r="U605" s="575"/>
      <c r="V605" s="575"/>
      <c r="W605" s="575"/>
    </row>
    <row r="606">
      <c r="A606" s="41"/>
      <c r="B606" s="41"/>
      <c r="C606" s="41"/>
      <c r="D606" s="41"/>
      <c r="E606" s="41"/>
      <c r="F606" s="41"/>
      <c r="G606" s="41"/>
      <c r="H606" s="41"/>
      <c r="I606" s="41"/>
      <c r="J606" s="41"/>
      <c r="K606" s="41"/>
      <c r="L606" s="41"/>
      <c r="M606" s="41"/>
      <c r="N606" s="41"/>
      <c r="O606" s="41"/>
      <c r="P606" s="41"/>
      <c r="Q606" s="41"/>
      <c r="R606" s="41"/>
      <c r="S606" s="41"/>
      <c r="T606" s="575"/>
      <c r="U606" s="575"/>
      <c r="V606" s="575"/>
      <c r="W606" s="575"/>
    </row>
    <row r="607">
      <c r="A607" s="41"/>
      <c r="B607" s="41"/>
      <c r="C607" s="41"/>
      <c r="D607" s="41"/>
      <c r="E607" s="41"/>
      <c r="F607" s="41"/>
      <c r="G607" s="41"/>
      <c r="H607" s="41"/>
      <c r="I607" s="41"/>
      <c r="J607" s="41"/>
      <c r="K607" s="41"/>
      <c r="L607" s="41"/>
      <c r="M607" s="41"/>
      <c r="N607" s="41"/>
      <c r="O607" s="41"/>
      <c r="P607" s="41"/>
      <c r="Q607" s="41"/>
      <c r="R607" s="41"/>
      <c r="S607" s="41"/>
      <c r="T607" s="575"/>
      <c r="U607" s="575"/>
      <c r="V607" s="575"/>
      <c r="W607" s="575"/>
    </row>
    <row r="608">
      <c r="A608" s="41"/>
      <c r="B608" s="41"/>
      <c r="C608" s="41"/>
      <c r="D608" s="41"/>
      <c r="E608" s="41"/>
      <c r="F608" s="41"/>
      <c r="G608" s="41"/>
      <c r="H608" s="41"/>
      <c r="I608" s="41"/>
      <c r="J608" s="41"/>
      <c r="K608" s="41"/>
      <c r="L608" s="41"/>
      <c r="M608" s="41"/>
      <c r="N608" s="41"/>
      <c r="O608" s="41"/>
      <c r="P608" s="41"/>
      <c r="Q608" s="41"/>
      <c r="R608" s="41"/>
      <c r="S608" s="41"/>
      <c r="T608" s="575"/>
      <c r="U608" s="575"/>
      <c r="V608" s="575"/>
      <c r="W608" s="575"/>
    </row>
    <row r="609">
      <c r="A609" s="41"/>
      <c r="B609" s="41"/>
      <c r="C609" s="41"/>
      <c r="D609" s="41"/>
      <c r="E609" s="41"/>
      <c r="F609" s="41"/>
      <c r="G609" s="41"/>
      <c r="H609" s="41"/>
      <c r="I609" s="41"/>
      <c r="J609" s="41"/>
      <c r="K609" s="41"/>
      <c r="L609" s="41"/>
      <c r="M609" s="41"/>
      <c r="N609" s="41"/>
      <c r="O609" s="41"/>
      <c r="P609" s="41"/>
      <c r="Q609" s="41"/>
      <c r="R609" s="41"/>
      <c r="S609" s="41"/>
      <c r="T609" s="575"/>
      <c r="U609" s="575"/>
      <c r="V609" s="575"/>
      <c r="W609" s="575"/>
    </row>
    <row r="610">
      <c r="A610" s="41"/>
      <c r="B610" s="41"/>
      <c r="C610" s="41"/>
      <c r="D610" s="41"/>
      <c r="E610" s="41"/>
      <c r="F610" s="41"/>
      <c r="G610" s="41"/>
      <c r="H610" s="41"/>
      <c r="I610" s="41"/>
      <c r="J610" s="41"/>
      <c r="K610" s="41"/>
      <c r="L610" s="41"/>
      <c r="M610" s="41"/>
      <c r="N610" s="41"/>
      <c r="O610" s="41"/>
      <c r="P610" s="41"/>
      <c r="Q610" s="41"/>
      <c r="R610" s="41"/>
      <c r="S610" s="41"/>
      <c r="T610" s="575"/>
      <c r="U610" s="575"/>
      <c r="V610" s="575"/>
      <c r="W610" s="575"/>
    </row>
    <row r="611">
      <c r="A611" s="41"/>
      <c r="B611" s="41"/>
      <c r="C611" s="41"/>
      <c r="D611" s="41"/>
      <c r="E611" s="41"/>
      <c r="F611" s="41"/>
      <c r="G611" s="41"/>
      <c r="H611" s="41"/>
      <c r="I611" s="41"/>
      <c r="J611" s="41"/>
      <c r="K611" s="41"/>
      <c r="L611" s="41"/>
      <c r="M611" s="41"/>
      <c r="N611" s="41"/>
      <c r="O611" s="41"/>
      <c r="P611" s="41"/>
      <c r="Q611" s="41"/>
      <c r="R611" s="41"/>
      <c r="S611" s="41"/>
      <c r="T611" s="575"/>
      <c r="U611" s="575"/>
      <c r="V611" s="575"/>
      <c r="W611" s="575"/>
    </row>
    <row r="612">
      <c r="A612" s="41"/>
      <c r="B612" s="41"/>
      <c r="C612" s="41"/>
      <c r="D612" s="41"/>
      <c r="E612" s="41"/>
      <c r="F612" s="41"/>
      <c r="G612" s="41"/>
      <c r="H612" s="41"/>
      <c r="I612" s="41"/>
      <c r="J612" s="41"/>
      <c r="K612" s="41"/>
      <c r="L612" s="41"/>
      <c r="M612" s="41"/>
      <c r="N612" s="41"/>
      <c r="O612" s="41"/>
      <c r="P612" s="41"/>
      <c r="Q612" s="41"/>
      <c r="R612" s="41"/>
      <c r="S612" s="41"/>
      <c r="T612" s="575"/>
      <c r="U612" s="575"/>
      <c r="V612" s="575"/>
      <c r="W612" s="575"/>
    </row>
    <row r="613">
      <c r="A613" s="41"/>
      <c r="B613" s="41"/>
      <c r="C613" s="41"/>
      <c r="D613" s="41"/>
      <c r="E613" s="41"/>
      <c r="F613" s="41"/>
      <c r="G613" s="41"/>
      <c r="H613" s="41"/>
      <c r="I613" s="41"/>
      <c r="J613" s="41"/>
      <c r="K613" s="41"/>
      <c r="L613" s="41"/>
      <c r="M613" s="41"/>
      <c r="N613" s="41"/>
      <c r="O613" s="41"/>
      <c r="P613" s="41"/>
      <c r="Q613" s="41"/>
      <c r="R613" s="41"/>
      <c r="S613" s="41"/>
      <c r="T613" s="575"/>
      <c r="U613" s="575"/>
      <c r="V613" s="575"/>
      <c r="W613" s="575"/>
    </row>
    <row r="614">
      <c r="A614" s="41"/>
      <c r="B614" s="41"/>
      <c r="C614" s="41"/>
      <c r="D614" s="41"/>
      <c r="E614" s="41"/>
      <c r="F614" s="41"/>
      <c r="G614" s="41"/>
      <c r="H614" s="41"/>
      <c r="I614" s="41"/>
      <c r="J614" s="41"/>
      <c r="K614" s="41"/>
      <c r="L614" s="41"/>
      <c r="M614" s="41"/>
      <c r="N614" s="41"/>
      <c r="O614" s="41"/>
      <c r="P614" s="41"/>
      <c r="Q614" s="41"/>
      <c r="R614" s="41"/>
      <c r="S614" s="41"/>
      <c r="T614" s="575"/>
      <c r="U614" s="575"/>
      <c r="V614" s="575"/>
      <c r="W614" s="575"/>
    </row>
    <row r="615">
      <c r="A615" s="41"/>
      <c r="B615" s="41"/>
      <c r="C615" s="41"/>
      <c r="D615" s="41"/>
      <c r="E615" s="41"/>
      <c r="F615" s="41"/>
      <c r="G615" s="41"/>
      <c r="H615" s="41"/>
      <c r="I615" s="41"/>
      <c r="J615" s="41"/>
      <c r="K615" s="41"/>
      <c r="L615" s="41"/>
      <c r="M615" s="41"/>
      <c r="N615" s="41"/>
      <c r="O615" s="41"/>
      <c r="P615" s="41"/>
      <c r="Q615" s="41"/>
      <c r="R615" s="41"/>
      <c r="S615" s="41"/>
      <c r="T615" s="575"/>
      <c r="U615" s="575"/>
      <c r="V615" s="575"/>
      <c r="W615" s="575"/>
    </row>
    <row r="616">
      <c r="A616" s="41"/>
      <c r="B616" s="41"/>
      <c r="C616" s="41"/>
      <c r="D616" s="41"/>
      <c r="E616" s="41"/>
      <c r="F616" s="41"/>
      <c r="G616" s="41"/>
      <c r="H616" s="41"/>
      <c r="I616" s="41"/>
      <c r="J616" s="41"/>
      <c r="K616" s="41"/>
      <c r="L616" s="41"/>
      <c r="M616" s="41"/>
      <c r="N616" s="41"/>
      <c r="O616" s="41"/>
      <c r="P616" s="41"/>
      <c r="Q616" s="41"/>
      <c r="R616" s="41"/>
      <c r="S616" s="41"/>
      <c r="T616" s="575"/>
      <c r="U616" s="575"/>
      <c r="V616" s="575"/>
      <c r="W616" s="575"/>
    </row>
    <row r="617">
      <c r="A617" s="41"/>
      <c r="B617" s="41"/>
      <c r="C617" s="41"/>
      <c r="D617" s="41"/>
      <c r="E617" s="41"/>
      <c r="F617" s="41"/>
      <c r="G617" s="41"/>
      <c r="H617" s="41"/>
      <c r="I617" s="41"/>
      <c r="J617" s="41"/>
      <c r="K617" s="41"/>
      <c r="L617" s="41"/>
      <c r="M617" s="41"/>
      <c r="N617" s="41"/>
      <c r="O617" s="41"/>
      <c r="P617" s="41"/>
      <c r="Q617" s="41"/>
      <c r="R617" s="41"/>
      <c r="S617" s="41"/>
      <c r="T617" s="575"/>
      <c r="U617" s="575"/>
      <c r="V617" s="575"/>
      <c r="W617" s="575"/>
    </row>
    <row r="618">
      <c r="A618" s="41"/>
      <c r="B618" s="41"/>
      <c r="C618" s="41"/>
      <c r="D618" s="41"/>
      <c r="E618" s="41"/>
      <c r="F618" s="41"/>
      <c r="G618" s="41"/>
      <c r="H618" s="41"/>
      <c r="I618" s="41"/>
      <c r="J618" s="41"/>
      <c r="K618" s="41"/>
      <c r="L618" s="41"/>
      <c r="M618" s="41"/>
      <c r="N618" s="41"/>
      <c r="O618" s="41"/>
      <c r="P618" s="41"/>
      <c r="Q618" s="41"/>
      <c r="R618" s="41"/>
      <c r="S618" s="41"/>
      <c r="T618" s="575"/>
      <c r="U618" s="575"/>
      <c r="V618" s="575"/>
      <c r="W618" s="575"/>
    </row>
    <row r="619">
      <c r="A619" s="41"/>
      <c r="B619" s="41"/>
      <c r="C619" s="41"/>
      <c r="D619" s="41"/>
      <c r="E619" s="41"/>
      <c r="F619" s="41"/>
      <c r="G619" s="41"/>
      <c r="H619" s="41"/>
      <c r="I619" s="41"/>
      <c r="J619" s="41"/>
      <c r="K619" s="41"/>
      <c r="L619" s="41"/>
      <c r="M619" s="41"/>
      <c r="N619" s="41"/>
      <c r="O619" s="41"/>
      <c r="P619" s="41"/>
      <c r="Q619" s="41"/>
      <c r="R619" s="41"/>
      <c r="S619" s="41"/>
      <c r="T619" s="575"/>
      <c r="U619" s="575"/>
      <c r="V619" s="575"/>
      <c r="W619" s="575"/>
    </row>
    <row r="620">
      <c r="A620" s="41"/>
      <c r="B620" s="41"/>
      <c r="C620" s="41"/>
      <c r="D620" s="41"/>
      <c r="E620" s="41"/>
      <c r="F620" s="41"/>
      <c r="G620" s="41"/>
      <c r="H620" s="41"/>
      <c r="I620" s="41"/>
      <c r="J620" s="41"/>
      <c r="K620" s="41"/>
      <c r="L620" s="41"/>
      <c r="M620" s="41"/>
      <c r="N620" s="41"/>
      <c r="O620" s="41"/>
      <c r="P620" s="41"/>
      <c r="Q620" s="41"/>
      <c r="R620" s="41"/>
      <c r="S620" s="41"/>
      <c r="T620" s="575"/>
      <c r="U620" s="575"/>
      <c r="V620" s="575"/>
      <c r="W620" s="575"/>
    </row>
    <row r="621">
      <c r="A621" s="41"/>
      <c r="B621" s="41"/>
      <c r="C621" s="41"/>
      <c r="D621" s="41"/>
      <c r="E621" s="41"/>
      <c r="F621" s="41"/>
      <c r="G621" s="41"/>
      <c r="H621" s="41"/>
      <c r="I621" s="41"/>
      <c r="J621" s="41"/>
      <c r="K621" s="41"/>
      <c r="L621" s="41"/>
      <c r="M621" s="41"/>
      <c r="N621" s="41"/>
      <c r="O621" s="41"/>
      <c r="P621" s="41"/>
      <c r="Q621" s="41"/>
      <c r="R621" s="41"/>
      <c r="S621" s="41"/>
      <c r="T621" s="575"/>
      <c r="U621" s="575"/>
      <c r="V621" s="575"/>
      <c r="W621" s="575"/>
    </row>
    <row r="622">
      <c r="A622" s="41"/>
      <c r="B622" s="41"/>
      <c r="C622" s="41"/>
      <c r="D622" s="41"/>
      <c r="E622" s="41"/>
      <c r="F622" s="41"/>
      <c r="G622" s="41"/>
      <c r="H622" s="41"/>
      <c r="I622" s="41"/>
      <c r="J622" s="41"/>
      <c r="K622" s="41"/>
      <c r="L622" s="41"/>
      <c r="M622" s="41"/>
      <c r="N622" s="41"/>
      <c r="O622" s="41"/>
      <c r="P622" s="41"/>
      <c r="Q622" s="41"/>
      <c r="R622" s="41"/>
      <c r="S622" s="41"/>
      <c r="T622" s="575"/>
      <c r="U622" s="575"/>
      <c r="V622" s="575"/>
      <c r="W622" s="575"/>
    </row>
    <row r="623">
      <c r="A623" s="41"/>
      <c r="B623" s="41"/>
      <c r="C623" s="41"/>
      <c r="D623" s="41"/>
      <c r="E623" s="41"/>
      <c r="F623" s="41"/>
      <c r="G623" s="41"/>
      <c r="H623" s="41"/>
      <c r="I623" s="41"/>
      <c r="J623" s="41"/>
      <c r="K623" s="41"/>
      <c r="L623" s="41"/>
      <c r="M623" s="41"/>
      <c r="N623" s="41"/>
      <c r="O623" s="41"/>
      <c r="P623" s="41"/>
      <c r="Q623" s="41"/>
      <c r="R623" s="41"/>
      <c r="S623" s="41"/>
      <c r="T623" s="575"/>
      <c r="U623" s="575"/>
      <c r="V623" s="575"/>
      <c r="W623" s="575"/>
    </row>
    <row r="624">
      <c r="A624" s="41"/>
      <c r="B624" s="41"/>
      <c r="C624" s="41"/>
      <c r="D624" s="41"/>
      <c r="E624" s="41"/>
      <c r="F624" s="41"/>
      <c r="G624" s="41"/>
      <c r="H624" s="41"/>
      <c r="I624" s="41"/>
      <c r="J624" s="41"/>
      <c r="K624" s="41"/>
      <c r="L624" s="41"/>
      <c r="M624" s="41"/>
      <c r="N624" s="41"/>
      <c r="O624" s="41"/>
      <c r="P624" s="41"/>
      <c r="Q624" s="41"/>
      <c r="R624" s="41"/>
      <c r="S624" s="41"/>
      <c r="T624" s="575"/>
      <c r="U624" s="575"/>
      <c r="V624" s="575"/>
      <c r="W624" s="575"/>
    </row>
    <row r="625">
      <c r="A625" s="41"/>
      <c r="B625" s="41"/>
      <c r="C625" s="41"/>
      <c r="D625" s="41"/>
      <c r="E625" s="41"/>
      <c r="F625" s="41"/>
      <c r="G625" s="41"/>
      <c r="H625" s="41"/>
      <c r="I625" s="41"/>
      <c r="J625" s="41"/>
      <c r="K625" s="41"/>
      <c r="L625" s="41"/>
      <c r="M625" s="41"/>
      <c r="N625" s="41"/>
      <c r="O625" s="41"/>
      <c r="P625" s="41"/>
      <c r="Q625" s="41"/>
      <c r="R625" s="41"/>
      <c r="S625" s="41"/>
      <c r="T625" s="575"/>
      <c r="U625" s="575"/>
      <c r="V625" s="575"/>
      <c r="W625" s="575"/>
    </row>
    <row r="626">
      <c r="A626" s="41"/>
      <c r="B626" s="41"/>
      <c r="C626" s="41"/>
      <c r="D626" s="41"/>
      <c r="E626" s="41"/>
      <c r="F626" s="41"/>
      <c r="G626" s="41"/>
      <c r="H626" s="41"/>
      <c r="I626" s="41"/>
      <c r="J626" s="41"/>
      <c r="K626" s="41"/>
      <c r="L626" s="41"/>
      <c r="M626" s="41"/>
      <c r="N626" s="41"/>
      <c r="O626" s="41"/>
      <c r="P626" s="41"/>
      <c r="Q626" s="41"/>
      <c r="R626" s="41"/>
      <c r="S626" s="41"/>
      <c r="T626" s="575"/>
      <c r="U626" s="575"/>
      <c r="V626" s="575"/>
      <c r="W626" s="575"/>
    </row>
    <row r="627">
      <c r="A627" s="41"/>
      <c r="B627" s="41"/>
      <c r="C627" s="41"/>
      <c r="D627" s="41"/>
      <c r="E627" s="41"/>
      <c r="F627" s="41"/>
      <c r="G627" s="41"/>
      <c r="H627" s="41"/>
      <c r="I627" s="41"/>
      <c r="J627" s="41"/>
      <c r="K627" s="41"/>
      <c r="L627" s="41"/>
      <c r="M627" s="41"/>
      <c r="N627" s="41"/>
      <c r="O627" s="41"/>
      <c r="P627" s="41"/>
      <c r="Q627" s="41"/>
      <c r="R627" s="41"/>
      <c r="S627" s="41"/>
      <c r="T627" s="575"/>
      <c r="U627" s="575"/>
      <c r="V627" s="575"/>
      <c r="W627" s="575"/>
    </row>
    <row r="628">
      <c r="A628" s="41"/>
      <c r="B628" s="41"/>
      <c r="C628" s="41"/>
      <c r="D628" s="41"/>
      <c r="E628" s="41"/>
      <c r="F628" s="41"/>
      <c r="G628" s="41"/>
      <c r="H628" s="41"/>
      <c r="I628" s="41"/>
      <c r="J628" s="41"/>
      <c r="K628" s="41"/>
      <c r="L628" s="41"/>
      <c r="M628" s="41"/>
      <c r="N628" s="41"/>
      <c r="O628" s="41"/>
      <c r="P628" s="41"/>
      <c r="Q628" s="41"/>
      <c r="R628" s="41"/>
      <c r="S628" s="41"/>
      <c r="T628" s="575"/>
      <c r="U628" s="575"/>
      <c r="V628" s="575"/>
      <c r="W628" s="575"/>
    </row>
    <row r="629">
      <c r="A629" s="41"/>
      <c r="B629" s="41"/>
      <c r="C629" s="41"/>
      <c r="D629" s="41"/>
      <c r="E629" s="41"/>
      <c r="F629" s="41"/>
      <c r="G629" s="41"/>
      <c r="H629" s="41"/>
      <c r="I629" s="41"/>
      <c r="J629" s="41"/>
      <c r="K629" s="41"/>
      <c r="L629" s="41"/>
      <c r="M629" s="41"/>
      <c r="N629" s="41"/>
      <c r="O629" s="41"/>
      <c r="P629" s="41"/>
      <c r="Q629" s="41"/>
      <c r="R629" s="41"/>
      <c r="S629" s="41"/>
      <c r="T629" s="575"/>
      <c r="U629" s="575"/>
      <c r="V629" s="575"/>
      <c r="W629" s="575"/>
    </row>
    <row r="630">
      <c r="A630" s="41"/>
      <c r="B630" s="41"/>
      <c r="C630" s="41"/>
      <c r="D630" s="41"/>
      <c r="E630" s="41"/>
      <c r="F630" s="41"/>
      <c r="G630" s="41"/>
      <c r="H630" s="41"/>
      <c r="I630" s="41"/>
      <c r="J630" s="41"/>
      <c r="K630" s="41"/>
      <c r="L630" s="41"/>
      <c r="M630" s="41"/>
      <c r="N630" s="41"/>
      <c r="O630" s="41"/>
      <c r="P630" s="41"/>
      <c r="Q630" s="41"/>
      <c r="R630" s="41"/>
      <c r="S630" s="41"/>
      <c r="T630" s="575"/>
      <c r="U630" s="575"/>
      <c r="V630" s="575"/>
      <c r="W630" s="575"/>
    </row>
    <row r="631">
      <c r="A631" s="41"/>
      <c r="B631" s="41"/>
      <c r="C631" s="41"/>
      <c r="D631" s="41"/>
      <c r="E631" s="41"/>
      <c r="F631" s="41"/>
      <c r="G631" s="41"/>
      <c r="H631" s="41"/>
      <c r="I631" s="41"/>
      <c r="J631" s="41"/>
      <c r="K631" s="41"/>
      <c r="L631" s="41"/>
      <c r="M631" s="41"/>
      <c r="N631" s="41"/>
      <c r="O631" s="41"/>
      <c r="P631" s="41"/>
      <c r="Q631" s="41"/>
      <c r="R631" s="41"/>
      <c r="S631" s="41"/>
      <c r="T631" s="575"/>
      <c r="U631" s="575"/>
      <c r="V631" s="575"/>
      <c r="W631" s="575"/>
    </row>
    <row r="632">
      <c r="A632" s="41"/>
      <c r="B632" s="41"/>
      <c r="C632" s="41"/>
      <c r="D632" s="41"/>
      <c r="E632" s="41"/>
      <c r="F632" s="41"/>
      <c r="G632" s="41"/>
      <c r="H632" s="41"/>
      <c r="I632" s="41"/>
      <c r="J632" s="41"/>
      <c r="K632" s="41"/>
      <c r="L632" s="41"/>
      <c r="M632" s="41"/>
      <c r="N632" s="41"/>
      <c r="O632" s="41"/>
      <c r="P632" s="41"/>
      <c r="Q632" s="41"/>
      <c r="R632" s="41"/>
      <c r="S632" s="41"/>
      <c r="T632" s="575"/>
      <c r="U632" s="575"/>
      <c r="V632" s="575"/>
      <c r="W632" s="575"/>
    </row>
    <row r="633">
      <c r="A633" s="41"/>
      <c r="B633" s="41"/>
      <c r="C633" s="41"/>
      <c r="D633" s="41"/>
      <c r="E633" s="41"/>
      <c r="F633" s="41"/>
      <c r="G633" s="41"/>
      <c r="H633" s="41"/>
      <c r="I633" s="41"/>
      <c r="J633" s="41"/>
      <c r="K633" s="41"/>
      <c r="L633" s="41"/>
      <c r="M633" s="41"/>
      <c r="N633" s="41"/>
      <c r="O633" s="41"/>
      <c r="P633" s="41"/>
      <c r="Q633" s="41"/>
      <c r="R633" s="41"/>
      <c r="S633" s="41"/>
      <c r="T633" s="575"/>
      <c r="U633" s="575"/>
      <c r="V633" s="575"/>
      <c r="W633" s="575"/>
    </row>
    <row r="634">
      <c r="A634" s="41"/>
      <c r="B634" s="41"/>
      <c r="C634" s="41"/>
      <c r="D634" s="41"/>
      <c r="E634" s="41"/>
      <c r="F634" s="41"/>
      <c r="G634" s="41"/>
      <c r="H634" s="41"/>
      <c r="I634" s="41"/>
      <c r="J634" s="41"/>
      <c r="K634" s="41"/>
      <c r="L634" s="41"/>
      <c r="M634" s="41"/>
      <c r="N634" s="41"/>
      <c r="O634" s="41"/>
      <c r="P634" s="41"/>
      <c r="Q634" s="41"/>
      <c r="R634" s="41"/>
      <c r="S634" s="41"/>
      <c r="T634" s="575"/>
      <c r="U634" s="575"/>
      <c r="V634" s="575"/>
      <c r="W634" s="575"/>
    </row>
    <row r="635">
      <c r="A635" s="41"/>
      <c r="B635" s="41"/>
      <c r="C635" s="41"/>
      <c r="D635" s="41"/>
      <c r="E635" s="41"/>
      <c r="F635" s="41"/>
      <c r="G635" s="41"/>
      <c r="H635" s="41"/>
      <c r="I635" s="41"/>
      <c r="J635" s="41"/>
      <c r="K635" s="41"/>
      <c r="L635" s="41"/>
      <c r="M635" s="41"/>
      <c r="N635" s="41"/>
      <c r="O635" s="41"/>
      <c r="P635" s="41"/>
      <c r="Q635" s="41"/>
      <c r="R635" s="41"/>
      <c r="S635" s="41"/>
      <c r="T635" s="575"/>
      <c r="U635" s="575"/>
      <c r="V635" s="575"/>
      <c r="W635" s="575"/>
    </row>
    <row r="636">
      <c r="A636" s="41"/>
      <c r="B636" s="41"/>
      <c r="C636" s="41"/>
      <c r="D636" s="41"/>
      <c r="E636" s="41"/>
      <c r="F636" s="41"/>
      <c r="G636" s="41"/>
      <c r="H636" s="41"/>
      <c r="I636" s="41"/>
      <c r="J636" s="41"/>
      <c r="K636" s="41"/>
      <c r="L636" s="41"/>
      <c r="M636" s="41"/>
      <c r="N636" s="41"/>
      <c r="O636" s="41"/>
      <c r="P636" s="41"/>
      <c r="Q636" s="41"/>
      <c r="R636" s="41"/>
      <c r="S636" s="41"/>
      <c r="T636" s="575"/>
      <c r="U636" s="575"/>
      <c r="V636" s="575"/>
      <c r="W636" s="575"/>
    </row>
    <row r="637">
      <c r="A637" s="41"/>
      <c r="B637" s="41"/>
      <c r="C637" s="41"/>
      <c r="D637" s="41"/>
      <c r="E637" s="41"/>
      <c r="F637" s="41"/>
      <c r="G637" s="41"/>
      <c r="H637" s="41"/>
      <c r="I637" s="41"/>
      <c r="J637" s="41"/>
      <c r="K637" s="41"/>
      <c r="L637" s="41"/>
      <c r="M637" s="41"/>
      <c r="N637" s="41"/>
      <c r="O637" s="41"/>
      <c r="P637" s="41"/>
      <c r="Q637" s="41"/>
      <c r="R637" s="41"/>
      <c r="S637" s="41"/>
      <c r="T637" s="575"/>
      <c r="U637" s="575"/>
      <c r="V637" s="575"/>
      <c r="W637" s="575"/>
    </row>
    <row r="638">
      <c r="A638" s="41"/>
      <c r="B638" s="41"/>
      <c r="C638" s="41"/>
      <c r="D638" s="41"/>
      <c r="E638" s="41"/>
      <c r="F638" s="41"/>
      <c r="G638" s="41"/>
      <c r="H638" s="41"/>
      <c r="I638" s="41"/>
      <c r="J638" s="41"/>
      <c r="K638" s="41"/>
      <c r="L638" s="41"/>
      <c r="M638" s="41"/>
      <c r="N638" s="41"/>
      <c r="O638" s="41"/>
      <c r="P638" s="41"/>
      <c r="Q638" s="41"/>
      <c r="R638" s="41"/>
      <c r="S638" s="41"/>
      <c r="T638" s="575"/>
      <c r="U638" s="575"/>
      <c r="V638" s="575"/>
      <c r="W638" s="575"/>
    </row>
    <row r="639">
      <c r="A639" s="41"/>
      <c r="B639" s="41"/>
      <c r="C639" s="41"/>
      <c r="D639" s="41"/>
      <c r="E639" s="41"/>
      <c r="F639" s="41"/>
      <c r="G639" s="41"/>
      <c r="H639" s="41"/>
      <c r="I639" s="41"/>
      <c r="J639" s="41"/>
      <c r="K639" s="41"/>
      <c r="L639" s="41"/>
      <c r="M639" s="41"/>
      <c r="N639" s="41"/>
      <c r="O639" s="41"/>
      <c r="P639" s="41"/>
      <c r="Q639" s="41"/>
      <c r="R639" s="41"/>
      <c r="S639" s="41"/>
      <c r="T639" s="575"/>
      <c r="U639" s="575"/>
      <c r="V639" s="575"/>
      <c r="W639" s="575"/>
    </row>
    <row r="640">
      <c r="A640" s="41"/>
      <c r="B640" s="41"/>
      <c r="C640" s="41"/>
      <c r="D640" s="41"/>
      <c r="E640" s="41"/>
      <c r="F640" s="41"/>
      <c r="G640" s="41"/>
      <c r="H640" s="41"/>
      <c r="I640" s="41"/>
      <c r="J640" s="41"/>
      <c r="K640" s="41"/>
      <c r="L640" s="41"/>
      <c r="M640" s="41"/>
      <c r="N640" s="41"/>
      <c r="O640" s="41"/>
      <c r="P640" s="41"/>
      <c r="Q640" s="41"/>
      <c r="R640" s="41"/>
      <c r="S640" s="41"/>
      <c r="T640" s="575"/>
      <c r="U640" s="575"/>
      <c r="V640" s="575"/>
      <c r="W640" s="575"/>
    </row>
    <row r="641">
      <c r="A641" s="41"/>
      <c r="B641" s="41"/>
      <c r="C641" s="41"/>
      <c r="D641" s="41"/>
      <c r="E641" s="41"/>
      <c r="F641" s="41"/>
      <c r="G641" s="41"/>
      <c r="H641" s="41"/>
      <c r="I641" s="41"/>
      <c r="J641" s="41"/>
      <c r="K641" s="41"/>
      <c r="L641" s="41"/>
      <c r="M641" s="41"/>
      <c r="N641" s="41"/>
      <c r="O641" s="41"/>
      <c r="P641" s="41"/>
      <c r="Q641" s="41"/>
      <c r="R641" s="41"/>
      <c r="S641" s="41"/>
      <c r="T641" s="575"/>
      <c r="U641" s="575"/>
      <c r="V641" s="575"/>
      <c r="W641" s="575"/>
    </row>
    <row r="642">
      <c r="A642" s="41"/>
      <c r="B642" s="41"/>
      <c r="C642" s="41"/>
      <c r="D642" s="41"/>
      <c r="E642" s="41"/>
      <c r="F642" s="41"/>
      <c r="G642" s="41"/>
      <c r="H642" s="41"/>
      <c r="I642" s="41"/>
      <c r="J642" s="41"/>
      <c r="K642" s="41"/>
      <c r="L642" s="41"/>
      <c r="M642" s="41"/>
      <c r="N642" s="41"/>
      <c r="O642" s="41"/>
      <c r="P642" s="41"/>
      <c r="Q642" s="41"/>
      <c r="R642" s="41"/>
      <c r="S642" s="41"/>
      <c r="T642" s="575"/>
      <c r="U642" s="575"/>
      <c r="V642" s="575"/>
      <c r="W642" s="575"/>
    </row>
    <row r="643">
      <c r="A643" s="41"/>
      <c r="B643" s="41"/>
      <c r="C643" s="41"/>
      <c r="D643" s="41"/>
      <c r="E643" s="41"/>
      <c r="F643" s="41"/>
      <c r="G643" s="41"/>
      <c r="H643" s="41"/>
      <c r="I643" s="41"/>
      <c r="J643" s="41"/>
      <c r="K643" s="41"/>
      <c r="L643" s="41"/>
      <c r="M643" s="41"/>
      <c r="N643" s="41"/>
      <c r="O643" s="41"/>
      <c r="P643" s="41"/>
      <c r="Q643" s="41"/>
      <c r="R643" s="41"/>
      <c r="S643" s="41"/>
      <c r="T643" s="575"/>
      <c r="U643" s="575"/>
      <c r="V643" s="575"/>
      <c r="W643" s="575"/>
    </row>
    <row r="644">
      <c r="A644" s="41"/>
      <c r="B644" s="41"/>
      <c r="C644" s="41"/>
      <c r="D644" s="41"/>
      <c r="E644" s="41"/>
      <c r="F644" s="41"/>
      <c r="G644" s="41"/>
      <c r="H644" s="41"/>
      <c r="I644" s="41"/>
      <c r="J644" s="41"/>
      <c r="K644" s="41"/>
      <c r="L644" s="41"/>
      <c r="M644" s="41"/>
      <c r="N644" s="41"/>
      <c r="O644" s="41"/>
      <c r="P644" s="41"/>
      <c r="Q644" s="41"/>
      <c r="R644" s="41"/>
      <c r="S644" s="41"/>
      <c r="T644" s="575"/>
      <c r="U644" s="575"/>
      <c r="V644" s="575"/>
      <c r="W644" s="575"/>
    </row>
    <row r="645">
      <c r="A645" s="41"/>
      <c r="B645" s="41"/>
      <c r="C645" s="41"/>
      <c r="D645" s="41"/>
      <c r="E645" s="41"/>
      <c r="F645" s="41"/>
      <c r="G645" s="41"/>
      <c r="H645" s="41"/>
      <c r="I645" s="41"/>
      <c r="J645" s="41"/>
      <c r="K645" s="41"/>
      <c r="L645" s="41"/>
      <c r="M645" s="41"/>
      <c r="N645" s="41"/>
      <c r="O645" s="41"/>
      <c r="P645" s="41"/>
      <c r="Q645" s="41"/>
      <c r="R645" s="41"/>
      <c r="S645" s="41"/>
      <c r="T645" s="575"/>
      <c r="U645" s="575"/>
      <c r="V645" s="575"/>
      <c r="W645" s="575"/>
    </row>
    <row r="646">
      <c r="A646" s="41"/>
      <c r="B646" s="41"/>
      <c r="C646" s="41"/>
      <c r="D646" s="41"/>
      <c r="E646" s="41"/>
      <c r="F646" s="41"/>
      <c r="G646" s="41"/>
      <c r="H646" s="41"/>
      <c r="I646" s="41"/>
      <c r="J646" s="41"/>
      <c r="K646" s="41"/>
      <c r="L646" s="41"/>
      <c r="M646" s="41"/>
      <c r="N646" s="41"/>
      <c r="O646" s="41"/>
      <c r="P646" s="41"/>
      <c r="Q646" s="41"/>
      <c r="R646" s="41"/>
      <c r="S646" s="41"/>
      <c r="T646" s="575"/>
      <c r="U646" s="575"/>
      <c r="V646" s="575"/>
      <c r="W646" s="575"/>
    </row>
    <row r="647">
      <c r="A647" s="41"/>
      <c r="B647" s="41"/>
      <c r="C647" s="41"/>
      <c r="D647" s="41"/>
      <c r="E647" s="41"/>
      <c r="F647" s="41"/>
      <c r="G647" s="41"/>
      <c r="H647" s="41"/>
      <c r="I647" s="41"/>
      <c r="J647" s="41"/>
      <c r="K647" s="41"/>
      <c r="L647" s="41"/>
      <c r="M647" s="41"/>
      <c r="N647" s="41"/>
      <c r="O647" s="41"/>
      <c r="P647" s="41"/>
      <c r="Q647" s="41"/>
      <c r="R647" s="41"/>
      <c r="S647" s="41"/>
      <c r="T647" s="575"/>
      <c r="U647" s="575"/>
      <c r="V647" s="575"/>
      <c r="W647" s="575"/>
    </row>
    <row r="648">
      <c r="A648" s="41"/>
      <c r="B648" s="41"/>
      <c r="C648" s="41"/>
      <c r="D648" s="41"/>
      <c r="E648" s="41"/>
      <c r="F648" s="41"/>
      <c r="G648" s="41"/>
      <c r="H648" s="41"/>
      <c r="I648" s="41"/>
      <c r="J648" s="41"/>
      <c r="K648" s="41"/>
      <c r="L648" s="41"/>
      <c r="M648" s="41"/>
      <c r="N648" s="41"/>
      <c r="O648" s="41"/>
      <c r="P648" s="41"/>
      <c r="Q648" s="41"/>
      <c r="R648" s="41"/>
      <c r="S648" s="41"/>
      <c r="T648" s="575"/>
      <c r="U648" s="575"/>
      <c r="V648" s="575"/>
      <c r="W648" s="575"/>
    </row>
    <row r="649">
      <c r="A649" s="41"/>
      <c r="B649" s="41"/>
      <c r="C649" s="41"/>
      <c r="D649" s="41"/>
      <c r="E649" s="41"/>
      <c r="F649" s="41"/>
      <c r="G649" s="41"/>
      <c r="H649" s="41"/>
      <c r="I649" s="41"/>
      <c r="J649" s="41"/>
      <c r="K649" s="41"/>
      <c r="L649" s="41"/>
      <c r="M649" s="41"/>
      <c r="N649" s="41"/>
      <c r="O649" s="41"/>
      <c r="P649" s="41"/>
      <c r="Q649" s="41"/>
      <c r="R649" s="41"/>
      <c r="S649" s="41"/>
      <c r="T649" s="575"/>
      <c r="U649" s="575"/>
      <c r="V649" s="575"/>
      <c r="W649" s="575"/>
    </row>
    <row r="650">
      <c r="A650" s="41"/>
      <c r="B650" s="41"/>
      <c r="C650" s="41"/>
      <c r="D650" s="41"/>
      <c r="E650" s="41"/>
      <c r="F650" s="41"/>
      <c r="G650" s="41"/>
      <c r="H650" s="41"/>
      <c r="I650" s="41"/>
      <c r="J650" s="41"/>
      <c r="K650" s="41"/>
      <c r="L650" s="41"/>
      <c r="M650" s="41"/>
      <c r="N650" s="41"/>
      <c r="O650" s="41"/>
      <c r="P650" s="41"/>
      <c r="Q650" s="41"/>
      <c r="R650" s="41"/>
      <c r="S650" s="41"/>
      <c r="T650" s="575"/>
      <c r="U650" s="575"/>
      <c r="V650" s="575"/>
      <c r="W650" s="575"/>
    </row>
    <row r="651">
      <c r="A651" s="41"/>
      <c r="B651" s="41"/>
      <c r="C651" s="41"/>
      <c r="D651" s="41"/>
      <c r="E651" s="41"/>
      <c r="F651" s="41"/>
      <c r="G651" s="41"/>
      <c r="H651" s="41"/>
      <c r="I651" s="41"/>
      <c r="J651" s="41"/>
      <c r="K651" s="41"/>
      <c r="L651" s="41"/>
      <c r="M651" s="41"/>
      <c r="N651" s="41"/>
      <c r="O651" s="41"/>
      <c r="P651" s="41"/>
      <c r="Q651" s="41"/>
      <c r="R651" s="41"/>
      <c r="S651" s="41"/>
      <c r="T651" s="575"/>
      <c r="U651" s="575"/>
      <c r="V651" s="575"/>
      <c r="W651" s="575"/>
    </row>
    <row r="652">
      <c r="A652" s="41"/>
      <c r="B652" s="41"/>
      <c r="C652" s="41"/>
      <c r="D652" s="41"/>
      <c r="E652" s="41"/>
      <c r="F652" s="41"/>
      <c r="G652" s="41"/>
      <c r="H652" s="41"/>
      <c r="I652" s="41"/>
      <c r="J652" s="41"/>
      <c r="K652" s="41"/>
      <c r="L652" s="41"/>
      <c r="M652" s="41"/>
      <c r="N652" s="41"/>
      <c r="O652" s="41"/>
      <c r="P652" s="41"/>
      <c r="Q652" s="41"/>
      <c r="R652" s="41"/>
      <c r="S652" s="41"/>
      <c r="T652" s="575"/>
      <c r="U652" s="575"/>
      <c r="V652" s="575"/>
      <c r="W652" s="575"/>
    </row>
    <row r="653">
      <c r="A653" s="41"/>
      <c r="B653" s="41"/>
      <c r="C653" s="41"/>
      <c r="D653" s="41"/>
      <c r="E653" s="41"/>
      <c r="F653" s="41"/>
      <c r="G653" s="41"/>
      <c r="H653" s="41"/>
      <c r="I653" s="41"/>
      <c r="J653" s="41"/>
      <c r="K653" s="41"/>
      <c r="L653" s="41"/>
      <c r="M653" s="41"/>
      <c r="N653" s="41"/>
      <c r="O653" s="41"/>
      <c r="P653" s="41"/>
      <c r="Q653" s="41"/>
      <c r="R653" s="41"/>
      <c r="S653" s="41"/>
      <c r="T653" s="575"/>
      <c r="U653" s="575"/>
      <c r="V653" s="575"/>
      <c r="W653" s="575"/>
    </row>
    <row r="654">
      <c r="A654" s="41"/>
      <c r="B654" s="41"/>
      <c r="C654" s="41"/>
      <c r="D654" s="41"/>
      <c r="E654" s="41"/>
      <c r="F654" s="41"/>
      <c r="G654" s="41"/>
      <c r="H654" s="41"/>
      <c r="I654" s="41"/>
      <c r="J654" s="41"/>
      <c r="K654" s="41"/>
      <c r="L654" s="41"/>
      <c r="M654" s="41"/>
      <c r="N654" s="41"/>
      <c r="O654" s="41"/>
      <c r="P654" s="41"/>
      <c r="Q654" s="41"/>
      <c r="R654" s="41"/>
      <c r="S654" s="41"/>
      <c r="T654" s="575"/>
      <c r="U654" s="575"/>
      <c r="V654" s="575"/>
      <c r="W654" s="575"/>
    </row>
    <row r="655">
      <c r="A655" s="41"/>
      <c r="B655" s="41"/>
      <c r="C655" s="41"/>
      <c r="D655" s="41"/>
      <c r="E655" s="41"/>
      <c r="F655" s="41"/>
      <c r="G655" s="41"/>
      <c r="H655" s="41"/>
      <c r="I655" s="41"/>
      <c r="J655" s="41"/>
      <c r="K655" s="41"/>
      <c r="L655" s="41"/>
      <c r="M655" s="41"/>
      <c r="N655" s="41"/>
      <c r="O655" s="41"/>
      <c r="P655" s="41"/>
      <c r="Q655" s="41"/>
      <c r="R655" s="41"/>
      <c r="S655" s="41"/>
      <c r="T655" s="575"/>
      <c r="U655" s="575"/>
      <c r="V655" s="575"/>
      <c r="W655" s="575"/>
    </row>
    <row r="656">
      <c r="A656" s="41"/>
      <c r="B656" s="41"/>
      <c r="C656" s="41"/>
      <c r="D656" s="41"/>
      <c r="E656" s="41"/>
      <c r="F656" s="41"/>
      <c r="G656" s="41"/>
      <c r="H656" s="41"/>
      <c r="I656" s="41"/>
      <c r="J656" s="41"/>
      <c r="K656" s="41"/>
      <c r="L656" s="41"/>
      <c r="M656" s="41"/>
      <c r="N656" s="41"/>
      <c r="O656" s="41"/>
      <c r="P656" s="41"/>
      <c r="Q656" s="41"/>
      <c r="R656" s="41"/>
      <c r="S656" s="41"/>
      <c r="T656" s="575"/>
      <c r="U656" s="575"/>
      <c r="V656" s="575"/>
      <c r="W656" s="575"/>
    </row>
    <row r="657">
      <c r="A657" s="41"/>
      <c r="B657" s="41"/>
      <c r="C657" s="41"/>
      <c r="D657" s="41"/>
      <c r="E657" s="41"/>
      <c r="F657" s="41"/>
      <c r="G657" s="41"/>
      <c r="H657" s="41"/>
      <c r="I657" s="41"/>
      <c r="J657" s="41"/>
      <c r="K657" s="41"/>
      <c r="L657" s="41"/>
      <c r="M657" s="41"/>
      <c r="N657" s="41"/>
      <c r="O657" s="41"/>
      <c r="P657" s="41"/>
      <c r="Q657" s="41"/>
      <c r="R657" s="41"/>
      <c r="S657" s="41"/>
      <c r="T657" s="575"/>
      <c r="U657" s="575"/>
      <c r="V657" s="575"/>
      <c r="W657" s="575"/>
    </row>
    <row r="658">
      <c r="A658" s="41"/>
      <c r="B658" s="41"/>
      <c r="C658" s="41"/>
      <c r="D658" s="41"/>
      <c r="E658" s="41"/>
      <c r="F658" s="41"/>
      <c r="G658" s="41"/>
      <c r="H658" s="41"/>
      <c r="I658" s="41"/>
      <c r="J658" s="41"/>
      <c r="K658" s="41"/>
      <c r="L658" s="41"/>
      <c r="M658" s="41"/>
      <c r="N658" s="41"/>
      <c r="O658" s="41"/>
      <c r="P658" s="41"/>
      <c r="Q658" s="41"/>
      <c r="R658" s="41"/>
      <c r="S658" s="41"/>
      <c r="T658" s="575"/>
      <c r="U658" s="575"/>
      <c r="V658" s="575"/>
      <c r="W658" s="575"/>
    </row>
    <row r="659">
      <c r="A659" s="41"/>
      <c r="B659" s="41"/>
      <c r="C659" s="41"/>
      <c r="D659" s="41"/>
      <c r="E659" s="41"/>
      <c r="F659" s="41"/>
      <c r="G659" s="41"/>
      <c r="H659" s="41"/>
      <c r="I659" s="41"/>
      <c r="J659" s="41"/>
      <c r="K659" s="41"/>
      <c r="L659" s="41"/>
      <c r="M659" s="41"/>
      <c r="N659" s="41"/>
      <c r="O659" s="41"/>
      <c r="P659" s="41"/>
      <c r="Q659" s="41"/>
      <c r="R659" s="41"/>
      <c r="S659" s="41"/>
      <c r="T659" s="575"/>
      <c r="U659" s="575"/>
      <c r="V659" s="575"/>
      <c r="W659" s="575"/>
    </row>
    <row r="660">
      <c r="A660" s="41"/>
      <c r="B660" s="41"/>
      <c r="C660" s="41"/>
      <c r="D660" s="41"/>
      <c r="E660" s="41"/>
      <c r="F660" s="41"/>
      <c r="G660" s="41"/>
      <c r="H660" s="41"/>
      <c r="I660" s="41"/>
      <c r="J660" s="41"/>
      <c r="K660" s="41"/>
      <c r="L660" s="41"/>
      <c r="M660" s="41"/>
      <c r="N660" s="41"/>
      <c r="O660" s="41"/>
      <c r="P660" s="41"/>
      <c r="Q660" s="41"/>
      <c r="R660" s="41"/>
      <c r="S660" s="41"/>
      <c r="T660" s="575"/>
      <c r="U660" s="575"/>
      <c r="V660" s="575"/>
      <c r="W660" s="575"/>
    </row>
    <row r="661">
      <c r="A661" s="41"/>
      <c r="B661" s="41"/>
      <c r="C661" s="41"/>
      <c r="D661" s="41"/>
      <c r="E661" s="41"/>
      <c r="F661" s="41"/>
      <c r="G661" s="41"/>
      <c r="H661" s="41"/>
      <c r="I661" s="41"/>
      <c r="J661" s="41"/>
      <c r="K661" s="41"/>
      <c r="L661" s="41"/>
      <c r="M661" s="41"/>
      <c r="N661" s="41"/>
      <c r="O661" s="41"/>
      <c r="P661" s="41"/>
      <c r="Q661" s="41"/>
      <c r="R661" s="41"/>
      <c r="S661" s="41"/>
      <c r="T661" s="575"/>
      <c r="U661" s="575"/>
      <c r="V661" s="575"/>
      <c r="W661" s="575"/>
    </row>
    <row r="662">
      <c r="A662" s="41"/>
      <c r="B662" s="41"/>
      <c r="C662" s="41"/>
      <c r="D662" s="41"/>
      <c r="E662" s="41"/>
      <c r="F662" s="41"/>
      <c r="G662" s="41"/>
      <c r="H662" s="41"/>
      <c r="I662" s="41"/>
      <c r="J662" s="41"/>
      <c r="K662" s="41"/>
      <c r="L662" s="41"/>
      <c r="M662" s="41"/>
      <c r="N662" s="41"/>
      <c r="O662" s="41"/>
      <c r="P662" s="41"/>
      <c r="Q662" s="41"/>
      <c r="R662" s="41"/>
      <c r="S662" s="41"/>
      <c r="T662" s="575"/>
      <c r="U662" s="575"/>
      <c r="V662" s="575"/>
      <c r="W662" s="575"/>
    </row>
    <row r="663">
      <c r="A663" s="41"/>
      <c r="B663" s="41"/>
      <c r="C663" s="41"/>
      <c r="D663" s="41"/>
      <c r="E663" s="41"/>
      <c r="F663" s="41"/>
      <c r="G663" s="41"/>
      <c r="H663" s="41"/>
      <c r="I663" s="41"/>
      <c r="J663" s="41"/>
      <c r="K663" s="41"/>
      <c r="L663" s="41"/>
      <c r="M663" s="41"/>
      <c r="N663" s="41"/>
      <c r="O663" s="41"/>
      <c r="P663" s="41"/>
      <c r="Q663" s="41"/>
      <c r="R663" s="41"/>
      <c r="S663" s="41"/>
      <c r="T663" s="575"/>
      <c r="U663" s="575"/>
      <c r="V663" s="575"/>
      <c r="W663" s="575"/>
    </row>
    <row r="664">
      <c r="A664" s="41"/>
      <c r="B664" s="41"/>
      <c r="C664" s="41"/>
      <c r="D664" s="41"/>
      <c r="E664" s="41"/>
      <c r="F664" s="41"/>
      <c r="G664" s="41"/>
      <c r="H664" s="41"/>
      <c r="I664" s="41"/>
      <c r="J664" s="41"/>
      <c r="K664" s="41"/>
      <c r="L664" s="41"/>
      <c r="M664" s="41"/>
      <c r="N664" s="41"/>
      <c r="O664" s="41"/>
      <c r="P664" s="41"/>
      <c r="Q664" s="41"/>
      <c r="R664" s="41"/>
      <c r="S664" s="41"/>
      <c r="T664" s="575"/>
      <c r="U664" s="575"/>
      <c r="V664" s="575"/>
      <c r="W664" s="575"/>
    </row>
    <row r="665">
      <c r="A665" s="41"/>
      <c r="B665" s="41"/>
      <c r="C665" s="41"/>
      <c r="D665" s="41"/>
      <c r="E665" s="41"/>
      <c r="F665" s="41"/>
      <c r="G665" s="41"/>
      <c r="H665" s="41"/>
      <c r="I665" s="41"/>
      <c r="J665" s="41"/>
      <c r="K665" s="41"/>
      <c r="L665" s="41"/>
      <c r="M665" s="41"/>
      <c r="N665" s="41"/>
      <c r="O665" s="41"/>
      <c r="P665" s="41"/>
      <c r="Q665" s="41"/>
      <c r="R665" s="41"/>
      <c r="S665" s="41"/>
      <c r="T665" s="575"/>
      <c r="U665" s="575"/>
      <c r="V665" s="575"/>
      <c r="W665" s="575"/>
    </row>
    <row r="666">
      <c r="A666" s="41"/>
      <c r="B666" s="41"/>
      <c r="C666" s="41"/>
      <c r="D666" s="41"/>
      <c r="E666" s="41"/>
      <c r="F666" s="41"/>
      <c r="G666" s="41"/>
      <c r="H666" s="41"/>
      <c r="I666" s="41"/>
      <c r="J666" s="41"/>
      <c r="K666" s="41"/>
      <c r="L666" s="41"/>
      <c r="M666" s="41"/>
      <c r="N666" s="41"/>
      <c r="O666" s="41"/>
      <c r="P666" s="41"/>
      <c r="Q666" s="41"/>
      <c r="R666" s="41"/>
      <c r="S666" s="41"/>
      <c r="T666" s="575"/>
      <c r="U666" s="575"/>
      <c r="V666" s="575"/>
      <c r="W666" s="575"/>
    </row>
    <row r="667">
      <c r="A667" s="41"/>
      <c r="B667" s="41"/>
      <c r="C667" s="41"/>
      <c r="D667" s="41"/>
      <c r="E667" s="41"/>
      <c r="F667" s="41"/>
      <c r="G667" s="41"/>
      <c r="H667" s="41"/>
      <c r="I667" s="41"/>
      <c r="J667" s="41"/>
      <c r="K667" s="41"/>
      <c r="L667" s="41"/>
      <c r="M667" s="41"/>
      <c r="N667" s="41"/>
      <c r="O667" s="41"/>
      <c r="P667" s="41"/>
      <c r="Q667" s="41"/>
      <c r="R667" s="41"/>
      <c r="S667" s="41"/>
      <c r="T667" s="575"/>
      <c r="U667" s="575"/>
      <c r="V667" s="575"/>
      <c r="W667" s="575"/>
    </row>
    <row r="668">
      <c r="A668" s="41"/>
      <c r="B668" s="41"/>
      <c r="C668" s="41"/>
      <c r="D668" s="41"/>
      <c r="E668" s="41"/>
      <c r="F668" s="41"/>
      <c r="G668" s="41"/>
      <c r="H668" s="41"/>
      <c r="I668" s="41"/>
      <c r="J668" s="41"/>
      <c r="K668" s="41"/>
      <c r="L668" s="41"/>
      <c r="M668" s="41"/>
      <c r="N668" s="41"/>
      <c r="O668" s="41"/>
      <c r="P668" s="41"/>
      <c r="Q668" s="41"/>
      <c r="R668" s="41"/>
      <c r="S668" s="41"/>
      <c r="T668" s="575"/>
      <c r="U668" s="575"/>
      <c r="V668" s="575"/>
      <c r="W668" s="575"/>
    </row>
    <row r="669">
      <c r="A669" s="41"/>
      <c r="B669" s="41"/>
      <c r="C669" s="41"/>
      <c r="D669" s="41"/>
      <c r="E669" s="41"/>
      <c r="F669" s="41"/>
      <c r="G669" s="41"/>
      <c r="H669" s="41"/>
      <c r="I669" s="41"/>
      <c r="J669" s="41"/>
      <c r="K669" s="41"/>
      <c r="L669" s="41"/>
      <c r="M669" s="41"/>
      <c r="N669" s="41"/>
      <c r="O669" s="41"/>
      <c r="P669" s="41"/>
      <c r="Q669" s="41"/>
      <c r="R669" s="41"/>
      <c r="S669" s="41"/>
      <c r="T669" s="575"/>
      <c r="U669" s="575"/>
      <c r="V669" s="575"/>
      <c r="W669" s="575"/>
    </row>
    <row r="670">
      <c r="A670" s="41"/>
      <c r="B670" s="41"/>
      <c r="C670" s="41"/>
      <c r="D670" s="41"/>
      <c r="E670" s="41"/>
      <c r="F670" s="41"/>
      <c r="G670" s="41"/>
      <c r="H670" s="41"/>
      <c r="I670" s="41"/>
      <c r="J670" s="41"/>
      <c r="K670" s="41"/>
      <c r="L670" s="41"/>
      <c r="M670" s="41"/>
      <c r="N670" s="41"/>
      <c r="O670" s="41"/>
      <c r="P670" s="41"/>
      <c r="Q670" s="41"/>
      <c r="R670" s="41"/>
      <c r="S670" s="41"/>
      <c r="T670" s="575"/>
      <c r="U670" s="575"/>
      <c r="V670" s="575"/>
      <c r="W670" s="575"/>
    </row>
    <row r="671">
      <c r="A671" s="41"/>
      <c r="B671" s="41"/>
      <c r="C671" s="41"/>
      <c r="D671" s="41"/>
      <c r="E671" s="41"/>
      <c r="F671" s="41"/>
      <c r="G671" s="41"/>
      <c r="H671" s="41"/>
      <c r="I671" s="41"/>
      <c r="J671" s="41"/>
      <c r="K671" s="41"/>
      <c r="L671" s="41"/>
      <c r="M671" s="41"/>
      <c r="N671" s="41"/>
      <c r="O671" s="41"/>
      <c r="P671" s="41"/>
      <c r="Q671" s="41"/>
      <c r="R671" s="41"/>
      <c r="S671" s="41"/>
      <c r="T671" s="575"/>
      <c r="U671" s="575"/>
      <c r="V671" s="575"/>
      <c r="W671" s="575"/>
    </row>
    <row r="672">
      <c r="A672" s="41"/>
      <c r="B672" s="41"/>
      <c r="C672" s="41"/>
      <c r="D672" s="41"/>
      <c r="E672" s="41"/>
      <c r="F672" s="41"/>
      <c r="G672" s="41"/>
      <c r="H672" s="41"/>
      <c r="I672" s="41"/>
      <c r="J672" s="41"/>
      <c r="K672" s="41"/>
      <c r="L672" s="41"/>
      <c r="M672" s="41"/>
      <c r="N672" s="41"/>
      <c r="O672" s="41"/>
      <c r="P672" s="41"/>
      <c r="Q672" s="41"/>
      <c r="R672" s="41"/>
      <c r="S672" s="41"/>
      <c r="T672" s="575"/>
      <c r="U672" s="575"/>
      <c r="V672" s="575"/>
      <c r="W672" s="575"/>
    </row>
    <row r="673">
      <c r="A673" s="41"/>
      <c r="B673" s="41"/>
      <c r="C673" s="41"/>
      <c r="D673" s="41"/>
      <c r="E673" s="41"/>
      <c r="F673" s="41"/>
      <c r="G673" s="41"/>
      <c r="H673" s="41"/>
      <c r="I673" s="41"/>
      <c r="J673" s="41"/>
      <c r="K673" s="41"/>
      <c r="L673" s="41"/>
      <c r="M673" s="41"/>
      <c r="N673" s="41"/>
      <c r="O673" s="41"/>
      <c r="P673" s="41"/>
      <c r="Q673" s="41"/>
      <c r="R673" s="41"/>
      <c r="S673" s="41"/>
      <c r="T673" s="575"/>
      <c r="U673" s="575"/>
      <c r="V673" s="575"/>
      <c r="W673" s="575"/>
    </row>
    <row r="674">
      <c r="A674" s="41"/>
      <c r="B674" s="41"/>
      <c r="C674" s="41"/>
      <c r="D674" s="41"/>
      <c r="E674" s="41"/>
      <c r="F674" s="41"/>
      <c r="G674" s="41"/>
      <c r="H674" s="41"/>
      <c r="I674" s="41"/>
      <c r="J674" s="41"/>
      <c r="K674" s="41"/>
      <c r="L674" s="41"/>
      <c r="M674" s="41"/>
      <c r="N674" s="41"/>
      <c r="O674" s="41"/>
      <c r="P674" s="41"/>
      <c r="Q674" s="41"/>
      <c r="R674" s="41"/>
      <c r="S674" s="41"/>
      <c r="T674" s="575"/>
      <c r="U674" s="575"/>
      <c r="V674" s="575"/>
      <c r="W674" s="575"/>
    </row>
    <row r="675">
      <c r="A675" s="41"/>
      <c r="B675" s="41"/>
      <c r="C675" s="41"/>
      <c r="D675" s="41"/>
      <c r="E675" s="41"/>
      <c r="F675" s="41"/>
      <c r="G675" s="41"/>
      <c r="H675" s="41"/>
      <c r="I675" s="41"/>
      <c r="J675" s="41"/>
      <c r="K675" s="41"/>
      <c r="L675" s="41"/>
      <c r="M675" s="41"/>
      <c r="N675" s="41"/>
      <c r="O675" s="41"/>
      <c r="P675" s="41"/>
      <c r="Q675" s="41"/>
      <c r="R675" s="41"/>
      <c r="S675" s="41"/>
      <c r="T675" s="575"/>
      <c r="U675" s="575"/>
      <c r="V675" s="575"/>
      <c r="W675" s="575"/>
    </row>
    <row r="676">
      <c r="A676" s="41"/>
      <c r="B676" s="41"/>
      <c r="C676" s="41"/>
      <c r="D676" s="41"/>
      <c r="E676" s="41"/>
      <c r="F676" s="41"/>
      <c r="G676" s="41"/>
      <c r="H676" s="41"/>
      <c r="I676" s="41"/>
      <c r="J676" s="41"/>
      <c r="K676" s="41"/>
      <c r="L676" s="41"/>
      <c r="M676" s="41"/>
      <c r="N676" s="41"/>
      <c r="O676" s="41"/>
      <c r="P676" s="41"/>
      <c r="Q676" s="41"/>
      <c r="R676" s="41"/>
      <c r="S676" s="41"/>
      <c r="T676" s="575"/>
      <c r="U676" s="575"/>
      <c r="V676" s="575"/>
      <c r="W676" s="575"/>
    </row>
    <row r="677">
      <c r="A677" s="41"/>
      <c r="B677" s="41"/>
      <c r="C677" s="41"/>
      <c r="D677" s="41"/>
      <c r="E677" s="41"/>
      <c r="F677" s="41"/>
      <c r="G677" s="41"/>
      <c r="H677" s="41"/>
      <c r="I677" s="41"/>
      <c r="J677" s="41"/>
      <c r="K677" s="41"/>
      <c r="L677" s="41"/>
      <c r="M677" s="41"/>
      <c r="N677" s="41"/>
      <c r="O677" s="41"/>
      <c r="P677" s="41"/>
      <c r="Q677" s="41"/>
      <c r="R677" s="41"/>
      <c r="S677" s="41"/>
      <c r="T677" s="575"/>
      <c r="U677" s="575"/>
      <c r="V677" s="575"/>
      <c r="W677" s="575"/>
    </row>
    <row r="678">
      <c r="A678" s="41"/>
      <c r="B678" s="41"/>
      <c r="C678" s="41"/>
      <c r="D678" s="41"/>
      <c r="E678" s="41"/>
      <c r="F678" s="41"/>
      <c r="G678" s="41"/>
      <c r="H678" s="41"/>
      <c r="I678" s="41"/>
      <c r="J678" s="41"/>
      <c r="K678" s="41"/>
      <c r="L678" s="41"/>
      <c r="M678" s="41"/>
      <c r="N678" s="41"/>
      <c r="O678" s="41"/>
      <c r="P678" s="41"/>
      <c r="Q678" s="41"/>
      <c r="R678" s="41"/>
      <c r="S678" s="41"/>
      <c r="T678" s="575"/>
      <c r="U678" s="575"/>
      <c r="V678" s="575"/>
      <c r="W678" s="575"/>
    </row>
    <row r="679">
      <c r="A679" s="41"/>
      <c r="B679" s="41"/>
      <c r="C679" s="41"/>
      <c r="D679" s="41"/>
      <c r="E679" s="41"/>
      <c r="F679" s="41"/>
      <c r="G679" s="41"/>
      <c r="H679" s="41"/>
      <c r="I679" s="41"/>
      <c r="J679" s="41"/>
      <c r="K679" s="41"/>
      <c r="L679" s="41"/>
      <c r="M679" s="41"/>
      <c r="N679" s="41"/>
      <c r="O679" s="41"/>
      <c r="P679" s="41"/>
      <c r="Q679" s="41"/>
      <c r="R679" s="41"/>
      <c r="S679" s="41"/>
      <c r="T679" s="575"/>
      <c r="U679" s="575"/>
      <c r="V679" s="575"/>
      <c r="W679" s="575"/>
    </row>
    <row r="680">
      <c r="A680" s="41"/>
      <c r="B680" s="41"/>
      <c r="C680" s="41"/>
      <c r="D680" s="41"/>
      <c r="E680" s="41"/>
      <c r="F680" s="41"/>
      <c r="G680" s="41"/>
      <c r="H680" s="41"/>
      <c r="I680" s="41"/>
      <c r="J680" s="41"/>
      <c r="K680" s="41"/>
      <c r="L680" s="41"/>
      <c r="M680" s="41"/>
      <c r="N680" s="41"/>
      <c r="O680" s="41"/>
      <c r="P680" s="41"/>
      <c r="Q680" s="41"/>
      <c r="R680" s="41"/>
      <c r="S680" s="41"/>
      <c r="T680" s="575"/>
      <c r="U680" s="575"/>
      <c r="V680" s="575"/>
      <c r="W680" s="575"/>
    </row>
    <row r="681">
      <c r="A681" s="41"/>
      <c r="B681" s="41"/>
      <c r="C681" s="41"/>
      <c r="D681" s="41"/>
      <c r="E681" s="41"/>
      <c r="F681" s="41"/>
      <c r="G681" s="41"/>
      <c r="H681" s="41"/>
      <c r="I681" s="41"/>
      <c r="J681" s="41"/>
      <c r="K681" s="41"/>
      <c r="L681" s="41"/>
      <c r="M681" s="41"/>
      <c r="N681" s="41"/>
      <c r="O681" s="41"/>
      <c r="P681" s="41"/>
      <c r="Q681" s="41"/>
      <c r="R681" s="41"/>
      <c r="S681" s="41"/>
      <c r="T681" s="575"/>
      <c r="U681" s="575"/>
      <c r="V681" s="575"/>
      <c r="W681" s="575"/>
    </row>
    <row r="682">
      <c r="A682" s="41"/>
      <c r="B682" s="41"/>
      <c r="C682" s="41"/>
      <c r="D682" s="41"/>
      <c r="E682" s="41"/>
      <c r="F682" s="41"/>
      <c r="G682" s="41"/>
      <c r="H682" s="41"/>
      <c r="I682" s="41"/>
      <c r="J682" s="41"/>
      <c r="K682" s="41"/>
      <c r="L682" s="41"/>
      <c r="M682" s="41"/>
      <c r="N682" s="41"/>
      <c r="O682" s="41"/>
      <c r="P682" s="41"/>
      <c r="Q682" s="41"/>
      <c r="R682" s="41"/>
      <c r="S682" s="41"/>
      <c r="T682" s="575"/>
      <c r="U682" s="575"/>
      <c r="V682" s="575"/>
      <c r="W682" s="575"/>
    </row>
    <row r="683">
      <c r="A683" s="41"/>
      <c r="B683" s="41"/>
      <c r="C683" s="41"/>
      <c r="D683" s="41"/>
      <c r="E683" s="41"/>
      <c r="F683" s="41"/>
      <c r="G683" s="41"/>
      <c r="H683" s="41"/>
      <c r="I683" s="41"/>
      <c r="J683" s="41"/>
      <c r="K683" s="41"/>
      <c r="L683" s="41"/>
      <c r="M683" s="41"/>
      <c r="N683" s="41"/>
      <c r="O683" s="41"/>
      <c r="P683" s="41"/>
      <c r="Q683" s="41"/>
      <c r="R683" s="41"/>
      <c r="S683" s="41"/>
      <c r="T683" s="575"/>
      <c r="U683" s="575"/>
      <c r="V683" s="575"/>
      <c r="W683" s="575"/>
    </row>
    <row r="684">
      <c r="A684" s="41"/>
      <c r="B684" s="41"/>
      <c r="C684" s="41"/>
      <c r="D684" s="41"/>
      <c r="E684" s="41"/>
      <c r="F684" s="41"/>
      <c r="G684" s="41"/>
      <c r="H684" s="41"/>
      <c r="I684" s="41"/>
      <c r="J684" s="41"/>
      <c r="K684" s="41"/>
      <c r="L684" s="41"/>
      <c r="M684" s="41"/>
      <c r="N684" s="41"/>
      <c r="O684" s="41"/>
      <c r="P684" s="41"/>
      <c r="Q684" s="41"/>
      <c r="R684" s="41"/>
      <c r="S684" s="41"/>
      <c r="T684" s="575"/>
      <c r="U684" s="575"/>
      <c r="V684" s="575"/>
      <c r="W684" s="575"/>
    </row>
    <row r="685">
      <c r="A685" s="41"/>
      <c r="B685" s="41"/>
      <c r="C685" s="41"/>
      <c r="D685" s="41"/>
      <c r="E685" s="41"/>
      <c r="F685" s="41"/>
      <c r="G685" s="41"/>
      <c r="H685" s="41"/>
      <c r="I685" s="41"/>
      <c r="J685" s="41"/>
      <c r="K685" s="41"/>
      <c r="L685" s="41"/>
      <c r="M685" s="41"/>
      <c r="N685" s="41"/>
      <c r="O685" s="41"/>
      <c r="P685" s="41"/>
      <c r="Q685" s="41"/>
      <c r="R685" s="41"/>
      <c r="S685" s="41"/>
      <c r="T685" s="575"/>
      <c r="U685" s="575"/>
      <c r="V685" s="575"/>
      <c r="W685" s="575"/>
    </row>
    <row r="686">
      <c r="A686" s="41"/>
      <c r="B686" s="41"/>
      <c r="C686" s="41"/>
      <c r="D686" s="41"/>
      <c r="E686" s="41"/>
      <c r="F686" s="41"/>
      <c r="G686" s="41"/>
      <c r="H686" s="41"/>
      <c r="I686" s="41"/>
      <c r="J686" s="41"/>
      <c r="K686" s="41"/>
      <c r="L686" s="41"/>
      <c r="M686" s="41"/>
      <c r="N686" s="41"/>
      <c r="O686" s="41"/>
      <c r="P686" s="41"/>
      <c r="Q686" s="41"/>
      <c r="R686" s="41"/>
      <c r="S686" s="41"/>
      <c r="T686" s="575"/>
      <c r="U686" s="575"/>
      <c r="V686" s="575"/>
      <c r="W686" s="575"/>
    </row>
    <row r="687">
      <c r="A687" s="41"/>
      <c r="B687" s="41"/>
      <c r="C687" s="41"/>
      <c r="D687" s="41"/>
      <c r="E687" s="41"/>
      <c r="F687" s="41"/>
      <c r="G687" s="41"/>
      <c r="H687" s="41"/>
      <c r="I687" s="41"/>
      <c r="J687" s="41"/>
      <c r="K687" s="41"/>
      <c r="L687" s="41"/>
      <c r="M687" s="41"/>
      <c r="N687" s="41"/>
      <c r="O687" s="41"/>
      <c r="P687" s="41"/>
      <c r="Q687" s="41"/>
      <c r="R687" s="41"/>
      <c r="S687" s="41"/>
      <c r="T687" s="575"/>
      <c r="U687" s="575"/>
      <c r="V687" s="575"/>
      <c r="W687" s="575"/>
    </row>
    <row r="688">
      <c r="A688" s="41"/>
      <c r="B688" s="41"/>
      <c r="C688" s="41"/>
      <c r="D688" s="41"/>
      <c r="E688" s="41"/>
      <c r="F688" s="41"/>
      <c r="G688" s="41"/>
      <c r="H688" s="41"/>
      <c r="I688" s="41"/>
      <c r="J688" s="41"/>
      <c r="K688" s="41"/>
      <c r="L688" s="41"/>
      <c r="M688" s="41"/>
      <c r="N688" s="41"/>
      <c r="O688" s="41"/>
      <c r="P688" s="41"/>
      <c r="Q688" s="41"/>
      <c r="R688" s="41"/>
      <c r="S688" s="41"/>
      <c r="T688" s="575"/>
      <c r="U688" s="575"/>
      <c r="V688" s="575"/>
      <c r="W688" s="575"/>
    </row>
    <row r="689">
      <c r="A689" s="41"/>
      <c r="B689" s="41"/>
      <c r="C689" s="41"/>
      <c r="D689" s="41"/>
      <c r="E689" s="41"/>
      <c r="F689" s="41"/>
      <c r="G689" s="41"/>
      <c r="H689" s="41"/>
      <c r="I689" s="41"/>
      <c r="J689" s="41"/>
      <c r="K689" s="41"/>
      <c r="L689" s="41"/>
      <c r="M689" s="41"/>
      <c r="N689" s="41"/>
      <c r="O689" s="41"/>
      <c r="P689" s="41"/>
      <c r="Q689" s="41"/>
      <c r="R689" s="41"/>
      <c r="S689" s="41"/>
      <c r="T689" s="575"/>
      <c r="U689" s="575"/>
      <c r="V689" s="575"/>
      <c r="W689" s="575"/>
    </row>
    <row r="690">
      <c r="A690" s="41"/>
      <c r="B690" s="41"/>
      <c r="C690" s="41"/>
      <c r="D690" s="41"/>
      <c r="E690" s="41"/>
      <c r="F690" s="41"/>
      <c r="G690" s="41"/>
      <c r="H690" s="41"/>
      <c r="I690" s="41"/>
      <c r="J690" s="41"/>
      <c r="K690" s="41"/>
      <c r="L690" s="41"/>
      <c r="M690" s="41"/>
      <c r="N690" s="41"/>
      <c r="O690" s="41"/>
      <c r="P690" s="41"/>
      <c r="Q690" s="41"/>
      <c r="R690" s="41"/>
      <c r="S690" s="41"/>
      <c r="T690" s="575"/>
      <c r="U690" s="575"/>
      <c r="V690" s="575"/>
      <c r="W690" s="575"/>
    </row>
    <row r="691">
      <c r="A691" s="41"/>
      <c r="B691" s="41"/>
      <c r="C691" s="41"/>
      <c r="D691" s="41"/>
      <c r="E691" s="41"/>
      <c r="F691" s="41"/>
      <c r="G691" s="41"/>
      <c r="H691" s="41"/>
      <c r="I691" s="41"/>
      <c r="J691" s="41"/>
      <c r="K691" s="41"/>
      <c r="L691" s="41"/>
      <c r="M691" s="41"/>
      <c r="N691" s="41"/>
      <c r="O691" s="41"/>
      <c r="P691" s="41"/>
      <c r="Q691" s="41"/>
      <c r="R691" s="41"/>
      <c r="S691" s="41"/>
      <c r="T691" s="575"/>
      <c r="U691" s="575"/>
      <c r="V691" s="575"/>
      <c r="W691" s="575"/>
    </row>
    <row r="692">
      <c r="A692" s="41"/>
      <c r="B692" s="41"/>
      <c r="C692" s="41"/>
      <c r="D692" s="41"/>
      <c r="E692" s="41"/>
      <c r="F692" s="41"/>
      <c r="G692" s="41"/>
      <c r="H692" s="41"/>
      <c r="I692" s="41"/>
      <c r="J692" s="41"/>
      <c r="K692" s="41"/>
      <c r="L692" s="41"/>
      <c r="M692" s="41"/>
      <c r="N692" s="41"/>
      <c r="O692" s="41"/>
      <c r="P692" s="41"/>
      <c r="Q692" s="41"/>
      <c r="R692" s="41"/>
      <c r="S692" s="41"/>
      <c r="T692" s="575"/>
      <c r="U692" s="575"/>
      <c r="V692" s="575"/>
      <c r="W692" s="575"/>
    </row>
    <row r="693">
      <c r="A693" s="41"/>
      <c r="B693" s="41"/>
      <c r="C693" s="41"/>
      <c r="D693" s="41"/>
      <c r="E693" s="41"/>
      <c r="F693" s="41"/>
      <c r="G693" s="41"/>
      <c r="H693" s="41"/>
      <c r="I693" s="41"/>
      <c r="J693" s="41"/>
      <c r="K693" s="41"/>
      <c r="L693" s="41"/>
      <c r="M693" s="41"/>
      <c r="N693" s="41"/>
      <c r="O693" s="41"/>
      <c r="P693" s="41"/>
      <c r="Q693" s="41"/>
      <c r="R693" s="41"/>
      <c r="S693" s="41"/>
      <c r="T693" s="575"/>
      <c r="U693" s="575"/>
      <c r="V693" s="575"/>
      <c r="W693" s="575"/>
    </row>
    <row r="694">
      <c r="A694" s="41"/>
      <c r="B694" s="41"/>
      <c r="C694" s="41"/>
      <c r="D694" s="41"/>
      <c r="E694" s="41"/>
      <c r="F694" s="41"/>
      <c r="G694" s="41"/>
      <c r="H694" s="41"/>
      <c r="I694" s="41"/>
      <c r="J694" s="41"/>
      <c r="K694" s="41"/>
      <c r="L694" s="41"/>
      <c r="M694" s="41"/>
      <c r="N694" s="41"/>
      <c r="O694" s="41"/>
      <c r="P694" s="41"/>
      <c r="Q694" s="41"/>
      <c r="R694" s="41"/>
      <c r="S694" s="41"/>
      <c r="T694" s="575"/>
      <c r="U694" s="575"/>
      <c r="V694" s="575"/>
      <c r="W694" s="575"/>
    </row>
    <row r="695">
      <c r="A695" s="41"/>
      <c r="B695" s="41"/>
      <c r="C695" s="41"/>
      <c r="D695" s="41"/>
      <c r="E695" s="41"/>
      <c r="F695" s="41"/>
      <c r="G695" s="41"/>
      <c r="H695" s="41"/>
      <c r="I695" s="41"/>
      <c r="J695" s="41"/>
      <c r="K695" s="41"/>
      <c r="L695" s="41"/>
      <c r="M695" s="41"/>
      <c r="N695" s="41"/>
      <c r="O695" s="41"/>
      <c r="P695" s="41"/>
      <c r="Q695" s="41"/>
      <c r="R695" s="41"/>
      <c r="S695" s="41"/>
      <c r="T695" s="575"/>
      <c r="U695" s="575"/>
      <c r="V695" s="575"/>
      <c r="W695" s="575"/>
    </row>
    <row r="696">
      <c r="A696" s="41"/>
      <c r="B696" s="41"/>
      <c r="C696" s="41"/>
      <c r="D696" s="41"/>
      <c r="E696" s="41"/>
      <c r="F696" s="41"/>
      <c r="G696" s="41"/>
      <c r="H696" s="41"/>
      <c r="I696" s="41"/>
      <c r="J696" s="41"/>
      <c r="K696" s="41"/>
      <c r="L696" s="41"/>
      <c r="M696" s="41"/>
      <c r="N696" s="41"/>
      <c r="O696" s="41"/>
      <c r="P696" s="41"/>
      <c r="Q696" s="41"/>
      <c r="R696" s="41"/>
      <c r="S696" s="41"/>
      <c r="T696" s="575"/>
      <c r="U696" s="575"/>
      <c r="V696" s="575"/>
      <c r="W696" s="575"/>
    </row>
    <row r="697">
      <c r="A697" s="41"/>
      <c r="B697" s="41"/>
      <c r="C697" s="41"/>
      <c r="D697" s="41"/>
      <c r="E697" s="41"/>
      <c r="F697" s="41"/>
      <c r="G697" s="41"/>
      <c r="H697" s="41"/>
      <c r="I697" s="41"/>
      <c r="J697" s="41"/>
      <c r="K697" s="41"/>
      <c r="L697" s="41"/>
      <c r="M697" s="41"/>
      <c r="N697" s="41"/>
      <c r="O697" s="41"/>
      <c r="P697" s="41"/>
      <c r="Q697" s="41"/>
      <c r="R697" s="41"/>
      <c r="S697" s="41"/>
      <c r="T697" s="575"/>
      <c r="U697" s="575"/>
      <c r="V697" s="575"/>
      <c r="W697" s="575"/>
    </row>
    <row r="698">
      <c r="A698" s="41"/>
      <c r="B698" s="41"/>
      <c r="C698" s="41"/>
      <c r="D698" s="41"/>
      <c r="E698" s="41"/>
      <c r="F698" s="41"/>
      <c r="G698" s="41"/>
      <c r="H698" s="41"/>
      <c r="I698" s="41"/>
      <c r="J698" s="41"/>
      <c r="K698" s="41"/>
      <c r="L698" s="41"/>
      <c r="M698" s="41"/>
      <c r="N698" s="41"/>
      <c r="O698" s="41"/>
      <c r="P698" s="41"/>
      <c r="Q698" s="41"/>
      <c r="R698" s="41"/>
      <c r="S698" s="41"/>
      <c r="T698" s="575"/>
      <c r="U698" s="575"/>
      <c r="V698" s="575"/>
      <c r="W698" s="575"/>
    </row>
    <row r="699">
      <c r="A699" s="41"/>
      <c r="B699" s="41"/>
      <c r="C699" s="41"/>
      <c r="D699" s="41"/>
      <c r="E699" s="41"/>
      <c r="F699" s="41"/>
      <c r="G699" s="41"/>
      <c r="H699" s="41"/>
      <c r="I699" s="41"/>
      <c r="J699" s="41"/>
      <c r="K699" s="41"/>
      <c r="L699" s="41"/>
      <c r="M699" s="41"/>
      <c r="N699" s="41"/>
      <c r="O699" s="41"/>
      <c r="P699" s="41"/>
      <c r="Q699" s="41"/>
      <c r="R699" s="41"/>
      <c r="S699" s="41"/>
      <c r="T699" s="575"/>
      <c r="U699" s="575"/>
      <c r="V699" s="575"/>
      <c r="W699" s="575"/>
    </row>
    <row r="700">
      <c r="A700" s="41"/>
      <c r="B700" s="41"/>
      <c r="C700" s="41"/>
      <c r="D700" s="41"/>
      <c r="E700" s="41"/>
      <c r="F700" s="41"/>
      <c r="G700" s="41"/>
      <c r="H700" s="41"/>
      <c r="I700" s="41"/>
      <c r="J700" s="41"/>
      <c r="K700" s="41"/>
      <c r="L700" s="41"/>
      <c r="M700" s="41"/>
      <c r="N700" s="41"/>
      <c r="O700" s="41"/>
      <c r="P700" s="41"/>
      <c r="Q700" s="41"/>
      <c r="R700" s="41"/>
      <c r="S700" s="41"/>
      <c r="T700" s="575"/>
      <c r="U700" s="575"/>
      <c r="V700" s="575"/>
      <c r="W700" s="575"/>
    </row>
    <row r="701">
      <c r="A701" s="41"/>
      <c r="B701" s="41"/>
      <c r="C701" s="41"/>
      <c r="D701" s="41"/>
      <c r="E701" s="41"/>
      <c r="F701" s="41"/>
      <c r="G701" s="41"/>
      <c r="H701" s="41"/>
      <c r="I701" s="41"/>
      <c r="J701" s="41"/>
      <c r="K701" s="41"/>
      <c r="L701" s="41"/>
      <c r="M701" s="41"/>
      <c r="N701" s="41"/>
      <c r="O701" s="41"/>
      <c r="P701" s="41"/>
      <c r="Q701" s="41"/>
      <c r="R701" s="41"/>
      <c r="S701" s="41"/>
      <c r="T701" s="575"/>
      <c r="U701" s="575"/>
      <c r="V701" s="575"/>
      <c r="W701" s="575"/>
    </row>
    <row r="702">
      <c r="A702" s="41"/>
      <c r="B702" s="41"/>
      <c r="C702" s="41"/>
      <c r="D702" s="41"/>
      <c r="E702" s="41"/>
      <c r="F702" s="41"/>
      <c r="G702" s="41"/>
      <c r="H702" s="41"/>
      <c r="I702" s="41"/>
      <c r="J702" s="41"/>
      <c r="K702" s="41"/>
      <c r="L702" s="41"/>
      <c r="M702" s="41"/>
      <c r="N702" s="41"/>
      <c r="O702" s="41"/>
      <c r="P702" s="41"/>
      <c r="Q702" s="41"/>
      <c r="R702" s="41"/>
      <c r="S702" s="41"/>
      <c r="T702" s="575"/>
      <c r="U702" s="575"/>
      <c r="V702" s="575"/>
      <c r="W702" s="575"/>
    </row>
    <row r="703">
      <c r="A703" s="41"/>
      <c r="B703" s="41"/>
      <c r="C703" s="41"/>
      <c r="D703" s="41"/>
      <c r="E703" s="41"/>
      <c r="F703" s="41"/>
      <c r="G703" s="41"/>
      <c r="H703" s="41"/>
      <c r="I703" s="41"/>
      <c r="J703" s="41"/>
      <c r="K703" s="41"/>
      <c r="L703" s="41"/>
      <c r="M703" s="41"/>
      <c r="N703" s="41"/>
      <c r="O703" s="41"/>
      <c r="P703" s="41"/>
      <c r="Q703" s="41"/>
      <c r="R703" s="41"/>
      <c r="S703" s="41"/>
      <c r="T703" s="575"/>
      <c r="U703" s="575"/>
      <c r="V703" s="575"/>
      <c r="W703" s="575"/>
    </row>
    <row r="704">
      <c r="A704" s="41"/>
      <c r="B704" s="41"/>
      <c r="C704" s="41"/>
      <c r="D704" s="41"/>
      <c r="E704" s="41"/>
      <c r="F704" s="41"/>
      <c r="G704" s="41"/>
      <c r="H704" s="41"/>
      <c r="I704" s="41"/>
      <c r="J704" s="41"/>
      <c r="K704" s="41"/>
      <c r="L704" s="41"/>
      <c r="M704" s="41"/>
      <c r="N704" s="41"/>
      <c r="O704" s="41"/>
      <c r="P704" s="41"/>
      <c r="Q704" s="41"/>
      <c r="R704" s="41"/>
      <c r="S704" s="41"/>
      <c r="T704" s="575"/>
      <c r="U704" s="575"/>
      <c r="V704" s="575"/>
      <c r="W704" s="575"/>
    </row>
    <row r="705">
      <c r="A705" s="41"/>
      <c r="B705" s="41"/>
      <c r="C705" s="41"/>
      <c r="D705" s="41"/>
      <c r="E705" s="41"/>
      <c r="F705" s="41"/>
      <c r="G705" s="41"/>
      <c r="H705" s="41"/>
      <c r="I705" s="41"/>
      <c r="J705" s="41"/>
      <c r="K705" s="41"/>
      <c r="L705" s="41"/>
      <c r="M705" s="41"/>
      <c r="N705" s="41"/>
      <c r="O705" s="41"/>
      <c r="P705" s="41"/>
      <c r="Q705" s="41"/>
      <c r="R705" s="41"/>
      <c r="S705" s="41"/>
      <c r="T705" s="575"/>
      <c r="U705" s="575"/>
      <c r="V705" s="575"/>
      <c r="W705" s="575"/>
    </row>
    <row r="706">
      <c r="A706" s="41"/>
      <c r="B706" s="41"/>
      <c r="C706" s="41"/>
      <c r="D706" s="41"/>
      <c r="E706" s="41"/>
      <c r="F706" s="41"/>
      <c r="G706" s="41"/>
      <c r="H706" s="41"/>
      <c r="I706" s="41"/>
      <c r="J706" s="41"/>
      <c r="K706" s="41"/>
      <c r="L706" s="41"/>
      <c r="M706" s="41"/>
      <c r="N706" s="41"/>
      <c r="O706" s="41"/>
      <c r="P706" s="41"/>
      <c r="Q706" s="41"/>
      <c r="R706" s="41"/>
      <c r="S706" s="41"/>
      <c r="T706" s="575"/>
      <c r="U706" s="575"/>
      <c r="V706" s="575"/>
      <c r="W706" s="575"/>
    </row>
    <row r="707">
      <c r="A707" s="41"/>
      <c r="B707" s="41"/>
      <c r="C707" s="41"/>
      <c r="D707" s="41"/>
      <c r="E707" s="41"/>
      <c r="F707" s="41"/>
      <c r="G707" s="41"/>
      <c r="H707" s="41"/>
      <c r="I707" s="41"/>
      <c r="J707" s="41"/>
      <c r="K707" s="41"/>
      <c r="L707" s="41"/>
      <c r="M707" s="41"/>
      <c r="N707" s="41"/>
      <c r="O707" s="41"/>
      <c r="P707" s="41"/>
      <c r="Q707" s="41"/>
      <c r="R707" s="41"/>
      <c r="S707" s="41"/>
      <c r="T707" s="575"/>
      <c r="U707" s="575"/>
      <c r="V707" s="575"/>
      <c r="W707" s="575"/>
    </row>
    <row r="708">
      <c r="A708" s="41"/>
      <c r="B708" s="41"/>
      <c r="C708" s="41"/>
      <c r="D708" s="41"/>
      <c r="E708" s="41"/>
      <c r="F708" s="41"/>
      <c r="G708" s="41"/>
      <c r="H708" s="41"/>
      <c r="I708" s="41"/>
      <c r="J708" s="41"/>
      <c r="K708" s="41"/>
      <c r="L708" s="41"/>
      <c r="M708" s="41"/>
      <c r="N708" s="41"/>
      <c r="O708" s="41"/>
      <c r="P708" s="41"/>
      <c r="Q708" s="41"/>
      <c r="R708" s="41"/>
      <c r="S708" s="41"/>
      <c r="T708" s="575"/>
      <c r="U708" s="575"/>
      <c r="V708" s="575"/>
      <c r="W708" s="575"/>
    </row>
    <row r="709">
      <c r="A709" s="41"/>
      <c r="B709" s="41"/>
      <c r="C709" s="41"/>
      <c r="D709" s="41"/>
      <c r="E709" s="41"/>
      <c r="F709" s="41"/>
      <c r="G709" s="41"/>
      <c r="H709" s="41"/>
      <c r="I709" s="41"/>
      <c r="J709" s="41"/>
      <c r="K709" s="41"/>
      <c r="L709" s="41"/>
      <c r="M709" s="41"/>
      <c r="N709" s="41"/>
      <c r="O709" s="41"/>
      <c r="P709" s="41"/>
      <c r="Q709" s="41"/>
      <c r="R709" s="41"/>
      <c r="S709" s="41"/>
      <c r="T709" s="575"/>
      <c r="U709" s="575"/>
      <c r="V709" s="575"/>
      <c r="W709" s="575"/>
    </row>
    <row r="710">
      <c r="A710" s="41"/>
      <c r="B710" s="41"/>
      <c r="C710" s="41"/>
      <c r="D710" s="41"/>
      <c r="E710" s="41"/>
      <c r="F710" s="41"/>
      <c r="G710" s="41"/>
      <c r="H710" s="41"/>
      <c r="I710" s="41"/>
      <c r="J710" s="41"/>
      <c r="K710" s="41"/>
      <c r="L710" s="41"/>
      <c r="M710" s="41"/>
      <c r="N710" s="41"/>
      <c r="O710" s="41"/>
      <c r="P710" s="41"/>
      <c r="Q710" s="41"/>
      <c r="R710" s="41"/>
      <c r="S710" s="41"/>
      <c r="T710" s="575"/>
      <c r="U710" s="575"/>
      <c r="V710" s="575"/>
      <c r="W710" s="575"/>
    </row>
    <row r="711">
      <c r="A711" s="41"/>
      <c r="B711" s="41"/>
      <c r="C711" s="41"/>
      <c r="D711" s="41"/>
      <c r="E711" s="41"/>
      <c r="F711" s="41"/>
      <c r="G711" s="41"/>
      <c r="H711" s="41"/>
      <c r="I711" s="41"/>
      <c r="J711" s="41"/>
      <c r="K711" s="41"/>
      <c r="L711" s="41"/>
      <c r="M711" s="41"/>
      <c r="N711" s="41"/>
      <c r="O711" s="41"/>
      <c r="P711" s="41"/>
      <c r="Q711" s="41"/>
      <c r="R711" s="41"/>
      <c r="S711" s="41"/>
      <c r="T711" s="575"/>
      <c r="U711" s="575"/>
      <c r="V711" s="575"/>
      <c r="W711" s="575"/>
    </row>
    <row r="712">
      <c r="A712" s="41"/>
      <c r="B712" s="41"/>
      <c r="C712" s="41"/>
      <c r="D712" s="41"/>
      <c r="E712" s="41"/>
      <c r="F712" s="41"/>
      <c r="G712" s="41"/>
      <c r="H712" s="41"/>
      <c r="I712" s="41"/>
      <c r="J712" s="41"/>
      <c r="K712" s="41"/>
      <c r="L712" s="41"/>
      <c r="M712" s="41"/>
      <c r="N712" s="41"/>
      <c r="O712" s="41"/>
      <c r="P712" s="41"/>
      <c r="Q712" s="41"/>
      <c r="R712" s="41"/>
      <c r="S712" s="41"/>
      <c r="T712" s="575"/>
      <c r="U712" s="575"/>
      <c r="V712" s="575"/>
      <c r="W712" s="575"/>
    </row>
    <row r="713">
      <c r="A713" s="41"/>
      <c r="B713" s="41"/>
      <c r="C713" s="41"/>
      <c r="D713" s="41"/>
      <c r="E713" s="41"/>
      <c r="F713" s="41"/>
      <c r="G713" s="41"/>
      <c r="H713" s="41"/>
      <c r="I713" s="41"/>
      <c r="J713" s="41"/>
      <c r="K713" s="41"/>
      <c r="L713" s="41"/>
      <c r="M713" s="41"/>
      <c r="N713" s="41"/>
      <c r="O713" s="41"/>
      <c r="P713" s="41"/>
      <c r="Q713" s="41"/>
      <c r="R713" s="41"/>
      <c r="S713" s="41"/>
      <c r="T713" s="575"/>
      <c r="U713" s="575"/>
      <c r="V713" s="575"/>
      <c r="W713" s="575"/>
    </row>
    <row r="714">
      <c r="A714" s="41"/>
      <c r="B714" s="41"/>
      <c r="C714" s="41"/>
      <c r="D714" s="41"/>
      <c r="E714" s="41"/>
      <c r="F714" s="41"/>
      <c r="G714" s="41"/>
      <c r="H714" s="41"/>
      <c r="I714" s="41"/>
      <c r="J714" s="41"/>
      <c r="K714" s="41"/>
      <c r="L714" s="41"/>
      <c r="M714" s="41"/>
      <c r="N714" s="41"/>
      <c r="O714" s="41"/>
      <c r="P714" s="41"/>
      <c r="Q714" s="41"/>
      <c r="R714" s="41"/>
      <c r="S714" s="41"/>
      <c r="T714" s="575"/>
      <c r="U714" s="575"/>
      <c r="V714" s="575"/>
      <c r="W714" s="575"/>
    </row>
    <row r="715">
      <c r="A715" s="41"/>
      <c r="B715" s="41"/>
      <c r="C715" s="41"/>
      <c r="D715" s="41"/>
      <c r="E715" s="41"/>
      <c r="F715" s="41"/>
      <c r="G715" s="41"/>
      <c r="H715" s="41"/>
      <c r="I715" s="41"/>
      <c r="J715" s="41"/>
      <c r="K715" s="41"/>
      <c r="L715" s="41"/>
      <c r="M715" s="41"/>
      <c r="N715" s="41"/>
      <c r="O715" s="41"/>
      <c r="P715" s="41"/>
      <c r="Q715" s="41"/>
      <c r="R715" s="41"/>
      <c r="S715" s="41"/>
      <c r="T715" s="575"/>
      <c r="U715" s="575"/>
      <c r="V715" s="575"/>
      <c r="W715" s="575"/>
    </row>
    <row r="716">
      <c r="A716" s="41"/>
      <c r="B716" s="41"/>
      <c r="C716" s="41"/>
      <c r="D716" s="41"/>
      <c r="E716" s="41"/>
      <c r="F716" s="41"/>
      <c r="G716" s="41"/>
      <c r="H716" s="41"/>
      <c r="I716" s="41"/>
      <c r="J716" s="41"/>
      <c r="K716" s="41"/>
      <c r="L716" s="41"/>
      <c r="M716" s="41"/>
      <c r="N716" s="41"/>
      <c r="O716" s="41"/>
      <c r="P716" s="41"/>
      <c r="Q716" s="41"/>
      <c r="R716" s="41"/>
      <c r="S716" s="41"/>
      <c r="T716" s="575"/>
      <c r="U716" s="575"/>
      <c r="V716" s="575"/>
      <c r="W716" s="575"/>
    </row>
    <row r="717">
      <c r="A717" s="41"/>
      <c r="B717" s="41"/>
      <c r="C717" s="41"/>
      <c r="D717" s="41"/>
      <c r="E717" s="41"/>
      <c r="F717" s="41"/>
      <c r="G717" s="41"/>
      <c r="H717" s="41"/>
      <c r="I717" s="41"/>
      <c r="J717" s="41"/>
      <c r="K717" s="41"/>
      <c r="L717" s="41"/>
      <c r="M717" s="41"/>
      <c r="N717" s="41"/>
      <c r="O717" s="41"/>
      <c r="P717" s="41"/>
      <c r="Q717" s="41"/>
      <c r="R717" s="41"/>
      <c r="S717" s="41"/>
      <c r="T717" s="575"/>
      <c r="U717" s="575"/>
      <c r="V717" s="575"/>
      <c r="W717" s="575"/>
    </row>
    <row r="718">
      <c r="A718" s="41"/>
      <c r="B718" s="41"/>
      <c r="C718" s="41"/>
      <c r="D718" s="41"/>
      <c r="E718" s="41"/>
      <c r="F718" s="41"/>
      <c r="G718" s="41"/>
      <c r="H718" s="41"/>
      <c r="I718" s="41"/>
      <c r="J718" s="41"/>
      <c r="K718" s="41"/>
      <c r="L718" s="41"/>
      <c r="M718" s="41"/>
      <c r="N718" s="41"/>
      <c r="O718" s="41"/>
      <c r="P718" s="41"/>
      <c r="Q718" s="41"/>
      <c r="R718" s="41"/>
      <c r="S718" s="41"/>
      <c r="T718" s="575"/>
      <c r="U718" s="575"/>
      <c r="V718" s="575"/>
      <c r="W718" s="575"/>
    </row>
    <row r="719">
      <c r="A719" s="41"/>
      <c r="B719" s="41"/>
      <c r="C719" s="41"/>
      <c r="D719" s="41"/>
      <c r="E719" s="41"/>
      <c r="F719" s="41"/>
      <c r="G719" s="41"/>
      <c r="H719" s="41"/>
      <c r="I719" s="41"/>
      <c r="J719" s="41"/>
      <c r="K719" s="41"/>
      <c r="L719" s="41"/>
      <c r="M719" s="41"/>
      <c r="N719" s="41"/>
      <c r="O719" s="41"/>
      <c r="P719" s="41"/>
      <c r="Q719" s="41"/>
      <c r="R719" s="41"/>
      <c r="S719" s="41"/>
      <c r="T719" s="575"/>
      <c r="U719" s="575"/>
      <c r="V719" s="575"/>
      <c r="W719" s="575"/>
    </row>
    <row r="720">
      <c r="A720" s="41"/>
      <c r="B720" s="41"/>
      <c r="C720" s="41"/>
      <c r="D720" s="41"/>
      <c r="E720" s="41"/>
      <c r="F720" s="41"/>
      <c r="G720" s="41"/>
      <c r="H720" s="41"/>
      <c r="I720" s="41"/>
      <c r="J720" s="41"/>
      <c r="K720" s="41"/>
      <c r="L720" s="41"/>
      <c r="M720" s="41"/>
      <c r="N720" s="41"/>
      <c r="O720" s="41"/>
      <c r="P720" s="41"/>
      <c r="Q720" s="41"/>
      <c r="R720" s="41"/>
      <c r="S720" s="41"/>
      <c r="T720" s="575"/>
      <c r="U720" s="575"/>
      <c r="V720" s="575"/>
      <c r="W720" s="575"/>
    </row>
    <row r="721">
      <c r="A721" s="41"/>
      <c r="B721" s="41"/>
      <c r="C721" s="41"/>
      <c r="D721" s="41"/>
      <c r="E721" s="41"/>
      <c r="F721" s="41"/>
      <c r="G721" s="41"/>
      <c r="H721" s="41"/>
      <c r="I721" s="41"/>
      <c r="J721" s="41"/>
      <c r="K721" s="41"/>
      <c r="L721" s="41"/>
      <c r="M721" s="41"/>
      <c r="N721" s="41"/>
      <c r="O721" s="41"/>
      <c r="P721" s="41"/>
      <c r="Q721" s="41"/>
      <c r="R721" s="41"/>
      <c r="S721" s="41"/>
      <c r="T721" s="575"/>
      <c r="U721" s="575"/>
      <c r="V721" s="575"/>
      <c r="W721" s="575"/>
    </row>
    <row r="722">
      <c r="A722" s="41"/>
      <c r="B722" s="41"/>
      <c r="C722" s="41"/>
      <c r="D722" s="41"/>
      <c r="E722" s="41"/>
      <c r="F722" s="41"/>
      <c r="G722" s="41"/>
      <c r="H722" s="41"/>
      <c r="I722" s="41"/>
      <c r="J722" s="41"/>
      <c r="K722" s="41"/>
      <c r="L722" s="41"/>
      <c r="M722" s="41"/>
      <c r="N722" s="41"/>
      <c r="O722" s="41"/>
      <c r="P722" s="41"/>
      <c r="Q722" s="41"/>
      <c r="R722" s="41"/>
      <c r="S722" s="41"/>
      <c r="T722" s="575"/>
      <c r="U722" s="575"/>
      <c r="V722" s="575"/>
      <c r="W722" s="575"/>
    </row>
    <row r="723">
      <c r="A723" s="41"/>
      <c r="B723" s="41"/>
      <c r="C723" s="41"/>
      <c r="D723" s="41"/>
      <c r="E723" s="41"/>
      <c r="F723" s="41"/>
      <c r="G723" s="41"/>
      <c r="H723" s="41"/>
      <c r="I723" s="41"/>
      <c r="J723" s="41"/>
      <c r="K723" s="41"/>
      <c r="L723" s="41"/>
      <c r="M723" s="41"/>
      <c r="N723" s="41"/>
      <c r="O723" s="41"/>
      <c r="P723" s="41"/>
      <c r="Q723" s="41"/>
      <c r="R723" s="41"/>
      <c r="S723" s="41"/>
      <c r="T723" s="575"/>
      <c r="U723" s="575"/>
      <c r="V723" s="575"/>
      <c r="W723" s="575"/>
    </row>
    <row r="724">
      <c r="A724" s="41"/>
      <c r="B724" s="41"/>
      <c r="C724" s="41"/>
      <c r="D724" s="41"/>
      <c r="E724" s="41"/>
      <c r="F724" s="41"/>
      <c r="G724" s="41"/>
      <c r="H724" s="41"/>
      <c r="I724" s="41"/>
      <c r="J724" s="41"/>
      <c r="K724" s="41"/>
      <c r="L724" s="41"/>
      <c r="M724" s="41"/>
      <c r="N724" s="41"/>
      <c r="O724" s="41"/>
      <c r="P724" s="41"/>
      <c r="Q724" s="41"/>
      <c r="R724" s="41"/>
      <c r="S724" s="41"/>
      <c r="T724" s="575"/>
      <c r="U724" s="575"/>
      <c r="V724" s="575"/>
      <c r="W724" s="575"/>
    </row>
    <row r="725">
      <c r="A725" s="41"/>
      <c r="B725" s="41"/>
      <c r="C725" s="41"/>
      <c r="D725" s="41"/>
      <c r="E725" s="41"/>
      <c r="F725" s="41"/>
      <c r="G725" s="41"/>
      <c r="H725" s="41"/>
      <c r="I725" s="41"/>
      <c r="J725" s="41"/>
      <c r="K725" s="41"/>
      <c r="L725" s="41"/>
      <c r="M725" s="41"/>
      <c r="N725" s="41"/>
      <c r="O725" s="41"/>
      <c r="P725" s="41"/>
      <c r="Q725" s="41"/>
      <c r="R725" s="41"/>
      <c r="S725" s="41"/>
      <c r="T725" s="575"/>
      <c r="U725" s="575"/>
      <c r="V725" s="575"/>
      <c r="W725" s="575"/>
    </row>
    <row r="726">
      <c r="A726" s="41"/>
      <c r="B726" s="41"/>
      <c r="C726" s="41"/>
      <c r="D726" s="41"/>
      <c r="E726" s="41"/>
      <c r="F726" s="41"/>
      <c r="G726" s="41"/>
      <c r="H726" s="41"/>
      <c r="I726" s="41"/>
      <c r="J726" s="41"/>
      <c r="K726" s="41"/>
      <c r="L726" s="41"/>
      <c r="M726" s="41"/>
      <c r="N726" s="41"/>
      <c r="O726" s="41"/>
      <c r="P726" s="41"/>
      <c r="Q726" s="41"/>
      <c r="R726" s="41"/>
      <c r="S726" s="41"/>
      <c r="T726" s="575"/>
      <c r="U726" s="575"/>
      <c r="V726" s="575"/>
      <c r="W726" s="575"/>
    </row>
    <row r="727">
      <c r="A727" s="41"/>
      <c r="B727" s="41"/>
      <c r="C727" s="41"/>
      <c r="D727" s="41"/>
      <c r="E727" s="41"/>
      <c r="F727" s="41"/>
      <c r="G727" s="41"/>
      <c r="H727" s="41"/>
      <c r="I727" s="41"/>
      <c r="J727" s="41"/>
      <c r="K727" s="41"/>
      <c r="L727" s="41"/>
      <c r="M727" s="41"/>
      <c r="N727" s="41"/>
      <c r="O727" s="41"/>
      <c r="P727" s="41"/>
      <c r="Q727" s="41"/>
      <c r="R727" s="41"/>
      <c r="S727" s="41"/>
      <c r="T727" s="575"/>
      <c r="U727" s="575"/>
      <c r="V727" s="575"/>
      <c r="W727" s="575"/>
    </row>
    <row r="728">
      <c r="A728" s="41"/>
      <c r="B728" s="41"/>
      <c r="C728" s="41"/>
      <c r="D728" s="41"/>
      <c r="E728" s="41"/>
      <c r="F728" s="41"/>
      <c r="G728" s="41"/>
      <c r="H728" s="41"/>
      <c r="I728" s="41"/>
      <c r="J728" s="41"/>
      <c r="K728" s="41"/>
      <c r="L728" s="41"/>
      <c r="M728" s="41"/>
      <c r="N728" s="41"/>
      <c r="O728" s="41"/>
      <c r="P728" s="41"/>
      <c r="Q728" s="41"/>
      <c r="R728" s="41"/>
      <c r="S728" s="41"/>
      <c r="T728" s="575"/>
      <c r="U728" s="575"/>
      <c r="V728" s="575"/>
      <c r="W728" s="575"/>
    </row>
    <row r="729">
      <c r="A729" s="41"/>
      <c r="B729" s="41"/>
      <c r="C729" s="41"/>
      <c r="D729" s="41"/>
      <c r="E729" s="41"/>
      <c r="F729" s="41"/>
      <c r="G729" s="41"/>
      <c r="H729" s="41"/>
      <c r="I729" s="41"/>
      <c r="J729" s="41"/>
      <c r="K729" s="41"/>
      <c r="L729" s="41"/>
      <c r="M729" s="41"/>
      <c r="N729" s="41"/>
      <c r="O729" s="41"/>
      <c r="P729" s="41"/>
      <c r="Q729" s="41"/>
      <c r="R729" s="41"/>
      <c r="S729" s="41"/>
      <c r="T729" s="575"/>
      <c r="U729" s="575"/>
      <c r="V729" s="575"/>
      <c r="W729" s="575"/>
    </row>
    <row r="730">
      <c r="A730" s="41"/>
      <c r="B730" s="41"/>
      <c r="C730" s="41"/>
      <c r="D730" s="41"/>
      <c r="E730" s="41"/>
      <c r="F730" s="41"/>
      <c r="G730" s="41"/>
      <c r="H730" s="41"/>
      <c r="I730" s="41"/>
      <c r="J730" s="41"/>
      <c r="K730" s="41"/>
      <c r="L730" s="41"/>
      <c r="M730" s="41"/>
      <c r="N730" s="41"/>
      <c r="O730" s="41"/>
      <c r="P730" s="41"/>
      <c r="Q730" s="41"/>
      <c r="R730" s="41"/>
      <c r="S730" s="41"/>
      <c r="T730" s="575"/>
      <c r="U730" s="575"/>
      <c r="V730" s="575"/>
      <c r="W730" s="575"/>
    </row>
    <row r="731">
      <c r="A731" s="41"/>
      <c r="B731" s="41"/>
      <c r="C731" s="41"/>
      <c r="D731" s="41"/>
      <c r="E731" s="41"/>
      <c r="F731" s="41"/>
      <c r="G731" s="41"/>
      <c r="H731" s="41"/>
      <c r="I731" s="41"/>
      <c r="J731" s="41"/>
      <c r="K731" s="41"/>
      <c r="L731" s="41"/>
      <c r="M731" s="41"/>
      <c r="N731" s="41"/>
      <c r="O731" s="41"/>
      <c r="P731" s="41"/>
      <c r="Q731" s="41"/>
      <c r="R731" s="41"/>
      <c r="S731" s="41"/>
      <c r="T731" s="575"/>
      <c r="U731" s="575"/>
      <c r="V731" s="575"/>
      <c r="W731" s="575"/>
    </row>
    <row r="732">
      <c r="A732" s="41"/>
      <c r="B732" s="41"/>
      <c r="C732" s="41"/>
      <c r="D732" s="41"/>
      <c r="E732" s="41"/>
      <c r="F732" s="41"/>
      <c r="G732" s="41"/>
      <c r="H732" s="41"/>
      <c r="I732" s="41"/>
      <c r="J732" s="41"/>
      <c r="K732" s="41"/>
      <c r="L732" s="41"/>
      <c r="M732" s="41"/>
      <c r="N732" s="41"/>
      <c r="O732" s="41"/>
      <c r="P732" s="41"/>
      <c r="Q732" s="41"/>
      <c r="R732" s="41"/>
      <c r="S732" s="41"/>
      <c r="T732" s="575"/>
      <c r="U732" s="575"/>
      <c r="V732" s="575"/>
      <c r="W732" s="575"/>
    </row>
    <row r="733">
      <c r="A733" s="41"/>
      <c r="B733" s="41"/>
      <c r="C733" s="41"/>
      <c r="D733" s="41"/>
      <c r="E733" s="41"/>
      <c r="F733" s="41"/>
      <c r="G733" s="41"/>
      <c r="H733" s="41"/>
      <c r="I733" s="41"/>
      <c r="J733" s="41"/>
      <c r="K733" s="41"/>
      <c r="L733" s="41"/>
      <c r="M733" s="41"/>
      <c r="N733" s="41"/>
      <c r="O733" s="41"/>
      <c r="P733" s="41"/>
      <c r="Q733" s="41"/>
      <c r="R733" s="41"/>
      <c r="S733" s="41"/>
      <c r="T733" s="575"/>
      <c r="U733" s="575"/>
      <c r="V733" s="575"/>
      <c r="W733" s="575"/>
    </row>
    <row r="734">
      <c r="A734" s="41"/>
      <c r="B734" s="41"/>
      <c r="C734" s="41"/>
      <c r="D734" s="41"/>
      <c r="E734" s="41"/>
      <c r="F734" s="41"/>
      <c r="G734" s="41"/>
      <c r="H734" s="41"/>
      <c r="I734" s="41"/>
      <c r="J734" s="41"/>
      <c r="K734" s="41"/>
      <c r="L734" s="41"/>
      <c r="M734" s="41"/>
      <c r="N734" s="41"/>
      <c r="O734" s="41"/>
      <c r="P734" s="41"/>
      <c r="Q734" s="41"/>
      <c r="R734" s="41"/>
      <c r="S734" s="41"/>
      <c r="T734" s="575"/>
      <c r="U734" s="575"/>
      <c r="V734" s="575"/>
      <c r="W734" s="575"/>
    </row>
    <row r="735">
      <c r="A735" s="41"/>
      <c r="B735" s="41"/>
      <c r="C735" s="41"/>
      <c r="D735" s="41"/>
      <c r="E735" s="41"/>
      <c r="F735" s="41"/>
      <c r="G735" s="41"/>
      <c r="H735" s="41"/>
      <c r="I735" s="41"/>
      <c r="J735" s="41"/>
      <c r="K735" s="41"/>
      <c r="L735" s="41"/>
      <c r="M735" s="41"/>
      <c r="N735" s="41"/>
      <c r="O735" s="41"/>
      <c r="P735" s="41"/>
      <c r="Q735" s="41"/>
      <c r="R735" s="41"/>
      <c r="S735" s="41"/>
      <c r="T735" s="575"/>
      <c r="U735" s="575"/>
      <c r="V735" s="575"/>
      <c r="W735" s="575"/>
    </row>
    <row r="736">
      <c r="A736" s="41"/>
      <c r="B736" s="41"/>
      <c r="C736" s="41"/>
      <c r="D736" s="41"/>
      <c r="E736" s="41"/>
      <c r="F736" s="41"/>
      <c r="G736" s="41"/>
      <c r="H736" s="41"/>
      <c r="I736" s="41"/>
      <c r="J736" s="41"/>
      <c r="K736" s="41"/>
      <c r="L736" s="41"/>
      <c r="M736" s="41"/>
      <c r="N736" s="41"/>
      <c r="O736" s="41"/>
      <c r="P736" s="41"/>
      <c r="Q736" s="41"/>
      <c r="R736" s="41"/>
      <c r="S736" s="41"/>
      <c r="T736" s="575"/>
      <c r="U736" s="575"/>
      <c r="V736" s="575"/>
      <c r="W736" s="575"/>
    </row>
    <row r="737">
      <c r="A737" s="41"/>
      <c r="B737" s="41"/>
      <c r="C737" s="41"/>
      <c r="D737" s="41"/>
      <c r="E737" s="41"/>
      <c r="F737" s="41"/>
      <c r="G737" s="41"/>
      <c r="H737" s="41"/>
      <c r="I737" s="41"/>
      <c r="J737" s="41"/>
      <c r="K737" s="41"/>
      <c r="L737" s="41"/>
      <c r="M737" s="41"/>
      <c r="N737" s="41"/>
      <c r="O737" s="41"/>
      <c r="P737" s="41"/>
      <c r="Q737" s="41"/>
      <c r="R737" s="41"/>
      <c r="S737" s="41"/>
      <c r="T737" s="575"/>
      <c r="U737" s="575"/>
      <c r="V737" s="575"/>
      <c r="W737" s="575"/>
    </row>
    <row r="738">
      <c r="A738" s="41"/>
      <c r="B738" s="41"/>
      <c r="C738" s="41"/>
      <c r="D738" s="41"/>
      <c r="E738" s="41"/>
      <c r="F738" s="41"/>
      <c r="G738" s="41"/>
      <c r="H738" s="41"/>
      <c r="I738" s="41"/>
      <c r="J738" s="41"/>
      <c r="K738" s="41"/>
      <c r="L738" s="41"/>
      <c r="M738" s="41"/>
      <c r="N738" s="41"/>
      <c r="O738" s="41"/>
      <c r="P738" s="41"/>
      <c r="Q738" s="41"/>
      <c r="R738" s="41"/>
      <c r="S738" s="41"/>
      <c r="T738" s="575"/>
      <c r="U738" s="575"/>
      <c r="V738" s="575"/>
      <c r="W738" s="575"/>
    </row>
    <row r="739">
      <c r="A739" s="41"/>
      <c r="B739" s="41"/>
      <c r="C739" s="41"/>
      <c r="D739" s="41"/>
      <c r="E739" s="41"/>
      <c r="F739" s="41"/>
      <c r="G739" s="41"/>
      <c r="H739" s="41"/>
      <c r="I739" s="41"/>
      <c r="J739" s="41"/>
      <c r="K739" s="41"/>
      <c r="L739" s="41"/>
      <c r="M739" s="41"/>
      <c r="N739" s="41"/>
      <c r="O739" s="41"/>
      <c r="P739" s="41"/>
      <c r="Q739" s="41"/>
      <c r="R739" s="41"/>
      <c r="S739" s="41"/>
      <c r="T739" s="575"/>
      <c r="U739" s="575"/>
      <c r="V739" s="575"/>
      <c r="W739" s="575"/>
    </row>
    <row r="740">
      <c r="A740" s="41"/>
      <c r="B740" s="41"/>
      <c r="C740" s="41"/>
      <c r="D740" s="41"/>
      <c r="E740" s="41"/>
      <c r="F740" s="41"/>
      <c r="G740" s="41"/>
      <c r="H740" s="41"/>
      <c r="I740" s="41"/>
      <c r="J740" s="41"/>
      <c r="K740" s="41"/>
      <c r="L740" s="41"/>
      <c r="M740" s="41"/>
      <c r="N740" s="41"/>
      <c r="O740" s="41"/>
      <c r="P740" s="41"/>
      <c r="Q740" s="41"/>
      <c r="R740" s="41"/>
      <c r="S740" s="41"/>
      <c r="T740" s="575"/>
      <c r="U740" s="575"/>
      <c r="V740" s="575"/>
      <c r="W740" s="575"/>
    </row>
    <row r="741">
      <c r="A741" s="41"/>
      <c r="B741" s="41"/>
      <c r="C741" s="41"/>
      <c r="D741" s="41"/>
      <c r="E741" s="41"/>
      <c r="F741" s="41"/>
      <c r="G741" s="41"/>
      <c r="H741" s="41"/>
      <c r="I741" s="41"/>
      <c r="J741" s="41"/>
      <c r="K741" s="41"/>
      <c r="L741" s="41"/>
      <c r="M741" s="41"/>
      <c r="N741" s="41"/>
      <c r="O741" s="41"/>
      <c r="P741" s="41"/>
      <c r="Q741" s="41"/>
      <c r="R741" s="41"/>
      <c r="S741" s="41"/>
      <c r="T741" s="575"/>
      <c r="U741" s="575"/>
      <c r="V741" s="575"/>
      <c r="W741" s="575"/>
    </row>
    <row r="742">
      <c r="A742" s="41"/>
      <c r="B742" s="41"/>
      <c r="C742" s="41"/>
      <c r="D742" s="41"/>
      <c r="E742" s="41"/>
      <c r="F742" s="41"/>
      <c r="G742" s="41"/>
      <c r="H742" s="41"/>
      <c r="I742" s="41"/>
      <c r="J742" s="41"/>
      <c r="K742" s="41"/>
      <c r="L742" s="41"/>
      <c r="M742" s="41"/>
      <c r="N742" s="41"/>
      <c r="O742" s="41"/>
      <c r="P742" s="41"/>
      <c r="Q742" s="41"/>
      <c r="R742" s="41"/>
      <c r="S742" s="41"/>
      <c r="T742" s="575"/>
      <c r="U742" s="575"/>
      <c r="V742" s="575"/>
      <c r="W742" s="575"/>
    </row>
    <row r="743">
      <c r="A743" s="41"/>
      <c r="B743" s="41"/>
      <c r="C743" s="41"/>
      <c r="D743" s="41"/>
      <c r="E743" s="41"/>
      <c r="F743" s="41"/>
      <c r="G743" s="41"/>
      <c r="H743" s="41"/>
      <c r="I743" s="41"/>
      <c r="J743" s="41"/>
      <c r="K743" s="41"/>
      <c r="L743" s="41"/>
      <c r="M743" s="41"/>
      <c r="N743" s="41"/>
      <c r="O743" s="41"/>
      <c r="P743" s="41"/>
      <c r="Q743" s="41"/>
      <c r="R743" s="41"/>
      <c r="S743" s="41"/>
      <c r="T743" s="575"/>
      <c r="U743" s="575"/>
      <c r="V743" s="575"/>
      <c r="W743" s="575"/>
    </row>
    <row r="744">
      <c r="A744" s="41"/>
      <c r="B744" s="41"/>
      <c r="C744" s="41"/>
      <c r="D744" s="41"/>
      <c r="E744" s="41"/>
      <c r="F744" s="41"/>
      <c r="G744" s="41"/>
      <c r="H744" s="41"/>
      <c r="I744" s="41"/>
      <c r="J744" s="41"/>
      <c r="K744" s="41"/>
      <c r="L744" s="41"/>
      <c r="M744" s="41"/>
      <c r="N744" s="41"/>
      <c r="O744" s="41"/>
      <c r="P744" s="41"/>
      <c r="Q744" s="41"/>
      <c r="R744" s="41"/>
      <c r="S744" s="41"/>
      <c r="T744" s="575"/>
      <c r="U744" s="575"/>
      <c r="V744" s="575"/>
      <c r="W744" s="575"/>
    </row>
    <row r="745">
      <c r="A745" s="41"/>
      <c r="B745" s="41"/>
      <c r="C745" s="41"/>
      <c r="D745" s="41"/>
      <c r="E745" s="41"/>
      <c r="F745" s="41"/>
      <c r="G745" s="41"/>
      <c r="H745" s="41"/>
      <c r="I745" s="41"/>
      <c r="J745" s="41"/>
      <c r="K745" s="41"/>
      <c r="L745" s="41"/>
      <c r="M745" s="41"/>
      <c r="N745" s="41"/>
      <c r="O745" s="41"/>
      <c r="P745" s="41"/>
      <c r="Q745" s="41"/>
      <c r="R745" s="41"/>
      <c r="S745" s="41"/>
      <c r="T745" s="575"/>
      <c r="U745" s="575"/>
      <c r="V745" s="575"/>
      <c r="W745" s="575"/>
    </row>
    <row r="746">
      <c r="A746" s="41"/>
      <c r="B746" s="41"/>
      <c r="C746" s="41"/>
      <c r="D746" s="41"/>
      <c r="E746" s="41"/>
      <c r="F746" s="41"/>
      <c r="G746" s="41"/>
      <c r="H746" s="41"/>
      <c r="I746" s="41"/>
      <c r="J746" s="41"/>
      <c r="K746" s="41"/>
      <c r="L746" s="41"/>
      <c r="M746" s="41"/>
      <c r="N746" s="41"/>
      <c r="O746" s="41"/>
      <c r="P746" s="41"/>
      <c r="Q746" s="41"/>
      <c r="R746" s="41"/>
      <c r="S746" s="41"/>
      <c r="T746" s="575"/>
      <c r="U746" s="575"/>
      <c r="V746" s="575"/>
      <c r="W746" s="575"/>
    </row>
    <row r="747">
      <c r="A747" s="41"/>
      <c r="B747" s="41"/>
      <c r="C747" s="41"/>
      <c r="D747" s="41"/>
      <c r="E747" s="41"/>
      <c r="F747" s="41"/>
      <c r="G747" s="41"/>
      <c r="H747" s="41"/>
      <c r="I747" s="41"/>
      <c r="J747" s="41"/>
      <c r="K747" s="41"/>
      <c r="L747" s="41"/>
      <c r="M747" s="41"/>
      <c r="N747" s="41"/>
      <c r="O747" s="41"/>
      <c r="P747" s="41"/>
      <c r="Q747" s="41"/>
      <c r="R747" s="41"/>
      <c r="S747" s="41"/>
      <c r="T747" s="575"/>
      <c r="U747" s="575"/>
      <c r="V747" s="575"/>
      <c r="W747" s="575"/>
    </row>
    <row r="748">
      <c r="A748" s="41"/>
      <c r="B748" s="41"/>
      <c r="C748" s="41"/>
      <c r="D748" s="41"/>
      <c r="E748" s="41"/>
      <c r="F748" s="41"/>
      <c r="G748" s="41"/>
      <c r="H748" s="41"/>
      <c r="I748" s="41"/>
      <c r="J748" s="41"/>
      <c r="K748" s="41"/>
      <c r="L748" s="41"/>
      <c r="M748" s="41"/>
      <c r="N748" s="41"/>
      <c r="O748" s="41"/>
      <c r="P748" s="41"/>
      <c r="Q748" s="41"/>
      <c r="R748" s="41"/>
      <c r="S748" s="41"/>
      <c r="T748" s="575"/>
      <c r="U748" s="575"/>
      <c r="V748" s="575"/>
      <c r="W748" s="575"/>
    </row>
    <row r="749">
      <c r="A749" s="41"/>
      <c r="B749" s="41"/>
      <c r="C749" s="41"/>
      <c r="D749" s="41"/>
      <c r="E749" s="41"/>
      <c r="F749" s="41"/>
      <c r="G749" s="41"/>
      <c r="H749" s="41"/>
      <c r="I749" s="41"/>
      <c r="J749" s="41"/>
      <c r="K749" s="41"/>
      <c r="L749" s="41"/>
      <c r="M749" s="41"/>
      <c r="N749" s="41"/>
      <c r="O749" s="41"/>
      <c r="P749" s="41"/>
      <c r="Q749" s="41"/>
      <c r="R749" s="41"/>
      <c r="S749" s="41"/>
      <c r="T749" s="575"/>
      <c r="U749" s="575"/>
      <c r="V749" s="575"/>
      <c r="W749" s="575"/>
    </row>
    <row r="750">
      <c r="A750" s="41"/>
      <c r="B750" s="41"/>
      <c r="C750" s="41"/>
      <c r="D750" s="41"/>
      <c r="E750" s="41"/>
      <c r="F750" s="41"/>
      <c r="G750" s="41"/>
      <c r="H750" s="41"/>
      <c r="I750" s="41"/>
      <c r="J750" s="41"/>
      <c r="K750" s="41"/>
      <c r="L750" s="41"/>
      <c r="M750" s="41"/>
      <c r="N750" s="41"/>
      <c r="O750" s="41"/>
      <c r="P750" s="41"/>
      <c r="Q750" s="41"/>
      <c r="R750" s="41"/>
      <c r="S750" s="41"/>
      <c r="T750" s="575"/>
      <c r="U750" s="575"/>
      <c r="V750" s="575"/>
      <c r="W750" s="575"/>
    </row>
    <row r="751">
      <c r="A751" s="41"/>
      <c r="B751" s="41"/>
      <c r="C751" s="41"/>
      <c r="D751" s="41"/>
      <c r="E751" s="41"/>
      <c r="F751" s="41"/>
      <c r="G751" s="41"/>
      <c r="H751" s="41"/>
      <c r="I751" s="41"/>
      <c r="J751" s="41"/>
      <c r="K751" s="41"/>
      <c r="L751" s="41"/>
      <c r="M751" s="41"/>
      <c r="N751" s="41"/>
      <c r="O751" s="41"/>
      <c r="P751" s="41"/>
      <c r="Q751" s="41"/>
      <c r="R751" s="41"/>
      <c r="S751" s="41"/>
      <c r="T751" s="575"/>
      <c r="U751" s="575"/>
      <c r="V751" s="575"/>
      <c r="W751" s="575"/>
    </row>
    <row r="752">
      <c r="A752" s="41"/>
      <c r="B752" s="41"/>
      <c r="C752" s="41"/>
      <c r="D752" s="41"/>
      <c r="E752" s="41"/>
      <c r="F752" s="41"/>
      <c r="G752" s="41"/>
      <c r="H752" s="41"/>
      <c r="I752" s="41"/>
      <c r="J752" s="41"/>
      <c r="K752" s="41"/>
      <c r="L752" s="41"/>
      <c r="M752" s="41"/>
      <c r="N752" s="41"/>
      <c r="O752" s="41"/>
      <c r="P752" s="41"/>
      <c r="Q752" s="41"/>
      <c r="R752" s="41"/>
      <c r="S752" s="41"/>
      <c r="T752" s="575"/>
      <c r="U752" s="575"/>
      <c r="V752" s="575"/>
      <c r="W752" s="575"/>
    </row>
    <row r="753">
      <c r="A753" s="41"/>
      <c r="B753" s="41"/>
      <c r="C753" s="41"/>
      <c r="D753" s="41"/>
      <c r="E753" s="41"/>
      <c r="F753" s="41"/>
      <c r="G753" s="41"/>
      <c r="H753" s="41"/>
      <c r="I753" s="41"/>
      <c r="J753" s="41"/>
      <c r="K753" s="41"/>
      <c r="L753" s="41"/>
      <c r="M753" s="41"/>
      <c r="N753" s="41"/>
      <c r="O753" s="41"/>
      <c r="P753" s="41"/>
      <c r="Q753" s="41"/>
      <c r="R753" s="41"/>
      <c r="S753" s="41"/>
      <c r="T753" s="575"/>
      <c r="U753" s="575"/>
      <c r="V753" s="575"/>
      <c r="W753" s="575"/>
    </row>
    <row r="754">
      <c r="A754" s="41"/>
      <c r="B754" s="41"/>
      <c r="C754" s="41"/>
      <c r="D754" s="41"/>
      <c r="E754" s="41"/>
      <c r="F754" s="41"/>
      <c r="G754" s="41"/>
      <c r="H754" s="41"/>
      <c r="I754" s="41"/>
      <c r="J754" s="41"/>
      <c r="K754" s="41"/>
      <c r="L754" s="41"/>
      <c r="M754" s="41"/>
      <c r="N754" s="41"/>
      <c r="O754" s="41"/>
      <c r="P754" s="41"/>
      <c r="Q754" s="41"/>
      <c r="R754" s="41"/>
      <c r="S754" s="41"/>
      <c r="T754" s="575"/>
      <c r="U754" s="575"/>
      <c r="V754" s="575"/>
      <c r="W754" s="575"/>
    </row>
    <row r="755">
      <c r="A755" s="41"/>
      <c r="B755" s="41"/>
      <c r="C755" s="41"/>
      <c r="D755" s="41"/>
      <c r="E755" s="41"/>
      <c r="F755" s="41"/>
      <c r="G755" s="41"/>
      <c r="H755" s="41"/>
      <c r="I755" s="41"/>
      <c r="J755" s="41"/>
      <c r="K755" s="41"/>
      <c r="L755" s="41"/>
      <c r="M755" s="41"/>
      <c r="N755" s="41"/>
      <c r="O755" s="41"/>
      <c r="P755" s="41"/>
      <c r="Q755" s="41"/>
      <c r="R755" s="41"/>
      <c r="S755" s="41"/>
      <c r="T755" s="575"/>
      <c r="U755" s="575"/>
      <c r="V755" s="575"/>
      <c r="W755" s="575"/>
    </row>
    <row r="756">
      <c r="A756" s="41"/>
      <c r="B756" s="41"/>
      <c r="C756" s="41"/>
      <c r="D756" s="41"/>
      <c r="E756" s="41"/>
      <c r="F756" s="41"/>
      <c r="G756" s="41"/>
      <c r="H756" s="41"/>
      <c r="I756" s="41"/>
      <c r="J756" s="41"/>
      <c r="K756" s="41"/>
      <c r="L756" s="41"/>
      <c r="M756" s="41"/>
      <c r="N756" s="41"/>
      <c r="O756" s="41"/>
      <c r="P756" s="41"/>
      <c r="Q756" s="41"/>
      <c r="R756" s="41"/>
      <c r="S756" s="41"/>
      <c r="T756" s="575"/>
      <c r="U756" s="575"/>
      <c r="V756" s="575"/>
      <c r="W756" s="575"/>
    </row>
    <row r="757">
      <c r="A757" s="41"/>
      <c r="B757" s="41"/>
      <c r="C757" s="41"/>
      <c r="D757" s="41"/>
      <c r="E757" s="41"/>
      <c r="F757" s="41"/>
      <c r="G757" s="41"/>
      <c r="H757" s="41"/>
      <c r="I757" s="41"/>
      <c r="J757" s="41"/>
      <c r="K757" s="41"/>
      <c r="L757" s="41"/>
      <c r="M757" s="41"/>
      <c r="N757" s="41"/>
      <c r="O757" s="41"/>
      <c r="P757" s="41"/>
      <c r="Q757" s="41"/>
      <c r="R757" s="41"/>
      <c r="S757" s="41"/>
      <c r="T757" s="575"/>
      <c r="U757" s="575"/>
      <c r="V757" s="575"/>
      <c r="W757" s="575"/>
    </row>
    <row r="758">
      <c r="A758" s="41"/>
      <c r="B758" s="41"/>
      <c r="C758" s="41"/>
      <c r="D758" s="41"/>
      <c r="E758" s="41"/>
      <c r="F758" s="41"/>
      <c r="G758" s="41"/>
      <c r="H758" s="41"/>
      <c r="I758" s="41"/>
      <c r="J758" s="41"/>
      <c r="K758" s="41"/>
      <c r="L758" s="41"/>
      <c r="M758" s="41"/>
      <c r="N758" s="41"/>
      <c r="O758" s="41"/>
      <c r="P758" s="41"/>
      <c r="Q758" s="41"/>
      <c r="R758" s="41"/>
      <c r="S758" s="41"/>
      <c r="T758" s="575"/>
      <c r="U758" s="575"/>
      <c r="V758" s="575"/>
      <c r="W758" s="575"/>
    </row>
    <row r="759">
      <c r="A759" s="41"/>
      <c r="B759" s="41"/>
      <c r="C759" s="41"/>
      <c r="D759" s="41"/>
      <c r="E759" s="41"/>
      <c r="F759" s="41"/>
      <c r="G759" s="41"/>
      <c r="H759" s="41"/>
      <c r="I759" s="41"/>
      <c r="J759" s="41"/>
      <c r="K759" s="41"/>
      <c r="L759" s="41"/>
      <c r="M759" s="41"/>
      <c r="N759" s="41"/>
      <c r="O759" s="41"/>
      <c r="P759" s="41"/>
      <c r="Q759" s="41"/>
      <c r="R759" s="41"/>
      <c r="S759" s="41"/>
      <c r="T759" s="575"/>
      <c r="U759" s="575"/>
      <c r="V759" s="575"/>
      <c r="W759" s="575"/>
    </row>
    <row r="760">
      <c r="A760" s="41"/>
      <c r="B760" s="41"/>
      <c r="C760" s="41"/>
      <c r="D760" s="41"/>
      <c r="E760" s="41"/>
      <c r="F760" s="41"/>
      <c r="G760" s="41"/>
      <c r="H760" s="41"/>
      <c r="I760" s="41"/>
      <c r="J760" s="41"/>
      <c r="K760" s="41"/>
      <c r="L760" s="41"/>
      <c r="M760" s="41"/>
      <c r="N760" s="41"/>
      <c r="O760" s="41"/>
      <c r="P760" s="41"/>
      <c r="Q760" s="41"/>
      <c r="R760" s="41"/>
      <c r="S760" s="41"/>
      <c r="T760" s="575"/>
      <c r="U760" s="575"/>
      <c r="V760" s="575"/>
      <c r="W760" s="575"/>
    </row>
    <row r="761">
      <c r="A761" s="41"/>
      <c r="B761" s="41"/>
      <c r="C761" s="41"/>
      <c r="D761" s="41"/>
      <c r="E761" s="41"/>
      <c r="F761" s="41"/>
      <c r="G761" s="41"/>
      <c r="H761" s="41"/>
      <c r="I761" s="41"/>
      <c r="J761" s="41"/>
      <c r="K761" s="41"/>
      <c r="L761" s="41"/>
      <c r="M761" s="41"/>
      <c r="N761" s="41"/>
      <c r="O761" s="41"/>
      <c r="P761" s="41"/>
      <c r="Q761" s="41"/>
      <c r="R761" s="41"/>
      <c r="S761" s="41"/>
      <c r="T761" s="575"/>
      <c r="U761" s="575"/>
      <c r="V761" s="575"/>
      <c r="W761" s="575"/>
    </row>
    <row r="762">
      <c r="A762" s="41"/>
      <c r="B762" s="41"/>
      <c r="C762" s="41"/>
      <c r="D762" s="41"/>
      <c r="E762" s="41"/>
      <c r="F762" s="41"/>
      <c r="G762" s="41"/>
      <c r="H762" s="41"/>
      <c r="I762" s="41"/>
      <c r="J762" s="41"/>
      <c r="K762" s="41"/>
      <c r="L762" s="41"/>
      <c r="M762" s="41"/>
      <c r="N762" s="41"/>
      <c r="O762" s="41"/>
      <c r="P762" s="41"/>
      <c r="Q762" s="41"/>
      <c r="R762" s="41"/>
      <c r="S762" s="41"/>
      <c r="T762" s="575"/>
      <c r="U762" s="575"/>
      <c r="V762" s="575"/>
      <c r="W762" s="575"/>
    </row>
    <row r="763">
      <c r="A763" s="41"/>
      <c r="B763" s="41"/>
      <c r="C763" s="41"/>
      <c r="D763" s="41"/>
      <c r="E763" s="41"/>
      <c r="F763" s="41"/>
      <c r="G763" s="41"/>
      <c r="H763" s="41"/>
      <c r="I763" s="41"/>
      <c r="J763" s="41"/>
      <c r="K763" s="41"/>
      <c r="L763" s="41"/>
      <c r="M763" s="41"/>
      <c r="N763" s="41"/>
      <c r="O763" s="41"/>
      <c r="P763" s="41"/>
      <c r="Q763" s="41"/>
      <c r="R763" s="41"/>
      <c r="S763" s="41"/>
      <c r="T763" s="575"/>
      <c r="U763" s="575"/>
      <c r="V763" s="575"/>
      <c r="W763" s="575"/>
    </row>
    <row r="764">
      <c r="A764" s="41"/>
      <c r="B764" s="41"/>
      <c r="C764" s="41"/>
      <c r="D764" s="41"/>
      <c r="E764" s="41"/>
      <c r="F764" s="41"/>
      <c r="G764" s="41"/>
      <c r="H764" s="41"/>
      <c r="I764" s="41"/>
      <c r="J764" s="41"/>
      <c r="K764" s="41"/>
      <c r="L764" s="41"/>
      <c r="M764" s="41"/>
      <c r="N764" s="41"/>
      <c r="O764" s="41"/>
      <c r="P764" s="41"/>
      <c r="Q764" s="41"/>
      <c r="R764" s="41"/>
      <c r="S764" s="41"/>
      <c r="T764" s="575"/>
      <c r="U764" s="575"/>
      <c r="V764" s="575"/>
      <c r="W764" s="575"/>
    </row>
    <row r="765">
      <c r="A765" s="41"/>
      <c r="B765" s="41"/>
      <c r="C765" s="41"/>
      <c r="D765" s="41"/>
      <c r="E765" s="41"/>
      <c r="F765" s="41"/>
      <c r="G765" s="41"/>
      <c r="H765" s="41"/>
      <c r="I765" s="41"/>
      <c r="J765" s="41"/>
      <c r="K765" s="41"/>
      <c r="L765" s="41"/>
      <c r="M765" s="41"/>
      <c r="N765" s="41"/>
      <c r="O765" s="41"/>
      <c r="P765" s="41"/>
      <c r="Q765" s="41"/>
      <c r="R765" s="41"/>
      <c r="S765" s="41"/>
      <c r="T765" s="575"/>
      <c r="U765" s="575"/>
      <c r="V765" s="575"/>
      <c r="W765" s="575"/>
    </row>
    <row r="766">
      <c r="A766" s="41"/>
      <c r="B766" s="41"/>
      <c r="C766" s="41"/>
      <c r="D766" s="41"/>
      <c r="E766" s="41"/>
      <c r="F766" s="41"/>
      <c r="G766" s="41"/>
      <c r="H766" s="41"/>
      <c r="I766" s="41"/>
      <c r="J766" s="41"/>
      <c r="K766" s="41"/>
      <c r="L766" s="41"/>
      <c r="M766" s="41"/>
      <c r="N766" s="41"/>
      <c r="O766" s="41"/>
      <c r="P766" s="41"/>
      <c r="Q766" s="41"/>
      <c r="R766" s="41"/>
      <c r="S766" s="41"/>
      <c r="T766" s="575"/>
      <c r="U766" s="575"/>
      <c r="V766" s="575"/>
      <c r="W766" s="575"/>
    </row>
    <row r="767">
      <c r="A767" s="41"/>
      <c r="B767" s="41"/>
      <c r="C767" s="41"/>
      <c r="D767" s="41"/>
      <c r="E767" s="41"/>
      <c r="F767" s="41"/>
      <c r="G767" s="41"/>
      <c r="H767" s="41"/>
      <c r="I767" s="41"/>
      <c r="J767" s="41"/>
      <c r="K767" s="41"/>
      <c r="L767" s="41"/>
      <c r="M767" s="41"/>
      <c r="N767" s="41"/>
      <c r="O767" s="41"/>
      <c r="P767" s="41"/>
      <c r="Q767" s="41"/>
      <c r="R767" s="41"/>
      <c r="S767" s="41"/>
      <c r="T767" s="575"/>
      <c r="U767" s="575"/>
      <c r="V767" s="575"/>
      <c r="W767" s="575"/>
    </row>
    <row r="768">
      <c r="A768" s="41"/>
      <c r="B768" s="41"/>
      <c r="C768" s="41"/>
      <c r="D768" s="41"/>
      <c r="E768" s="41"/>
      <c r="F768" s="41"/>
      <c r="G768" s="41"/>
      <c r="H768" s="41"/>
      <c r="I768" s="41"/>
      <c r="J768" s="41"/>
      <c r="K768" s="41"/>
      <c r="L768" s="41"/>
      <c r="M768" s="41"/>
      <c r="N768" s="41"/>
      <c r="O768" s="41"/>
      <c r="P768" s="41"/>
      <c r="Q768" s="41"/>
      <c r="R768" s="41"/>
      <c r="S768" s="41"/>
      <c r="T768" s="575"/>
      <c r="U768" s="575"/>
      <c r="V768" s="575"/>
      <c r="W768" s="575"/>
    </row>
    <row r="769">
      <c r="A769" s="41"/>
      <c r="B769" s="41"/>
      <c r="C769" s="41"/>
      <c r="D769" s="41"/>
      <c r="E769" s="41"/>
      <c r="F769" s="41"/>
      <c r="G769" s="41"/>
      <c r="H769" s="41"/>
      <c r="I769" s="41"/>
      <c r="J769" s="41"/>
      <c r="K769" s="41"/>
      <c r="L769" s="41"/>
      <c r="M769" s="41"/>
      <c r="N769" s="41"/>
      <c r="O769" s="41"/>
      <c r="P769" s="41"/>
      <c r="Q769" s="41"/>
      <c r="R769" s="41"/>
      <c r="S769" s="41"/>
      <c r="T769" s="575"/>
      <c r="U769" s="575"/>
      <c r="V769" s="575"/>
      <c r="W769" s="575"/>
    </row>
    <row r="770">
      <c r="A770" s="41"/>
      <c r="B770" s="41"/>
      <c r="C770" s="41"/>
      <c r="D770" s="41"/>
      <c r="E770" s="41"/>
      <c r="F770" s="41"/>
      <c r="G770" s="41"/>
      <c r="H770" s="41"/>
      <c r="I770" s="41"/>
      <c r="J770" s="41"/>
      <c r="K770" s="41"/>
      <c r="L770" s="41"/>
      <c r="M770" s="41"/>
      <c r="N770" s="41"/>
      <c r="O770" s="41"/>
      <c r="P770" s="41"/>
      <c r="Q770" s="41"/>
      <c r="R770" s="41"/>
      <c r="S770" s="41"/>
      <c r="T770" s="575"/>
      <c r="U770" s="575"/>
      <c r="V770" s="575"/>
      <c r="W770" s="575"/>
    </row>
    <row r="771">
      <c r="A771" s="41"/>
      <c r="B771" s="41"/>
      <c r="C771" s="41"/>
      <c r="D771" s="41"/>
      <c r="E771" s="41"/>
      <c r="F771" s="41"/>
      <c r="G771" s="41"/>
      <c r="H771" s="41"/>
      <c r="I771" s="41"/>
      <c r="J771" s="41"/>
      <c r="K771" s="41"/>
      <c r="L771" s="41"/>
      <c r="M771" s="41"/>
      <c r="N771" s="41"/>
      <c r="O771" s="41"/>
      <c r="P771" s="41"/>
      <c r="Q771" s="41"/>
      <c r="R771" s="41"/>
      <c r="S771" s="41"/>
      <c r="T771" s="575"/>
      <c r="U771" s="575"/>
      <c r="V771" s="575"/>
      <c r="W771" s="575"/>
    </row>
    <row r="772">
      <c r="A772" s="41"/>
      <c r="B772" s="41"/>
      <c r="C772" s="41"/>
      <c r="D772" s="41"/>
      <c r="E772" s="41"/>
      <c r="F772" s="41"/>
      <c r="G772" s="41"/>
      <c r="H772" s="41"/>
      <c r="I772" s="41"/>
      <c r="J772" s="41"/>
      <c r="K772" s="41"/>
      <c r="L772" s="41"/>
      <c r="M772" s="41"/>
      <c r="N772" s="41"/>
      <c r="O772" s="41"/>
      <c r="P772" s="41"/>
      <c r="Q772" s="41"/>
      <c r="R772" s="41"/>
      <c r="S772" s="41"/>
      <c r="T772" s="575"/>
      <c r="U772" s="575"/>
      <c r="V772" s="575"/>
      <c r="W772" s="575"/>
    </row>
    <row r="773">
      <c r="A773" s="41"/>
      <c r="B773" s="41"/>
      <c r="C773" s="41"/>
      <c r="D773" s="41"/>
      <c r="E773" s="41"/>
      <c r="F773" s="41"/>
      <c r="G773" s="41"/>
      <c r="H773" s="41"/>
      <c r="I773" s="41"/>
      <c r="J773" s="41"/>
      <c r="K773" s="41"/>
      <c r="L773" s="41"/>
      <c r="M773" s="41"/>
      <c r="N773" s="41"/>
      <c r="O773" s="41"/>
      <c r="P773" s="41"/>
      <c r="Q773" s="41"/>
      <c r="R773" s="41"/>
      <c r="S773" s="41"/>
      <c r="T773" s="575"/>
      <c r="U773" s="575"/>
      <c r="V773" s="575"/>
      <c r="W773" s="575"/>
    </row>
    <row r="774">
      <c r="A774" s="41"/>
      <c r="B774" s="41"/>
      <c r="C774" s="41"/>
      <c r="D774" s="41"/>
      <c r="E774" s="41"/>
      <c r="F774" s="41"/>
      <c r="G774" s="41"/>
      <c r="H774" s="41"/>
      <c r="I774" s="41"/>
      <c r="J774" s="41"/>
      <c r="K774" s="41"/>
      <c r="L774" s="41"/>
      <c r="M774" s="41"/>
      <c r="N774" s="41"/>
      <c r="O774" s="41"/>
      <c r="P774" s="41"/>
      <c r="Q774" s="41"/>
      <c r="R774" s="41"/>
      <c r="S774" s="41"/>
      <c r="T774" s="575"/>
      <c r="U774" s="575"/>
      <c r="V774" s="575"/>
      <c r="W774" s="575"/>
    </row>
    <row r="775">
      <c r="A775" s="41"/>
      <c r="B775" s="41"/>
      <c r="C775" s="41"/>
      <c r="D775" s="41"/>
      <c r="E775" s="41"/>
      <c r="F775" s="41"/>
      <c r="G775" s="41"/>
      <c r="H775" s="41"/>
      <c r="I775" s="41"/>
      <c r="J775" s="41"/>
      <c r="K775" s="41"/>
      <c r="L775" s="41"/>
      <c r="M775" s="41"/>
      <c r="N775" s="41"/>
      <c r="O775" s="41"/>
      <c r="P775" s="41"/>
      <c r="Q775" s="41"/>
      <c r="R775" s="41"/>
      <c r="S775" s="41"/>
      <c r="T775" s="575"/>
      <c r="U775" s="575"/>
      <c r="V775" s="575"/>
      <c r="W775" s="575"/>
    </row>
    <row r="776">
      <c r="A776" s="41"/>
      <c r="B776" s="41"/>
      <c r="C776" s="41"/>
      <c r="D776" s="41"/>
      <c r="E776" s="41"/>
      <c r="F776" s="41"/>
      <c r="G776" s="41"/>
      <c r="H776" s="41"/>
      <c r="I776" s="41"/>
      <c r="J776" s="41"/>
      <c r="K776" s="41"/>
      <c r="L776" s="41"/>
      <c r="M776" s="41"/>
      <c r="N776" s="41"/>
      <c r="O776" s="41"/>
      <c r="P776" s="41"/>
      <c r="Q776" s="41"/>
      <c r="R776" s="41"/>
      <c r="S776" s="41"/>
      <c r="T776" s="575"/>
      <c r="U776" s="575"/>
      <c r="V776" s="575"/>
      <c r="W776" s="575"/>
    </row>
    <row r="777">
      <c r="A777" s="41"/>
      <c r="B777" s="41"/>
      <c r="C777" s="41"/>
      <c r="D777" s="41"/>
      <c r="E777" s="41"/>
      <c r="F777" s="41"/>
      <c r="G777" s="41"/>
      <c r="H777" s="41"/>
      <c r="I777" s="41"/>
      <c r="J777" s="41"/>
      <c r="K777" s="41"/>
      <c r="L777" s="41"/>
      <c r="M777" s="41"/>
      <c r="N777" s="41"/>
      <c r="O777" s="41"/>
      <c r="P777" s="41"/>
      <c r="Q777" s="41"/>
      <c r="R777" s="41"/>
      <c r="S777" s="41"/>
      <c r="T777" s="575"/>
      <c r="U777" s="575"/>
      <c r="V777" s="575"/>
      <c r="W777" s="575"/>
    </row>
    <row r="778">
      <c r="A778" s="41"/>
      <c r="B778" s="41"/>
      <c r="C778" s="41"/>
      <c r="D778" s="41"/>
      <c r="E778" s="41"/>
      <c r="F778" s="41"/>
      <c r="G778" s="41"/>
      <c r="H778" s="41"/>
      <c r="I778" s="41"/>
      <c r="J778" s="41"/>
      <c r="K778" s="41"/>
      <c r="L778" s="41"/>
      <c r="M778" s="41"/>
      <c r="N778" s="41"/>
      <c r="O778" s="41"/>
      <c r="P778" s="41"/>
      <c r="Q778" s="41"/>
      <c r="R778" s="41"/>
      <c r="S778" s="41"/>
      <c r="T778" s="575"/>
      <c r="U778" s="575"/>
      <c r="V778" s="575"/>
      <c r="W778" s="575"/>
    </row>
    <row r="779">
      <c r="A779" s="41"/>
      <c r="B779" s="41"/>
      <c r="C779" s="41"/>
      <c r="D779" s="41"/>
      <c r="E779" s="41"/>
      <c r="F779" s="41"/>
      <c r="G779" s="41"/>
      <c r="H779" s="41"/>
      <c r="I779" s="41"/>
      <c r="J779" s="41"/>
      <c r="K779" s="41"/>
      <c r="L779" s="41"/>
      <c r="M779" s="41"/>
      <c r="N779" s="41"/>
      <c r="O779" s="41"/>
      <c r="P779" s="41"/>
      <c r="Q779" s="41"/>
      <c r="R779" s="41"/>
      <c r="S779" s="41"/>
      <c r="T779" s="575"/>
      <c r="U779" s="575"/>
      <c r="V779" s="575"/>
      <c r="W779" s="575"/>
    </row>
    <row r="780">
      <c r="A780" s="41"/>
      <c r="B780" s="41"/>
      <c r="C780" s="41"/>
      <c r="D780" s="41"/>
      <c r="E780" s="41"/>
      <c r="F780" s="41"/>
      <c r="G780" s="41"/>
      <c r="H780" s="41"/>
      <c r="I780" s="41"/>
      <c r="J780" s="41"/>
      <c r="K780" s="41"/>
      <c r="L780" s="41"/>
      <c r="M780" s="41"/>
      <c r="N780" s="41"/>
      <c r="O780" s="41"/>
      <c r="P780" s="41"/>
      <c r="Q780" s="41"/>
      <c r="R780" s="41"/>
      <c r="S780" s="41"/>
      <c r="T780" s="575"/>
      <c r="U780" s="575"/>
      <c r="V780" s="575"/>
      <c r="W780" s="575"/>
    </row>
    <row r="781">
      <c r="A781" s="41"/>
      <c r="B781" s="41"/>
      <c r="C781" s="41"/>
      <c r="D781" s="41"/>
      <c r="E781" s="41"/>
      <c r="F781" s="41"/>
      <c r="G781" s="41"/>
      <c r="H781" s="41"/>
      <c r="I781" s="41"/>
      <c r="J781" s="41"/>
      <c r="K781" s="41"/>
      <c r="L781" s="41"/>
      <c r="M781" s="41"/>
      <c r="N781" s="41"/>
      <c r="O781" s="41"/>
      <c r="P781" s="41"/>
      <c r="Q781" s="41"/>
      <c r="R781" s="41"/>
      <c r="S781" s="41"/>
      <c r="T781" s="575"/>
      <c r="U781" s="575"/>
      <c r="V781" s="575"/>
      <c r="W781" s="575"/>
    </row>
    <row r="782">
      <c r="A782" s="41"/>
      <c r="B782" s="41"/>
      <c r="C782" s="41"/>
      <c r="D782" s="41"/>
      <c r="E782" s="41"/>
      <c r="F782" s="41"/>
      <c r="G782" s="41"/>
      <c r="H782" s="41"/>
      <c r="I782" s="41"/>
      <c r="J782" s="41"/>
      <c r="K782" s="41"/>
      <c r="L782" s="41"/>
      <c r="M782" s="41"/>
      <c r="N782" s="41"/>
      <c r="O782" s="41"/>
      <c r="P782" s="41"/>
      <c r="Q782" s="41"/>
      <c r="R782" s="41"/>
      <c r="S782" s="41"/>
      <c r="T782" s="575"/>
      <c r="U782" s="575"/>
      <c r="V782" s="575"/>
      <c r="W782" s="575"/>
    </row>
    <row r="783">
      <c r="A783" s="41"/>
      <c r="B783" s="41"/>
      <c r="C783" s="41"/>
      <c r="D783" s="41"/>
      <c r="E783" s="41"/>
      <c r="F783" s="41"/>
      <c r="G783" s="41"/>
      <c r="H783" s="41"/>
      <c r="I783" s="41"/>
      <c r="J783" s="41"/>
      <c r="K783" s="41"/>
      <c r="L783" s="41"/>
      <c r="M783" s="41"/>
      <c r="N783" s="41"/>
      <c r="O783" s="41"/>
      <c r="P783" s="41"/>
      <c r="Q783" s="41"/>
      <c r="R783" s="41"/>
      <c r="S783" s="41"/>
      <c r="T783" s="575"/>
      <c r="U783" s="575"/>
      <c r="V783" s="575"/>
      <c r="W783" s="575"/>
    </row>
    <row r="784">
      <c r="A784" s="41"/>
      <c r="B784" s="41"/>
      <c r="C784" s="41"/>
      <c r="D784" s="41"/>
      <c r="E784" s="41"/>
      <c r="F784" s="41"/>
      <c r="G784" s="41"/>
      <c r="H784" s="41"/>
      <c r="I784" s="41"/>
      <c r="J784" s="41"/>
      <c r="K784" s="41"/>
      <c r="L784" s="41"/>
      <c r="M784" s="41"/>
      <c r="N784" s="41"/>
      <c r="O784" s="41"/>
      <c r="P784" s="41"/>
      <c r="Q784" s="41"/>
      <c r="R784" s="41"/>
      <c r="S784" s="41"/>
      <c r="T784" s="575"/>
      <c r="U784" s="575"/>
      <c r="V784" s="575"/>
      <c r="W784" s="575"/>
    </row>
    <row r="785">
      <c r="A785" s="41"/>
      <c r="B785" s="41"/>
      <c r="C785" s="41"/>
      <c r="D785" s="41"/>
      <c r="E785" s="41"/>
      <c r="F785" s="41"/>
      <c r="G785" s="41"/>
      <c r="H785" s="41"/>
      <c r="I785" s="41"/>
      <c r="J785" s="41"/>
      <c r="K785" s="41"/>
      <c r="L785" s="41"/>
      <c r="M785" s="41"/>
      <c r="N785" s="41"/>
      <c r="O785" s="41"/>
      <c r="P785" s="41"/>
      <c r="Q785" s="41"/>
      <c r="R785" s="41"/>
      <c r="S785" s="41"/>
      <c r="T785" s="575"/>
      <c r="U785" s="575"/>
      <c r="V785" s="575"/>
      <c r="W785" s="575"/>
    </row>
    <row r="786">
      <c r="A786" s="41"/>
      <c r="B786" s="41"/>
      <c r="C786" s="41"/>
      <c r="D786" s="41"/>
      <c r="E786" s="41"/>
      <c r="F786" s="41"/>
      <c r="G786" s="41"/>
      <c r="H786" s="41"/>
      <c r="I786" s="41"/>
      <c r="J786" s="41"/>
      <c r="K786" s="41"/>
      <c r="L786" s="41"/>
      <c r="M786" s="41"/>
      <c r="N786" s="41"/>
      <c r="O786" s="41"/>
      <c r="P786" s="41"/>
      <c r="Q786" s="41"/>
      <c r="R786" s="41"/>
      <c r="S786" s="41"/>
      <c r="T786" s="575"/>
      <c r="U786" s="575"/>
      <c r="V786" s="575"/>
      <c r="W786" s="575"/>
    </row>
    <row r="787">
      <c r="A787" s="41"/>
      <c r="B787" s="41"/>
      <c r="C787" s="41"/>
      <c r="D787" s="41"/>
      <c r="E787" s="41"/>
      <c r="F787" s="41"/>
      <c r="G787" s="41"/>
      <c r="H787" s="41"/>
      <c r="I787" s="41"/>
      <c r="J787" s="41"/>
      <c r="K787" s="41"/>
      <c r="L787" s="41"/>
      <c r="M787" s="41"/>
      <c r="N787" s="41"/>
      <c r="O787" s="41"/>
      <c r="P787" s="41"/>
      <c r="Q787" s="41"/>
      <c r="R787" s="41"/>
      <c r="S787" s="41"/>
      <c r="T787" s="575"/>
      <c r="U787" s="575"/>
      <c r="V787" s="575"/>
      <c r="W787" s="575"/>
    </row>
    <row r="788">
      <c r="A788" s="41"/>
      <c r="B788" s="41"/>
      <c r="C788" s="41"/>
      <c r="D788" s="41"/>
      <c r="E788" s="41"/>
      <c r="F788" s="41"/>
      <c r="G788" s="41"/>
      <c r="H788" s="41"/>
      <c r="I788" s="41"/>
      <c r="J788" s="41"/>
      <c r="K788" s="41"/>
      <c r="L788" s="41"/>
      <c r="M788" s="41"/>
      <c r="N788" s="41"/>
      <c r="O788" s="41"/>
      <c r="P788" s="41"/>
      <c r="Q788" s="41"/>
      <c r="R788" s="41"/>
      <c r="S788" s="41"/>
      <c r="T788" s="575"/>
      <c r="U788" s="575"/>
      <c r="V788" s="575"/>
      <c r="W788" s="575"/>
    </row>
    <row r="789">
      <c r="A789" s="41"/>
      <c r="B789" s="41"/>
      <c r="C789" s="41"/>
      <c r="D789" s="41"/>
      <c r="E789" s="41"/>
      <c r="F789" s="41"/>
      <c r="G789" s="41"/>
      <c r="H789" s="41"/>
      <c r="I789" s="41"/>
      <c r="J789" s="41"/>
      <c r="K789" s="41"/>
      <c r="L789" s="41"/>
      <c r="M789" s="41"/>
      <c r="N789" s="41"/>
      <c r="O789" s="41"/>
      <c r="P789" s="41"/>
      <c r="Q789" s="41"/>
      <c r="R789" s="41"/>
      <c r="S789" s="41"/>
      <c r="T789" s="575"/>
      <c r="U789" s="575"/>
      <c r="V789" s="575"/>
      <c r="W789" s="575"/>
    </row>
    <row r="790">
      <c r="A790" s="41"/>
      <c r="B790" s="41"/>
      <c r="C790" s="41"/>
      <c r="D790" s="41"/>
      <c r="E790" s="41"/>
      <c r="F790" s="41"/>
      <c r="G790" s="41"/>
      <c r="H790" s="41"/>
      <c r="I790" s="41"/>
      <c r="J790" s="41"/>
      <c r="K790" s="41"/>
      <c r="L790" s="41"/>
      <c r="M790" s="41"/>
      <c r="N790" s="41"/>
      <c r="O790" s="41"/>
      <c r="P790" s="41"/>
      <c r="Q790" s="41"/>
      <c r="R790" s="41"/>
      <c r="S790" s="41"/>
      <c r="T790" s="575"/>
      <c r="U790" s="575"/>
      <c r="V790" s="575"/>
      <c r="W790" s="575"/>
    </row>
    <row r="791">
      <c r="A791" s="41"/>
      <c r="B791" s="41"/>
      <c r="C791" s="41"/>
      <c r="D791" s="41"/>
      <c r="E791" s="41"/>
      <c r="F791" s="41"/>
      <c r="G791" s="41"/>
      <c r="H791" s="41"/>
      <c r="I791" s="41"/>
      <c r="J791" s="41"/>
      <c r="K791" s="41"/>
      <c r="L791" s="41"/>
      <c r="M791" s="41"/>
      <c r="N791" s="41"/>
      <c r="O791" s="41"/>
      <c r="P791" s="41"/>
      <c r="Q791" s="41"/>
      <c r="R791" s="41"/>
      <c r="S791" s="41"/>
      <c r="T791" s="575"/>
      <c r="U791" s="575"/>
      <c r="V791" s="575"/>
      <c r="W791" s="575"/>
    </row>
    <row r="792">
      <c r="A792" s="41"/>
      <c r="B792" s="41"/>
      <c r="C792" s="41"/>
      <c r="D792" s="41"/>
      <c r="E792" s="41"/>
      <c r="F792" s="41"/>
      <c r="G792" s="41"/>
      <c r="H792" s="41"/>
      <c r="I792" s="41"/>
      <c r="J792" s="41"/>
      <c r="K792" s="41"/>
      <c r="L792" s="41"/>
      <c r="M792" s="41"/>
      <c r="N792" s="41"/>
      <c r="O792" s="41"/>
      <c r="P792" s="41"/>
      <c r="Q792" s="41"/>
      <c r="R792" s="41"/>
      <c r="S792" s="41"/>
      <c r="T792" s="575"/>
      <c r="U792" s="575"/>
      <c r="V792" s="575"/>
      <c r="W792" s="575"/>
    </row>
    <row r="793">
      <c r="A793" s="41"/>
      <c r="B793" s="41"/>
      <c r="C793" s="41"/>
      <c r="D793" s="41"/>
      <c r="E793" s="41"/>
      <c r="F793" s="41"/>
      <c r="G793" s="41"/>
      <c r="H793" s="41"/>
      <c r="I793" s="41"/>
      <c r="J793" s="41"/>
      <c r="K793" s="41"/>
      <c r="L793" s="41"/>
      <c r="M793" s="41"/>
      <c r="N793" s="41"/>
      <c r="O793" s="41"/>
      <c r="P793" s="41"/>
      <c r="Q793" s="41"/>
      <c r="R793" s="41"/>
      <c r="S793" s="41"/>
      <c r="T793" s="575"/>
      <c r="U793" s="575"/>
      <c r="V793" s="575"/>
      <c r="W793" s="575"/>
    </row>
    <row r="794">
      <c r="A794" s="41"/>
      <c r="B794" s="41"/>
      <c r="C794" s="41"/>
      <c r="D794" s="41"/>
      <c r="E794" s="41"/>
      <c r="F794" s="41"/>
      <c r="G794" s="41"/>
      <c r="H794" s="41"/>
      <c r="I794" s="41"/>
      <c r="J794" s="41"/>
      <c r="K794" s="41"/>
      <c r="L794" s="41"/>
      <c r="M794" s="41"/>
      <c r="N794" s="41"/>
      <c r="O794" s="41"/>
      <c r="P794" s="41"/>
      <c r="Q794" s="41"/>
      <c r="R794" s="41"/>
      <c r="S794" s="41"/>
      <c r="T794" s="575"/>
      <c r="U794" s="575"/>
      <c r="V794" s="575"/>
      <c r="W794" s="575"/>
    </row>
    <row r="795">
      <c r="A795" s="41"/>
      <c r="B795" s="41"/>
      <c r="C795" s="41"/>
      <c r="D795" s="41"/>
      <c r="E795" s="41"/>
      <c r="F795" s="41"/>
      <c r="G795" s="41"/>
      <c r="H795" s="41"/>
      <c r="I795" s="41"/>
      <c r="J795" s="41"/>
      <c r="K795" s="41"/>
      <c r="L795" s="41"/>
      <c r="M795" s="41"/>
      <c r="N795" s="41"/>
      <c r="O795" s="41"/>
      <c r="P795" s="41"/>
      <c r="Q795" s="41"/>
      <c r="R795" s="41"/>
      <c r="S795" s="41"/>
      <c r="T795" s="575"/>
      <c r="U795" s="575"/>
      <c r="V795" s="575"/>
      <c r="W795" s="575"/>
    </row>
    <row r="796">
      <c r="A796" s="41"/>
      <c r="B796" s="41"/>
      <c r="C796" s="41"/>
      <c r="D796" s="41"/>
      <c r="E796" s="41"/>
      <c r="F796" s="41"/>
      <c r="G796" s="41"/>
      <c r="H796" s="41"/>
      <c r="I796" s="41"/>
      <c r="J796" s="41"/>
      <c r="K796" s="41"/>
      <c r="L796" s="41"/>
      <c r="M796" s="41"/>
      <c r="N796" s="41"/>
      <c r="O796" s="41"/>
      <c r="P796" s="41"/>
      <c r="Q796" s="41"/>
      <c r="R796" s="41"/>
      <c r="S796" s="41"/>
      <c r="T796" s="575"/>
      <c r="U796" s="575"/>
      <c r="V796" s="575"/>
      <c r="W796" s="575"/>
    </row>
    <row r="797">
      <c r="A797" s="41"/>
      <c r="B797" s="41"/>
      <c r="C797" s="41"/>
      <c r="D797" s="41"/>
      <c r="E797" s="41"/>
      <c r="F797" s="41"/>
      <c r="G797" s="41"/>
      <c r="H797" s="41"/>
      <c r="I797" s="41"/>
      <c r="J797" s="41"/>
      <c r="K797" s="41"/>
      <c r="L797" s="41"/>
      <c r="M797" s="41"/>
      <c r="N797" s="41"/>
      <c r="O797" s="41"/>
      <c r="P797" s="41"/>
      <c r="Q797" s="41"/>
      <c r="R797" s="41"/>
      <c r="S797" s="41"/>
      <c r="T797" s="575"/>
      <c r="U797" s="575"/>
      <c r="V797" s="575"/>
      <c r="W797" s="575"/>
    </row>
    <row r="798">
      <c r="A798" s="41"/>
      <c r="B798" s="41"/>
      <c r="C798" s="41"/>
      <c r="D798" s="41"/>
      <c r="E798" s="41"/>
      <c r="F798" s="41"/>
      <c r="G798" s="41"/>
      <c r="H798" s="41"/>
      <c r="I798" s="41"/>
      <c r="J798" s="41"/>
      <c r="K798" s="41"/>
      <c r="L798" s="41"/>
      <c r="M798" s="41"/>
      <c r="N798" s="41"/>
      <c r="O798" s="41"/>
      <c r="P798" s="41"/>
      <c r="Q798" s="41"/>
      <c r="R798" s="41"/>
      <c r="S798" s="41"/>
      <c r="T798" s="575"/>
      <c r="U798" s="575"/>
      <c r="V798" s="575"/>
      <c r="W798" s="575"/>
    </row>
    <row r="799">
      <c r="A799" s="41"/>
      <c r="B799" s="41"/>
      <c r="C799" s="41"/>
      <c r="D799" s="41"/>
      <c r="E799" s="41"/>
      <c r="F799" s="41"/>
      <c r="G799" s="41"/>
      <c r="H799" s="41"/>
      <c r="I799" s="41"/>
      <c r="J799" s="41"/>
      <c r="K799" s="41"/>
      <c r="L799" s="41"/>
      <c r="M799" s="41"/>
      <c r="N799" s="41"/>
      <c r="O799" s="41"/>
      <c r="P799" s="41"/>
      <c r="Q799" s="41"/>
      <c r="R799" s="41"/>
      <c r="S799" s="41"/>
      <c r="T799" s="575"/>
      <c r="U799" s="575"/>
      <c r="V799" s="575"/>
      <c r="W799" s="575"/>
    </row>
    <row r="800">
      <c r="A800" s="41"/>
      <c r="B800" s="41"/>
      <c r="C800" s="41"/>
      <c r="D800" s="41"/>
      <c r="E800" s="41"/>
      <c r="F800" s="41"/>
      <c r="G800" s="41"/>
      <c r="H800" s="41"/>
      <c r="I800" s="41"/>
      <c r="J800" s="41"/>
      <c r="K800" s="41"/>
      <c r="L800" s="41"/>
      <c r="M800" s="41"/>
      <c r="N800" s="41"/>
      <c r="O800" s="41"/>
      <c r="P800" s="41"/>
      <c r="Q800" s="41"/>
      <c r="R800" s="41"/>
      <c r="S800" s="41"/>
      <c r="T800" s="575"/>
      <c r="U800" s="575"/>
      <c r="V800" s="575"/>
      <c r="W800" s="575"/>
    </row>
    <row r="801">
      <c r="A801" s="41"/>
      <c r="B801" s="41"/>
      <c r="C801" s="41"/>
      <c r="D801" s="41"/>
      <c r="E801" s="41"/>
      <c r="F801" s="41"/>
      <c r="G801" s="41"/>
      <c r="H801" s="41"/>
      <c r="I801" s="41"/>
      <c r="J801" s="41"/>
      <c r="K801" s="41"/>
      <c r="L801" s="41"/>
      <c r="M801" s="41"/>
      <c r="N801" s="41"/>
      <c r="O801" s="41"/>
      <c r="P801" s="41"/>
      <c r="Q801" s="41"/>
      <c r="R801" s="41"/>
      <c r="S801" s="41"/>
      <c r="T801" s="575"/>
      <c r="U801" s="575"/>
      <c r="V801" s="575"/>
      <c r="W801" s="575"/>
    </row>
    <row r="802">
      <c r="A802" s="41"/>
      <c r="B802" s="41"/>
      <c r="C802" s="41"/>
      <c r="D802" s="41"/>
      <c r="E802" s="41"/>
      <c r="F802" s="41"/>
      <c r="G802" s="41"/>
      <c r="H802" s="41"/>
      <c r="I802" s="41"/>
      <c r="J802" s="41"/>
      <c r="K802" s="41"/>
      <c r="L802" s="41"/>
      <c r="M802" s="41"/>
      <c r="N802" s="41"/>
      <c r="O802" s="41"/>
      <c r="P802" s="41"/>
      <c r="Q802" s="41"/>
      <c r="R802" s="41"/>
      <c r="S802" s="41"/>
      <c r="T802" s="575"/>
      <c r="U802" s="575"/>
      <c r="V802" s="575"/>
      <c r="W802" s="575"/>
    </row>
    <row r="803">
      <c r="A803" s="41"/>
      <c r="B803" s="41"/>
      <c r="C803" s="41"/>
      <c r="D803" s="41"/>
      <c r="E803" s="41"/>
      <c r="F803" s="41"/>
      <c r="G803" s="41"/>
      <c r="H803" s="41"/>
      <c r="I803" s="41"/>
      <c r="J803" s="41"/>
      <c r="K803" s="41"/>
      <c r="L803" s="41"/>
      <c r="M803" s="41"/>
      <c r="N803" s="41"/>
      <c r="O803" s="41"/>
      <c r="P803" s="41"/>
      <c r="Q803" s="41"/>
      <c r="R803" s="41"/>
      <c r="S803" s="41"/>
      <c r="T803" s="575"/>
      <c r="U803" s="575"/>
      <c r="V803" s="575"/>
      <c r="W803" s="575"/>
    </row>
    <row r="804">
      <c r="A804" s="41"/>
      <c r="B804" s="41"/>
      <c r="C804" s="41"/>
      <c r="D804" s="41"/>
      <c r="E804" s="41"/>
      <c r="F804" s="41"/>
      <c r="G804" s="41"/>
      <c r="H804" s="41"/>
      <c r="I804" s="41"/>
      <c r="J804" s="41"/>
      <c r="K804" s="41"/>
      <c r="L804" s="41"/>
      <c r="M804" s="41"/>
      <c r="N804" s="41"/>
      <c r="O804" s="41"/>
      <c r="P804" s="41"/>
      <c r="Q804" s="41"/>
      <c r="R804" s="41"/>
      <c r="S804" s="41"/>
      <c r="T804" s="575"/>
      <c r="U804" s="575"/>
      <c r="V804" s="575"/>
      <c r="W804" s="575"/>
    </row>
    <row r="805">
      <c r="A805" s="41"/>
      <c r="B805" s="41"/>
      <c r="C805" s="41"/>
      <c r="D805" s="41"/>
      <c r="E805" s="41"/>
      <c r="F805" s="41"/>
      <c r="G805" s="41"/>
      <c r="H805" s="41"/>
      <c r="I805" s="41"/>
      <c r="J805" s="41"/>
      <c r="K805" s="41"/>
      <c r="L805" s="41"/>
      <c r="M805" s="41"/>
      <c r="N805" s="41"/>
      <c r="O805" s="41"/>
      <c r="P805" s="41"/>
      <c r="Q805" s="41"/>
      <c r="R805" s="41"/>
      <c r="S805" s="41"/>
      <c r="T805" s="575"/>
      <c r="U805" s="575"/>
      <c r="V805" s="575"/>
      <c r="W805" s="575"/>
    </row>
    <row r="806">
      <c r="A806" s="41"/>
      <c r="B806" s="41"/>
      <c r="C806" s="41"/>
      <c r="D806" s="41"/>
      <c r="E806" s="41"/>
      <c r="F806" s="41"/>
      <c r="G806" s="41"/>
      <c r="H806" s="41"/>
      <c r="I806" s="41"/>
      <c r="J806" s="41"/>
      <c r="K806" s="41"/>
      <c r="L806" s="41"/>
      <c r="M806" s="41"/>
      <c r="N806" s="41"/>
      <c r="O806" s="41"/>
      <c r="P806" s="41"/>
      <c r="Q806" s="41"/>
      <c r="R806" s="41"/>
      <c r="S806" s="41"/>
      <c r="T806" s="575"/>
      <c r="U806" s="575"/>
      <c r="V806" s="575"/>
      <c r="W806" s="575"/>
    </row>
    <row r="807">
      <c r="A807" s="41"/>
      <c r="B807" s="41"/>
      <c r="C807" s="41"/>
      <c r="D807" s="41"/>
      <c r="E807" s="41"/>
      <c r="F807" s="41"/>
      <c r="G807" s="41"/>
      <c r="H807" s="41"/>
      <c r="I807" s="41"/>
      <c r="J807" s="41"/>
      <c r="K807" s="41"/>
      <c r="L807" s="41"/>
      <c r="M807" s="41"/>
      <c r="N807" s="41"/>
      <c r="O807" s="41"/>
      <c r="P807" s="41"/>
      <c r="Q807" s="41"/>
      <c r="R807" s="41"/>
      <c r="S807" s="41"/>
      <c r="T807" s="575"/>
      <c r="U807" s="575"/>
      <c r="V807" s="575"/>
      <c r="W807" s="575"/>
    </row>
    <row r="808">
      <c r="A808" s="41"/>
      <c r="B808" s="41"/>
      <c r="C808" s="41"/>
      <c r="D808" s="41"/>
      <c r="E808" s="41"/>
      <c r="F808" s="41"/>
      <c r="G808" s="41"/>
      <c r="H808" s="41"/>
      <c r="I808" s="41"/>
      <c r="J808" s="41"/>
      <c r="K808" s="41"/>
      <c r="L808" s="41"/>
      <c r="M808" s="41"/>
      <c r="N808" s="41"/>
      <c r="O808" s="41"/>
      <c r="P808" s="41"/>
      <c r="Q808" s="41"/>
      <c r="R808" s="41"/>
      <c r="S808" s="41"/>
      <c r="T808" s="575"/>
      <c r="U808" s="575"/>
      <c r="V808" s="575"/>
      <c r="W808" s="575"/>
    </row>
    <row r="809">
      <c r="A809" s="41"/>
      <c r="B809" s="41"/>
      <c r="C809" s="41"/>
      <c r="D809" s="41"/>
      <c r="E809" s="41"/>
      <c r="F809" s="41"/>
      <c r="G809" s="41"/>
      <c r="H809" s="41"/>
      <c r="I809" s="41"/>
      <c r="J809" s="41"/>
      <c r="K809" s="41"/>
      <c r="L809" s="41"/>
      <c r="M809" s="41"/>
      <c r="N809" s="41"/>
      <c r="O809" s="41"/>
      <c r="P809" s="41"/>
      <c r="Q809" s="41"/>
      <c r="R809" s="41"/>
      <c r="S809" s="41"/>
      <c r="T809" s="575"/>
      <c r="U809" s="575"/>
      <c r="V809" s="575"/>
      <c r="W809" s="575"/>
    </row>
    <row r="810">
      <c r="A810" s="41"/>
      <c r="B810" s="41"/>
      <c r="C810" s="41"/>
      <c r="D810" s="41"/>
      <c r="E810" s="41"/>
      <c r="F810" s="41"/>
      <c r="G810" s="41"/>
      <c r="H810" s="41"/>
      <c r="I810" s="41"/>
      <c r="J810" s="41"/>
      <c r="K810" s="41"/>
      <c r="L810" s="41"/>
      <c r="M810" s="41"/>
      <c r="N810" s="41"/>
      <c r="O810" s="41"/>
      <c r="P810" s="41"/>
      <c r="Q810" s="41"/>
      <c r="R810" s="41"/>
      <c r="S810" s="41"/>
      <c r="T810" s="575"/>
      <c r="U810" s="575"/>
      <c r="V810" s="575"/>
      <c r="W810" s="575"/>
    </row>
    <row r="811">
      <c r="A811" s="41"/>
      <c r="B811" s="41"/>
      <c r="C811" s="41"/>
      <c r="D811" s="41"/>
      <c r="E811" s="41"/>
      <c r="F811" s="41"/>
      <c r="G811" s="41"/>
      <c r="H811" s="41"/>
      <c r="I811" s="41"/>
      <c r="J811" s="41"/>
      <c r="K811" s="41"/>
      <c r="L811" s="41"/>
      <c r="M811" s="41"/>
      <c r="N811" s="41"/>
      <c r="O811" s="41"/>
      <c r="P811" s="41"/>
      <c r="Q811" s="41"/>
      <c r="R811" s="41"/>
      <c r="S811" s="41"/>
      <c r="T811" s="575"/>
      <c r="U811" s="575"/>
      <c r="V811" s="575"/>
      <c r="W811" s="575"/>
    </row>
    <row r="812">
      <c r="A812" s="41"/>
      <c r="B812" s="41"/>
      <c r="C812" s="41"/>
      <c r="D812" s="41"/>
      <c r="E812" s="41"/>
      <c r="F812" s="41"/>
      <c r="G812" s="41"/>
      <c r="H812" s="41"/>
      <c r="I812" s="41"/>
      <c r="J812" s="41"/>
      <c r="K812" s="41"/>
      <c r="L812" s="41"/>
      <c r="M812" s="41"/>
      <c r="N812" s="41"/>
      <c r="O812" s="41"/>
      <c r="P812" s="41"/>
      <c r="Q812" s="41"/>
      <c r="R812" s="41"/>
      <c r="S812" s="41"/>
      <c r="T812" s="575"/>
      <c r="U812" s="575"/>
      <c r="V812" s="575"/>
      <c r="W812" s="575"/>
    </row>
    <row r="813">
      <c r="A813" s="41"/>
      <c r="B813" s="41"/>
      <c r="C813" s="41"/>
      <c r="D813" s="41"/>
      <c r="E813" s="41"/>
      <c r="F813" s="41"/>
      <c r="G813" s="41"/>
      <c r="H813" s="41"/>
      <c r="I813" s="41"/>
      <c r="J813" s="41"/>
      <c r="K813" s="41"/>
      <c r="L813" s="41"/>
      <c r="M813" s="41"/>
      <c r="N813" s="41"/>
      <c r="O813" s="41"/>
      <c r="P813" s="41"/>
      <c r="Q813" s="41"/>
      <c r="R813" s="41"/>
      <c r="S813" s="41"/>
      <c r="T813" s="575"/>
      <c r="U813" s="575"/>
      <c r="V813" s="575"/>
      <c r="W813" s="575"/>
    </row>
    <row r="814">
      <c r="A814" s="41"/>
      <c r="B814" s="41"/>
      <c r="C814" s="41"/>
      <c r="D814" s="41"/>
      <c r="E814" s="41"/>
      <c r="F814" s="41"/>
      <c r="G814" s="41"/>
      <c r="H814" s="41"/>
      <c r="I814" s="41"/>
      <c r="J814" s="41"/>
      <c r="K814" s="41"/>
      <c r="L814" s="41"/>
      <c r="M814" s="41"/>
      <c r="N814" s="41"/>
      <c r="O814" s="41"/>
      <c r="P814" s="41"/>
      <c r="Q814" s="41"/>
      <c r="R814" s="41"/>
      <c r="S814" s="41"/>
      <c r="T814" s="575"/>
      <c r="U814" s="575"/>
      <c r="V814" s="575"/>
      <c r="W814" s="575"/>
    </row>
    <row r="815">
      <c r="A815" s="41"/>
      <c r="B815" s="41"/>
      <c r="C815" s="41"/>
      <c r="D815" s="41"/>
      <c r="E815" s="41"/>
      <c r="F815" s="41"/>
      <c r="G815" s="41"/>
      <c r="H815" s="41"/>
      <c r="I815" s="41"/>
      <c r="J815" s="41"/>
      <c r="K815" s="41"/>
      <c r="L815" s="41"/>
      <c r="M815" s="41"/>
      <c r="N815" s="41"/>
      <c r="O815" s="41"/>
      <c r="P815" s="41"/>
      <c r="Q815" s="41"/>
      <c r="R815" s="41"/>
      <c r="S815" s="41"/>
      <c r="T815" s="575"/>
      <c r="U815" s="575"/>
      <c r="V815" s="575"/>
      <c r="W815" s="575"/>
    </row>
    <row r="816">
      <c r="A816" s="41"/>
      <c r="B816" s="41"/>
      <c r="C816" s="41"/>
      <c r="D816" s="41"/>
      <c r="E816" s="41"/>
      <c r="F816" s="41"/>
      <c r="G816" s="41"/>
      <c r="H816" s="41"/>
      <c r="I816" s="41"/>
      <c r="J816" s="41"/>
      <c r="K816" s="41"/>
      <c r="L816" s="41"/>
      <c r="M816" s="41"/>
      <c r="N816" s="41"/>
      <c r="O816" s="41"/>
      <c r="P816" s="41"/>
      <c r="Q816" s="41"/>
      <c r="R816" s="41"/>
      <c r="S816" s="41"/>
      <c r="T816" s="575"/>
      <c r="U816" s="575"/>
      <c r="V816" s="575"/>
      <c r="W816" s="575"/>
    </row>
    <row r="817">
      <c r="A817" s="41"/>
      <c r="B817" s="41"/>
      <c r="C817" s="41"/>
      <c r="D817" s="41"/>
      <c r="E817" s="41"/>
      <c r="F817" s="41"/>
      <c r="G817" s="41"/>
      <c r="H817" s="41"/>
      <c r="I817" s="41"/>
      <c r="J817" s="41"/>
      <c r="K817" s="41"/>
      <c r="L817" s="41"/>
      <c r="M817" s="41"/>
      <c r="N817" s="41"/>
      <c r="O817" s="41"/>
      <c r="P817" s="41"/>
      <c r="Q817" s="41"/>
      <c r="R817" s="41"/>
      <c r="S817" s="41"/>
      <c r="T817" s="575"/>
      <c r="U817" s="575"/>
      <c r="V817" s="575"/>
      <c r="W817" s="575"/>
    </row>
    <row r="818">
      <c r="A818" s="41"/>
      <c r="B818" s="41"/>
      <c r="C818" s="41"/>
      <c r="D818" s="41"/>
      <c r="E818" s="41"/>
      <c r="F818" s="41"/>
      <c r="G818" s="41"/>
      <c r="H818" s="41"/>
      <c r="I818" s="41"/>
      <c r="J818" s="41"/>
      <c r="K818" s="41"/>
      <c r="L818" s="41"/>
      <c r="M818" s="41"/>
      <c r="N818" s="41"/>
      <c r="O818" s="41"/>
      <c r="P818" s="41"/>
      <c r="Q818" s="41"/>
      <c r="R818" s="41"/>
      <c r="S818" s="41"/>
      <c r="T818" s="575"/>
      <c r="U818" s="575"/>
      <c r="V818" s="575"/>
      <c r="W818" s="575"/>
    </row>
    <row r="819">
      <c r="A819" s="41"/>
      <c r="B819" s="41"/>
      <c r="C819" s="41"/>
      <c r="D819" s="41"/>
      <c r="E819" s="41"/>
      <c r="F819" s="41"/>
      <c r="G819" s="41"/>
      <c r="H819" s="41"/>
      <c r="I819" s="41"/>
      <c r="J819" s="41"/>
      <c r="K819" s="41"/>
      <c r="L819" s="41"/>
      <c r="M819" s="41"/>
      <c r="N819" s="41"/>
      <c r="O819" s="41"/>
      <c r="P819" s="41"/>
      <c r="Q819" s="41"/>
      <c r="R819" s="41"/>
      <c r="S819" s="41"/>
      <c r="T819" s="575"/>
      <c r="U819" s="575"/>
      <c r="V819" s="575"/>
      <c r="W819" s="575"/>
    </row>
    <row r="820">
      <c r="A820" s="41"/>
      <c r="B820" s="41"/>
      <c r="C820" s="41"/>
      <c r="D820" s="41"/>
      <c r="E820" s="41"/>
      <c r="F820" s="41"/>
      <c r="G820" s="41"/>
      <c r="H820" s="41"/>
      <c r="I820" s="41"/>
      <c r="J820" s="41"/>
      <c r="K820" s="41"/>
      <c r="L820" s="41"/>
      <c r="M820" s="41"/>
      <c r="N820" s="41"/>
      <c r="O820" s="41"/>
      <c r="P820" s="41"/>
      <c r="Q820" s="41"/>
      <c r="R820" s="41"/>
      <c r="S820" s="41"/>
      <c r="T820" s="575"/>
      <c r="U820" s="575"/>
      <c r="V820" s="575"/>
      <c r="W820" s="575"/>
    </row>
    <row r="821">
      <c r="A821" s="41"/>
      <c r="B821" s="41"/>
      <c r="C821" s="41"/>
      <c r="D821" s="41"/>
      <c r="E821" s="41"/>
      <c r="F821" s="41"/>
      <c r="G821" s="41"/>
      <c r="H821" s="41"/>
      <c r="I821" s="41"/>
      <c r="J821" s="41"/>
      <c r="K821" s="41"/>
      <c r="L821" s="41"/>
      <c r="M821" s="41"/>
      <c r="N821" s="41"/>
      <c r="O821" s="41"/>
      <c r="P821" s="41"/>
      <c r="Q821" s="41"/>
      <c r="R821" s="41"/>
      <c r="S821" s="41"/>
      <c r="T821" s="575"/>
      <c r="U821" s="575"/>
      <c r="V821" s="575"/>
      <c r="W821" s="575"/>
    </row>
    <row r="822">
      <c r="A822" s="41"/>
      <c r="B822" s="41"/>
      <c r="C822" s="41"/>
      <c r="D822" s="41"/>
      <c r="E822" s="41"/>
      <c r="F822" s="41"/>
      <c r="G822" s="41"/>
      <c r="H822" s="41"/>
      <c r="I822" s="41"/>
      <c r="J822" s="41"/>
      <c r="K822" s="41"/>
      <c r="L822" s="41"/>
      <c r="M822" s="41"/>
      <c r="N822" s="41"/>
      <c r="O822" s="41"/>
      <c r="P822" s="41"/>
      <c r="Q822" s="41"/>
      <c r="R822" s="41"/>
      <c r="S822" s="41"/>
      <c r="T822" s="575"/>
      <c r="U822" s="575"/>
      <c r="V822" s="575"/>
      <c r="W822" s="575"/>
    </row>
    <row r="823">
      <c r="A823" s="41"/>
      <c r="B823" s="41"/>
      <c r="C823" s="41"/>
      <c r="D823" s="41"/>
      <c r="E823" s="41"/>
      <c r="F823" s="41"/>
      <c r="G823" s="41"/>
      <c r="H823" s="41"/>
      <c r="I823" s="41"/>
      <c r="J823" s="41"/>
      <c r="K823" s="41"/>
      <c r="L823" s="41"/>
      <c r="M823" s="41"/>
      <c r="N823" s="41"/>
      <c r="O823" s="41"/>
      <c r="P823" s="41"/>
      <c r="Q823" s="41"/>
      <c r="R823" s="41"/>
      <c r="S823" s="41"/>
      <c r="T823" s="575"/>
      <c r="U823" s="575"/>
      <c r="V823" s="575"/>
      <c r="W823" s="575"/>
    </row>
    <row r="824">
      <c r="A824" s="41"/>
      <c r="B824" s="41"/>
      <c r="C824" s="41"/>
      <c r="D824" s="41"/>
      <c r="E824" s="41"/>
      <c r="F824" s="41"/>
      <c r="G824" s="41"/>
      <c r="H824" s="41"/>
      <c r="I824" s="41"/>
      <c r="J824" s="41"/>
      <c r="K824" s="41"/>
      <c r="L824" s="41"/>
      <c r="M824" s="41"/>
      <c r="N824" s="41"/>
      <c r="O824" s="41"/>
      <c r="P824" s="41"/>
      <c r="Q824" s="41"/>
      <c r="R824" s="41"/>
      <c r="S824" s="41"/>
      <c r="T824" s="575"/>
      <c r="U824" s="575"/>
      <c r="V824" s="575"/>
      <c r="W824" s="575"/>
    </row>
    <row r="825">
      <c r="A825" s="41"/>
      <c r="B825" s="41"/>
      <c r="C825" s="41"/>
      <c r="D825" s="41"/>
      <c r="E825" s="41"/>
      <c r="F825" s="41"/>
      <c r="G825" s="41"/>
      <c r="H825" s="41"/>
      <c r="I825" s="41"/>
      <c r="J825" s="41"/>
      <c r="K825" s="41"/>
      <c r="L825" s="41"/>
      <c r="M825" s="41"/>
      <c r="N825" s="41"/>
      <c r="O825" s="41"/>
      <c r="P825" s="41"/>
      <c r="Q825" s="41"/>
      <c r="R825" s="41"/>
      <c r="S825" s="41"/>
      <c r="T825" s="575"/>
      <c r="U825" s="575"/>
      <c r="V825" s="575"/>
      <c r="W825" s="575"/>
    </row>
    <row r="826">
      <c r="A826" s="41"/>
      <c r="B826" s="41"/>
      <c r="C826" s="41"/>
      <c r="D826" s="41"/>
      <c r="E826" s="41"/>
      <c r="F826" s="41"/>
      <c r="G826" s="41"/>
      <c r="H826" s="41"/>
      <c r="I826" s="41"/>
      <c r="J826" s="41"/>
      <c r="K826" s="41"/>
      <c r="L826" s="41"/>
      <c r="M826" s="41"/>
      <c r="N826" s="41"/>
      <c r="O826" s="41"/>
      <c r="P826" s="41"/>
      <c r="Q826" s="41"/>
      <c r="R826" s="41"/>
      <c r="S826" s="41"/>
      <c r="T826" s="575"/>
      <c r="U826" s="575"/>
      <c r="V826" s="575"/>
      <c r="W826" s="575"/>
    </row>
    <row r="827">
      <c r="A827" s="41"/>
      <c r="B827" s="41"/>
      <c r="C827" s="41"/>
      <c r="D827" s="41"/>
      <c r="E827" s="41"/>
      <c r="F827" s="41"/>
      <c r="G827" s="41"/>
      <c r="H827" s="41"/>
      <c r="I827" s="41"/>
      <c r="J827" s="41"/>
      <c r="K827" s="41"/>
      <c r="L827" s="41"/>
      <c r="M827" s="41"/>
      <c r="N827" s="41"/>
      <c r="O827" s="41"/>
      <c r="P827" s="41"/>
      <c r="Q827" s="41"/>
      <c r="R827" s="41"/>
      <c r="S827" s="41"/>
      <c r="T827" s="575"/>
      <c r="U827" s="575"/>
      <c r="V827" s="575"/>
      <c r="W827" s="575"/>
    </row>
    <row r="828">
      <c r="A828" s="41"/>
      <c r="B828" s="41"/>
      <c r="C828" s="41"/>
      <c r="D828" s="41"/>
      <c r="E828" s="41"/>
      <c r="F828" s="41"/>
      <c r="G828" s="41"/>
      <c r="H828" s="41"/>
      <c r="I828" s="41"/>
      <c r="J828" s="41"/>
      <c r="K828" s="41"/>
      <c r="L828" s="41"/>
      <c r="M828" s="41"/>
      <c r="N828" s="41"/>
      <c r="O828" s="41"/>
      <c r="P828" s="41"/>
      <c r="Q828" s="41"/>
      <c r="R828" s="41"/>
      <c r="S828" s="41"/>
      <c r="T828" s="575"/>
      <c r="U828" s="575"/>
      <c r="V828" s="575"/>
      <c r="W828" s="575"/>
    </row>
    <row r="829">
      <c r="A829" s="41"/>
      <c r="B829" s="41"/>
      <c r="C829" s="41"/>
      <c r="D829" s="41"/>
      <c r="E829" s="41"/>
      <c r="F829" s="41"/>
      <c r="G829" s="41"/>
      <c r="H829" s="41"/>
      <c r="I829" s="41"/>
      <c r="J829" s="41"/>
      <c r="K829" s="41"/>
      <c r="L829" s="41"/>
      <c r="M829" s="41"/>
      <c r="N829" s="41"/>
      <c r="O829" s="41"/>
      <c r="P829" s="41"/>
      <c r="Q829" s="41"/>
      <c r="R829" s="41"/>
      <c r="S829" s="41"/>
      <c r="T829" s="575"/>
      <c r="U829" s="575"/>
      <c r="V829" s="575"/>
      <c r="W829" s="575"/>
    </row>
    <row r="830">
      <c r="A830" s="41"/>
      <c r="B830" s="41"/>
      <c r="C830" s="41"/>
      <c r="D830" s="41"/>
      <c r="E830" s="41"/>
      <c r="F830" s="41"/>
      <c r="G830" s="41"/>
      <c r="H830" s="41"/>
      <c r="I830" s="41"/>
      <c r="J830" s="41"/>
      <c r="K830" s="41"/>
      <c r="L830" s="41"/>
      <c r="M830" s="41"/>
      <c r="N830" s="41"/>
      <c r="O830" s="41"/>
      <c r="P830" s="41"/>
      <c r="Q830" s="41"/>
      <c r="R830" s="41"/>
      <c r="S830" s="41"/>
      <c r="T830" s="575"/>
      <c r="U830" s="575"/>
      <c r="V830" s="575"/>
      <c r="W830" s="575"/>
    </row>
    <row r="831">
      <c r="A831" s="41"/>
      <c r="B831" s="41"/>
      <c r="C831" s="41"/>
      <c r="D831" s="41"/>
      <c r="E831" s="41"/>
      <c r="F831" s="41"/>
      <c r="G831" s="41"/>
      <c r="H831" s="41"/>
      <c r="I831" s="41"/>
      <c r="J831" s="41"/>
      <c r="K831" s="41"/>
      <c r="L831" s="41"/>
      <c r="M831" s="41"/>
      <c r="N831" s="41"/>
      <c r="O831" s="41"/>
      <c r="P831" s="41"/>
      <c r="Q831" s="41"/>
      <c r="R831" s="41"/>
      <c r="S831" s="41"/>
      <c r="T831" s="575"/>
      <c r="U831" s="575"/>
      <c r="V831" s="575"/>
      <c r="W831" s="575"/>
    </row>
    <row r="832">
      <c r="A832" s="41"/>
      <c r="B832" s="41"/>
      <c r="C832" s="41"/>
      <c r="D832" s="41"/>
      <c r="E832" s="41"/>
      <c r="F832" s="41"/>
      <c r="G832" s="41"/>
      <c r="H832" s="41"/>
      <c r="I832" s="41"/>
      <c r="J832" s="41"/>
      <c r="K832" s="41"/>
      <c r="L832" s="41"/>
      <c r="M832" s="41"/>
      <c r="N832" s="41"/>
      <c r="O832" s="41"/>
      <c r="P832" s="41"/>
      <c r="Q832" s="41"/>
      <c r="R832" s="41"/>
      <c r="S832" s="41"/>
      <c r="T832" s="575"/>
      <c r="U832" s="575"/>
      <c r="V832" s="575"/>
      <c r="W832" s="575"/>
    </row>
    <row r="833">
      <c r="A833" s="41"/>
      <c r="B833" s="41"/>
      <c r="C833" s="41"/>
      <c r="D833" s="41"/>
      <c r="E833" s="41"/>
      <c r="F833" s="41"/>
      <c r="G833" s="41"/>
      <c r="H833" s="41"/>
      <c r="I833" s="41"/>
      <c r="J833" s="41"/>
      <c r="K833" s="41"/>
      <c r="L833" s="41"/>
      <c r="M833" s="41"/>
      <c r="N833" s="41"/>
      <c r="O833" s="41"/>
      <c r="P833" s="41"/>
      <c r="Q833" s="41"/>
      <c r="R833" s="41"/>
      <c r="S833" s="41"/>
      <c r="T833" s="575"/>
      <c r="U833" s="575"/>
      <c r="V833" s="575"/>
      <c r="W833" s="575"/>
    </row>
    <row r="834">
      <c r="A834" s="41"/>
      <c r="B834" s="41"/>
      <c r="C834" s="41"/>
      <c r="D834" s="41"/>
      <c r="E834" s="41"/>
      <c r="F834" s="41"/>
      <c r="G834" s="41"/>
      <c r="H834" s="41"/>
      <c r="I834" s="41"/>
      <c r="J834" s="41"/>
      <c r="K834" s="41"/>
      <c r="L834" s="41"/>
      <c r="M834" s="41"/>
      <c r="N834" s="41"/>
      <c r="O834" s="41"/>
      <c r="P834" s="41"/>
      <c r="Q834" s="41"/>
      <c r="R834" s="41"/>
      <c r="S834" s="41"/>
      <c r="T834" s="575"/>
      <c r="U834" s="575"/>
      <c r="V834" s="575"/>
      <c r="W834" s="575"/>
    </row>
    <row r="835">
      <c r="A835" s="41"/>
      <c r="B835" s="41"/>
      <c r="C835" s="41"/>
      <c r="D835" s="41"/>
      <c r="E835" s="41"/>
      <c r="F835" s="41"/>
      <c r="G835" s="41"/>
      <c r="H835" s="41"/>
      <c r="I835" s="41"/>
      <c r="J835" s="41"/>
      <c r="K835" s="41"/>
      <c r="L835" s="41"/>
      <c r="M835" s="41"/>
      <c r="N835" s="41"/>
      <c r="O835" s="41"/>
      <c r="P835" s="41"/>
      <c r="Q835" s="41"/>
      <c r="R835" s="41"/>
      <c r="S835" s="41"/>
      <c r="T835" s="575"/>
      <c r="U835" s="575"/>
      <c r="V835" s="575"/>
      <c r="W835" s="575"/>
    </row>
    <row r="836">
      <c r="A836" s="41"/>
      <c r="B836" s="41"/>
      <c r="C836" s="41"/>
      <c r="D836" s="41"/>
      <c r="E836" s="41"/>
      <c r="F836" s="41"/>
      <c r="G836" s="41"/>
      <c r="H836" s="41"/>
      <c r="I836" s="41"/>
      <c r="J836" s="41"/>
      <c r="K836" s="41"/>
      <c r="L836" s="41"/>
      <c r="M836" s="41"/>
      <c r="N836" s="41"/>
      <c r="O836" s="41"/>
      <c r="P836" s="41"/>
      <c r="Q836" s="41"/>
      <c r="R836" s="41"/>
      <c r="S836" s="41"/>
      <c r="T836" s="575"/>
      <c r="U836" s="575"/>
      <c r="V836" s="575"/>
      <c r="W836" s="575"/>
    </row>
    <row r="837">
      <c r="A837" s="41"/>
      <c r="B837" s="41"/>
      <c r="C837" s="41"/>
      <c r="D837" s="41"/>
      <c r="E837" s="41"/>
      <c r="F837" s="41"/>
      <c r="G837" s="41"/>
      <c r="H837" s="41"/>
      <c r="I837" s="41"/>
      <c r="J837" s="41"/>
      <c r="K837" s="41"/>
      <c r="L837" s="41"/>
      <c r="M837" s="41"/>
      <c r="N837" s="41"/>
      <c r="O837" s="41"/>
      <c r="P837" s="41"/>
      <c r="Q837" s="41"/>
      <c r="R837" s="41"/>
      <c r="S837" s="41"/>
      <c r="T837" s="575"/>
      <c r="U837" s="575"/>
      <c r="V837" s="575"/>
      <c r="W837" s="575"/>
    </row>
    <row r="838">
      <c r="A838" s="41"/>
      <c r="B838" s="41"/>
      <c r="C838" s="41"/>
      <c r="D838" s="41"/>
      <c r="E838" s="41"/>
      <c r="F838" s="41"/>
      <c r="G838" s="41"/>
      <c r="H838" s="41"/>
      <c r="I838" s="41"/>
      <c r="J838" s="41"/>
      <c r="K838" s="41"/>
      <c r="L838" s="41"/>
      <c r="M838" s="41"/>
      <c r="N838" s="41"/>
      <c r="O838" s="41"/>
      <c r="P838" s="41"/>
      <c r="Q838" s="41"/>
      <c r="R838" s="41"/>
      <c r="S838" s="41"/>
      <c r="T838" s="575"/>
      <c r="U838" s="575"/>
      <c r="V838" s="575"/>
      <c r="W838" s="575"/>
    </row>
    <row r="839">
      <c r="A839" s="41"/>
      <c r="B839" s="41"/>
      <c r="C839" s="41"/>
      <c r="D839" s="41"/>
      <c r="E839" s="41"/>
      <c r="F839" s="41"/>
      <c r="G839" s="41"/>
      <c r="H839" s="41"/>
      <c r="I839" s="41"/>
      <c r="J839" s="41"/>
      <c r="K839" s="41"/>
      <c r="L839" s="41"/>
      <c r="M839" s="41"/>
      <c r="N839" s="41"/>
      <c r="O839" s="41"/>
      <c r="P839" s="41"/>
      <c r="Q839" s="41"/>
      <c r="R839" s="41"/>
      <c r="S839" s="41"/>
      <c r="T839" s="575"/>
      <c r="U839" s="575"/>
      <c r="V839" s="575"/>
      <c r="W839" s="575"/>
    </row>
    <row r="840">
      <c r="A840" s="41"/>
      <c r="B840" s="41"/>
      <c r="C840" s="41"/>
      <c r="D840" s="41"/>
      <c r="E840" s="41"/>
      <c r="F840" s="41"/>
      <c r="G840" s="41"/>
      <c r="H840" s="41"/>
      <c r="I840" s="41"/>
      <c r="J840" s="41"/>
      <c r="K840" s="41"/>
      <c r="L840" s="41"/>
      <c r="M840" s="41"/>
      <c r="N840" s="41"/>
      <c r="O840" s="41"/>
      <c r="P840" s="41"/>
      <c r="Q840" s="41"/>
      <c r="R840" s="41"/>
      <c r="S840" s="41"/>
      <c r="T840" s="575"/>
      <c r="U840" s="575"/>
      <c r="V840" s="575"/>
      <c r="W840" s="575"/>
    </row>
    <row r="841">
      <c r="A841" s="41"/>
      <c r="B841" s="41"/>
      <c r="C841" s="41"/>
      <c r="D841" s="41"/>
      <c r="E841" s="41"/>
      <c r="F841" s="41"/>
      <c r="G841" s="41"/>
      <c r="H841" s="41"/>
      <c r="I841" s="41"/>
      <c r="J841" s="41"/>
      <c r="K841" s="41"/>
      <c r="L841" s="41"/>
      <c r="M841" s="41"/>
      <c r="N841" s="41"/>
      <c r="O841" s="41"/>
      <c r="P841" s="41"/>
      <c r="Q841" s="41"/>
      <c r="R841" s="41"/>
      <c r="S841" s="41"/>
      <c r="T841" s="575"/>
      <c r="U841" s="575"/>
      <c r="V841" s="575"/>
      <c r="W841" s="575"/>
    </row>
    <row r="842">
      <c r="A842" s="41"/>
      <c r="B842" s="41"/>
      <c r="C842" s="41"/>
      <c r="D842" s="41"/>
      <c r="E842" s="41"/>
      <c r="F842" s="41"/>
      <c r="G842" s="41"/>
      <c r="H842" s="41"/>
      <c r="I842" s="41"/>
      <c r="J842" s="41"/>
      <c r="K842" s="41"/>
      <c r="L842" s="41"/>
      <c r="M842" s="41"/>
      <c r="N842" s="41"/>
      <c r="O842" s="41"/>
      <c r="P842" s="41"/>
      <c r="Q842" s="41"/>
      <c r="R842" s="41"/>
      <c r="S842" s="41"/>
      <c r="T842" s="575"/>
      <c r="U842" s="575"/>
      <c r="V842" s="575"/>
      <c r="W842" s="575"/>
    </row>
    <row r="843">
      <c r="A843" s="41"/>
      <c r="B843" s="41"/>
      <c r="C843" s="41"/>
      <c r="D843" s="41"/>
      <c r="E843" s="41"/>
      <c r="F843" s="41"/>
      <c r="G843" s="41"/>
      <c r="H843" s="41"/>
      <c r="I843" s="41"/>
      <c r="J843" s="41"/>
      <c r="K843" s="41"/>
      <c r="L843" s="41"/>
      <c r="M843" s="41"/>
      <c r="N843" s="41"/>
      <c r="O843" s="41"/>
      <c r="P843" s="41"/>
      <c r="Q843" s="41"/>
      <c r="R843" s="41"/>
      <c r="S843" s="41"/>
      <c r="T843" s="575"/>
      <c r="U843" s="575"/>
      <c r="V843" s="575"/>
      <c r="W843" s="575"/>
    </row>
    <row r="844">
      <c r="A844" s="41"/>
      <c r="B844" s="41"/>
      <c r="C844" s="41"/>
      <c r="D844" s="41"/>
      <c r="E844" s="41"/>
      <c r="F844" s="41"/>
      <c r="G844" s="41"/>
      <c r="H844" s="41"/>
      <c r="I844" s="41"/>
      <c r="J844" s="41"/>
      <c r="K844" s="41"/>
      <c r="L844" s="41"/>
      <c r="M844" s="41"/>
      <c r="N844" s="41"/>
      <c r="O844" s="41"/>
      <c r="P844" s="41"/>
      <c r="Q844" s="41"/>
      <c r="R844" s="41"/>
      <c r="S844" s="41"/>
      <c r="T844" s="575"/>
      <c r="U844" s="575"/>
      <c r="V844" s="575"/>
      <c r="W844" s="575"/>
    </row>
    <row r="845">
      <c r="A845" s="41"/>
      <c r="B845" s="41"/>
      <c r="C845" s="41"/>
      <c r="D845" s="41"/>
      <c r="E845" s="41"/>
      <c r="F845" s="41"/>
      <c r="G845" s="41"/>
      <c r="H845" s="41"/>
      <c r="I845" s="41"/>
      <c r="J845" s="41"/>
      <c r="K845" s="41"/>
      <c r="L845" s="41"/>
      <c r="M845" s="41"/>
      <c r="N845" s="41"/>
      <c r="O845" s="41"/>
      <c r="P845" s="41"/>
      <c r="Q845" s="41"/>
      <c r="R845" s="41"/>
      <c r="S845" s="41"/>
      <c r="T845" s="575"/>
      <c r="U845" s="575"/>
      <c r="V845" s="575"/>
      <c r="W845" s="575"/>
    </row>
    <row r="846">
      <c r="A846" s="41"/>
      <c r="B846" s="41"/>
      <c r="C846" s="41"/>
      <c r="D846" s="41"/>
      <c r="E846" s="41"/>
      <c r="F846" s="41"/>
      <c r="G846" s="41"/>
      <c r="H846" s="41"/>
      <c r="I846" s="41"/>
      <c r="J846" s="41"/>
      <c r="K846" s="41"/>
      <c r="L846" s="41"/>
      <c r="M846" s="41"/>
      <c r="N846" s="41"/>
      <c r="O846" s="41"/>
      <c r="P846" s="41"/>
      <c r="Q846" s="41"/>
      <c r="R846" s="41"/>
      <c r="S846" s="41"/>
      <c r="T846" s="575"/>
      <c r="U846" s="575"/>
      <c r="V846" s="575"/>
      <c r="W846" s="575"/>
    </row>
    <row r="847">
      <c r="A847" s="41"/>
      <c r="B847" s="41"/>
      <c r="C847" s="41"/>
      <c r="D847" s="41"/>
      <c r="E847" s="41"/>
      <c r="F847" s="41"/>
      <c r="G847" s="41"/>
      <c r="H847" s="41"/>
      <c r="I847" s="41"/>
      <c r="J847" s="41"/>
      <c r="K847" s="41"/>
      <c r="L847" s="41"/>
      <c r="M847" s="41"/>
      <c r="N847" s="41"/>
      <c r="O847" s="41"/>
      <c r="P847" s="41"/>
      <c r="Q847" s="41"/>
      <c r="R847" s="41"/>
      <c r="S847" s="41"/>
      <c r="T847" s="575"/>
      <c r="U847" s="575"/>
      <c r="V847" s="575"/>
      <c r="W847" s="575"/>
    </row>
    <row r="848">
      <c r="A848" s="41"/>
      <c r="B848" s="41"/>
      <c r="C848" s="41"/>
      <c r="D848" s="41"/>
      <c r="E848" s="41"/>
      <c r="F848" s="41"/>
      <c r="G848" s="41"/>
      <c r="H848" s="41"/>
      <c r="I848" s="41"/>
      <c r="J848" s="41"/>
      <c r="K848" s="41"/>
      <c r="L848" s="41"/>
      <c r="M848" s="41"/>
      <c r="N848" s="41"/>
      <c r="O848" s="41"/>
      <c r="P848" s="41"/>
      <c r="Q848" s="41"/>
      <c r="R848" s="41"/>
      <c r="S848" s="41"/>
      <c r="T848" s="575"/>
      <c r="U848" s="575"/>
      <c r="V848" s="575"/>
      <c r="W848" s="575"/>
    </row>
    <row r="849">
      <c r="A849" s="41"/>
      <c r="B849" s="41"/>
      <c r="C849" s="41"/>
      <c r="D849" s="41"/>
      <c r="E849" s="41"/>
      <c r="F849" s="41"/>
      <c r="G849" s="41"/>
      <c r="H849" s="41"/>
      <c r="I849" s="41"/>
      <c r="J849" s="41"/>
      <c r="K849" s="41"/>
      <c r="L849" s="41"/>
      <c r="M849" s="41"/>
      <c r="N849" s="41"/>
      <c r="O849" s="41"/>
      <c r="P849" s="41"/>
      <c r="Q849" s="41"/>
      <c r="R849" s="41"/>
      <c r="S849" s="41"/>
      <c r="T849" s="575"/>
      <c r="U849" s="575"/>
      <c r="V849" s="575"/>
      <c r="W849" s="575"/>
    </row>
    <row r="850">
      <c r="A850" s="41"/>
      <c r="B850" s="41"/>
      <c r="C850" s="41"/>
      <c r="D850" s="41"/>
      <c r="E850" s="41"/>
      <c r="F850" s="41"/>
      <c r="G850" s="41"/>
      <c r="H850" s="41"/>
      <c r="I850" s="41"/>
      <c r="J850" s="41"/>
      <c r="K850" s="41"/>
      <c r="L850" s="41"/>
      <c r="M850" s="41"/>
      <c r="N850" s="41"/>
      <c r="O850" s="41"/>
      <c r="P850" s="41"/>
      <c r="Q850" s="41"/>
      <c r="R850" s="41"/>
      <c r="S850" s="41"/>
      <c r="T850" s="575"/>
      <c r="U850" s="575"/>
      <c r="V850" s="575"/>
      <c r="W850" s="575"/>
    </row>
    <row r="851">
      <c r="A851" s="41"/>
      <c r="B851" s="41"/>
      <c r="C851" s="41"/>
      <c r="D851" s="41"/>
      <c r="E851" s="41"/>
      <c r="F851" s="41"/>
      <c r="G851" s="41"/>
      <c r="H851" s="41"/>
      <c r="I851" s="41"/>
      <c r="J851" s="41"/>
      <c r="K851" s="41"/>
      <c r="L851" s="41"/>
      <c r="M851" s="41"/>
      <c r="N851" s="41"/>
      <c r="O851" s="41"/>
      <c r="P851" s="41"/>
      <c r="Q851" s="41"/>
      <c r="R851" s="41"/>
      <c r="S851" s="41"/>
      <c r="T851" s="575"/>
      <c r="U851" s="575"/>
      <c r="V851" s="575"/>
      <c r="W851" s="575"/>
    </row>
    <row r="852">
      <c r="A852" s="41"/>
      <c r="B852" s="41"/>
      <c r="C852" s="41"/>
      <c r="D852" s="41"/>
      <c r="E852" s="41"/>
      <c r="F852" s="41"/>
      <c r="G852" s="41"/>
      <c r="H852" s="41"/>
      <c r="I852" s="41"/>
      <c r="J852" s="41"/>
      <c r="K852" s="41"/>
      <c r="L852" s="41"/>
      <c r="M852" s="41"/>
      <c r="N852" s="41"/>
      <c r="O852" s="41"/>
      <c r="P852" s="41"/>
      <c r="Q852" s="41"/>
      <c r="R852" s="41"/>
      <c r="S852" s="41"/>
      <c r="T852" s="575"/>
      <c r="U852" s="575"/>
      <c r="V852" s="575"/>
      <c r="W852" s="575"/>
    </row>
    <row r="853">
      <c r="A853" s="41"/>
      <c r="B853" s="41"/>
      <c r="C853" s="41"/>
      <c r="D853" s="41"/>
      <c r="E853" s="41"/>
      <c r="F853" s="41"/>
      <c r="G853" s="41"/>
      <c r="H853" s="41"/>
      <c r="I853" s="41"/>
      <c r="J853" s="41"/>
      <c r="K853" s="41"/>
      <c r="L853" s="41"/>
      <c r="M853" s="41"/>
      <c r="N853" s="41"/>
      <c r="O853" s="41"/>
      <c r="P853" s="41"/>
      <c r="Q853" s="41"/>
      <c r="R853" s="41"/>
      <c r="S853" s="41"/>
      <c r="T853" s="575"/>
      <c r="U853" s="575"/>
      <c r="V853" s="575"/>
      <c r="W853" s="575"/>
    </row>
    <row r="854">
      <c r="A854" s="41"/>
      <c r="B854" s="41"/>
      <c r="C854" s="41"/>
      <c r="D854" s="41"/>
      <c r="E854" s="41"/>
      <c r="F854" s="41"/>
      <c r="G854" s="41"/>
      <c r="H854" s="41"/>
      <c r="I854" s="41"/>
      <c r="J854" s="41"/>
      <c r="K854" s="41"/>
      <c r="L854" s="41"/>
      <c r="M854" s="41"/>
      <c r="N854" s="41"/>
      <c r="O854" s="41"/>
      <c r="P854" s="41"/>
      <c r="Q854" s="41"/>
      <c r="R854" s="41"/>
      <c r="S854" s="41"/>
      <c r="T854" s="575"/>
      <c r="U854" s="575"/>
      <c r="V854" s="575"/>
      <c r="W854" s="575"/>
    </row>
    <row r="855">
      <c r="A855" s="41"/>
      <c r="B855" s="41"/>
      <c r="C855" s="41"/>
      <c r="D855" s="41"/>
      <c r="E855" s="41"/>
      <c r="F855" s="41"/>
      <c r="G855" s="41"/>
      <c r="H855" s="41"/>
      <c r="I855" s="41"/>
      <c r="J855" s="41"/>
      <c r="K855" s="41"/>
      <c r="L855" s="41"/>
      <c r="M855" s="41"/>
      <c r="N855" s="41"/>
      <c r="O855" s="41"/>
      <c r="P855" s="41"/>
      <c r="Q855" s="41"/>
      <c r="R855" s="41"/>
      <c r="S855" s="41"/>
      <c r="T855" s="575"/>
      <c r="U855" s="575"/>
      <c r="V855" s="575"/>
      <c r="W855" s="575"/>
    </row>
    <row r="856">
      <c r="A856" s="41"/>
      <c r="B856" s="41"/>
      <c r="C856" s="41"/>
      <c r="D856" s="41"/>
      <c r="E856" s="41"/>
      <c r="F856" s="41"/>
      <c r="G856" s="41"/>
      <c r="H856" s="41"/>
      <c r="I856" s="41"/>
      <c r="J856" s="41"/>
      <c r="K856" s="41"/>
      <c r="L856" s="41"/>
      <c r="M856" s="41"/>
      <c r="N856" s="41"/>
      <c r="O856" s="41"/>
      <c r="P856" s="41"/>
      <c r="Q856" s="41"/>
      <c r="R856" s="41"/>
      <c r="S856" s="41"/>
      <c r="T856" s="575"/>
      <c r="U856" s="575"/>
      <c r="V856" s="575"/>
      <c r="W856" s="575"/>
    </row>
    <row r="857">
      <c r="A857" s="41"/>
      <c r="B857" s="41"/>
      <c r="C857" s="41"/>
      <c r="D857" s="41"/>
      <c r="E857" s="41"/>
      <c r="F857" s="41"/>
      <c r="G857" s="41"/>
      <c r="H857" s="41"/>
      <c r="I857" s="41"/>
      <c r="J857" s="41"/>
      <c r="K857" s="41"/>
      <c r="L857" s="41"/>
      <c r="M857" s="41"/>
      <c r="N857" s="41"/>
      <c r="O857" s="41"/>
      <c r="P857" s="41"/>
      <c r="Q857" s="41"/>
      <c r="R857" s="41"/>
      <c r="S857" s="41"/>
      <c r="T857" s="575"/>
      <c r="U857" s="575"/>
      <c r="V857" s="575"/>
      <c r="W857" s="575"/>
    </row>
    <row r="858">
      <c r="A858" s="41"/>
      <c r="B858" s="41"/>
      <c r="C858" s="41"/>
      <c r="D858" s="41"/>
      <c r="E858" s="41"/>
      <c r="F858" s="41"/>
      <c r="G858" s="41"/>
      <c r="H858" s="41"/>
      <c r="I858" s="41"/>
      <c r="J858" s="41"/>
      <c r="K858" s="41"/>
      <c r="L858" s="41"/>
      <c r="M858" s="41"/>
      <c r="N858" s="41"/>
      <c r="O858" s="41"/>
      <c r="P858" s="41"/>
      <c r="Q858" s="41"/>
      <c r="R858" s="41"/>
      <c r="S858" s="41"/>
      <c r="T858" s="575"/>
      <c r="U858" s="575"/>
      <c r="V858" s="575"/>
      <c r="W858" s="575"/>
    </row>
    <row r="859">
      <c r="A859" s="41"/>
      <c r="B859" s="41"/>
      <c r="C859" s="41"/>
      <c r="D859" s="41"/>
      <c r="E859" s="41"/>
      <c r="F859" s="41"/>
      <c r="G859" s="41"/>
      <c r="H859" s="41"/>
      <c r="I859" s="41"/>
      <c r="J859" s="41"/>
      <c r="K859" s="41"/>
      <c r="L859" s="41"/>
      <c r="M859" s="41"/>
      <c r="N859" s="41"/>
      <c r="O859" s="41"/>
      <c r="P859" s="41"/>
      <c r="Q859" s="41"/>
      <c r="R859" s="41"/>
      <c r="S859" s="41"/>
      <c r="T859" s="575"/>
      <c r="U859" s="575"/>
      <c r="V859" s="575"/>
      <c r="W859" s="575"/>
    </row>
    <row r="860">
      <c r="A860" s="41"/>
      <c r="B860" s="41"/>
      <c r="C860" s="41"/>
      <c r="D860" s="41"/>
      <c r="E860" s="41"/>
      <c r="F860" s="41"/>
      <c r="G860" s="41"/>
      <c r="H860" s="41"/>
      <c r="I860" s="41"/>
      <c r="J860" s="41"/>
      <c r="K860" s="41"/>
      <c r="L860" s="41"/>
      <c r="M860" s="41"/>
      <c r="N860" s="41"/>
      <c r="O860" s="41"/>
      <c r="P860" s="41"/>
      <c r="Q860" s="41"/>
      <c r="R860" s="41"/>
      <c r="S860" s="41"/>
      <c r="T860" s="575"/>
      <c r="U860" s="575"/>
      <c r="V860" s="575"/>
      <c r="W860" s="575"/>
    </row>
    <row r="861">
      <c r="A861" s="41"/>
      <c r="B861" s="41"/>
      <c r="C861" s="41"/>
      <c r="D861" s="41"/>
      <c r="E861" s="41"/>
      <c r="F861" s="41"/>
      <c r="G861" s="41"/>
      <c r="H861" s="41"/>
      <c r="I861" s="41"/>
      <c r="J861" s="41"/>
      <c r="K861" s="41"/>
      <c r="L861" s="41"/>
      <c r="M861" s="41"/>
      <c r="N861" s="41"/>
      <c r="O861" s="41"/>
      <c r="P861" s="41"/>
      <c r="Q861" s="41"/>
      <c r="R861" s="41"/>
      <c r="S861" s="41"/>
      <c r="T861" s="575"/>
      <c r="U861" s="575"/>
      <c r="V861" s="575"/>
      <c r="W861" s="575"/>
    </row>
    <row r="862">
      <c r="A862" s="41"/>
      <c r="B862" s="41"/>
      <c r="C862" s="41"/>
      <c r="D862" s="41"/>
      <c r="E862" s="41"/>
      <c r="F862" s="41"/>
      <c r="G862" s="41"/>
      <c r="H862" s="41"/>
      <c r="I862" s="41"/>
      <c r="J862" s="41"/>
      <c r="K862" s="41"/>
      <c r="L862" s="41"/>
      <c r="M862" s="41"/>
      <c r="N862" s="41"/>
      <c r="O862" s="41"/>
      <c r="P862" s="41"/>
      <c r="Q862" s="41"/>
      <c r="R862" s="41"/>
      <c r="S862" s="41"/>
      <c r="T862" s="575"/>
      <c r="U862" s="575"/>
      <c r="V862" s="575"/>
      <c r="W862" s="575"/>
    </row>
    <row r="863">
      <c r="A863" s="41"/>
      <c r="B863" s="41"/>
      <c r="C863" s="41"/>
      <c r="D863" s="41"/>
      <c r="E863" s="41"/>
      <c r="F863" s="41"/>
      <c r="G863" s="41"/>
      <c r="H863" s="41"/>
      <c r="I863" s="41"/>
      <c r="J863" s="41"/>
      <c r="K863" s="41"/>
      <c r="L863" s="41"/>
      <c r="M863" s="41"/>
      <c r="N863" s="41"/>
      <c r="O863" s="41"/>
      <c r="P863" s="41"/>
      <c r="Q863" s="41"/>
      <c r="R863" s="41"/>
      <c r="S863" s="41"/>
      <c r="T863" s="575"/>
      <c r="U863" s="575"/>
      <c r="V863" s="575"/>
      <c r="W863" s="575"/>
    </row>
    <row r="864">
      <c r="A864" s="41"/>
      <c r="B864" s="41"/>
      <c r="C864" s="41"/>
      <c r="D864" s="41"/>
      <c r="E864" s="41"/>
      <c r="F864" s="41"/>
      <c r="G864" s="41"/>
      <c r="H864" s="41"/>
      <c r="I864" s="41"/>
      <c r="J864" s="41"/>
      <c r="K864" s="41"/>
      <c r="L864" s="41"/>
      <c r="M864" s="41"/>
      <c r="N864" s="41"/>
      <c r="O864" s="41"/>
      <c r="P864" s="41"/>
      <c r="Q864" s="41"/>
      <c r="R864" s="41"/>
      <c r="S864" s="41"/>
      <c r="T864" s="575"/>
      <c r="U864" s="575"/>
      <c r="V864" s="575"/>
      <c r="W864" s="575"/>
    </row>
    <row r="865">
      <c r="A865" s="41"/>
      <c r="B865" s="41"/>
      <c r="C865" s="41"/>
      <c r="D865" s="41"/>
      <c r="E865" s="41"/>
      <c r="F865" s="41"/>
      <c r="G865" s="41"/>
      <c r="H865" s="41"/>
      <c r="I865" s="41"/>
      <c r="J865" s="41"/>
      <c r="K865" s="41"/>
      <c r="L865" s="41"/>
      <c r="M865" s="41"/>
      <c r="N865" s="41"/>
      <c r="O865" s="41"/>
      <c r="P865" s="41"/>
      <c r="Q865" s="41"/>
      <c r="R865" s="41"/>
      <c r="S865" s="41"/>
      <c r="T865" s="575"/>
      <c r="U865" s="575"/>
      <c r="V865" s="575"/>
      <c r="W865" s="575"/>
    </row>
    <row r="866">
      <c r="A866" s="41"/>
      <c r="B866" s="41"/>
      <c r="C866" s="41"/>
      <c r="D866" s="41"/>
      <c r="E866" s="41"/>
      <c r="F866" s="41"/>
      <c r="G866" s="41"/>
      <c r="H866" s="41"/>
      <c r="I866" s="41"/>
      <c r="J866" s="41"/>
      <c r="K866" s="41"/>
      <c r="L866" s="41"/>
      <c r="M866" s="41"/>
      <c r="N866" s="41"/>
      <c r="O866" s="41"/>
      <c r="P866" s="41"/>
      <c r="Q866" s="41"/>
      <c r="R866" s="41"/>
      <c r="S866" s="41"/>
      <c r="T866" s="575"/>
      <c r="U866" s="575"/>
      <c r="V866" s="575"/>
      <c r="W866" s="575"/>
    </row>
    <row r="867">
      <c r="A867" s="41"/>
      <c r="B867" s="41"/>
      <c r="C867" s="41"/>
      <c r="D867" s="41"/>
      <c r="E867" s="41"/>
      <c r="F867" s="41"/>
      <c r="G867" s="41"/>
      <c r="H867" s="41"/>
      <c r="I867" s="41"/>
      <c r="J867" s="41"/>
      <c r="K867" s="41"/>
      <c r="L867" s="41"/>
      <c r="M867" s="41"/>
      <c r="N867" s="41"/>
      <c r="O867" s="41"/>
      <c r="P867" s="41"/>
      <c r="Q867" s="41"/>
      <c r="R867" s="41"/>
      <c r="S867" s="41"/>
      <c r="T867" s="575"/>
      <c r="U867" s="575"/>
      <c r="V867" s="575"/>
      <c r="W867" s="575"/>
    </row>
    <row r="868">
      <c r="A868" s="41"/>
      <c r="B868" s="41"/>
      <c r="C868" s="41"/>
      <c r="D868" s="41"/>
      <c r="E868" s="41"/>
      <c r="F868" s="41"/>
      <c r="G868" s="41"/>
      <c r="H868" s="41"/>
      <c r="I868" s="41"/>
      <c r="J868" s="41"/>
      <c r="K868" s="41"/>
      <c r="L868" s="41"/>
      <c r="M868" s="41"/>
      <c r="N868" s="41"/>
      <c r="O868" s="41"/>
      <c r="P868" s="41"/>
      <c r="Q868" s="41"/>
      <c r="R868" s="41"/>
      <c r="S868" s="41"/>
      <c r="T868" s="575"/>
      <c r="U868" s="575"/>
      <c r="V868" s="575"/>
      <c r="W868" s="575"/>
    </row>
    <row r="869">
      <c r="A869" s="41"/>
      <c r="B869" s="41"/>
      <c r="C869" s="41"/>
      <c r="D869" s="41"/>
      <c r="E869" s="41"/>
      <c r="F869" s="41"/>
      <c r="G869" s="41"/>
      <c r="H869" s="41"/>
      <c r="I869" s="41"/>
      <c r="J869" s="41"/>
      <c r="K869" s="41"/>
      <c r="L869" s="41"/>
      <c r="M869" s="41"/>
      <c r="N869" s="41"/>
      <c r="O869" s="41"/>
      <c r="P869" s="41"/>
      <c r="Q869" s="41"/>
      <c r="R869" s="41"/>
      <c r="S869" s="41"/>
      <c r="T869" s="575"/>
      <c r="U869" s="575"/>
      <c r="V869" s="575"/>
      <c r="W869" s="575"/>
    </row>
    <row r="870">
      <c r="A870" s="41"/>
      <c r="B870" s="41"/>
      <c r="C870" s="41"/>
      <c r="D870" s="41"/>
      <c r="E870" s="41"/>
      <c r="F870" s="41"/>
      <c r="G870" s="41"/>
      <c r="H870" s="41"/>
      <c r="I870" s="41"/>
      <c r="J870" s="41"/>
      <c r="K870" s="41"/>
      <c r="L870" s="41"/>
      <c r="M870" s="41"/>
      <c r="N870" s="41"/>
      <c r="O870" s="41"/>
      <c r="P870" s="41"/>
      <c r="Q870" s="41"/>
      <c r="R870" s="41"/>
      <c r="S870" s="41"/>
      <c r="T870" s="575"/>
      <c r="U870" s="575"/>
      <c r="V870" s="575"/>
      <c r="W870" s="575"/>
    </row>
    <row r="871">
      <c r="A871" s="41"/>
      <c r="B871" s="41"/>
      <c r="C871" s="41"/>
      <c r="D871" s="41"/>
      <c r="E871" s="41"/>
      <c r="F871" s="41"/>
      <c r="G871" s="41"/>
      <c r="H871" s="41"/>
      <c r="I871" s="41"/>
      <c r="J871" s="41"/>
      <c r="K871" s="41"/>
      <c r="L871" s="41"/>
      <c r="M871" s="41"/>
      <c r="N871" s="41"/>
      <c r="O871" s="41"/>
      <c r="P871" s="41"/>
      <c r="Q871" s="41"/>
      <c r="R871" s="41"/>
      <c r="S871" s="41"/>
      <c r="T871" s="575"/>
      <c r="U871" s="575"/>
      <c r="V871" s="575"/>
      <c r="W871" s="575"/>
    </row>
    <row r="872">
      <c r="A872" s="41"/>
      <c r="B872" s="41"/>
      <c r="C872" s="41"/>
      <c r="D872" s="41"/>
      <c r="E872" s="41"/>
      <c r="F872" s="41"/>
      <c r="G872" s="41"/>
      <c r="H872" s="41"/>
      <c r="I872" s="41"/>
      <c r="J872" s="41"/>
      <c r="K872" s="41"/>
      <c r="L872" s="41"/>
      <c r="M872" s="41"/>
      <c r="N872" s="41"/>
      <c r="O872" s="41"/>
      <c r="P872" s="41"/>
      <c r="Q872" s="41"/>
      <c r="R872" s="41"/>
      <c r="S872" s="41"/>
      <c r="T872" s="575"/>
      <c r="U872" s="575"/>
      <c r="V872" s="575"/>
      <c r="W872" s="575"/>
    </row>
    <row r="873">
      <c r="A873" s="41"/>
      <c r="B873" s="41"/>
      <c r="C873" s="41"/>
      <c r="D873" s="41"/>
      <c r="E873" s="41"/>
      <c r="F873" s="41"/>
      <c r="G873" s="41"/>
      <c r="H873" s="41"/>
      <c r="I873" s="41"/>
      <c r="J873" s="41"/>
      <c r="K873" s="41"/>
      <c r="L873" s="41"/>
      <c r="M873" s="41"/>
      <c r="N873" s="41"/>
      <c r="O873" s="41"/>
      <c r="P873" s="41"/>
      <c r="Q873" s="41"/>
      <c r="R873" s="41"/>
      <c r="S873" s="41"/>
      <c r="T873" s="575"/>
      <c r="U873" s="575"/>
      <c r="V873" s="575"/>
      <c r="W873" s="575"/>
    </row>
    <row r="874">
      <c r="A874" s="41"/>
      <c r="B874" s="41"/>
      <c r="C874" s="41"/>
      <c r="D874" s="41"/>
      <c r="E874" s="41"/>
      <c r="F874" s="41"/>
      <c r="G874" s="41"/>
      <c r="H874" s="41"/>
      <c r="I874" s="41"/>
      <c r="J874" s="41"/>
      <c r="K874" s="41"/>
      <c r="L874" s="41"/>
      <c r="M874" s="41"/>
      <c r="N874" s="41"/>
      <c r="O874" s="41"/>
      <c r="P874" s="41"/>
      <c r="Q874" s="41"/>
      <c r="R874" s="41"/>
      <c r="S874" s="41"/>
      <c r="T874" s="575"/>
      <c r="U874" s="575"/>
      <c r="V874" s="575"/>
      <c r="W874" s="575"/>
    </row>
    <row r="875">
      <c r="A875" s="41"/>
      <c r="B875" s="41"/>
      <c r="C875" s="41"/>
      <c r="D875" s="41"/>
      <c r="E875" s="41"/>
      <c r="F875" s="41"/>
      <c r="G875" s="41"/>
      <c r="H875" s="41"/>
      <c r="I875" s="41"/>
      <c r="J875" s="41"/>
      <c r="K875" s="41"/>
      <c r="L875" s="41"/>
      <c r="M875" s="41"/>
      <c r="N875" s="41"/>
      <c r="O875" s="41"/>
      <c r="P875" s="41"/>
      <c r="Q875" s="41"/>
      <c r="R875" s="41"/>
      <c r="S875" s="41"/>
      <c r="T875" s="575"/>
      <c r="U875" s="575"/>
      <c r="V875" s="575"/>
      <c r="W875" s="575"/>
    </row>
    <row r="876">
      <c r="A876" s="41"/>
      <c r="B876" s="41"/>
      <c r="C876" s="41"/>
      <c r="D876" s="41"/>
      <c r="E876" s="41"/>
      <c r="F876" s="41"/>
      <c r="G876" s="41"/>
      <c r="H876" s="41"/>
      <c r="I876" s="41"/>
      <c r="J876" s="41"/>
      <c r="K876" s="41"/>
      <c r="L876" s="41"/>
      <c r="M876" s="41"/>
      <c r="N876" s="41"/>
      <c r="O876" s="41"/>
      <c r="P876" s="41"/>
      <c r="Q876" s="41"/>
      <c r="R876" s="41"/>
      <c r="S876" s="41"/>
      <c r="T876" s="575"/>
      <c r="U876" s="575"/>
      <c r="V876" s="575"/>
      <c r="W876" s="575"/>
    </row>
    <row r="877">
      <c r="A877" s="41"/>
      <c r="B877" s="41"/>
      <c r="C877" s="41"/>
      <c r="D877" s="41"/>
      <c r="E877" s="41"/>
      <c r="F877" s="41"/>
      <c r="G877" s="41"/>
      <c r="H877" s="41"/>
      <c r="I877" s="41"/>
      <c r="J877" s="41"/>
      <c r="K877" s="41"/>
      <c r="L877" s="41"/>
      <c r="M877" s="41"/>
      <c r="N877" s="41"/>
      <c r="O877" s="41"/>
      <c r="P877" s="41"/>
      <c r="Q877" s="41"/>
      <c r="R877" s="41"/>
      <c r="S877" s="41"/>
      <c r="T877" s="575"/>
      <c r="U877" s="575"/>
      <c r="V877" s="575"/>
      <c r="W877" s="575"/>
    </row>
    <row r="878">
      <c r="A878" s="41"/>
      <c r="B878" s="41"/>
      <c r="C878" s="41"/>
      <c r="D878" s="41"/>
      <c r="E878" s="41"/>
      <c r="F878" s="41"/>
      <c r="G878" s="41"/>
      <c r="H878" s="41"/>
      <c r="I878" s="41"/>
      <c r="J878" s="41"/>
      <c r="K878" s="41"/>
      <c r="L878" s="41"/>
      <c r="M878" s="41"/>
      <c r="N878" s="41"/>
      <c r="O878" s="41"/>
      <c r="P878" s="41"/>
      <c r="Q878" s="41"/>
      <c r="R878" s="41"/>
      <c r="S878" s="41"/>
      <c r="T878" s="575"/>
      <c r="U878" s="575"/>
      <c r="V878" s="575"/>
      <c r="W878" s="575"/>
    </row>
    <row r="879">
      <c r="A879" s="41"/>
      <c r="B879" s="41"/>
      <c r="C879" s="41"/>
      <c r="D879" s="41"/>
      <c r="E879" s="41"/>
      <c r="F879" s="41"/>
      <c r="G879" s="41"/>
      <c r="H879" s="41"/>
      <c r="I879" s="41"/>
      <c r="J879" s="41"/>
      <c r="K879" s="41"/>
      <c r="L879" s="41"/>
      <c r="M879" s="41"/>
      <c r="N879" s="41"/>
      <c r="O879" s="41"/>
      <c r="P879" s="41"/>
      <c r="Q879" s="41"/>
      <c r="R879" s="41"/>
      <c r="S879" s="41"/>
      <c r="T879" s="575"/>
      <c r="U879" s="575"/>
      <c r="V879" s="575"/>
      <c r="W879" s="575"/>
    </row>
    <row r="880">
      <c r="A880" s="41"/>
      <c r="B880" s="41"/>
      <c r="C880" s="41"/>
      <c r="D880" s="41"/>
      <c r="E880" s="41"/>
      <c r="F880" s="41"/>
      <c r="G880" s="41"/>
      <c r="H880" s="41"/>
      <c r="I880" s="41"/>
      <c r="J880" s="41"/>
      <c r="K880" s="41"/>
      <c r="L880" s="41"/>
      <c r="M880" s="41"/>
      <c r="N880" s="41"/>
      <c r="O880" s="41"/>
      <c r="P880" s="41"/>
      <c r="Q880" s="41"/>
      <c r="R880" s="41"/>
      <c r="S880" s="41"/>
      <c r="T880" s="575"/>
      <c r="U880" s="575"/>
      <c r="V880" s="575"/>
      <c r="W880" s="575"/>
    </row>
    <row r="881">
      <c r="A881" s="41"/>
      <c r="B881" s="41"/>
      <c r="C881" s="41"/>
      <c r="D881" s="41"/>
      <c r="E881" s="41"/>
      <c r="F881" s="41"/>
      <c r="G881" s="41"/>
      <c r="H881" s="41"/>
      <c r="I881" s="41"/>
      <c r="J881" s="41"/>
      <c r="K881" s="41"/>
      <c r="L881" s="41"/>
      <c r="M881" s="41"/>
      <c r="N881" s="41"/>
      <c r="O881" s="41"/>
      <c r="P881" s="41"/>
      <c r="Q881" s="41"/>
      <c r="R881" s="41"/>
      <c r="S881" s="41"/>
      <c r="T881" s="575"/>
      <c r="U881" s="575"/>
      <c r="V881" s="575"/>
      <c r="W881" s="575"/>
    </row>
    <row r="882">
      <c r="A882" s="41"/>
      <c r="B882" s="41"/>
      <c r="C882" s="41"/>
      <c r="D882" s="41"/>
      <c r="E882" s="41"/>
      <c r="F882" s="41"/>
      <c r="G882" s="41"/>
      <c r="H882" s="41"/>
      <c r="I882" s="41"/>
      <c r="J882" s="41"/>
      <c r="K882" s="41"/>
      <c r="L882" s="41"/>
      <c r="M882" s="41"/>
      <c r="N882" s="41"/>
      <c r="O882" s="41"/>
      <c r="P882" s="41"/>
      <c r="Q882" s="41"/>
      <c r="R882" s="41"/>
      <c r="S882" s="41"/>
      <c r="T882" s="575"/>
      <c r="U882" s="575"/>
      <c r="V882" s="575"/>
      <c r="W882" s="575"/>
    </row>
    <row r="883">
      <c r="A883" s="41"/>
      <c r="B883" s="41"/>
      <c r="C883" s="41"/>
      <c r="D883" s="41"/>
      <c r="E883" s="41"/>
      <c r="F883" s="41"/>
      <c r="G883" s="41"/>
      <c r="H883" s="41"/>
      <c r="I883" s="41"/>
      <c r="J883" s="41"/>
      <c r="K883" s="41"/>
      <c r="L883" s="41"/>
      <c r="M883" s="41"/>
      <c r="N883" s="41"/>
      <c r="O883" s="41"/>
      <c r="P883" s="41"/>
      <c r="Q883" s="41"/>
      <c r="R883" s="41"/>
      <c r="S883" s="41"/>
      <c r="T883" s="575"/>
      <c r="U883" s="575"/>
      <c r="V883" s="575"/>
      <c r="W883" s="575"/>
    </row>
    <row r="884">
      <c r="A884" s="41"/>
      <c r="B884" s="41"/>
      <c r="C884" s="41"/>
      <c r="D884" s="41"/>
      <c r="E884" s="41"/>
      <c r="F884" s="41"/>
      <c r="G884" s="41"/>
      <c r="H884" s="41"/>
      <c r="I884" s="41"/>
      <c r="J884" s="41"/>
      <c r="K884" s="41"/>
      <c r="L884" s="41"/>
      <c r="M884" s="41"/>
      <c r="N884" s="41"/>
      <c r="O884" s="41"/>
      <c r="P884" s="41"/>
      <c r="Q884" s="41"/>
      <c r="R884" s="41"/>
      <c r="S884" s="41"/>
      <c r="T884" s="575"/>
      <c r="U884" s="575"/>
      <c r="V884" s="575"/>
      <c r="W884" s="575"/>
    </row>
    <row r="885">
      <c r="A885" s="41"/>
      <c r="B885" s="41"/>
      <c r="C885" s="41"/>
      <c r="D885" s="41"/>
      <c r="E885" s="41"/>
      <c r="F885" s="41"/>
      <c r="G885" s="41"/>
      <c r="H885" s="41"/>
      <c r="I885" s="41"/>
      <c r="J885" s="41"/>
      <c r="K885" s="41"/>
      <c r="L885" s="41"/>
      <c r="M885" s="41"/>
      <c r="N885" s="41"/>
      <c r="O885" s="41"/>
      <c r="P885" s="41"/>
      <c r="Q885" s="41"/>
      <c r="R885" s="41"/>
      <c r="S885" s="41"/>
      <c r="T885" s="575"/>
      <c r="U885" s="575"/>
      <c r="V885" s="575"/>
      <c r="W885" s="575"/>
    </row>
    <row r="886">
      <c r="A886" s="41"/>
      <c r="B886" s="41"/>
      <c r="C886" s="41"/>
      <c r="D886" s="41"/>
      <c r="E886" s="41"/>
      <c r="F886" s="41"/>
      <c r="G886" s="41"/>
      <c r="H886" s="41"/>
      <c r="I886" s="41"/>
      <c r="J886" s="41"/>
      <c r="K886" s="41"/>
      <c r="L886" s="41"/>
      <c r="M886" s="41"/>
      <c r="N886" s="41"/>
      <c r="O886" s="41"/>
      <c r="P886" s="41"/>
      <c r="Q886" s="41"/>
      <c r="R886" s="41"/>
      <c r="S886" s="41"/>
      <c r="T886" s="575"/>
      <c r="U886" s="575"/>
      <c r="V886" s="575"/>
      <c r="W886" s="575"/>
    </row>
    <row r="887">
      <c r="A887" s="41"/>
      <c r="B887" s="41"/>
      <c r="C887" s="41"/>
      <c r="D887" s="41"/>
      <c r="E887" s="41"/>
      <c r="F887" s="41"/>
      <c r="G887" s="41"/>
      <c r="H887" s="41"/>
      <c r="I887" s="41"/>
      <c r="J887" s="41"/>
      <c r="K887" s="41"/>
      <c r="L887" s="41"/>
      <c r="M887" s="41"/>
      <c r="N887" s="41"/>
      <c r="O887" s="41"/>
      <c r="P887" s="41"/>
      <c r="Q887" s="41"/>
      <c r="R887" s="41"/>
      <c r="S887" s="41"/>
      <c r="T887" s="575"/>
      <c r="U887" s="575"/>
      <c r="V887" s="575"/>
      <c r="W887" s="575"/>
    </row>
    <row r="888">
      <c r="A888" s="41"/>
      <c r="B888" s="41"/>
      <c r="C888" s="41"/>
      <c r="D888" s="41"/>
      <c r="E888" s="41"/>
      <c r="F888" s="41"/>
      <c r="G888" s="41"/>
      <c r="H888" s="41"/>
      <c r="I888" s="41"/>
      <c r="J888" s="41"/>
      <c r="K888" s="41"/>
      <c r="L888" s="41"/>
      <c r="M888" s="41"/>
      <c r="N888" s="41"/>
      <c r="O888" s="41"/>
      <c r="P888" s="41"/>
      <c r="Q888" s="41"/>
      <c r="R888" s="41"/>
      <c r="S888" s="41"/>
      <c r="T888" s="575"/>
      <c r="U888" s="575"/>
      <c r="V888" s="575"/>
      <c r="W888" s="575"/>
    </row>
    <row r="889">
      <c r="A889" s="41"/>
      <c r="B889" s="41"/>
      <c r="C889" s="41"/>
      <c r="D889" s="41"/>
      <c r="E889" s="41"/>
      <c r="F889" s="41"/>
      <c r="G889" s="41"/>
      <c r="H889" s="41"/>
      <c r="I889" s="41"/>
      <c r="J889" s="41"/>
      <c r="K889" s="41"/>
      <c r="L889" s="41"/>
      <c r="M889" s="41"/>
      <c r="N889" s="41"/>
      <c r="O889" s="41"/>
      <c r="P889" s="41"/>
      <c r="Q889" s="41"/>
      <c r="R889" s="41"/>
      <c r="S889" s="41"/>
      <c r="T889" s="575"/>
      <c r="U889" s="575"/>
      <c r="V889" s="575"/>
      <c r="W889" s="575"/>
    </row>
    <row r="890">
      <c r="A890" s="41"/>
      <c r="B890" s="41"/>
      <c r="C890" s="41"/>
      <c r="D890" s="41"/>
      <c r="E890" s="41"/>
      <c r="F890" s="41"/>
      <c r="G890" s="41"/>
      <c r="H890" s="41"/>
      <c r="I890" s="41"/>
      <c r="J890" s="41"/>
      <c r="K890" s="41"/>
      <c r="L890" s="41"/>
      <c r="M890" s="41"/>
      <c r="N890" s="41"/>
      <c r="O890" s="41"/>
      <c r="P890" s="41"/>
      <c r="Q890" s="41"/>
      <c r="R890" s="41"/>
      <c r="S890" s="41"/>
      <c r="T890" s="575"/>
      <c r="U890" s="575"/>
      <c r="V890" s="575"/>
      <c r="W890" s="575"/>
    </row>
    <row r="891">
      <c r="A891" s="41"/>
      <c r="B891" s="41"/>
      <c r="C891" s="41"/>
      <c r="D891" s="41"/>
      <c r="E891" s="41"/>
      <c r="F891" s="41"/>
      <c r="G891" s="41"/>
      <c r="H891" s="41"/>
      <c r="I891" s="41"/>
      <c r="J891" s="41"/>
      <c r="K891" s="41"/>
      <c r="L891" s="41"/>
      <c r="M891" s="41"/>
      <c r="N891" s="41"/>
      <c r="O891" s="41"/>
      <c r="P891" s="41"/>
      <c r="Q891" s="41"/>
      <c r="R891" s="41"/>
      <c r="S891" s="41"/>
      <c r="T891" s="575"/>
      <c r="U891" s="575"/>
      <c r="V891" s="575"/>
      <c r="W891" s="575"/>
    </row>
    <row r="892">
      <c r="A892" s="41"/>
      <c r="B892" s="41"/>
      <c r="C892" s="41"/>
      <c r="D892" s="41"/>
      <c r="E892" s="41"/>
      <c r="F892" s="41"/>
      <c r="G892" s="41"/>
      <c r="H892" s="41"/>
      <c r="I892" s="41"/>
      <c r="J892" s="41"/>
      <c r="K892" s="41"/>
      <c r="L892" s="41"/>
      <c r="M892" s="41"/>
      <c r="N892" s="41"/>
      <c r="O892" s="41"/>
      <c r="P892" s="41"/>
      <c r="Q892" s="41"/>
      <c r="R892" s="41"/>
      <c r="S892" s="41"/>
      <c r="T892" s="575"/>
      <c r="U892" s="575"/>
      <c r="V892" s="575"/>
      <c r="W892" s="575"/>
    </row>
    <row r="893">
      <c r="A893" s="41"/>
      <c r="B893" s="41"/>
      <c r="C893" s="41"/>
      <c r="D893" s="41"/>
      <c r="E893" s="41"/>
      <c r="F893" s="41"/>
      <c r="G893" s="41"/>
      <c r="H893" s="41"/>
      <c r="I893" s="41"/>
      <c r="J893" s="41"/>
      <c r="K893" s="41"/>
      <c r="L893" s="41"/>
      <c r="M893" s="41"/>
      <c r="N893" s="41"/>
      <c r="O893" s="41"/>
      <c r="P893" s="41"/>
      <c r="Q893" s="41"/>
      <c r="R893" s="41"/>
      <c r="S893" s="41"/>
      <c r="T893" s="575"/>
      <c r="U893" s="575"/>
      <c r="V893" s="575"/>
      <c r="W893" s="575"/>
    </row>
    <row r="894">
      <c r="A894" s="41"/>
      <c r="B894" s="41"/>
      <c r="C894" s="41"/>
      <c r="D894" s="41"/>
      <c r="E894" s="41"/>
      <c r="F894" s="41"/>
      <c r="G894" s="41"/>
      <c r="H894" s="41"/>
      <c r="I894" s="41"/>
      <c r="J894" s="41"/>
      <c r="K894" s="41"/>
      <c r="L894" s="41"/>
      <c r="M894" s="41"/>
      <c r="N894" s="41"/>
      <c r="O894" s="41"/>
      <c r="P894" s="41"/>
      <c r="Q894" s="41"/>
      <c r="R894" s="41"/>
      <c r="S894" s="41"/>
      <c r="T894" s="575"/>
      <c r="U894" s="575"/>
      <c r="V894" s="575"/>
      <c r="W894" s="575"/>
    </row>
    <row r="895">
      <c r="A895" s="41"/>
      <c r="B895" s="41"/>
      <c r="C895" s="41"/>
      <c r="D895" s="41"/>
      <c r="E895" s="41"/>
      <c r="F895" s="41"/>
      <c r="G895" s="41"/>
      <c r="H895" s="41"/>
      <c r="I895" s="41"/>
      <c r="J895" s="41"/>
      <c r="K895" s="41"/>
      <c r="L895" s="41"/>
      <c r="M895" s="41"/>
      <c r="N895" s="41"/>
      <c r="O895" s="41"/>
      <c r="P895" s="41"/>
      <c r="Q895" s="41"/>
      <c r="R895" s="41"/>
      <c r="S895" s="41"/>
      <c r="T895" s="575"/>
      <c r="U895" s="575"/>
      <c r="V895" s="575"/>
      <c r="W895" s="575"/>
    </row>
    <row r="896">
      <c r="A896" s="41"/>
      <c r="B896" s="41"/>
      <c r="C896" s="41"/>
      <c r="D896" s="41"/>
      <c r="E896" s="41"/>
      <c r="F896" s="41"/>
      <c r="G896" s="41"/>
      <c r="H896" s="41"/>
      <c r="I896" s="41"/>
      <c r="J896" s="41"/>
      <c r="K896" s="41"/>
      <c r="L896" s="41"/>
      <c r="M896" s="41"/>
      <c r="N896" s="41"/>
      <c r="O896" s="41"/>
      <c r="P896" s="41"/>
      <c r="Q896" s="41"/>
      <c r="R896" s="41"/>
      <c r="S896" s="41"/>
      <c r="T896" s="575"/>
      <c r="U896" s="575"/>
      <c r="V896" s="575"/>
      <c r="W896" s="575"/>
    </row>
    <row r="897">
      <c r="A897" s="41"/>
      <c r="B897" s="41"/>
      <c r="C897" s="41"/>
      <c r="D897" s="41"/>
      <c r="E897" s="41"/>
      <c r="F897" s="41"/>
      <c r="G897" s="41"/>
      <c r="H897" s="41"/>
      <c r="I897" s="41"/>
      <c r="J897" s="41"/>
      <c r="K897" s="41"/>
      <c r="L897" s="41"/>
      <c r="M897" s="41"/>
      <c r="N897" s="41"/>
      <c r="O897" s="41"/>
      <c r="P897" s="41"/>
      <c r="Q897" s="41"/>
      <c r="R897" s="41"/>
      <c r="S897" s="41"/>
      <c r="T897" s="575"/>
      <c r="U897" s="575"/>
      <c r="V897" s="575"/>
      <c r="W897" s="575"/>
    </row>
    <row r="898">
      <c r="A898" s="41"/>
      <c r="B898" s="41"/>
      <c r="C898" s="41"/>
      <c r="D898" s="41"/>
      <c r="E898" s="41"/>
      <c r="F898" s="41"/>
      <c r="G898" s="41"/>
      <c r="H898" s="41"/>
      <c r="I898" s="41"/>
      <c r="J898" s="41"/>
      <c r="K898" s="41"/>
      <c r="L898" s="41"/>
      <c r="M898" s="41"/>
      <c r="N898" s="41"/>
      <c r="O898" s="41"/>
      <c r="P898" s="41"/>
      <c r="Q898" s="41"/>
      <c r="R898" s="41"/>
      <c r="S898" s="41"/>
      <c r="T898" s="575"/>
      <c r="U898" s="575"/>
      <c r="V898" s="575"/>
      <c r="W898" s="575"/>
    </row>
    <row r="899">
      <c r="A899" s="41"/>
      <c r="B899" s="41"/>
      <c r="C899" s="41"/>
      <c r="D899" s="41"/>
      <c r="E899" s="41"/>
      <c r="F899" s="41"/>
      <c r="G899" s="41"/>
      <c r="H899" s="41"/>
      <c r="I899" s="41"/>
      <c r="J899" s="41"/>
      <c r="K899" s="41"/>
      <c r="L899" s="41"/>
      <c r="M899" s="41"/>
      <c r="N899" s="41"/>
      <c r="O899" s="41"/>
      <c r="P899" s="41"/>
      <c r="Q899" s="41"/>
      <c r="R899" s="41"/>
      <c r="S899" s="41"/>
      <c r="T899" s="575"/>
      <c r="U899" s="575"/>
      <c r="V899" s="575"/>
      <c r="W899" s="575"/>
    </row>
    <row r="900">
      <c r="A900" s="41"/>
      <c r="B900" s="41"/>
      <c r="C900" s="41"/>
      <c r="D900" s="41"/>
      <c r="E900" s="41"/>
      <c r="F900" s="41"/>
      <c r="G900" s="41"/>
      <c r="H900" s="41"/>
      <c r="I900" s="41"/>
      <c r="J900" s="41"/>
      <c r="K900" s="41"/>
      <c r="L900" s="41"/>
      <c r="M900" s="41"/>
      <c r="N900" s="41"/>
      <c r="O900" s="41"/>
      <c r="P900" s="41"/>
      <c r="Q900" s="41"/>
      <c r="R900" s="41"/>
      <c r="S900" s="41"/>
      <c r="T900" s="575"/>
      <c r="U900" s="575"/>
      <c r="V900" s="575"/>
      <c r="W900" s="575"/>
    </row>
    <row r="901">
      <c r="A901" s="41"/>
      <c r="B901" s="41"/>
      <c r="C901" s="41"/>
      <c r="D901" s="41"/>
      <c r="E901" s="41"/>
      <c r="F901" s="41"/>
      <c r="G901" s="41"/>
      <c r="H901" s="41"/>
      <c r="I901" s="41"/>
      <c r="J901" s="41"/>
      <c r="K901" s="41"/>
      <c r="L901" s="41"/>
      <c r="M901" s="41"/>
      <c r="N901" s="41"/>
      <c r="O901" s="41"/>
      <c r="P901" s="41"/>
      <c r="Q901" s="41"/>
      <c r="R901" s="41"/>
      <c r="S901" s="41"/>
      <c r="T901" s="575"/>
      <c r="U901" s="575"/>
      <c r="V901" s="575"/>
      <c r="W901" s="575"/>
    </row>
    <row r="902">
      <c r="A902" s="41"/>
      <c r="B902" s="41"/>
      <c r="C902" s="41"/>
      <c r="D902" s="41"/>
      <c r="E902" s="41"/>
      <c r="F902" s="41"/>
      <c r="G902" s="41"/>
      <c r="H902" s="41"/>
      <c r="I902" s="41"/>
      <c r="J902" s="41"/>
      <c r="K902" s="41"/>
      <c r="L902" s="41"/>
      <c r="M902" s="41"/>
      <c r="N902" s="41"/>
      <c r="O902" s="41"/>
      <c r="P902" s="41"/>
      <c r="Q902" s="41"/>
      <c r="R902" s="41"/>
      <c r="S902" s="41"/>
      <c r="T902" s="575"/>
      <c r="U902" s="575"/>
      <c r="V902" s="575"/>
      <c r="W902" s="575"/>
    </row>
    <row r="903">
      <c r="A903" s="41"/>
      <c r="B903" s="41"/>
      <c r="C903" s="41"/>
      <c r="D903" s="41"/>
      <c r="E903" s="41"/>
      <c r="F903" s="41"/>
      <c r="G903" s="41"/>
      <c r="H903" s="41"/>
      <c r="I903" s="41"/>
      <c r="J903" s="41"/>
      <c r="K903" s="41"/>
      <c r="L903" s="41"/>
      <c r="M903" s="41"/>
      <c r="N903" s="41"/>
      <c r="O903" s="41"/>
      <c r="P903" s="41"/>
      <c r="Q903" s="41"/>
      <c r="R903" s="41"/>
      <c r="S903" s="41"/>
      <c r="T903" s="575"/>
      <c r="U903" s="575"/>
      <c r="V903" s="575"/>
      <c r="W903" s="575"/>
    </row>
    <row r="904">
      <c r="A904" s="41"/>
      <c r="B904" s="41"/>
      <c r="C904" s="41"/>
      <c r="D904" s="41"/>
      <c r="E904" s="41"/>
      <c r="F904" s="41"/>
      <c r="G904" s="41"/>
      <c r="H904" s="41"/>
      <c r="I904" s="41"/>
      <c r="J904" s="41"/>
      <c r="K904" s="41"/>
      <c r="L904" s="41"/>
      <c r="M904" s="41"/>
      <c r="N904" s="41"/>
      <c r="O904" s="41"/>
      <c r="P904" s="41"/>
      <c r="Q904" s="41"/>
      <c r="R904" s="41"/>
      <c r="S904" s="41"/>
      <c r="T904" s="575"/>
      <c r="U904" s="575"/>
      <c r="V904" s="575"/>
      <c r="W904" s="575"/>
    </row>
    <row r="905">
      <c r="A905" s="41"/>
      <c r="B905" s="41"/>
      <c r="C905" s="41"/>
      <c r="D905" s="41"/>
      <c r="E905" s="41"/>
      <c r="F905" s="41"/>
      <c r="G905" s="41"/>
      <c r="H905" s="41"/>
      <c r="I905" s="41"/>
      <c r="J905" s="41"/>
      <c r="K905" s="41"/>
      <c r="L905" s="41"/>
      <c r="M905" s="41"/>
      <c r="N905" s="41"/>
      <c r="O905" s="41"/>
      <c r="P905" s="41"/>
      <c r="Q905" s="41"/>
      <c r="R905" s="41"/>
      <c r="S905" s="41"/>
      <c r="T905" s="575"/>
      <c r="U905" s="575"/>
      <c r="V905" s="575"/>
      <c r="W905" s="575"/>
    </row>
    <row r="906">
      <c r="A906" s="41"/>
      <c r="B906" s="41"/>
      <c r="C906" s="41"/>
      <c r="D906" s="41"/>
      <c r="E906" s="41"/>
      <c r="F906" s="41"/>
      <c r="G906" s="41"/>
      <c r="H906" s="41"/>
      <c r="I906" s="41"/>
      <c r="J906" s="41"/>
      <c r="K906" s="41"/>
      <c r="L906" s="41"/>
      <c r="M906" s="41"/>
      <c r="N906" s="41"/>
      <c r="O906" s="41"/>
      <c r="P906" s="41"/>
      <c r="Q906" s="41"/>
      <c r="R906" s="41"/>
      <c r="S906" s="41"/>
      <c r="T906" s="575"/>
      <c r="U906" s="575"/>
      <c r="V906" s="575"/>
      <c r="W906" s="575"/>
    </row>
    <row r="907">
      <c r="A907" s="41"/>
      <c r="B907" s="41"/>
      <c r="C907" s="41"/>
      <c r="D907" s="41"/>
      <c r="E907" s="41"/>
      <c r="F907" s="41"/>
      <c r="G907" s="41"/>
      <c r="H907" s="41"/>
      <c r="I907" s="41"/>
      <c r="J907" s="41"/>
      <c r="K907" s="41"/>
      <c r="L907" s="41"/>
      <c r="M907" s="41"/>
      <c r="N907" s="41"/>
      <c r="O907" s="41"/>
      <c r="P907" s="41"/>
      <c r="Q907" s="41"/>
      <c r="R907" s="41"/>
      <c r="S907" s="41"/>
      <c r="T907" s="575"/>
      <c r="U907" s="575"/>
      <c r="V907" s="575"/>
      <c r="W907" s="575"/>
    </row>
    <row r="908">
      <c r="A908" s="41"/>
      <c r="B908" s="41"/>
      <c r="C908" s="41"/>
      <c r="D908" s="41"/>
      <c r="E908" s="41"/>
      <c r="F908" s="41"/>
      <c r="G908" s="41"/>
      <c r="H908" s="41"/>
      <c r="I908" s="41"/>
      <c r="J908" s="41"/>
      <c r="K908" s="41"/>
      <c r="L908" s="41"/>
      <c r="M908" s="41"/>
      <c r="N908" s="41"/>
      <c r="O908" s="41"/>
      <c r="P908" s="41"/>
      <c r="Q908" s="41"/>
      <c r="R908" s="41"/>
      <c r="S908" s="41"/>
      <c r="T908" s="575"/>
      <c r="U908" s="575"/>
      <c r="V908" s="575"/>
      <c r="W908" s="575"/>
    </row>
    <row r="909">
      <c r="A909" s="41"/>
      <c r="B909" s="41"/>
      <c r="C909" s="41"/>
      <c r="D909" s="41"/>
      <c r="E909" s="41"/>
      <c r="F909" s="41"/>
      <c r="G909" s="41"/>
      <c r="H909" s="41"/>
      <c r="I909" s="41"/>
      <c r="J909" s="41"/>
      <c r="K909" s="41"/>
      <c r="L909" s="41"/>
      <c r="M909" s="41"/>
      <c r="N909" s="41"/>
      <c r="O909" s="41"/>
      <c r="P909" s="41"/>
      <c r="Q909" s="41"/>
      <c r="R909" s="41"/>
      <c r="S909" s="41"/>
      <c r="T909" s="575"/>
      <c r="U909" s="575"/>
      <c r="V909" s="575"/>
      <c r="W909" s="575"/>
    </row>
    <row r="910">
      <c r="A910" s="41"/>
      <c r="B910" s="41"/>
      <c r="C910" s="41"/>
      <c r="D910" s="41"/>
      <c r="E910" s="41"/>
      <c r="F910" s="41"/>
      <c r="G910" s="41"/>
      <c r="H910" s="41"/>
      <c r="I910" s="41"/>
      <c r="J910" s="41"/>
      <c r="K910" s="41"/>
      <c r="L910" s="41"/>
      <c r="M910" s="41"/>
      <c r="N910" s="41"/>
      <c r="O910" s="41"/>
      <c r="P910" s="41"/>
      <c r="Q910" s="41"/>
      <c r="R910" s="41"/>
      <c r="S910" s="41"/>
      <c r="T910" s="575"/>
      <c r="U910" s="575"/>
      <c r="V910" s="575"/>
      <c r="W910" s="575"/>
    </row>
    <row r="911">
      <c r="A911" s="41"/>
      <c r="B911" s="41"/>
      <c r="C911" s="41"/>
      <c r="D911" s="41"/>
      <c r="E911" s="41"/>
      <c r="F911" s="41"/>
      <c r="G911" s="41"/>
      <c r="H911" s="41"/>
      <c r="I911" s="41"/>
      <c r="J911" s="41"/>
      <c r="K911" s="41"/>
      <c r="L911" s="41"/>
      <c r="M911" s="41"/>
      <c r="N911" s="41"/>
      <c r="O911" s="41"/>
      <c r="P911" s="41"/>
      <c r="Q911" s="41"/>
      <c r="R911" s="41"/>
      <c r="S911" s="41"/>
      <c r="T911" s="575"/>
      <c r="U911" s="575"/>
      <c r="V911" s="575"/>
      <c r="W911" s="575"/>
    </row>
    <row r="912">
      <c r="A912" s="41"/>
      <c r="B912" s="41"/>
      <c r="C912" s="41"/>
      <c r="D912" s="41"/>
      <c r="E912" s="41"/>
      <c r="F912" s="41"/>
      <c r="G912" s="41"/>
      <c r="H912" s="41"/>
      <c r="I912" s="41"/>
      <c r="J912" s="41"/>
      <c r="K912" s="41"/>
      <c r="L912" s="41"/>
      <c r="M912" s="41"/>
      <c r="N912" s="41"/>
      <c r="O912" s="41"/>
      <c r="P912" s="41"/>
      <c r="Q912" s="41"/>
      <c r="R912" s="41"/>
      <c r="S912" s="41"/>
      <c r="T912" s="575"/>
      <c r="U912" s="575"/>
      <c r="V912" s="575"/>
      <c r="W912" s="575"/>
    </row>
    <row r="913">
      <c r="A913" s="41"/>
      <c r="B913" s="41"/>
      <c r="C913" s="41"/>
      <c r="D913" s="41"/>
      <c r="E913" s="41"/>
      <c r="F913" s="41"/>
      <c r="G913" s="41"/>
      <c r="H913" s="41"/>
      <c r="I913" s="41"/>
      <c r="J913" s="41"/>
      <c r="K913" s="41"/>
      <c r="L913" s="41"/>
      <c r="M913" s="41"/>
      <c r="N913" s="41"/>
      <c r="O913" s="41"/>
      <c r="P913" s="41"/>
      <c r="Q913" s="41"/>
      <c r="R913" s="41"/>
      <c r="S913" s="41"/>
      <c r="T913" s="575"/>
      <c r="U913" s="575"/>
      <c r="V913" s="575"/>
      <c r="W913" s="575"/>
    </row>
    <row r="914">
      <c r="A914" s="41"/>
      <c r="B914" s="41"/>
      <c r="C914" s="41"/>
      <c r="D914" s="41"/>
      <c r="E914" s="41"/>
      <c r="F914" s="41"/>
      <c r="G914" s="41"/>
      <c r="H914" s="41"/>
      <c r="I914" s="41"/>
      <c r="J914" s="41"/>
      <c r="K914" s="41"/>
      <c r="L914" s="41"/>
      <c r="M914" s="41"/>
      <c r="N914" s="41"/>
      <c r="O914" s="41"/>
      <c r="P914" s="41"/>
      <c r="Q914" s="41"/>
      <c r="R914" s="41"/>
      <c r="S914" s="41"/>
      <c r="T914" s="575"/>
      <c r="U914" s="575"/>
      <c r="V914" s="575"/>
      <c r="W914" s="575"/>
    </row>
    <row r="915">
      <c r="A915" s="41"/>
      <c r="B915" s="41"/>
      <c r="C915" s="41"/>
      <c r="D915" s="41"/>
      <c r="E915" s="41"/>
      <c r="F915" s="41"/>
      <c r="G915" s="41"/>
      <c r="H915" s="41"/>
      <c r="I915" s="41"/>
      <c r="J915" s="41"/>
      <c r="K915" s="41"/>
      <c r="L915" s="41"/>
      <c r="M915" s="41"/>
      <c r="N915" s="41"/>
      <c r="O915" s="41"/>
      <c r="P915" s="41"/>
      <c r="Q915" s="41"/>
      <c r="R915" s="41"/>
      <c r="S915" s="41"/>
      <c r="T915" s="575"/>
      <c r="U915" s="575"/>
      <c r="V915" s="575"/>
      <c r="W915" s="575"/>
    </row>
    <row r="916">
      <c r="A916" s="41"/>
      <c r="B916" s="41"/>
      <c r="C916" s="41"/>
      <c r="D916" s="41"/>
      <c r="E916" s="41"/>
      <c r="F916" s="41"/>
      <c r="G916" s="41"/>
      <c r="H916" s="41"/>
      <c r="I916" s="41"/>
      <c r="J916" s="41"/>
      <c r="K916" s="41"/>
      <c r="L916" s="41"/>
      <c r="M916" s="41"/>
      <c r="N916" s="41"/>
      <c r="O916" s="41"/>
      <c r="P916" s="41"/>
      <c r="Q916" s="41"/>
      <c r="R916" s="41"/>
      <c r="S916" s="41"/>
      <c r="T916" s="575"/>
      <c r="U916" s="575"/>
      <c r="V916" s="575"/>
      <c r="W916" s="575"/>
    </row>
    <row r="917">
      <c r="A917" s="41"/>
      <c r="B917" s="41"/>
      <c r="C917" s="41"/>
      <c r="D917" s="41"/>
      <c r="E917" s="41"/>
      <c r="F917" s="41"/>
      <c r="G917" s="41"/>
      <c r="H917" s="41"/>
      <c r="I917" s="41"/>
      <c r="J917" s="41"/>
      <c r="K917" s="41"/>
      <c r="L917" s="41"/>
      <c r="M917" s="41"/>
      <c r="N917" s="41"/>
      <c r="O917" s="41"/>
      <c r="P917" s="41"/>
      <c r="Q917" s="41"/>
      <c r="R917" s="41"/>
      <c r="S917" s="41"/>
      <c r="T917" s="575"/>
      <c r="U917" s="575"/>
      <c r="V917" s="575"/>
      <c r="W917" s="575"/>
    </row>
    <row r="918">
      <c r="A918" s="41"/>
      <c r="B918" s="41"/>
      <c r="C918" s="41"/>
      <c r="D918" s="41"/>
      <c r="E918" s="41"/>
      <c r="F918" s="41"/>
      <c r="G918" s="41"/>
      <c r="H918" s="41"/>
      <c r="I918" s="41"/>
      <c r="J918" s="41"/>
      <c r="K918" s="41"/>
      <c r="L918" s="41"/>
      <c r="M918" s="41"/>
      <c r="N918" s="41"/>
      <c r="O918" s="41"/>
      <c r="P918" s="41"/>
      <c r="Q918" s="41"/>
      <c r="R918" s="41"/>
      <c r="S918" s="41"/>
      <c r="T918" s="575"/>
      <c r="U918" s="575"/>
      <c r="V918" s="575"/>
      <c r="W918" s="575"/>
    </row>
    <row r="919">
      <c r="A919" s="41"/>
      <c r="B919" s="41"/>
      <c r="C919" s="41"/>
      <c r="D919" s="41"/>
      <c r="E919" s="41"/>
      <c r="F919" s="41"/>
      <c r="G919" s="41"/>
      <c r="H919" s="41"/>
      <c r="I919" s="41"/>
      <c r="J919" s="41"/>
      <c r="K919" s="41"/>
      <c r="L919" s="41"/>
      <c r="M919" s="41"/>
      <c r="N919" s="41"/>
      <c r="O919" s="41"/>
      <c r="P919" s="41"/>
      <c r="Q919" s="41"/>
      <c r="R919" s="41"/>
      <c r="S919" s="41"/>
      <c r="T919" s="575"/>
      <c r="U919" s="575"/>
      <c r="V919" s="575"/>
      <c r="W919" s="575"/>
    </row>
    <row r="920">
      <c r="A920" s="41"/>
      <c r="B920" s="41"/>
      <c r="C920" s="41"/>
      <c r="D920" s="41"/>
      <c r="E920" s="41"/>
      <c r="F920" s="41"/>
      <c r="G920" s="41"/>
      <c r="H920" s="41"/>
      <c r="I920" s="41"/>
      <c r="J920" s="41"/>
      <c r="K920" s="41"/>
      <c r="L920" s="41"/>
      <c r="M920" s="41"/>
      <c r="N920" s="41"/>
      <c r="O920" s="41"/>
      <c r="P920" s="41"/>
      <c r="Q920" s="41"/>
      <c r="R920" s="41"/>
      <c r="S920" s="41"/>
      <c r="T920" s="575"/>
      <c r="U920" s="575"/>
      <c r="V920" s="575"/>
      <c r="W920" s="575"/>
    </row>
    <row r="921">
      <c r="A921" s="41"/>
      <c r="B921" s="41"/>
      <c r="C921" s="41"/>
      <c r="D921" s="41"/>
      <c r="E921" s="41"/>
      <c r="F921" s="41"/>
      <c r="G921" s="41"/>
      <c r="H921" s="41"/>
      <c r="I921" s="41"/>
      <c r="J921" s="41"/>
      <c r="K921" s="41"/>
      <c r="L921" s="41"/>
      <c r="M921" s="41"/>
      <c r="N921" s="41"/>
      <c r="O921" s="41"/>
      <c r="P921" s="41"/>
      <c r="Q921" s="41"/>
      <c r="R921" s="41"/>
      <c r="S921" s="41"/>
      <c r="T921" s="575"/>
      <c r="U921" s="575"/>
      <c r="V921" s="575"/>
      <c r="W921" s="575"/>
    </row>
    <row r="922">
      <c r="A922" s="41"/>
      <c r="B922" s="41"/>
      <c r="C922" s="41"/>
      <c r="D922" s="41"/>
      <c r="E922" s="41"/>
      <c r="F922" s="41"/>
      <c r="G922" s="41"/>
      <c r="H922" s="41"/>
      <c r="I922" s="41"/>
      <c r="J922" s="41"/>
      <c r="K922" s="41"/>
      <c r="L922" s="41"/>
      <c r="M922" s="41"/>
      <c r="N922" s="41"/>
      <c r="O922" s="41"/>
      <c r="P922" s="41"/>
      <c r="Q922" s="41"/>
      <c r="R922" s="41"/>
      <c r="S922" s="41"/>
      <c r="T922" s="575"/>
      <c r="U922" s="575"/>
      <c r="V922" s="575"/>
      <c r="W922" s="575"/>
    </row>
    <row r="923">
      <c r="A923" s="41"/>
      <c r="B923" s="41"/>
      <c r="C923" s="41"/>
      <c r="D923" s="41"/>
      <c r="E923" s="41"/>
      <c r="F923" s="41"/>
      <c r="G923" s="41"/>
      <c r="H923" s="41"/>
      <c r="I923" s="41"/>
      <c r="J923" s="41"/>
      <c r="K923" s="41"/>
      <c r="L923" s="41"/>
      <c r="M923" s="41"/>
      <c r="N923" s="41"/>
      <c r="O923" s="41"/>
      <c r="P923" s="41"/>
      <c r="Q923" s="41"/>
      <c r="R923" s="41"/>
      <c r="S923" s="41"/>
      <c r="T923" s="575"/>
      <c r="U923" s="575"/>
      <c r="V923" s="575"/>
      <c r="W923" s="575"/>
    </row>
    <row r="924">
      <c r="A924" s="41"/>
      <c r="B924" s="41"/>
      <c r="C924" s="41"/>
      <c r="D924" s="41"/>
      <c r="E924" s="41"/>
      <c r="F924" s="41"/>
      <c r="G924" s="41"/>
      <c r="H924" s="41"/>
      <c r="I924" s="41"/>
      <c r="J924" s="41"/>
      <c r="K924" s="41"/>
      <c r="L924" s="41"/>
      <c r="M924" s="41"/>
      <c r="N924" s="41"/>
      <c r="O924" s="41"/>
      <c r="P924" s="41"/>
      <c r="Q924" s="41"/>
      <c r="R924" s="41"/>
      <c r="S924" s="41"/>
      <c r="T924" s="575"/>
      <c r="U924" s="575"/>
      <c r="V924" s="575"/>
      <c r="W924" s="575"/>
    </row>
    <row r="925">
      <c r="A925" s="41"/>
      <c r="B925" s="41"/>
      <c r="C925" s="41"/>
      <c r="D925" s="41"/>
      <c r="E925" s="41"/>
      <c r="F925" s="41"/>
      <c r="G925" s="41"/>
      <c r="H925" s="41"/>
      <c r="I925" s="41"/>
      <c r="J925" s="41"/>
      <c r="K925" s="41"/>
      <c r="L925" s="41"/>
      <c r="M925" s="41"/>
      <c r="N925" s="41"/>
      <c r="O925" s="41"/>
      <c r="P925" s="41"/>
      <c r="Q925" s="41"/>
      <c r="R925" s="41"/>
      <c r="S925" s="41"/>
      <c r="T925" s="575"/>
      <c r="U925" s="575"/>
      <c r="V925" s="575"/>
      <c r="W925" s="575"/>
    </row>
    <row r="926">
      <c r="A926" s="41"/>
      <c r="B926" s="41"/>
      <c r="C926" s="41"/>
      <c r="D926" s="41"/>
      <c r="E926" s="41"/>
      <c r="F926" s="41"/>
      <c r="G926" s="41"/>
      <c r="H926" s="41"/>
      <c r="I926" s="41"/>
      <c r="J926" s="41"/>
      <c r="K926" s="41"/>
      <c r="L926" s="41"/>
      <c r="M926" s="41"/>
      <c r="N926" s="41"/>
      <c r="O926" s="41"/>
      <c r="P926" s="41"/>
      <c r="Q926" s="41"/>
      <c r="R926" s="41"/>
      <c r="S926" s="41"/>
      <c r="T926" s="575"/>
      <c r="U926" s="575"/>
      <c r="V926" s="575"/>
      <c r="W926" s="575"/>
    </row>
    <row r="927">
      <c r="A927" s="41"/>
      <c r="B927" s="41"/>
      <c r="C927" s="41"/>
      <c r="D927" s="41"/>
      <c r="E927" s="41"/>
      <c r="F927" s="41"/>
      <c r="G927" s="41"/>
      <c r="H927" s="41"/>
      <c r="I927" s="41"/>
      <c r="J927" s="41"/>
      <c r="K927" s="41"/>
      <c r="L927" s="41"/>
      <c r="M927" s="41"/>
      <c r="N927" s="41"/>
      <c r="O927" s="41"/>
      <c r="P927" s="41"/>
      <c r="Q927" s="41"/>
      <c r="R927" s="41"/>
      <c r="S927" s="41"/>
      <c r="T927" s="575"/>
      <c r="U927" s="575"/>
      <c r="V927" s="575"/>
      <c r="W927" s="575"/>
    </row>
    <row r="928">
      <c r="A928" s="41"/>
      <c r="B928" s="41"/>
      <c r="C928" s="41"/>
      <c r="D928" s="41"/>
      <c r="E928" s="41"/>
      <c r="F928" s="41"/>
      <c r="G928" s="41"/>
      <c r="H928" s="41"/>
      <c r="I928" s="41"/>
      <c r="J928" s="41"/>
      <c r="K928" s="41"/>
      <c r="L928" s="41"/>
      <c r="M928" s="41"/>
      <c r="N928" s="41"/>
      <c r="O928" s="41"/>
      <c r="P928" s="41"/>
      <c r="Q928" s="41"/>
      <c r="R928" s="41"/>
      <c r="S928" s="41"/>
      <c r="T928" s="575"/>
      <c r="U928" s="575"/>
      <c r="V928" s="575"/>
      <c r="W928" s="575"/>
    </row>
    <row r="929">
      <c r="A929" s="41"/>
      <c r="B929" s="41"/>
      <c r="C929" s="41"/>
      <c r="D929" s="41"/>
      <c r="E929" s="41"/>
      <c r="F929" s="41"/>
      <c r="G929" s="41"/>
      <c r="H929" s="41"/>
      <c r="I929" s="41"/>
      <c r="J929" s="41"/>
      <c r="K929" s="41"/>
      <c r="L929" s="41"/>
      <c r="M929" s="41"/>
      <c r="N929" s="41"/>
      <c r="O929" s="41"/>
      <c r="P929" s="41"/>
      <c r="Q929" s="41"/>
      <c r="R929" s="41"/>
      <c r="S929" s="41"/>
      <c r="T929" s="575"/>
      <c r="U929" s="575"/>
      <c r="V929" s="575"/>
      <c r="W929" s="575"/>
    </row>
    <row r="930">
      <c r="A930" s="41"/>
      <c r="B930" s="41"/>
      <c r="C930" s="41"/>
      <c r="D930" s="41"/>
      <c r="E930" s="41"/>
      <c r="F930" s="41"/>
      <c r="G930" s="41"/>
      <c r="H930" s="41"/>
      <c r="I930" s="41"/>
      <c r="J930" s="41"/>
      <c r="K930" s="41"/>
      <c r="L930" s="41"/>
      <c r="M930" s="41"/>
      <c r="N930" s="41"/>
      <c r="O930" s="41"/>
      <c r="P930" s="41"/>
      <c r="Q930" s="41"/>
      <c r="R930" s="41"/>
      <c r="S930" s="41"/>
      <c r="T930" s="575"/>
      <c r="U930" s="575"/>
      <c r="V930" s="575"/>
      <c r="W930" s="575"/>
    </row>
    <row r="931">
      <c r="A931" s="41"/>
      <c r="B931" s="41"/>
      <c r="C931" s="41"/>
      <c r="D931" s="41"/>
      <c r="E931" s="41"/>
      <c r="F931" s="41"/>
      <c r="G931" s="41"/>
      <c r="H931" s="41"/>
      <c r="I931" s="41"/>
      <c r="J931" s="41"/>
      <c r="K931" s="41"/>
      <c r="L931" s="41"/>
      <c r="M931" s="41"/>
      <c r="N931" s="41"/>
      <c r="O931" s="41"/>
      <c r="P931" s="41"/>
      <c r="Q931" s="41"/>
      <c r="R931" s="41"/>
      <c r="S931" s="41"/>
      <c r="T931" s="575"/>
      <c r="U931" s="575"/>
      <c r="V931" s="575"/>
      <c r="W931" s="575"/>
    </row>
    <row r="932">
      <c r="A932" s="41"/>
      <c r="B932" s="41"/>
      <c r="C932" s="41"/>
      <c r="D932" s="41"/>
      <c r="E932" s="41"/>
      <c r="F932" s="41"/>
      <c r="G932" s="41"/>
      <c r="H932" s="41"/>
      <c r="I932" s="41"/>
      <c r="J932" s="41"/>
      <c r="K932" s="41"/>
      <c r="L932" s="41"/>
      <c r="M932" s="41"/>
      <c r="N932" s="41"/>
      <c r="O932" s="41"/>
      <c r="P932" s="41"/>
      <c r="Q932" s="41"/>
      <c r="R932" s="41"/>
      <c r="S932" s="41"/>
      <c r="T932" s="575"/>
      <c r="U932" s="575"/>
      <c r="V932" s="575"/>
      <c r="W932" s="575"/>
    </row>
    <row r="933">
      <c r="A933" s="41"/>
      <c r="B933" s="41"/>
      <c r="C933" s="41"/>
      <c r="D933" s="41"/>
      <c r="E933" s="41"/>
      <c r="F933" s="41"/>
      <c r="G933" s="41"/>
      <c r="H933" s="41"/>
      <c r="I933" s="41"/>
      <c r="J933" s="41"/>
      <c r="K933" s="41"/>
      <c r="L933" s="41"/>
      <c r="M933" s="41"/>
      <c r="N933" s="41"/>
      <c r="O933" s="41"/>
      <c r="P933" s="41"/>
      <c r="Q933" s="41"/>
      <c r="R933" s="41"/>
      <c r="S933" s="41"/>
      <c r="T933" s="575"/>
      <c r="U933" s="575"/>
      <c r="V933" s="575"/>
      <c r="W933" s="575"/>
    </row>
    <row r="934">
      <c r="A934" s="41"/>
      <c r="B934" s="41"/>
      <c r="C934" s="41"/>
      <c r="D934" s="41"/>
      <c r="E934" s="41"/>
      <c r="F934" s="41"/>
      <c r="G934" s="41"/>
      <c r="H934" s="41"/>
      <c r="I934" s="41"/>
      <c r="J934" s="41"/>
      <c r="K934" s="41"/>
      <c r="L934" s="41"/>
      <c r="M934" s="41"/>
      <c r="N934" s="41"/>
      <c r="O934" s="41"/>
      <c r="P934" s="41"/>
      <c r="Q934" s="41"/>
      <c r="R934" s="41"/>
      <c r="S934" s="41"/>
      <c r="T934" s="575"/>
      <c r="U934" s="575"/>
      <c r="V934" s="575"/>
      <c r="W934" s="575"/>
    </row>
    <row r="935">
      <c r="A935" s="41"/>
      <c r="B935" s="41"/>
      <c r="C935" s="41"/>
      <c r="D935" s="41"/>
      <c r="E935" s="41"/>
      <c r="F935" s="41"/>
      <c r="G935" s="41"/>
      <c r="H935" s="41"/>
      <c r="I935" s="41"/>
      <c r="J935" s="41"/>
      <c r="K935" s="41"/>
      <c r="L935" s="41"/>
      <c r="M935" s="41"/>
      <c r="N935" s="41"/>
      <c r="O935" s="41"/>
      <c r="P935" s="41"/>
      <c r="Q935" s="41"/>
      <c r="R935" s="41"/>
      <c r="S935" s="41"/>
      <c r="T935" s="575"/>
      <c r="U935" s="575"/>
      <c r="V935" s="575"/>
      <c r="W935" s="575"/>
    </row>
    <row r="936">
      <c r="A936" s="41"/>
      <c r="B936" s="41"/>
      <c r="C936" s="41"/>
      <c r="D936" s="41"/>
      <c r="E936" s="41"/>
      <c r="F936" s="41"/>
      <c r="G936" s="41"/>
      <c r="H936" s="41"/>
      <c r="I936" s="41"/>
      <c r="J936" s="41"/>
      <c r="K936" s="41"/>
      <c r="L936" s="41"/>
      <c r="M936" s="41"/>
      <c r="N936" s="41"/>
      <c r="O936" s="41"/>
      <c r="P936" s="41"/>
      <c r="Q936" s="41"/>
      <c r="R936" s="41"/>
      <c r="S936" s="41"/>
      <c r="T936" s="575"/>
      <c r="U936" s="575"/>
      <c r="V936" s="575"/>
      <c r="W936" s="575"/>
    </row>
    <row r="937">
      <c r="A937" s="41"/>
      <c r="B937" s="41"/>
      <c r="C937" s="41"/>
      <c r="D937" s="41"/>
      <c r="E937" s="41"/>
      <c r="F937" s="41"/>
      <c r="G937" s="41"/>
      <c r="H937" s="41"/>
      <c r="I937" s="41"/>
      <c r="J937" s="41"/>
      <c r="K937" s="41"/>
      <c r="L937" s="41"/>
      <c r="M937" s="41"/>
      <c r="N937" s="41"/>
      <c r="O937" s="41"/>
      <c r="P937" s="41"/>
      <c r="Q937" s="41"/>
      <c r="R937" s="41"/>
      <c r="S937" s="41"/>
      <c r="T937" s="575"/>
      <c r="U937" s="575"/>
      <c r="V937" s="575"/>
      <c r="W937" s="575"/>
    </row>
    <row r="938">
      <c r="A938" s="41"/>
      <c r="B938" s="41"/>
      <c r="C938" s="41"/>
      <c r="D938" s="41"/>
      <c r="E938" s="41"/>
      <c r="F938" s="41"/>
      <c r="G938" s="41"/>
      <c r="H938" s="41"/>
      <c r="I938" s="41"/>
      <c r="J938" s="41"/>
      <c r="K938" s="41"/>
      <c r="L938" s="41"/>
      <c r="M938" s="41"/>
      <c r="N938" s="41"/>
      <c r="O938" s="41"/>
      <c r="P938" s="41"/>
      <c r="Q938" s="41"/>
      <c r="R938" s="41"/>
      <c r="S938" s="41"/>
      <c r="T938" s="575"/>
      <c r="U938" s="575"/>
      <c r="V938" s="575"/>
      <c r="W938" s="575"/>
    </row>
    <row r="939">
      <c r="A939" s="41"/>
      <c r="B939" s="41"/>
      <c r="C939" s="41"/>
      <c r="D939" s="41"/>
      <c r="E939" s="41"/>
      <c r="F939" s="41"/>
      <c r="G939" s="41"/>
      <c r="H939" s="41"/>
      <c r="I939" s="41"/>
      <c r="J939" s="41"/>
      <c r="K939" s="41"/>
      <c r="L939" s="41"/>
      <c r="M939" s="41"/>
      <c r="N939" s="41"/>
      <c r="O939" s="41"/>
      <c r="P939" s="41"/>
      <c r="Q939" s="41"/>
      <c r="R939" s="41"/>
      <c r="S939" s="41"/>
      <c r="T939" s="575"/>
      <c r="U939" s="575"/>
      <c r="V939" s="575"/>
      <c r="W939" s="575"/>
    </row>
    <row r="940">
      <c r="A940" s="41"/>
      <c r="B940" s="41"/>
      <c r="C940" s="41"/>
      <c r="D940" s="41"/>
      <c r="E940" s="41"/>
      <c r="F940" s="41"/>
      <c r="G940" s="41"/>
      <c r="H940" s="41"/>
      <c r="I940" s="41"/>
      <c r="J940" s="41"/>
      <c r="K940" s="41"/>
      <c r="L940" s="41"/>
      <c r="M940" s="41"/>
      <c r="N940" s="41"/>
      <c r="O940" s="41"/>
      <c r="P940" s="41"/>
      <c r="Q940" s="41"/>
      <c r="R940" s="41"/>
      <c r="S940" s="41"/>
      <c r="T940" s="575"/>
      <c r="U940" s="575"/>
      <c r="V940" s="575"/>
      <c r="W940" s="575"/>
    </row>
    <row r="941">
      <c r="A941" s="41"/>
      <c r="B941" s="41"/>
      <c r="C941" s="41"/>
      <c r="D941" s="41"/>
      <c r="E941" s="41"/>
      <c r="F941" s="41"/>
      <c r="G941" s="41"/>
      <c r="H941" s="41"/>
      <c r="I941" s="41"/>
      <c r="J941" s="41"/>
      <c r="K941" s="41"/>
      <c r="L941" s="41"/>
      <c r="M941" s="41"/>
      <c r="N941" s="41"/>
      <c r="O941" s="41"/>
      <c r="P941" s="41"/>
      <c r="Q941" s="41"/>
      <c r="R941" s="41"/>
      <c r="S941" s="41"/>
      <c r="T941" s="575"/>
      <c r="U941" s="575"/>
      <c r="V941" s="575"/>
      <c r="W941" s="575"/>
    </row>
    <row r="942">
      <c r="A942" s="41"/>
      <c r="B942" s="41"/>
      <c r="C942" s="41"/>
      <c r="D942" s="41"/>
      <c r="E942" s="41"/>
      <c r="F942" s="41"/>
      <c r="G942" s="41"/>
      <c r="H942" s="41"/>
      <c r="I942" s="41"/>
      <c r="J942" s="41"/>
      <c r="K942" s="41"/>
      <c r="L942" s="41"/>
      <c r="M942" s="41"/>
      <c r="N942" s="41"/>
      <c r="O942" s="41"/>
      <c r="P942" s="41"/>
      <c r="Q942" s="41"/>
      <c r="R942" s="41"/>
      <c r="S942" s="41"/>
      <c r="T942" s="575"/>
      <c r="U942" s="575"/>
      <c r="V942" s="575"/>
      <c r="W942" s="575"/>
    </row>
    <row r="943">
      <c r="A943" s="41"/>
      <c r="B943" s="41"/>
      <c r="C943" s="41"/>
      <c r="D943" s="41"/>
      <c r="E943" s="41"/>
      <c r="F943" s="41"/>
      <c r="G943" s="41"/>
      <c r="H943" s="41"/>
      <c r="I943" s="41"/>
      <c r="J943" s="41"/>
      <c r="K943" s="41"/>
      <c r="L943" s="41"/>
      <c r="M943" s="41"/>
      <c r="N943" s="41"/>
      <c r="O943" s="41"/>
      <c r="P943" s="41"/>
      <c r="Q943" s="41"/>
      <c r="R943" s="41"/>
      <c r="S943" s="41"/>
      <c r="T943" s="575"/>
      <c r="U943" s="575"/>
      <c r="V943" s="575"/>
      <c r="W943" s="575"/>
    </row>
    <row r="944">
      <c r="A944" s="41"/>
      <c r="B944" s="41"/>
      <c r="C944" s="41"/>
      <c r="D944" s="41"/>
      <c r="E944" s="41"/>
      <c r="F944" s="41"/>
      <c r="G944" s="41"/>
      <c r="H944" s="41"/>
      <c r="I944" s="41"/>
      <c r="J944" s="41"/>
      <c r="K944" s="41"/>
      <c r="L944" s="41"/>
      <c r="M944" s="41"/>
      <c r="N944" s="41"/>
      <c r="O944" s="41"/>
      <c r="P944" s="41"/>
      <c r="Q944" s="41"/>
      <c r="R944" s="41"/>
      <c r="S944" s="41"/>
      <c r="T944" s="575"/>
      <c r="U944" s="575"/>
      <c r="V944" s="575"/>
      <c r="W944" s="575"/>
    </row>
    <row r="945">
      <c r="A945" s="41"/>
      <c r="B945" s="41"/>
      <c r="C945" s="41"/>
      <c r="D945" s="41"/>
      <c r="E945" s="41"/>
      <c r="F945" s="41"/>
      <c r="G945" s="41"/>
      <c r="H945" s="41"/>
      <c r="I945" s="41"/>
      <c r="J945" s="41"/>
      <c r="K945" s="41"/>
      <c r="L945" s="41"/>
      <c r="M945" s="41"/>
      <c r="N945" s="41"/>
      <c r="O945" s="41"/>
      <c r="P945" s="41"/>
      <c r="Q945" s="41"/>
      <c r="R945" s="41"/>
      <c r="S945" s="41"/>
      <c r="T945" s="575"/>
      <c r="U945" s="575"/>
      <c r="V945" s="575"/>
      <c r="W945" s="575"/>
    </row>
    <row r="946">
      <c r="A946" s="41"/>
      <c r="B946" s="41"/>
      <c r="C946" s="41"/>
      <c r="D946" s="41"/>
      <c r="E946" s="41"/>
      <c r="F946" s="41"/>
      <c r="G946" s="41"/>
      <c r="H946" s="41"/>
      <c r="I946" s="41"/>
      <c r="J946" s="41"/>
      <c r="K946" s="41"/>
      <c r="L946" s="41"/>
      <c r="M946" s="41"/>
      <c r="N946" s="41"/>
      <c r="O946" s="41"/>
      <c r="P946" s="41"/>
      <c r="Q946" s="41"/>
      <c r="R946" s="41"/>
      <c r="S946" s="41"/>
      <c r="T946" s="575"/>
      <c r="U946" s="575"/>
      <c r="V946" s="575"/>
      <c r="W946" s="575"/>
    </row>
    <row r="947">
      <c r="A947" s="41"/>
      <c r="B947" s="41"/>
      <c r="C947" s="41"/>
      <c r="D947" s="41"/>
      <c r="E947" s="41"/>
      <c r="F947" s="41"/>
      <c r="G947" s="41"/>
      <c r="H947" s="41"/>
      <c r="I947" s="41"/>
      <c r="J947" s="41"/>
      <c r="K947" s="41"/>
      <c r="L947" s="41"/>
      <c r="M947" s="41"/>
      <c r="N947" s="41"/>
      <c r="O947" s="41"/>
      <c r="P947" s="41"/>
      <c r="Q947" s="41"/>
      <c r="R947" s="41"/>
      <c r="S947" s="41"/>
      <c r="T947" s="575"/>
      <c r="U947" s="575"/>
      <c r="V947" s="575"/>
      <c r="W947" s="575"/>
    </row>
    <row r="948">
      <c r="A948" s="41"/>
      <c r="B948" s="41"/>
      <c r="C948" s="41"/>
      <c r="D948" s="41"/>
      <c r="E948" s="41"/>
      <c r="F948" s="41"/>
      <c r="G948" s="41"/>
      <c r="H948" s="41"/>
      <c r="I948" s="41"/>
      <c r="J948" s="41"/>
      <c r="K948" s="41"/>
      <c r="L948" s="41"/>
      <c r="M948" s="41"/>
      <c r="N948" s="41"/>
      <c r="O948" s="41"/>
      <c r="P948" s="41"/>
      <c r="Q948" s="41"/>
      <c r="R948" s="41"/>
      <c r="S948" s="41"/>
      <c r="T948" s="575"/>
      <c r="U948" s="575"/>
      <c r="V948" s="575"/>
      <c r="W948" s="575"/>
    </row>
    <row r="949">
      <c r="A949" s="41"/>
      <c r="B949" s="41"/>
      <c r="C949" s="41"/>
      <c r="D949" s="41"/>
      <c r="E949" s="41"/>
      <c r="F949" s="41"/>
      <c r="G949" s="41"/>
      <c r="H949" s="41"/>
      <c r="I949" s="41"/>
      <c r="J949" s="41"/>
      <c r="K949" s="41"/>
      <c r="L949" s="41"/>
      <c r="M949" s="41"/>
      <c r="N949" s="41"/>
      <c r="O949" s="41"/>
      <c r="P949" s="41"/>
      <c r="Q949" s="41"/>
      <c r="R949" s="41"/>
      <c r="S949" s="41"/>
      <c r="T949" s="575"/>
      <c r="U949" s="575"/>
      <c r="V949" s="575"/>
      <c r="W949" s="575"/>
    </row>
    <row r="950">
      <c r="A950" s="41"/>
      <c r="B950" s="41"/>
      <c r="C950" s="41"/>
      <c r="D950" s="41"/>
      <c r="E950" s="41"/>
      <c r="F950" s="41"/>
      <c r="G950" s="41"/>
      <c r="H950" s="41"/>
      <c r="I950" s="41"/>
      <c r="J950" s="41"/>
      <c r="K950" s="41"/>
      <c r="L950" s="41"/>
      <c r="M950" s="41"/>
      <c r="N950" s="41"/>
      <c r="O950" s="41"/>
      <c r="P950" s="41"/>
      <c r="Q950" s="41"/>
      <c r="R950" s="41"/>
      <c r="S950" s="41"/>
      <c r="T950" s="575"/>
      <c r="U950" s="575"/>
      <c r="V950" s="575"/>
      <c r="W950" s="575"/>
    </row>
    <row r="951">
      <c r="A951" s="41"/>
      <c r="B951" s="41"/>
      <c r="C951" s="41"/>
      <c r="D951" s="41"/>
      <c r="E951" s="41"/>
      <c r="F951" s="41"/>
      <c r="G951" s="41"/>
      <c r="H951" s="41"/>
      <c r="I951" s="41"/>
      <c r="J951" s="41"/>
      <c r="K951" s="41"/>
      <c r="L951" s="41"/>
      <c r="M951" s="41"/>
      <c r="N951" s="41"/>
      <c r="O951" s="41"/>
      <c r="P951" s="41"/>
      <c r="Q951" s="41"/>
      <c r="R951" s="41"/>
      <c r="S951" s="41"/>
      <c r="T951" s="575"/>
      <c r="U951" s="575"/>
      <c r="V951" s="575"/>
      <c r="W951" s="575"/>
    </row>
    <row r="952">
      <c r="A952" s="41"/>
      <c r="B952" s="41"/>
      <c r="C952" s="41"/>
      <c r="D952" s="41"/>
      <c r="E952" s="41"/>
      <c r="F952" s="41"/>
      <c r="G952" s="41"/>
      <c r="H952" s="41"/>
      <c r="I952" s="41"/>
      <c r="J952" s="41"/>
      <c r="K952" s="41"/>
      <c r="L952" s="41"/>
      <c r="M952" s="41"/>
      <c r="N952" s="41"/>
      <c r="O952" s="41"/>
      <c r="P952" s="41"/>
      <c r="Q952" s="41"/>
      <c r="R952" s="41"/>
      <c r="S952" s="41"/>
      <c r="T952" s="575"/>
      <c r="U952" s="575"/>
      <c r="V952" s="575"/>
      <c r="W952" s="575"/>
    </row>
    <row r="953">
      <c r="A953" s="41"/>
      <c r="B953" s="41"/>
      <c r="C953" s="41"/>
      <c r="D953" s="41"/>
      <c r="E953" s="41"/>
      <c r="F953" s="41"/>
      <c r="G953" s="41"/>
      <c r="H953" s="41"/>
      <c r="I953" s="41"/>
      <c r="J953" s="41"/>
      <c r="K953" s="41"/>
      <c r="L953" s="41"/>
      <c r="M953" s="41"/>
      <c r="N953" s="41"/>
      <c r="O953" s="41"/>
      <c r="P953" s="41"/>
      <c r="Q953" s="41"/>
      <c r="R953" s="41"/>
      <c r="S953" s="41"/>
      <c r="T953" s="575"/>
      <c r="U953" s="575"/>
      <c r="V953" s="575"/>
      <c r="W953" s="575"/>
    </row>
    <row r="954">
      <c r="A954" s="41"/>
      <c r="B954" s="41"/>
      <c r="C954" s="41"/>
      <c r="D954" s="41"/>
      <c r="E954" s="41"/>
      <c r="F954" s="41"/>
      <c r="G954" s="41"/>
      <c r="H954" s="41"/>
      <c r="I954" s="41"/>
      <c r="J954" s="41"/>
      <c r="K954" s="41"/>
      <c r="L954" s="41"/>
      <c r="M954" s="41"/>
      <c r="N954" s="41"/>
      <c r="O954" s="41"/>
      <c r="P954" s="41"/>
      <c r="Q954" s="41"/>
      <c r="R954" s="41"/>
      <c r="S954" s="41"/>
      <c r="T954" s="575"/>
      <c r="U954" s="575"/>
      <c r="V954" s="575"/>
      <c r="W954" s="575"/>
    </row>
    <row r="955">
      <c r="A955" s="41"/>
      <c r="B955" s="41"/>
      <c r="C955" s="41"/>
      <c r="D955" s="41"/>
      <c r="E955" s="41"/>
      <c r="F955" s="41"/>
      <c r="G955" s="41"/>
      <c r="H955" s="41"/>
      <c r="I955" s="41"/>
      <c r="J955" s="41"/>
      <c r="K955" s="41"/>
      <c r="L955" s="41"/>
      <c r="M955" s="41"/>
      <c r="N955" s="41"/>
      <c r="O955" s="41"/>
      <c r="P955" s="41"/>
      <c r="Q955" s="41"/>
      <c r="R955" s="41"/>
      <c r="S955" s="41"/>
      <c r="T955" s="575"/>
      <c r="U955" s="575"/>
      <c r="V955" s="575"/>
      <c r="W955" s="575"/>
    </row>
    <row r="956">
      <c r="A956" s="41"/>
      <c r="B956" s="41"/>
      <c r="C956" s="41"/>
      <c r="D956" s="41"/>
      <c r="E956" s="41"/>
      <c r="F956" s="41"/>
      <c r="G956" s="41"/>
      <c r="H956" s="41"/>
      <c r="I956" s="41"/>
      <c r="J956" s="41"/>
      <c r="K956" s="41"/>
      <c r="L956" s="41"/>
      <c r="M956" s="41"/>
      <c r="N956" s="41"/>
      <c r="O956" s="41"/>
      <c r="P956" s="41"/>
      <c r="Q956" s="41"/>
      <c r="R956" s="41"/>
      <c r="S956" s="41"/>
      <c r="T956" s="575"/>
      <c r="U956" s="575"/>
      <c r="V956" s="575"/>
      <c r="W956" s="575"/>
    </row>
    <row r="957">
      <c r="A957" s="41"/>
      <c r="B957" s="41"/>
      <c r="C957" s="41"/>
      <c r="D957" s="41"/>
      <c r="E957" s="41"/>
      <c r="F957" s="41"/>
      <c r="G957" s="41"/>
      <c r="H957" s="41"/>
      <c r="I957" s="41"/>
      <c r="J957" s="41"/>
      <c r="K957" s="41"/>
      <c r="L957" s="41"/>
      <c r="M957" s="41"/>
      <c r="N957" s="41"/>
      <c r="O957" s="41"/>
      <c r="P957" s="41"/>
      <c r="Q957" s="41"/>
      <c r="R957" s="41"/>
      <c r="S957" s="41"/>
      <c r="T957" s="575"/>
      <c r="U957" s="575"/>
      <c r="V957" s="575"/>
      <c r="W957" s="575"/>
    </row>
    <row r="958">
      <c r="A958" s="41"/>
      <c r="B958" s="41"/>
      <c r="C958" s="41"/>
      <c r="D958" s="41"/>
      <c r="E958" s="41"/>
      <c r="F958" s="41"/>
      <c r="G958" s="41"/>
      <c r="H958" s="41"/>
      <c r="I958" s="41"/>
      <c r="J958" s="41"/>
      <c r="K958" s="41"/>
      <c r="L958" s="41"/>
      <c r="M958" s="41"/>
      <c r="N958" s="41"/>
      <c r="O958" s="41"/>
      <c r="P958" s="41"/>
      <c r="Q958" s="41"/>
      <c r="R958" s="41"/>
      <c r="S958" s="41"/>
      <c r="T958" s="575"/>
      <c r="U958" s="575"/>
      <c r="V958" s="575"/>
      <c r="W958" s="575"/>
    </row>
    <row r="959">
      <c r="A959" s="41"/>
      <c r="B959" s="41"/>
      <c r="C959" s="41"/>
      <c r="D959" s="41"/>
      <c r="E959" s="41"/>
      <c r="F959" s="41"/>
      <c r="G959" s="41"/>
      <c r="H959" s="41"/>
      <c r="I959" s="41"/>
      <c r="J959" s="41"/>
      <c r="K959" s="41"/>
      <c r="L959" s="41"/>
      <c r="M959" s="41"/>
      <c r="N959" s="41"/>
      <c r="O959" s="41"/>
      <c r="P959" s="41"/>
      <c r="Q959" s="41"/>
      <c r="R959" s="41"/>
      <c r="S959" s="41"/>
      <c r="T959" s="575"/>
      <c r="U959" s="575"/>
      <c r="V959" s="575"/>
      <c r="W959" s="575"/>
    </row>
    <row r="960">
      <c r="A960" s="41"/>
      <c r="B960" s="41"/>
      <c r="C960" s="41"/>
      <c r="D960" s="41"/>
      <c r="E960" s="41"/>
      <c r="F960" s="41"/>
      <c r="G960" s="41"/>
      <c r="H960" s="41"/>
      <c r="I960" s="41"/>
      <c r="J960" s="41"/>
      <c r="K960" s="41"/>
      <c r="L960" s="41"/>
      <c r="M960" s="41"/>
      <c r="N960" s="41"/>
      <c r="O960" s="41"/>
      <c r="P960" s="41"/>
      <c r="Q960" s="41"/>
      <c r="R960" s="41"/>
      <c r="S960" s="41"/>
      <c r="T960" s="575"/>
      <c r="U960" s="575"/>
      <c r="V960" s="575"/>
      <c r="W960" s="575"/>
    </row>
    <row r="961">
      <c r="A961" s="41"/>
      <c r="B961" s="41"/>
      <c r="C961" s="41"/>
      <c r="D961" s="41"/>
      <c r="E961" s="41"/>
      <c r="F961" s="41"/>
      <c r="G961" s="41"/>
      <c r="H961" s="41"/>
      <c r="I961" s="41"/>
      <c r="J961" s="41"/>
      <c r="K961" s="41"/>
      <c r="L961" s="41"/>
      <c r="M961" s="41"/>
      <c r="N961" s="41"/>
      <c r="O961" s="41"/>
      <c r="P961" s="41"/>
      <c r="Q961" s="41"/>
      <c r="R961" s="41"/>
      <c r="S961" s="41"/>
      <c r="T961" s="575"/>
      <c r="U961" s="575"/>
      <c r="V961" s="575"/>
      <c r="W961" s="575"/>
    </row>
    <row r="962">
      <c r="A962" s="41"/>
      <c r="B962" s="41"/>
      <c r="C962" s="41"/>
      <c r="D962" s="41"/>
      <c r="E962" s="41"/>
      <c r="F962" s="41"/>
      <c r="G962" s="41"/>
      <c r="H962" s="41"/>
      <c r="I962" s="41"/>
      <c r="J962" s="41"/>
      <c r="K962" s="41"/>
      <c r="L962" s="41"/>
      <c r="M962" s="41"/>
      <c r="N962" s="41"/>
      <c r="O962" s="41"/>
      <c r="P962" s="41"/>
      <c r="Q962" s="41"/>
      <c r="R962" s="41"/>
      <c r="S962" s="41"/>
      <c r="T962" s="575"/>
      <c r="U962" s="575"/>
      <c r="V962" s="575"/>
      <c r="W962" s="575"/>
    </row>
    <row r="963">
      <c r="A963" s="41"/>
      <c r="B963" s="41"/>
      <c r="C963" s="41"/>
      <c r="D963" s="41"/>
      <c r="E963" s="41"/>
      <c r="F963" s="41"/>
      <c r="G963" s="41"/>
      <c r="H963" s="41"/>
      <c r="I963" s="41"/>
      <c r="J963" s="41"/>
      <c r="K963" s="41"/>
      <c r="L963" s="41"/>
      <c r="M963" s="41"/>
      <c r="N963" s="41"/>
      <c r="O963" s="41"/>
      <c r="P963" s="41"/>
      <c r="Q963" s="41"/>
      <c r="R963" s="41"/>
      <c r="S963" s="41"/>
      <c r="T963" s="575"/>
      <c r="U963" s="575"/>
      <c r="V963" s="575"/>
      <c r="W963" s="575"/>
    </row>
    <row r="964">
      <c r="A964" s="41"/>
      <c r="B964" s="41"/>
      <c r="C964" s="41"/>
      <c r="D964" s="41"/>
      <c r="E964" s="41"/>
      <c r="F964" s="41"/>
      <c r="G964" s="41"/>
      <c r="H964" s="41"/>
      <c r="I964" s="41"/>
      <c r="J964" s="41"/>
      <c r="K964" s="41"/>
      <c r="L964" s="41"/>
      <c r="M964" s="41"/>
      <c r="N964" s="41"/>
      <c r="O964" s="41"/>
      <c r="P964" s="41"/>
      <c r="Q964" s="41"/>
      <c r="R964" s="41"/>
      <c r="S964" s="41"/>
      <c r="T964" s="575"/>
      <c r="U964" s="575"/>
      <c r="V964" s="575"/>
      <c r="W964" s="575"/>
    </row>
    <row r="965">
      <c r="A965" s="41"/>
      <c r="B965" s="41"/>
      <c r="C965" s="41"/>
      <c r="D965" s="41"/>
      <c r="E965" s="41"/>
      <c r="F965" s="41"/>
      <c r="G965" s="41"/>
      <c r="H965" s="41"/>
      <c r="I965" s="41"/>
      <c r="J965" s="41"/>
      <c r="K965" s="41"/>
      <c r="L965" s="41"/>
      <c r="M965" s="41"/>
      <c r="N965" s="41"/>
      <c r="O965" s="41"/>
      <c r="P965" s="41"/>
      <c r="Q965" s="41"/>
      <c r="R965" s="41"/>
      <c r="S965" s="41"/>
      <c r="T965" s="575"/>
      <c r="U965" s="575"/>
      <c r="V965" s="575"/>
      <c r="W965" s="575"/>
    </row>
    <row r="966">
      <c r="A966" s="41"/>
      <c r="B966" s="41"/>
      <c r="C966" s="41"/>
      <c r="D966" s="41"/>
      <c r="E966" s="41"/>
      <c r="F966" s="41"/>
      <c r="G966" s="41"/>
      <c r="H966" s="41"/>
      <c r="I966" s="41"/>
      <c r="J966" s="41"/>
      <c r="K966" s="41"/>
      <c r="L966" s="41"/>
      <c r="M966" s="41"/>
      <c r="N966" s="41"/>
      <c r="O966" s="41"/>
      <c r="P966" s="41"/>
      <c r="Q966" s="41"/>
      <c r="R966" s="41"/>
      <c r="S966" s="41"/>
      <c r="T966" s="575"/>
      <c r="U966" s="575"/>
      <c r="V966" s="575"/>
      <c r="W966" s="575"/>
    </row>
    <row r="967">
      <c r="A967" s="41"/>
      <c r="B967" s="41"/>
      <c r="C967" s="41"/>
      <c r="D967" s="41"/>
      <c r="E967" s="41"/>
      <c r="F967" s="41"/>
      <c r="G967" s="41"/>
      <c r="H967" s="41"/>
      <c r="I967" s="41"/>
      <c r="J967" s="41"/>
      <c r="K967" s="41"/>
      <c r="L967" s="41"/>
      <c r="M967" s="41"/>
      <c r="N967" s="41"/>
      <c r="O967" s="41"/>
      <c r="P967" s="41"/>
      <c r="Q967" s="41"/>
      <c r="R967" s="41"/>
      <c r="S967" s="41"/>
      <c r="T967" s="575"/>
      <c r="U967" s="575"/>
      <c r="V967" s="575"/>
      <c r="W967" s="575"/>
    </row>
    <row r="968">
      <c r="A968" s="41"/>
      <c r="B968" s="41"/>
      <c r="C968" s="41"/>
      <c r="D968" s="41"/>
      <c r="E968" s="41"/>
      <c r="F968" s="41"/>
      <c r="G968" s="41"/>
      <c r="H968" s="41"/>
      <c r="I968" s="41"/>
      <c r="J968" s="41"/>
      <c r="K968" s="41"/>
      <c r="L968" s="41"/>
      <c r="M968" s="41"/>
      <c r="N968" s="41"/>
      <c r="O968" s="41"/>
      <c r="P968" s="41"/>
      <c r="Q968" s="41"/>
      <c r="R968" s="41"/>
      <c r="S968" s="41"/>
      <c r="T968" s="575"/>
      <c r="U968" s="575"/>
      <c r="V968" s="575"/>
      <c r="W968" s="575"/>
    </row>
    <row r="969">
      <c r="A969" s="41"/>
      <c r="B969" s="41"/>
      <c r="C969" s="41"/>
      <c r="D969" s="41"/>
      <c r="E969" s="41"/>
      <c r="F969" s="41"/>
      <c r="G969" s="41"/>
      <c r="H969" s="41"/>
      <c r="I969" s="41"/>
      <c r="J969" s="41"/>
      <c r="K969" s="41"/>
      <c r="L969" s="41"/>
      <c r="M969" s="41"/>
      <c r="N969" s="41"/>
      <c r="O969" s="41"/>
      <c r="P969" s="41"/>
      <c r="Q969" s="41"/>
      <c r="R969" s="41"/>
      <c r="S969" s="41"/>
      <c r="T969" s="575"/>
      <c r="U969" s="575"/>
      <c r="V969" s="575"/>
      <c r="W969" s="575"/>
    </row>
    <row r="970">
      <c r="A970" s="41"/>
      <c r="B970" s="41"/>
      <c r="C970" s="41"/>
      <c r="D970" s="41"/>
      <c r="E970" s="41"/>
      <c r="F970" s="41"/>
      <c r="G970" s="41"/>
      <c r="H970" s="41"/>
      <c r="I970" s="41"/>
      <c r="J970" s="41"/>
      <c r="K970" s="41"/>
      <c r="L970" s="41"/>
      <c r="M970" s="41"/>
      <c r="N970" s="41"/>
      <c r="O970" s="41"/>
      <c r="P970" s="41"/>
      <c r="Q970" s="41"/>
      <c r="R970" s="41"/>
      <c r="S970" s="41"/>
      <c r="T970" s="575"/>
      <c r="U970" s="575"/>
      <c r="V970" s="575"/>
      <c r="W970" s="575"/>
    </row>
    <row r="971">
      <c r="A971" s="41"/>
      <c r="B971" s="41"/>
      <c r="C971" s="41"/>
      <c r="D971" s="41"/>
      <c r="E971" s="41"/>
      <c r="F971" s="41"/>
      <c r="G971" s="41"/>
      <c r="H971" s="41"/>
      <c r="I971" s="41"/>
      <c r="J971" s="41"/>
      <c r="K971" s="41"/>
      <c r="L971" s="41"/>
      <c r="M971" s="41"/>
      <c r="N971" s="41"/>
      <c r="O971" s="41"/>
      <c r="P971" s="41"/>
      <c r="Q971" s="41"/>
      <c r="R971" s="41"/>
      <c r="S971" s="41"/>
      <c r="T971" s="575"/>
      <c r="U971" s="575"/>
      <c r="V971" s="575"/>
      <c r="W971" s="575"/>
    </row>
    <row r="972">
      <c r="A972" s="41"/>
      <c r="B972" s="41"/>
      <c r="C972" s="41"/>
      <c r="D972" s="41"/>
      <c r="E972" s="41"/>
      <c r="F972" s="41"/>
      <c r="G972" s="41"/>
      <c r="H972" s="41"/>
      <c r="I972" s="41"/>
      <c r="J972" s="41"/>
      <c r="K972" s="41"/>
      <c r="L972" s="41"/>
      <c r="M972" s="41"/>
      <c r="N972" s="41"/>
      <c r="O972" s="41"/>
      <c r="P972" s="41"/>
      <c r="Q972" s="41"/>
      <c r="R972" s="41"/>
      <c r="S972" s="41"/>
      <c r="T972" s="575"/>
      <c r="U972" s="575"/>
      <c r="V972" s="575"/>
      <c r="W972" s="575"/>
    </row>
    <row r="973">
      <c r="A973" s="41"/>
      <c r="B973" s="41"/>
      <c r="C973" s="41"/>
      <c r="D973" s="41"/>
      <c r="E973" s="41"/>
      <c r="F973" s="41"/>
      <c r="G973" s="41"/>
      <c r="H973" s="41"/>
      <c r="I973" s="41"/>
      <c r="J973" s="41"/>
      <c r="K973" s="41"/>
      <c r="L973" s="41"/>
      <c r="M973" s="41"/>
      <c r="N973" s="41"/>
      <c r="O973" s="41"/>
      <c r="P973" s="41"/>
      <c r="Q973" s="41"/>
      <c r="R973" s="41"/>
      <c r="S973" s="41"/>
      <c r="T973" s="575"/>
      <c r="U973" s="575"/>
      <c r="V973" s="575"/>
      <c r="W973" s="575"/>
    </row>
    <row r="974">
      <c r="A974" s="41"/>
      <c r="B974" s="41"/>
      <c r="C974" s="41"/>
      <c r="D974" s="41"/>
      <c r="E974" s="41"/>
      <c r="F974" s="41"/>
      <c r="G974" s="41"/>
      <c r="H974" s="41"/>
      <c r="I974" s="41"/>
      <c r="J974" s="41"/>
      <c r="K974" s="41"/>
      <c r="L974" s="41"/>
      <c r="M974" s="41"/>
      <c r="N974" s="41"/>
      <c r="O974" s="41"/>
      <c r="P974" s="41"/>
      <c r="Q974" s="41"/>
      <c r="R974" s="41"/>
      <c r="S974" s="41"/>
      <c r="T974" s="575"/>
      <c r="U974" s="575"/>
      <c r="V974" s="575"/>
      <c r="W974" s="575"/>
    </row>
    <row r="975">
      <c r="A975" s="41"/>
      <c r="B975" s="41"/>
      <c r="C975" s="41"/>
      <c r="D975" s="41"/>
      <c r="E975" s="41"/>
      <c r="F975" s="41"/>
      <c r="G975" s="41"/>
      <c r="H975" s="41"/>
      <c r="I975" s="41"/>
      <c r="J975" s="41"/>
      <c r="K975" s="41"/>
      <c r="L975" s="41"/>
      <c r="M975" s="41"/>
      <c r="N975" s="41"/>
      <c r="O975" s="41"/>
      <c r="P975" s="41"/>
      <c r="Q975" s="41"/>
      <c r="R975" s="41"/>
      <c r="S975" s="41"/>
      <c r="T975" s="575"/>
      <c r="U975" s="575"/>
      <c r="V975" s="575"/>
      <c r="W975" s="575"/>
    </row>
    <row r="976">
      <c r="A976" s="41"/>
      <c r="B976" s="41"/>
      <c r="C976" s="41"/>
      <c r="D976" s="41"/>
      <c r="E976" s="41"/>
      <c r="F976" s="41"/>
      <c r="G976" s="41"/>
      <c r="H976" s="41"/>
      <c r="I976" s="41"/>
      <c r="J976" s="41"/>
      <c r="K976" s="41"/>
      <c r="L976" s="41"/>
      <c r="M976" s="41"/>
      <c r="N976" s="41"/>
      <c r="O976" s="41"/>
      <c r="P976" s="41"/>
      <c r="Q976" s="41"/>
      <c r="R976" s="41"/>
      <c r="S976" s="41"/>
      <c r="T976" s="575"/>
      <c r="U976" s="575"/>
      <c r="V976" s="575"/>
      <c r="W976" s="575"/>
    </row>
    <row r="977">
      <c r="A977" s="41"/>
      <c r="B977" s="41"/>
      <c r="C977" s="41"/>
      <c r="D977" s="41"/>
      <c r="E977" s="41"/>
      <c r="F977" s="41"/>
      <c r="G977" s="41"/>
      <c r="H977" s="41"/>
      <c r="I977" s="41"/>
      <c r="J977" s="41"/>
      <c r="K977" s="41"/>
      <c r="L977" s="41"/>
      <c r="M977" s="41"/>
      <c r="N977" s="41"/>
      <c r="O977" s="41"/>
      <c r="P977" s="41"/>
      <c r="Q977" s="41"/>
      <c r="R977" s="41"/>
      <c r="S977" s="41"/>
      <c r="T977" s="575"/>
      <c r="U977" s="575"/>
      <c r="V977" s="575"/>
      <c r="W977" s="575"/>
    </row>
    <row r="978">
      <c r="A978" s="41"/>
      <c r="B978" s="41"/>
      <c r="C978" s="41"/>
      <c r="D978" s="41"/>
      <c r="E978" s="41"/>
      <c r="F978" s="41"/>
      <c r="G978" s="41"/>
      <c r="H978" s="41"/>
      <c r="I978" s="41"/>
      <c r="J978" s="41"/>
      <c r="K978" s="41"/>
      <c r="L978" s="41"/>
      <c r="M978" s="41"/>
      <c r="N978" s="41"/>
      <c r="O978" s="41"/>
      <c r="P978" s="41"/>
      <c r="Q978" s="41"/>
      <c r="R978" s="41"/>
      <c r="S978" s="41"/>
      <c r="T978" s="575"/>
      <c r="U978" s="575"/>
      <c r="V978" s="575"/>
      <c r="W978" s="575"/>
    </row>
    <row r="979">
      <c r="A979" s="41"/>
      <c r="B979" s="41"/>
      <c r="C979" s="41"/>
      <c r="D979" s="41"/>
      <c r="E979" s="41"/>
      <c r="F979" s="41"/>
      <c r="G979" s="41"/>
      <c r="H979" s="41"/>
      <c r="I979" s="41"/>
      <c r="J979" s="41"/>
      <c r="K979" s="41"/>
      <c r="L979" s="41"/>
      <c r="M979" s="41"/>
      <c r="N979" s="41"/>
      <c r="O979" s="41"/>
      <c r="P979" s="41"/>
      <c r="Q979" s="41"/>
      <c r="R979" s="41"/>
      <c r="S979" s="41"/>
      <c r="T979" s="575"/>
      <c r="U979" s="575"/>
      <c r="V979" s="575"/>
      <c r="W979" s="575"/>
    </row>
    <row r="980">
      <c r="A980" s="41"/>
      <c r="B980" s="41"/>
      <c r="C980" s="41"/>
      <c r="D980" s="41"/>
      <c r="E980" s="41"/>
      <c r="F980" s="41"/>
      <c r="G980" s="41"/>
      <c r="H980" s="41"/>
      <c r="I980" s="41"/>
      <c r="J980" s="41"/>
      <c r="K980" s="41"/>
      <c r="L980" s="41"/>
      <c r="M980" s="41"/>
      <c r="N980" s="41"/>
      <c r="O980" s="41"/>
      <c r="P980" s="41"/>
      <c r="Q980" s="41"/>
      <c r="R980" s="41"/>
      <c r="S980" s="41"/>
      <c r="T980" s="575"/>
      <c r="U980" s="575"/>
      <c r="V980" s="575"/>
      <c r="W980" s="575"/>
    </row>
    <row r="981">
      <c r="A981" s="41"/>
      <c r="B981" s="41"/>
      <c r="C981" s="41"/>
      <c r="D981" s="41"/>
      <c r="E981" s="41"/>
      <c r="F981" s="41"/>
      <c r="G981" s="41"/>
      <c r="H981" s="41"/>
      <c r="I981" s="41"/>
      <c r="J981" s="41"/>
      <c r="K981" s="41"/>
      <c r="L981" s="41"/>
      <c r="M981" s="41"/>
      <c r="N981" s="41"/>
      <c r="O981" s="41"/>
      <c r="P981" s="41"/>
      <c r="Q981" s="41"/>
      <c r="R981" s="41"/>
      <c r="S981" s="41"/>
      <c r="T981" s="575"/>
      <c r="U981" s="575"/>
      <c r="V981" s="575"/>
      <c r="W981" s="575"/>
    </row>
    <row r="982">
      <c r="A982" s="41"/>
      <c r="B982" s="41"/>
      <c r="C982" s="41"/>
      <c r="D982" s="41"/>
      <c r="E982" s="41"/>
      <c r="F982" s="41"/>
      <c r="G982" s="41"/>
      <c r="H982" s="41"/>
      <c r="I982" s="41"/>
      <c r="J982" s="41"/>
      <c r="K982" s="41"/>
      <c r="L982" s="41"/>
      <c r="M982" s="41"/>
      <c r="N982" s="41"/>
      <c r="O982" s="41"/>
      <c r="P982" s="41"/>
      <c r="Q982" s="41"/>
      <c r="R982" s="41"/>
      <c r="S982" s="41"/>
      <c r="T982" s="575"/>
      <c r="U982" s="575"/>
      <c r="V982" s="575"/>
      <c r="W982" s="575"/>
    </row>
    <row r="983">
      <c r="A983" s="41"/>
      <c r="B983" s="41"/>
      <c r="C983" s="41"/>
      <c r="D983" s="41"/>
      <c r="E983" s="41"/>
      <c r="F983" s="41"/>
      <c r="G983" s="41"/>
      <c r="H983" s="41"/>
      <c r="I983" s="41"/>
      <c r="J983" s="41"/>
      <c r="K983" s="41"/>
      <c r="L983" s="41"/>
      <c r="M983" s="41"/>
      <c r="N983" s="41"/>
      <c r="O983" s="41"/>
      <c r="P983" s="41"/>
      <c r="Q983" s="41"/>
      <c r="R983" s="41"/>
      <c r="S983" s="41"/>
      <c r="T983" s="575"/>
      <c r="U983" s="575"/>
      <c r="V983" s="575"/>
      <c r="W983" s="575"/>
    </row>
    <row r="984">
      <c r="A984" s="41"/>
      <c r="B984" s="41"/>
      <c r="C984" s="41"/>
      <c r="D984" s="41"/>
      <c r="E984" s="41"/>
      <c r="F984" s="41"/>
      <c r="G984" s="41"/>
      <c r="H984" s="41"/>
      <c r="I984" s="41"/>
      <c r="J984" s="41"/>
      <c r="K984" s="41"/>
      <c r="L984" s="41"/>
      <c r="M984" s="41"/>
      <c r="N984" s="41"/>
      <c r="O984" s="41"/>
      <c r="P984" s="41"/>
      <c r="Q984" s="41"/>
      <c r="R984" s="41"/>
      <c r="S984" s="41"/>
      <c r="T984" s="575"/>
      <c r="U984" s="575"/>
      <c r="V984" s="575"/>
      <c r="W984" s="575"/>
    </row>
    <row r="985">
      <c r="A985" s="41"/>
      <c r="B985" s="41"/>
      <c r="C985" s="41"/>
      <c r="D985" s="41"/>
      <c r="E985" s="41"/>
      <c r="F985" s="41"/>
      <c r="G985" s="41"/>
      <c r="H985" s="41"/>
      <c r="I985" s="41"/>
      <c r="J985" s="41"/>
      <c r="K985" s="41"/>
      <c r="L985" s="41"/>
      <c r="M985" s="41"/>
      <c r="N985" s="41"/>
      <c r="O985" s="41"/>
      <c r="P985" s="41"/>
      <c r="Q985" s="41"/>
      <c r="R985" s="41"/>
      <c r="S985" s="41"/>
      <c r="T985" s="575"/>
      <c r="U985" s="575"/>
      <c r="V985" s="575"/>
      <c r="W985" s="575"/>
    </row>
    <row r="986">
      <c r="A986" s="41"/>
      <c r="B986" s="41"/>
      <c r="C986" s="41"/>
      <c r="D986" s="41"/>
      <c r="E986" s="41"/>
      <c r="F986" s="41"/>
      <c r="G986" s="41"/>
      <c r="H986" s="41"/>
      <c r="I986" s="41"/>
      <c r="J986" s="41"/>
      <c r="K986" s="41"/>
      <c r="L986" s="41"/>
      <c r="M986" s="41"/>
      <c r="N986" s="41"/>
      <c r="O986" s="41"/>
      <c r="P986" s="41"/>
      <c r="Q986" s="41"/>
      <c r="R986" s="41"/>
      <c r="S986" s="41"/>
      <c r="T986" s="575"/>
      <c r="U986" s="575"/>
      <c r="V986" s="575"/>
      <c r="W986" s="575"/>
    </row>
    <row r="987">
      <c r="A987" s="41"/>
      <c r="B987" s="41"/>
      <c r="C987" s="41"/>
      <c r="D987" s="41"/>
      <c r="E987" s="41"/>
      <c r="F987" s="41"/>
      <c r="G987" s="41"/>
      <c r="H987" s="41"/>
      <c r="I987" s="41"/>
      <c r="J987" s="41"/>
      <c r="K987" s="41"/>
      <c r="L987" s="41"/>
      <c r="M987" s="41"/>
      <c r="N987" s="41"/>
      <c r="O987" s="41"/>
      <c r="P987" s="41"/>
      <c r="Q987" s="41"/>
      <c r="R987" s="41"/>
      <c r="S987" s="41"/>
      <c r="T987" s="575"/>
      <c r="U987" s="575"/>
      <c r="V987" s="575"/>
      <c r="W987" s="575"/>
    </row>
    <row r="988">
      <c r="A988" s="41"/>
      <c r="B988" s="41"/>
      <c r="C988" s="41"/>
      <c r="D988" s="41"/>
      <c r="E988" s="41"/>
      <c r="F988" s="41"/>
      <c r="G988" s="41"/>
      <c r="H988" s="41"/>
      <c r="I988" s="41"/>
      <c r="J988" s="41"/>
      <c r="K988" s="41"/>
      <c r="L988" s="41"/>
      <c r="M988" s="41"/>
      <c r="N988" s="41"/>
      <c r="O988" s="41"/>
      <c r="P988" s="41"/>
      <c r="Q988" s="41"/>
      <c r="R988" s="41"/>
      <c r="S988" s="41"/>
      <c r="T988" s="575"/>
      <c r="U988" s="575"/>
      <c r="V988" s="575"/>
      <c r="W988" s="575"/>
    </row>
    <row r="989">
      <c r="A989" s="41"/>
      <c r="B989" s="41"/>
      <c r="C989" s="41"/>
      <c r="D989" s="41"/>
      <c r="E989" s="41"/>
      <c r="F989" s="41"/>
      <c r="G989" s="41"/>
      <c r="H989" s="41"/>
      <c r="I989" s="41"/>
      <c r="J989" s="41"/>
      <c r="K989" s="41"/>
      <c r="L989" s="41"/>
      <c r="M989" s="41"/>
      <c r="N989" s="41"/>
      <c r="O989" s="41"/>
      <c r="P989" s="41"/>
      <c r="Q989" s="41"/>
      <c r="R989" s="41"/>
      <c r="S989" s="41"/>
      <c r="T989" s="575"/>
      <c r="U989" s="575"/>
      <c r="V989" s="575"/>
      <c r="W989" s="575"/>
    </row>
    <row r="990">
      <c r="A990" s="41"/>
      <c r="B990" s="41"/>
      <c r="C990" s="41"/>
      <c r="D990" s="41"/>
      <c r="E990" s="41"/>
      <c r="F990" s="41"/>
      <c r="G990" s="41"/>
      <c r="H990" s="41"/>
      <c r="I990" s="41"/>
      <c r="J990" s="41"/>
      <c r="K990" s="41"/>
      <c r="L990" s="41"/>
      <c r="M990" s="41"/>
      <c r="N990" s="41"/>
      <c r="O990" s="41"/>
      <c r="P990" s="41"/>
      <c r="Q990" s="41"/>
      <c r="R990" s="41"/>
      <c r="S990" s="41"/>
      <c r="T990" s="575"/>
      <c r="U990" s="575"/>
      <c r="V990" s="575"/>
      <c r="W990" s="575"/>
    </row>
    <row r="991">
      <c r="A991" s="41"/>
      <c r="B991" s="41"/>
      <c r="C991" s="41"/>
      <c r="D991" s="41"/>
      <c r="E991" s="41"/>
      <c r="F991" s="41"/>
      <c r="G991" s="41"/>
      <c r="H991" s="41"/>
      <c r="I991" s="41"/>
      <c r="J991" s="41"/>
      <c r="K991" s="41"/>
      <c r="L991" s="41"/>
      <c r="M991" s="41"/>
      <c r="N991" s="41"/>
      <c r="O991" s="41"/>
      <c r="P991" s="41"/>
      <c r="Q991" s="41"/>
      <c r="R991" s="41"/>
      <c r="S991" s="41"/>
      <c r="T991" s="575"/>
      <c r="U991" s="575"/>
      <c r="V991" s="575"/>
      <c r="W991" s="575"/>
    </row>
    <row r="992">
      <c r="A992" s="41"/>
      <c r="B992" s="41"/>
      <c r="C992" s="41"/>
      <c r="D992" s="41"/>
      <c r="E992" s="41"/>
      <c r="F992" s="41"/>
      <c r="G992" s="41"/>
      <c r="H992" s="41"/>
      <c r="I992" s="41"/>
      <c r="J992" s="41"/>
      <c r="K992" s="41"/>
      <c r="L992" s="41"/>
      <c r="M992" s="41"/>
      <c r="N992" s="41"/>
      <c r="O992" s="41"/>
      <c r="P992" s="41"/>
      <c r="Q992" s="41"/>
      <c r="R992" s="41"/>
      <c r="S992" s="41"/>
      <c r="T992" s="575"/>
      <c r="U992" s="575"/>
      <c r="V992" s="575"/>
      <c r="W992" s="575"/>
    </row>
    <row r="993">
      <c r="A993" s="41"/>
      <c r="B993" s="41"/>
      <c r="C993" s="41"/>
      <c r="D993" s="41"/>
      <c r="E993" s="41"/>
      <c r="F993" s="41"/>
      <c r="G993" s="41"/>
      <c r="H993" s="41"/>
      <c r="I993" s="41"/>
      <c r="J993" s="41"/>
      <c r="K993" s="41"/>
      <c r="L993" s="41"/>
      <c r="M993" s="41"/>
      <c r="N993" s="41"/>
      <c r="O993" s="41"/>
      <c r="P993" s="41"/>
      <c r="Q993" s="41"/>
      <c r="R993" s="41"/>
      <c r="S993" s="41"/>
      <c r="T993" s="575"/>
      <c r="U993" s="575"/>
      <c r="V993" s="575"/>
      <c r="W993" s="575"/>
    </row>
    <row r="994">
      <c r="A994" s="41"/>
      <c r="B994" s="41"/>
      <c r="C994" s="41"/>
      <c r="D994" s="41"/>
      <c r="E994" s="41"/>
      <c r="F994" s="41"/>
      <c r="G994" s="41"/>
      <c r="H994" s="41"/>
      <c r="I994" s="41"/>
      <c r="J994" s="41"/>
      <c r="K994" s="41"/>
      <c r="L994" s="41"/>
      <c r="M994" s="41"/>
      <c r="N994" s="41"/>
      <c r="O994" s="41"/>
      <c r="P994" s="41"/>
      <c r="Q994" s="41"/>
      <c r="R994" s="41"/>
      <c r="S994" s="41"/>
      <c r="T994" s="575"/>
      <c r="U994" s="575"/>
      <c r="V994" s="575"/>
      <c r="W994" s="575"/>
    </row>
    <row r="995">
      <c r="A995" s="41"/>
      <c r="B995" s="41"/>
      <c r="C995" s="41"/>
      <c r="D995" s="41"/>
      <c r="E995" s="41"/>
      <c r="F995" s="41"/>
      <c r="G995" s="41"/>
      <c r="H995" s="41"/>
      <c r="I995" s="41"/>
      <c r="J995" s="41"/>
      <c r="K995" s="41"/>
      <c r="L995" s="41"/>
      <c r="M995" s="41"/>
      <c r="N995" s="41"/>
      <c r="O995" s="41"/>
      <c r="P995" s="41"/>
      <c r="Q995" s="41"/>
      <c r="R995" s="41"/>
      <c r="S995" s="41"/>
      <c r="T995" s="575"/>
      <c r="U995" s="575"/>
      <c r="V995" s="575"/>
      <c r="W995" s="575"/>
    </row>
    <row r="996">
      <c r="A996" s="41"/>
      <c r="B996" s="41"/>
      <c r="C996" s="41"/>
      <c r="D996" s="41"/>
      <c r="E996" s="41"/>
      <c r="F996" s="41"/>
      <c r="G996" s="41"/>
      <c r="H996" s="41"/>
      <c r="I996" s="41"/>
      <c r="J996" s="41"/>
      <c r="K996" s="41"/>
      <c r="L996" s="41"/>
      <c r="M996" s="41"/>
      <c r="N996" s="41"/>
      <c r="O996" s="41"/>
      <c r="P996" s="41"/>
      <c r="Q996" s="41"/>
      <c r="R996" s="41"/>
      <c r="S996" s="41"/>
      <c r="T996" s="575"/>
      <c r="U996" s="575"/>
      <c r="V996" s="575"/>
      <c r="W996" s="575"/>
    </row>
    <row r="997">
      <c r="A997" s="41"/>
      <c r="B997" s="41"/>
      <c r="C997" s="41"/>
      <c r="D997" s="41"/>
      <c r="E997" s="41"/>
      <c r="F997" s="41"/>
      <c r="G997" s="41"/>
      <c r="H997" s="41"/>
      <c r="I997" s="41"/>
      <c r="J997" s="41"/>
      <c r="K997" s="41"/>
      <c r="L997" s="41"/>
      <c r="M997" s="41"/>
      <c r="N997" s="41"/>
      <c r="O997" s="41"/>
      <c r="P997" s="41"/>
      <c r="Q997" s="41"/>
      <c r="R997" s="41"/>
      <c r="S997" s="41"/>
      <c r="T997" s="575"/>
      <c r="U997" s="575"/>
      <c r="V997" s="575"/>
      <c r="W997" s="575"/>
    </row>
    <row r="998">
      <c r="A998" s="41"/>
      <c r="B998" s="41"/>
      <c r="C998" s="41"/>
      <c r="D998" s="41"/>
      <c r="E998" s="41"/>
      <c r="F998" s="41"/>
      <c r="G998" s="41"/>
      <c r="H998" s="41"/>
      <c r="I998" s="41"/>
      <c r="J998" s="41"/>
      <c r="K998" s="41"/>
      <c r="L998" s="41"/>
      <c r="M998" s="41"/>
      <c r="N998" s="41"/>
      <c r="O998" s="41"/>
      <c r="P998" s="41"/>
      <c r="Q998" s="41"/>
      <c r="R998" s="41"/>
      <c r="S998" s="41"/>
      <c r="T998" s="575"/>
      <c r="U998" s="575"/>
      <c r="V998" s="575"/>
      <c r="W998" s="575"/>
    </row>
    <row r="999">
      <c r="A999" s="41"/>
      <c r="B999" s="41"/>
      <c r="C999" s="41"/>
      <c r="D999" s="41"/>
      <c r="E999" s="41"/>
      <c r="F999" s="41"/>
      <c r="G999" s="41"/>
      <c r="H999" s="41"/>
      <c r="I999" s="41"/>
      <c r="J999" s="41"/>
      <c r="K999" s="41"/>
      <c r="L999" s="41"/>
      <c r="M999" s="41"/>
      <c r="N999" s="41"/>
      <c r="O999" s="41"/>
      <c r="P999" s="41"/>
      <c r="Q999" s="41"/>
      <c r="R999" s="41"/>
      <c r="S999" s="41"/>
      <c r="T999" s="575"/>
      <c r="U999" s="575"/>
      <c r="V999" s="575"/>
      <c r="W999" s="575"/>
    </row>
    <row r="1000">
      <c r="A1000" s="41"/>
      <c r="B1000" s="41"/>
      <c r="C1000" s="41"/>
      <c r="D1000" s="41"/>
      <c r="E1000" s="41"/>
      <c r="F1000" s="41"/>
      <c r="G1000" s="41"/>
      <c r="H1000" s="41"/>
      <c r="I1000" s="41"/>
      <c r="J1000" s="41"/>
      <c r="K1000" s="41"/>
      <c r="L1000" s="41"/>
      <c r="M1000" s="41"/>
      <c r="N1000" s="41"/>
      <c r="O1000" s="41"/>
      <c r="P1000" s="41"/>
      <c r="Q1000" s="41"/>
      <c r="R1000" s="41"/>
      <c r="S1000" s="41"/>
      <c r="T1000" s="575"/>
      <c r="U1000" s="575"/>
      <c r="V1000" s="575"/>
      <c r="W1000" s="575"/>
    </row>
    <row r="1001">
      <c r="A1001" s="41"/>
      <c r="B1001" s="41"/>
      <c r="C1001" s="41"/>
      <c r="D1001" s="41"/>
      <c r="E1001" s="41"/>
      <c r="F1001" s="41"/>
      <c r="G1001" s="41"/>
      <c r="H1001" s="41"/>
      <c r="I1001" s="41"/>
      <c r="J1001" s="41"/>
      <c r="K1001" s="41"/>
      <c r="L1001" s="41"/>
      <c r="M1001" s="41"/>
      <c r="N1001" s="41"/>
      <c r="O1001" s="41"/>
      <c r="P1001" s="41"/>
      <c r="Q1001" s="41"/>
      <c r="R1001" s="41"/>
      <c r="S1001" s="41"/>
      <c r="T1001" s="575"/>
      <c r="U1001" s="575"/>
      <c r="V1001" s="575"/>
      <c r="W1001" s="575"/>
    </row>
    <row r="1002">
      <c r="A1002" s="41"/>
      <c r="B1002" s="41"/>
      <c r="C1002" s="41"/>
      <c r="D1002" s="41"/>
      <c r="E1002" s="41"/>
      <c r="F1002" s="41"/>
      <c r="G1002" s="41"/>
      <c r="H1002" s="41"/>
      <c r="I1002" s="41"/>
      <c r="J1002" s="41"/>
      <c r="K1002" s="41"/>
      <c r="L1002" s="41"/>
      <c r="M1002" s="41"/>
      <c r="N1002" s="41"/>
      <c r="O1002" s="41"/>
      <c r="P1002" s="41"/>
      <c r="Q1002" s="41"/>
      <c r="R1002" s="41"/>
      <c r="S1002" s="41"/>
      <c r="T1002" s="575"/>
      <c r="U1002" s="575"/>
      <c r="V1002" s="575"/>
      <c r="W1002" s="575"/>
    </row>
    <row r="1003">
      <c r="A1003" s="41"/>
      <c r="B1003" s="41"/>
      <c r="C1003" s="41"/>
      <c r="D1003" s="41"/>
      <c r="E1003" s="41"/>
      <c r="F1003" s="41"/>
      <c r="G1003" s="41"/>
      <c r="H1003" s="41"/>
      <c r="I1003" s="41"/>
      <c r="J1003" s="41"/>
      <c r="K1003" s="41"/>
      <c r="L1003" s="41"/>
      <c r="M1003" s="41"/>
      <c r="N1003" s="41"/>
      <c r="O1003" s="41"/>
      <c r="P1003" s="41"/>
      <c r="Q1003" s="41"/>
      <c r="R1003" s="41"/>
      <c r="S1003" s="41"/>
      <c r="T1003" s="575"/>
      <c r="U1003" s="575"/>
      <c r="V1003" s="575"/>
      <c r="W1003" s="575"/>
    </row>
    <row r="1004">
      <c r="A1004" s="41"/>
      <c r="B1004" s="41"/>
      <c r="C1004" s="41"/>
      <c r="D1004" s="41"/>
      <c r="E1004" s="41"/>
      <c r="F1004" s="41"/>
      <c r="G1004" s="41"/>
      <c r="H1004" s="41"/>
      <c r="I1004" s="41"/>
      <c r="J1004" s="41"/>
      <c r="K1004" s="41"/>
      <c r="L1004" s="41"/>
      <c r="M1004" s="41"/>
      <c r="N1004" s="41"/>
      <c r="O1004" s="41"/>
      <c r="P1004" s="41"/>
      <c r="Q1004" s="41"/>
      <c r="R1004" s="41"/>
      <c r="S1004" s="41"/>
      <c r="T1004" s="575"/>
      <c r="U1004" s="575"/>
      <c r="V1004" s="575"/>
      <c r="W1004" s="575"/>
    </row>
    <row r="1005">
      <c r="A1005" s="41"/>
      <c r="B1005" s="41"/>
      <c r="C1005" s="41"/>
      <c r="D1005" s="41"/>
      <c r="E1005" s="41"/>
      <c r="F1005" s="41"/>
      <c r="G1005" s="41"/>
      <c r="H1005" s="41"/>
      <c r="I1005" s="41"/>
      <c r="J1005" s="41"/>
      <c r="K1005" s="41"/>
      <c r="L1005" s="41"/>
      <c r="M1005" s="41"/>
      <c r="N1005" s="41"/>
      <c r="O1005" s="41"/>
      <c r="P1005" s="41"/>
      <c r="Q1005" s="41"/>
      <c r="R1005" s="41"/>
      <c r="S1005" s="41"/>
      <c r="T1005" s="575"/>
      <c r="U1005" s="575"/>
      <c r="V1005" s="575"/>
      <c r="W1005" s="575"/>
    </row>
    <row r="1006">
      <c r="A1006" s="41"/>
      <c r="B1006" s="41"/>
      <c r="C1006" s="41"/>
      <c r="D1006" s="41"/>
      <c r="E1006" s="41"/>
      <c r="F1006" s="41"/>
      <c r="G1006" s="41"/>
      <c r="H1006" s="41"/>
      <c r="I1006" s="41"/>
      <c r="J1006" s="41"/>
      <c r="K1006" s="41"/>
      <c r="L1006" s="41"/>
      <c r="M1006" s="41"/>
      <c r="N1006" s="41"/>
      <c r="O1006" s="41"/>
      <c r="P1006" s="41"/>
      <c r="Q1006" s="41"/>
      <c r="R1006" s="41"/>
      <c r="S1006" s="41"/>
      <c r="T1006" s="575"/>
      <c r="U1006" s="575"/>
      <c r="V1006" s="575"/>
      <c r="W1006" s="575"/>
    </row>
    <row r="1007">
      <c r="A1007" s="41"/>
      <c r="B1007" s="41"/>
      <c r="C1007" s="41"/>
      <c r="D1007" s="41"/>
      <c r="E1007" s="41"/>
      <c r="F1007" s="41"/>
      <c r="G1007" s="41"/>
      <c r="H1007" s="41"/>
      <c r="I1007" s="41"/>
      <c r="J1007" s="41"/>
      <c r="K1007" s="41"/>
      <c r="L1007" s="41"/>
      <c r="M1007" s="41"/>
      <c r="N1007" s="41"/>
      <c r="O1007" s="41"/>
      <c r="P1007" s="41"/>
      <c r="Q1007" s="41"/>
      <c r="R1007" s="41"/>
      <c r="S1007" s="41"/>
      <c r="T1007" s="575"/>
      <c r="U1007" s="575"/>
      <c r="V1007" s="575"/>
      <c r="W1007" s="575"/>
    </row>
    <row r="1008">
      <c r="A1008" s="41"/>
      <c r="B1008" s="41"/>
      <c r="C1008" s="41"/>
      <c r="D1008" s="41"/>
      <c r="E1008" s="41"/>
      <c r="F1008" s="41"/>
      <c r="G1008" s="41"/>
      <c r="H1008" s="41"/>
      <c r="I1008" s="41"/>
      <c r="J1008" s="41"/>
      <c r="K1008" s="41"/>
      <c r="L1008" s="41"/>
      <c r="M1008" s="41"/>
      <c r="N1008" s="41"/>
      <c r="O1008" s="41"/>
      <c r="P1008" s="41"/>
      <c r="Q1008" s="41"/>
      <c r="R1008" s="41"/>
      <c r="S1008" s="41"/>
      <c r="T1008" s="575"/>
      <c r="U1008" s="575"/>
      <c r="V1008" s="575"/>
      <c r="W1008" s="575"/>
    </row>
    <row r="1009">
      <c r="A1009" s="41"/>
      <c r="B1009" s="41"/>
      <c r="C1009" s="41"/>
      <c r="D1009" s="41"/>
      <c r="E1009" s="41"/>
      <c r="F1009" s="41"/>
      <c r="G1009" s="41"/>
      <c r="H1009" s="41"/>
      <c r="I1009" s="41"/>
      <c r="J1009" s="41"/>
      <c r="K1009" s="41"/>
      <c r="L1009" s="41"/>
      <c r="M1009" s="41"/>
      <c r="N1009" s="41"/>
      <c r="O1009" s="41"/>
      <c r="P1009" s="41"/>
      <c r="Q1009" s="41"/>
      <c r="R1009" s="41"/>
      <c r="S1009" s="41"/>
      <c r="T1009" s="575"/>
      <c r="U1009" s="575"/>
      <c r="V1009" s="575"/>
      <c r="W1009" s="575"/>
    </row>
    <row r="1010">
      <c r="A1010" s="41"/>
      <c r="B1010" s="41"/>
      <c r="C1010" s="41"/>
      <c r="D1010" s="41"/>
      <c r="E1010" s="41"/>
      <c r="F1010" s="41"/>
      <c r="G1010" s="41"/>
      <c r="H1010" s="41"/>
      <c r="I1010" s="41"/>
      <c r="J1010" s="41"/>
      <c r="K1010" s="41"/>
      <c r="L1010" s="41"/>
      <c r="M1010" s="41"/>
      <c r="N1010" s="41"/>
      <c r="O1010" s="41"/>
      <c r="P1010" s="41"/>
      <c r="Q1010" s="41"/>
      <c r="R1010" s="41"/>
      <c r="S1010" s="41"/>
      <c r="T1010" s="575"/>
      <c r="U1010" s="575"/>
      <c r="V1010" s="575"/>
      <c r="W1010" s="575"/>
    </row>
    <row r="1011">
      <c r="A1011" s="41"/>
      <c r="B1011" s="41"/>
      <c r="C1011" s="41"/>
      <c r="D1011" s="41"/>
      <c r="E1011" s="41"/>
      <c r="F1011" s="41"/>
      <c r="G1011" s="41"/>
      <c r="H1011" s="41"/>
      <c r="I1011" s="41"/>
      <c r="J1011" s="41"/>
      <c r="K1011" s="41"/>
      <c r="L1011" s="41"/>
      <c r="M1011" s="41"/>
      <c r="N1011" s="41"/>
      <c r="O1011" s="41"/>
      <c r="P1011" s="41"/>
      <c r="Q1011" s="41"/>
      <c r="R1011" s="41"/>
      <c r="S1011" s="41"/>
      <c r="T1011" s="575"/>
      <c r="U1011" s="575"/>
      <c r="V1011" s="575"/>
      <c r="W1011" s="575"/>
    </row>
    <row r="1012">
      <c r="A1012" s="41"/>
      <c r="B1012" s="41"/>
      <c r="C1012" s="41"/>
      <c r="D1012" s="41"/>
      <c r="E1012" s="41"/>
      <c r="F1012" s="41"/>
      <c r="G1012" s="41"/>
      <c r="H1012" s="41"/>
      <c r="I1012" s="41"/>
      <c r="J1012" s="41"/>
      <c r="K1012" s="41"/>
      <c r="L1012" s="41"/>
      <c r="M1012" s="41"/>
      <c r="N1012" s="41"/>
      <c r="O1012" s="41"/>
      <c r="P1012" s="41"/>
      <c r="Q1012" s="41"/>
      <c r="R1012" s="41"/>
      <c r="S1012" s="41"/>
      <c r="T1012" s="575"/>
      <c r="U1012" s="575"/>
      <c r="V1012" s="575"/>
      <c r="W1012" s="575"/>
    </row>
    <row r="1013">
      <c r="A1013" s="41"/>
      <c r="B1013" s="41"/>
      <c r="C1013" s="41"/>
      <c r="D1013" s="41"/>
      <c r="E1013" s="41"/>
      <c r="F1013" s="41"/>
      <c r="G1013" s="41"/>
      <c r="H1013" s="41"/>
      <c r="I1013" s="41"/>
      <c r="J1013" s="41"/>
      <c r="K1013" s="41"/>
      <c r="L1013" s="41"/>
      <c r="M1013" s="41"/>
      <c r="N1013" s="41"/>
      <c r="O1013" s="41"/>
      <c r="P1013" s="41"/>
      <c r="Q1013" s="41"/>
      <c r="R1013" s="41"/>
      <c r="S1013" s="41"/>
      <c r="T1013" s="575"/>
      <c r="U1013" s="575"/>
      <c r="V1013" s="575"/>
      <c r="W1013" s="575"/>
    </row>
    <row r="1014">
      <c r="A1014" s="41"/>
      <c r="B1014" s="41"/>
      <c r="C1014" s="41"/>
      <c r="D1014" s="41"/>
      <c r="E1014" s="41"/>
      <c r="F1014" s="41"/>
      <c r="G1014" s="41"/>
      <c r="H1014" s="41"/>
      <c r="I1014" s="41"/>
      <c r="J1014" s="41"/>
      <c r="K1014" s="41"/>
      <c r="L1014" s="41"/>
      <c r="M1014" s="41"/>
      <c r="N1014" s="41"/>
      <c r="O1014" s="41"/>
      <c r="P1014" s="41"/>
      <c r="Q1014" s="41"/>
      <c r="R1014" s="41"/>
      <c r="S1014" s="41"/>
      <c r="T1014" s="575"/>
      <c r="U1014" s="575"/>
      <c r="V1014" s="575"/>
      <c r="W1014" s="575"/>
    </row>
    <row r="1015">
      <c r="A1015" s="41"/>
      <c r="B1015" s="41"/>
      <c r="C1015" s="41"/>
      <c r="D1015" s="41"/>
      <c r="E1015" s="41"/>
      <c r="F1015" s="41"/>
      <c r="G1015" s="41"/>
      <c r="H1015" s="41"/>
      <c r="I1015" s="41"/>
      <c r="J1015" s="41"/>
      <c r="K1015" s="41"/>
      <c r="L1015" s="41"/>
      <c r="M1015" s="41"/>
      <c r="N1015" s="41"/>
      <c r="O1015" s="41"/>
      <c r="P1015" s="41"/>
      <c r="Q1015" s="41"/>
      <c r="R1015" s="41"/>
      <c r="S1015" s="41"/>
      <c r="T1015" s="575"/>
      <c r="U1015" s="575"/>
      <c r="V1015" s="575"/>
      <c r="W1015" s="575"/>
    </row>
    <row r="1016">
      <c r="A1016" s="41"/>
      <c r="B1016" s="41"/>
      <c r="C1016" s="41"/>
      <c r="D1016" s="41"/>
      <c r="E1016" s="41"/>
      <c r="F1016" s="41"/>
      <c r="G1016" s="41"/>
      <c r="H1016" s="41"/>
      <c r="I1016" s="41"/>
      <c r="J1016" s="41"/>
      <c r="K1016" s="41"/>
      <c r="L1016" s="41"/>
      <c r="M1016" s="41"/>
      <c r="N1016" s="41"/>
      <c r="O1016" s="41"/>
      <c r="P1016" s="41"/>
      <c r="Q1016" s="41"/>
      <c r="R1016" s="41"/>
      <c r="S1016" s="41"/>
      <c r="T1016" s="575"/>
      <c r="U1016" s="575"/>
      <c r="V1016" s="575"/>
      <c r="W1016" s="575"/>
    </row>
    <row r="1017">
      <c r="A1017" s="41"/>
      <c r="B1017" s="41"/>
      <c r="C1017" s="41"/>
      <c r="D1017" s="41"/>
      <c r="E1017" s="41"/>
      <c r="F1017" s="41"/>
      <c r="G1017" s="41"/>
      <c r="H1017" s="41"/>
      <c r="I1017" s="41"/>
      <c r="J1017" s="41"/>
      <c r="K1017" s="41"/>
      <c r="L1017" s="41"/>
      <c r="M1017" s="41"/>
      <c r="N1017" s="41"/>
      <c r="O1017" s="41"/>
      <c r="P1017" s="41"/>
      <c r="Q1017" s="41"/>
      <c r="R1017" s="41"/>
      <c r="S1017" s="41"/>
      <c r="T1017" s="575"/>
      <c r="U1017" s="575"/>
      <c r="V1017" s="575"/>
      <c r="W1017" s="575"/>
    </row>
    <row r="1018">
      <c r="A1018" s="41"/>
      <c r="B1018" s="41"/>
      <c r="C1018" s="41"/>
      <c r="D1018" s="41"/>
      <c r="E1018" s="41"/>
      <c r="F1018" s="41"/>
      <c r="G1018" s="41"/>
      <c r="H1018" s="41"/>
      <c r="I1018" s="41"/>
      <c r="J1018" s="41"/>
      <c r="K1018" s="41"/>
      <c r="L1018" s="41"/>
      <c r="M1018" s="41"/>
      <c r="N1018" s="41"/>
      <c r="O1018" s="41"/>
      <c r="P1018" s="41"/>
      <c r="Q1018" s="41"/>
      <c r="R1018" s="41"/>
      <c r="S1018" s="41"/>
      <c r="T1018" s="575"/>
      <c r="U1018" s="575"/>
      <c r="V1018" s="575"/>
      <c r="W1018" s="575"/>
    </row>
    <row r="1019">
      <c r="A1019" s="41"/>
      <c r="B1019" s="41"/>
      <c r="C1019" s="41"/>
      <c r="D1019" s="41"/>
      <c r="E1019" s="41"/>
      <c r="F1019" s="41"/>
      <c r="G1019" s="41"/>
      <c r="H1019" s="41"/>
      <c r="I1019" s="41"/>
      <c r="J1019" s="41"/>
      <c r="K1019" s="41"/>
      <c r="L1019" s="41"/>
      <c r="M1019" s="41"/>
      <c r="N1019" s="41"/>
      <c r="O1019" s="41"/>
      <c r="P1019" s="41"/>
      <c r="Q1019" s="41"/>
      <c r="R1019" s="41"/>
      <c r="S1019" s="41"/>
      <c r="T1019" s="575"/>
      <c r="U1019" s="575"/>
      <c r="V1019" s="575"/>
      <c r="W1019" s="575"/>
    </row>
    <row r="1020">
      <c r="A1020" s="41"/>
      <c r="B1020" s="41"/>
      <c r="C1020" s="41"/>
      <c r="D1020" s="41"/>
      <c r="E1020" s="41"/>
      <c r="F1020" s="41"/>
      <c r="G1020" s="41"/>
      <c r="H1020" s="41"/>
      <c r="I1020" s="41"/>
      <c r="J1020" s="41"/>
      <c r="K1020" s="41"/>
      <c r="L1020" s="41"/>
      <c r="M1020" s="41"/>
      <c r="N1020" s="41"/>
      <c r="O1020" s="41"/>
      <c r="P1020" s="41"/>
      <c r="Q1020" s="41"/>
      <c r="R1020" s="41"/>
      <c r="S1020" s="41"/>
      <c r="T1020" s="575"/>
      <c r="U1020" s="575"/>
      <c r="V1020" s="575"/>
      <c r="W1020" s="575"/>
    </row>
    <row r="1021">
      <c r="A1021" s="41"/>
      <c r="B1021" s="41"/>
      <c r="C1021" s="41"/>
      <c r="D1021" s="41"/>
      <c r="E1021" s="41"/>
      <c r="F1021" s="41"/>
      <c r="G1021" s="41"/>
      <c r="H1021" s="41"/>
      <c r="I1021" s="41"/>
      <c r="J1021" s="41"/>
      <c r="K1021" s="41"/>
      <c r="L1021" s="41"/>
      <c r="M1021" s="41"/>
      <c r="N1021" s="41"/>
      <c r="O1021" s="41"/>
      <c r="P1021" s="41"/>
      <c r="Q1021" s="41"/>
      <c r="R1021" s="41"/>
      <c r="S1021" s="41"/>
      <c r="T1021" s="575"/>
      <c r="U1021" s="575"/>
      <c r="V1021" s="575"/>
      <c r="W1021" s="575"/>
    </row>
    <row r="1022">
      <c r="A1022" s="41"/>
      <c r="B1022" s="41"/>
      <c r="C1022" s="41"/>
      <c r="D1022" s="41"/>
      <c r="E1022" s="41"/>
      <c r="F1022" s="41"/>
      <c r="G1022" s="41"/>
      <c r="H1022" s="41"/>
      <c r="I1022" s="41"/>
      <c r="J1022" s="41"/>
      <c r="K1022" s="41"/>
      <c r="L1022" s="41"/>
      <c r="M1022" s="41"/>
      <c r="N1022" s="41"/>
      <c r="O1022" s="41"/>
      <c r="P1022" s="41"/>
      <c r="Q1022" s="41"/>
      <c r="R1022" s="41"/>
      <c r="S1022" s="41"/>
      <c r="T1022" s="575"/>
      <c r="U1022" s="575"/>
      <c r="V1022" s="575"/>
      <c r="W1022" s="575"/>
    </row>
    <row r="1023">
      <c r="A1023" s="41"/>
      <c r="B1023" s="41"/>
      <c r="C1023" s="41"/>
      <c r="D1023" s="41"/>
      <c r="E1023" s="41"/>
      <c r="F1023" s="41"/>
      <c r="G1023" s="41"/>
      <c r="H1023" s="41"/>
      <c r="I1023" s="41"/>
      <c r="J1023" s="41"/>
      <c r="K1023" s="41"/>
      <c r="L1023" s="41"/>
      <c r="M1023" s="41"/>
      <c r="N1023" s="41"/>
      <c r="O1023" s="41"/>
      <c r="P1023" s="41"/>
      <c r="Q1023" s="41"/>
      <c r="R1023" s="41"/>
      <c r="S1023" s="41"/>
      <c r="T1023" s="575"/>
      <c r="U1023" s="575"/>
      <c r="V1023" s="575"/>
      <c r="W1023" s="575"/>
    </row>
    <row r="1024">
      <c r="A1024" s="41"/>
      <c r="B1024" s="41"/>
      <c r="C1024" s="41"/>
      <c r="D1024" s="41"/>
      <c r="E1024" s="41"/>
      <c r="F1024" s="41"/>
      <c r="G1024" s="41"/>
      <c r="H1024" s="41"/>
      <c r="I1024" s="41"/>
      <c r="J1024" s="41"/>
      <c r="K1024" s="41"/>
      <c r="L1024" s="41"/>
      <c r="M1024" s="41"/>
      <c r="N1024" s="41"/>
      <c r="O1024" s="41"/>
      <c r="P1024" s="41"/>
      <c r="Q1024" s="41"/>
      <c r="R1024" s="41"/>
      <c r="S1024" s="41"/>
      <c r="T1024" s="575"/>
      <c r="U1024" s="575"/>
      <c r="V1024" s="575"/>
      <c r="W1024" s="575"/>
    </row>
    <row r="1025">
      <c r="A1025" s="41"/>
      <c r="B1025" s="41"/>
      <c r="C1025" s="41"/>
      <c r="D1025" s="41"/>
      <c r="E1025" s="41"/>
      <c r="F1025" s="41"/>
      <c r="G1025" s="41"/>
      <c r="H1025" s="41"/>
      <c r="I1025" s="41"/>
      <c r="J1025" s="41"/>
      <c r="K1025" s="41"/>
      <c r="L1025" s="41"/>
      <c r="M1025" s="41"/>
      <c r="N1025" s="41"/>
      <c r="O1025" s="41"/>
      <c r="P1025" s="41"/>
      <c r="Q1025" s="41"/>
      <c r="R1025" s="41"/>
      <c r="S1025" s="41"/>
      <c r="T1025" s="575"/>
      <c r="U1025" s="575"/>
      <c r="V1025" s="575"/>
      <c r="W1025" s="575"/>
    </row>
    <row r="1026">
      <c r="A1026" s="41"/>
      <c r="B1026" s="41"/>
      <c r="C1026" s="41"/>
      <c r="D1026" s="41"/>
      <c r="E1026" s="41"/>
      <c r="F1026" s="41"/>
      <c r="G1026" s="41"/>
      <c r="H1026" s="41"/>
      <c r="I1026" s="41"/>
      <c r="J1026" s="41"/>
      <c r="K1026" s="41"/>
      <c r="L1026" s="41"/>
      <c r="M1026" s="41"/>
      <c r="N1026" s="41"/>
      <c r="O1026" s="41"/>
      <c r="P1026" s="41"/>
      <c r="Q1026" s="41"/>
      <c r="R1026" s="41"/>
      <c r="S1026" s="41"/>
      <c r="T1026" s="575"/>
      <c r="U1026" s="575"/>
      <c r="V1026" s="575"/>
      <c r="W1026" s="575"/>
    </row>
    <row r="1027">
      <c r="A1027" s="41"/>
      <c r="B1027" s="41"/>
      <c r="C1027" s="41"/>
      <c r="D1027" s="41"/>
      <c r="E1027" s="41"/>
      <c r="F1027" s="41"/>
      <c r="G1027" s="41"/>
      <c r="H1027" s="41"/>
      <c r="I1027" s="41"/>
      <c r="J1027" s="41"/>
      <c r="K1027" s="41"/>
      <c r="L1027" s="41"/>
      <c r="M1027" s="41"/>
      <c r="N1027" s="41"/>
      <c r="O1027" s="41"/>
      <c r="P1027" s="41"/>
      <c r="Q1027" s="41"/>
      <c r="R1027" s="41"/>
      <c r="S1027" s="41"/>
      <c r="T1027" s="575"/>
      <c r="U1027" s="575"/>
      <c r="V1027" s="575"/>
      <c r="W1027" s="575"/>
    </row>
    <row r="1028">
      <c r="A1028" s="41"/>
      <c r="B1028" s="41"/>
      <c r="C1028" s="41"/>
      <c r="D1028" s="41"/>
      <c r="E1028" s="41"/>
      <c r="F1028" s="41"/>
      <c r="G1028" s="41"/>
      <c r="H1028" s="41"/>
      <c r="I1028" s="41"/>
      <c r="J1028" s="41"/>
      <c r="K1028" s="41"/>
      <c r="L1028" s="41"/>
      <c r="M1028" s="41"/>
      <c r="N1028" s="41"/>
      <c r="O1028" s="41"/>
      <c r="P1028" s="41"/>
      <c r="Q1028" s="41"/>
      <c r="R1028" s="41"/>
      <c r="S1028" s="41"/>
      <c r="T1028" s="575"/>
      <c r="U1028" s="575"/>
      <c r="V1028" s="575"/>
      <c r="W1028" s="575"/>
    </row>
    <row r="1029">
      <c r="A1029" s="41"/>
      <c r="B1029" s="41"/>
      <c r="C1029" s="41"/>
      <c r="D1029" s="41"/>
      <c r="E1029" s="41"/>
      <c r="F1029" s="41"/>
      <c r="G1029" s="41"/>
      <c r="H1029" s="41"/>
      <c r="I1029" s="41"/>
      <c r="J1029" s="41"/>
      <c r="K1029" s="41"/>
      <c r="L1029" s="41"/>
      <c r="M1029" s="41"/>
      <c r="N1029" s="41"/>
      <c r="O1029" s="41"/>
      <c r="P1029" s="41"/>
      <c r="Q1029" s="41"/>
      <c r="R1029" s="41"/>
      <c r="S1029" s="41"/>
      <c r="T1029" s="575"/>
      <c r="U1029" s="575"/>
      <c r="V1029" s="575"/>
      <c r="W1029" s="575"/>
    </row>
    <row r="1030">
      <c r="A1030" s="41"/>
      <c r="B1030" s="41"/>
      <c r="C1030" s="41"/>
      <c r="D1030" s="41"/>
      <c r="E1030" s="41"/>
      <c r="F1030" s="41"/>
      <c r="G1030" s="41"/>
      <c r="H1030" s="41"/>
      <c r="I1030" s="41"/>
      <c r="J1030" s="41"/>
      <c r="K1030" s="41"/>
      <c r="L1030" s="41"/>
      <c r="M1030" s="41"/>
      <c r="N1030" s="41"/>
      <c r="O1030" s="41"/>
      <c r="P1030" s="41"/>
      <c r="Q1030" s="41"/>
      <c r="R1030" s="41"/>
      <c r="S1030" s="41"/>
      <c r="T1030" s="575"/>
      <c r="U1030" s="575"/>
      <c r="V1030" s="575"/>
      <c r="W1030" s="575"/>
    </row>
    <row r="1031">
      <c r="A1031" s="41"/>
      <c r="B1031" s="41"/>
      <c r="C1031" s="41"/>
      <c r="D1031" s="41"/>
      <c r="E1031" s="41"/>
      <c r="F1031" s="41"/>
      <c r="G1031" s="41"/>
      <c r="H1031" s="41"/>
      <c r="I1031" s="41"/>
      <c r="J1031" s="41"/>
      <c r="K1031" s="41"/>
      <c r="L1031" s="41"/>
      <c r="M1031" s="41"/>
      <c r="N1031" s="41"/>
      <c r="O1031" s="41"/>
      <c r="P1031" s="41"/>
      <c r="Q1031" s="41"/>
      <c r="R1031" s="41"/>
      <c r="S1031" s="41"/>
      <c r="T1031" s="575"/>
      <c r="U1031" s="575"/>
      <c r="V1031" s="575"/>
      <c r="W1031" s="575"/>
    </row>
    <row r="1032">
      <c r="A1032" s="41"/>
      <c r="B1032" s="41"/>
      <c r="C1032" s="41"/>
      <c r="D1032" s="41"/>
      <c r="E1032" s="41"/>
      <c r="F1032" s="41"/>
      <c r="G1032" s="41"/>
      <c r="H1032" s="41"/>
      <c r="I1032" s="41"/>
      <c r="J1032" s="41"/>
      <c r="K1032" s="41"/>
      <c r="L1032" s="41"/>
      <c r="M1032" s="41"/>
      <c r="N1032" s="41"/>
      <c r="O1032" s="41"/>
      <c r="P1032" s="41"/>
      <c r="Q1032" s="41"/>
      <c r="R1032" s="41"/>
      <c r="S1032" s="41"/>
      <c r="T1032" s="575"/>
      <c r="U1032" s="575"/>
      <c r="V1032" s="575"/>
      <c r="W1032" s="575"/>
    </row>
    <row r="1033">
      <c r="A1033" s="41"/>
      <c r="B1033" s="41"/>
      <c r="C1033" s="41"/>
      <c r="D1033" s="41"/>
      <c r="E1033" s="41"/>
      <c r="F1033" s="41"/>
      <c r="G1033" s="41"/>
      <c r="H1033" s="41"/>
      <c r="I1033" s="41"/>
      <c r="J1033" s="41"/>
      <c r="K1033" s="41"/>
      <c r="L1033" s="41"/>
      <c r="M1033" s="41"/>
      <c r="N1033" s="41"/>
      <c r="O1033" s="41"/>
      <c r="P1033" s="41"/>
      <c r="Q1033" s="41"/>
      <c r="R1033" s="41"/>
      <c r="S1033" s="41"/>
      <c r="T1033" s="575"/>
      <c r="U1033" s="575"/>
      <c r="V1033" s="575"/>
      <c r="W1033" s="575"/>
    </row>
    <row r="1034">
      <c r="A1034" s="41"/>
      <c r="B1034" s="41"/>
      <c r="C1034" s="41"/>
      <c r="D1034" s="41"/>
      <c r="E1034" s="41"/>
      <c r="F1034" s="41"/>
      <c r="G1034" s="41"/>
      <c r="H1034" s="41"/>
      <c r="I1034" s="41"/>
      <c r="J1034" s="41"/>
      <c r="K1034" s="41"/>
      <c r="L1034" s="41"/>
      <c r="M1034" s="41"/>
      <c r="N1034" s="41"/>
      <c r="O1034" s="41"/>
      <c r="P1034" s="41"/>
      <c r="Q1034" s="41"/>
      <c r="R1034" s="41"/>
      <c r="S1034" s="41"/>
      <c r="T1034" s="575"/>
      <c r="U1034" s="575"/>
      <c r="V1034" s="575"/>
      <c r="W1034" s="575"/>
    </row>
    <row r="1035">
      <c r="A1035" s="41"/>
      <c r="B1035" s="41"/>
      <c r="C1035" s="41"/>
      <c r="D1035" s="41"/>
      <c r="E1035" s="41"/>
      <c r="F1035" s="41"/>
      <c r="G1035" s="41"/>
      <c r="H1035" s="41"/>
      <c r="I1035" s="41"/>
      <c r="J1035" s="41"/>
      <c r="K1035" s="41"/>
      <c r="L1035" s="41"/>
      <c r="M1035" s="41"/>
      <c r="N1035" s="41"/>
      <c r="O1035" s="41"/>
      <c r="P1035" s="41"/>
      <c r="Q1035" s="41"/>
      <c r="R1035" s="41"/>
      <c r="S1035" s="41"/>
      <c r="T1035" s="575"/>
      <c r="U1035" s="575"/>
      <c r="V1035" s="575"/>
      <c r="W1035" s="575"/>
    </row>
    <row r="1036">
      <c r="A1036" s="41"/>
      <c r="B1036" s="41"/>
      <c r="C1036" s="41"/>
      <c r="D1036" s="41"/>
      <c r="E1036" s="41"/>
      <c r="F1036" s="41"/>
      <c r="G1036" s="41"/>
      <c r="H1036" s="41"/>
      <c r="I1036" s="41"/>
      <c r="J1036" s="41"/>
      <c r="K1036" s="41"/>
      <c r="L1036" s="41"/>
      <c r="M1036" s="41"/>
      <c r="N1036" s="41"/>
      <c r="O1036" s="41"/>
      <c r="P1036" s="41"/>
      <c r="Q1036" s="41"/>
      <c r="R1036" s="41"/>
      <c r="S1036" s="41"/>
      <c r="T1036" s="575"/>
      <c r="U1036" s="575"/>
      <c r="V1036" s="575"/>
      <c r="W1036" s="575"/>
    </row>
    <row r="1037">
      <c r="A1037" s="41"/>
      <c r="B1037" s="41"/>
      <c r="C1037" s="41"/>
      <c r="D1037" s="41"/>
      <c r="E1037" s="41"/>
      <c r="F1037" s="41"/>
      <c r="G1037" s="41"/>
      <c r="H1037" s="41"/>
      <c r="I1037" s="41"/>
      <c r="J1037" s="41"/>
      <c r="K1037" s="41"/>
      <c r="L1037" s="41"/>
      <c r="M1037" s="41"/>
      <c r="N1037" s="41"/>
      <c r="O1037" s="41"/>
      <c r="P1037" s="41"/>
      <c r="Q1037" s="41"/>
      <c r="R1037" s="41"/>
      <c r="S1037" s="41"/>
      <c r="T1037" s="575"/>
      <c r="U1037" s="575"/>
      <c r="V1037" s="575"/>
      <c r="W1037" s="575"/>
    </row>
    <row r="1038">
      <c r="A1038" s="41"/>
      <c r="B1038" s="41"/>
      <c r="C1038" s="41"/>
      <c r="D1038" s="41"/>
      <c r="E1038" s="41"/>
      <c r="F1038" s="41"/>
      <c r="G1038" s="41"/>
      <c r="H1038" s="41"/>
      <c r="I1038" s="41"/>
      <c r="J1038" s="41"/>
      <c r="K1038" s="41"/>
      <c r="L1038" s="41"/>
      <c r="M1038" s="41"/>
      <c r="N1038" s="41"/>
      <c r="O1038" s="41"/>
      <c r="P1038" s="41"/>
      <c r="Q1038" s="41"/>
      <c r="R1038" s="41"/>
      <c r="S1038" s="41"/>
      <c r="T1038" s="575"/>
      <c r="U1038" s="575"/>
      <c r="V1038" s="575"/>
      <c r="W1038" s="575"/>
    </row>
    <row r="1039">
      <c r="A1039" s="41"/>
      <c r="B1039" s="41"/>
      <c r="C1039" s="41"/>
      <c r="D1039" s="41"/>
      <c r="E1039" s="41"/>
      <c r="F1039" s="41"/>
      <c r="G1039" s="41"/>
      <c r="H1039" s="41"/>
      <c r="I1039" s="41"/>
      <c r="J1039" s="41"/>
      <c r="K1039" s="41"/>
      <c r="L1039" s="41"/>
      <c r="M1039" s="41"/>
      <c r="N1039" s="41"/>
      <c r="O1039" s="41"/>
      <c r="P1039" s="41"/>
      <c r="Q1039" s="41"/>
      <c r="R1039" s="41"/>
      <c r="S1039" s="41"/>
      <c r="T1039" s="575"/>
      <c r="U1039" s="575"/>
      <c r="V1039" s="575"/>
      <c r="W1039" s="575"/>
    </row>
    <row r="1040">
      <c r="A1040" s="41"/>
      <c r="B1040" s="41"/>
      <c r="C1040" s="41"/>
      <c r="D1040" s="41"/>
      <c r="E1040" s="41"/>
      <c r="F1040" s="41"/>
      <c r="G1040" s="41"/>
      <c r="H1040" s="41"/>
      <c r="I1040" s="41"/>
      <c r="J1040" s="41"/>
      <c r="K1040" s="41"/>
      <c r="L1040" s="41"/>
      <c r="M1040" s="41"/>
      <c r="N1040" s="41"/>
      <c r="O1040" s="41"/>
      <c r="P1040" s="41"/>
      <c r="Q1040" s="41"/>
      <c r="R1040" s="41"/>
      <c r="S1040" s="41"/>
      <c r="T1040" s="575"/>
      <c r="U1040" s="575"/>
      <c r="V1040" s="575"/>
      <c r="W1040" s="575"/>
    </row>
    <row r="1041">
      <c r="A1041" s="41"/>
      <c r="B1041" s="41"/>
      <c r="C1041" s="41"/>
      <c r="D1041" s="41"/>
      <c r="E1041" s="41"/>
      <c r="F1041" s="41"/>
      <c r="G1041" s="41"/>
      <c r="H1041" s="41"/>
      <c r="I1041" s="41"/>
      <c r="J1041" s="41"/>
      <c r="K1041" s="41"/>
      <c r="L1041" s="41"/>
      <c r="M1041" s="41"/>
      <c r="N1041" s="41"/>
      <c r="O1041" s="41"/>
      <c r="P1041" s="41"/>
      <c r="Q1041" s="41"/>
      <c r="R1041" s="41"/>
      <c r="S1041" s="41"/>
      <c r="T1041" s="575"/>
      <c r="U1041" s="575"/>
      <c r="V1041" s="575"/>
      <c r="W1041" s="575"/>
    </row>
    <row r="1042">
      <c r="A1042" s="41"/>
      <c r="B1042" s="41"/>
      <c r="C1042" s="41"/>
      <c r="D1042" s="41"/>
      <c r="E1042" s="41"/>
      <c r="F1042" s="41"/>
      <c r="G1042" s="41"/>
      <c r="H1042" s="41"/>
      <c r="I1042" s="41"/>
      <c r="J1042" s="41"/>
      <c r="K1042" s="41"/>
      <c r="L1042" s="41"/>
      <c r="M1042" s="41"/>
      <c r="N1042" s="41"/>
      <c r="O1042" s="41"/>
      <c r="P1042" s="41"/>
      <c r="Q1042" s="41"/>
      <c r="R1042" s="41"/>
      <c r="S1042" s="41"/>
      <c r="T1042" s="575"/>
      <c r="U1042" s="575"/>
      <c r="V1042" s="575"/>
      <c r="W1042" s="575"/>
    </row>
    <row r="1043">
      <c r="A1043" s="41"/>
      <c r="B1043" s="41"/>
      <c r="C1043" s="41"/>
      <c r="D1043" s="41"/>
      <c r="E1043" s="41"/>
      <c r="F1043" s="41"/>
      <c r="G1043" s="41"/>
      <c r="H1043" s="41"/>
      <c r="I1043" s="41"/>
      <c r="J1043" s="41"/>
      <c r="K1043" s="41"/>
      <c r="L1043" s="41"/>
      <c r="M1043" s="41"/>
      <c r="N1043" s="41"/>
      <c r="O1043" s="41"/>
      <c r="P1043" s="41"/>
      <c r="Q1043" s="41"/>
      <c r="R1043" s="41"/>
      <c r="S1043" s="41"/>
      <c r="T1043" s="575"/>
      <c r="U1043" s="575"/>
      <c r="V1043" s="575"/>
      <c r="W1043" s="575"/>
    </row>
    <row r="1044">
      <c r="A1044" s="41"/>
      <c r="B1044" s="41"/>
      <c r="C1044" s="41"/>
      <c r="D1044" s="41"/>
      <c r="E1044" s="41"/>
      <c r="F1044" s="41"/>
      <c r="G1044" s="41"/>
      <c r="H1044" s="41"/>
      <c r="I1044" s="41"/>
      <c r="J1044" s="41"/>
      <c r="K1044" s="41"/>
      <c r="L1044" s="41"/>
      <c r="M1044" s="41"/>
      <c r="N1044" s="41"/>
      <c r="O1044" s="41"/>
      <c r="P1044" s="41"/>
      <c r="Q1044" s="41"/>
      <c r="R1044" s="41"/>
      <c r="S1044" s="41"/>
      <c r="T1044" s="575"/>
      <c r="U1044" s="575"/>
      <c r="V1044" s="575"/>
      <c r="W1044" s="575"/>
    </row>
    <row r="1045">
      <c r="A1045" s="41"/>
      <c r="B1045" s="41"/>
      <c r="C1045" s="41"/>
      <c r="D1045" s="41"/>
      <c r="E1045" s="41"/>
      <c r="F1045" s="41"/>
      <c r="G1045" s="41"/>
      <c r="H1045" s="41"/>
      <c r="I1045" s="41"/>
      <c r="J1045" s="41"/>
      <c r="K1045" s="41"/>
      <c r="L1045" s="41"/>
      <c r="M1045" s="41"/>
      <c r="N1045" s="41"/>
      <c r="O1045" s="41"/>
      <c r="P1045" s="41"/>
      <c r="Q1045" s="41"/>
      <c r="R1045" s="41"/>
      <c r="S1045" s="41"/>
      <c r="T1045" s="575"/>
      <c r="U1045" s="575"/>
      <c r="V1045" s="575"/>
      <c r="W1045" s="575"/>
    </row>
    <row r="1046">
      <c r="A1046" s="41"/>
      <c r="B1046" s="41"/>
      <c r="C1046" s="41"/>
      <c r="D1046" s="41"/>
      <c r="E1046" s="41"/>
      <c r="F1046" s="41"/>
      <c r="G1046" s="41"/>
      <c r="H1046" s="41"/>
      <c r="I1046" s="41"/>
      <c r="J1046" s="41"/>
      <c r="K1046" s="41"/>
      <c r="L1046" s="41"/>
      <c r="M1046" s="41"/>
      <c r="N1046" s="41"/>
      <c r="O1046" s="41"/>
      <c r="P1046" s="41"/>
      <c r="Q1046" s="41"/>
      <c r="R1046" s="41"/>
      <c r="S1046" s="41"/>
      <c r="T1046" s="575"/>
      <c r="U1046" s="575"/>
      <c r="V1046" s="575"/>
      <c r="W1046" s="575"/>
    </row>
    <row r="1047">
      <c r="A1047" s="41"/>
      <c r="B1047" s="41"/>
      <c r="C1047" s="41"/>
      <c r="D1047" s="41"/>
      <c r="E1047" s="41"/>
      <c r="F1047" s="41"/>
      <c r="G1047" s="41"/>
      <c r="H1047" s="41"/>
      <c r="I1047" s="41"/>
      <c r="J1047" s="41"/>
      <c r="K1047" s="41"/>
      <c r="L1047" s="41"/>
      <c r="M1047" s="41"/>
      <c r="N1047" s="41"/>
      <c r="O1047" s="41"/>
      <c r="P1047" s="41"/>
      <c r="Q1047" s="41"/>
      <c r="R1047" s="41"/>
      <c r="S1047" s="41"/>
      <c r="T1047" s="575"/>
      <c r="U1047" s="575"/>
      <c r="V1047" s="575"/>
      <c r="W1047" s="575"/>
    </row>
    <row r="1048">
      <c r="A1048" s="41"/>
      <c r="B1048" s="41"/>
      <c r="C1048" s="41"/>
      <c r="D1048" s="41"/>
      <c r="E1048" s="41"/>
      <c r="F1048" s="41"/>
      <c r="G1048" s="41"/>
      <c r="H1048" s="41"/>
      <c r="I1048" s="41"/>
      <c r="J1048" s="41"/>
      <c r="K1048" s="41"/>
      <c r="L1048" s="41"/>
      <c r="M1048" s="41"/>
      <c r="N1048" s="41"/>
      <c r="O1048" s="41"/>
      <c r="P1048" s="41"/>
      <c r="Q1048" s="41"/>
      <c r="R1048" s="41"/>
      <c r="S1048" s="41"/>
      <c r="T1048" s="575"/>
      <c r="U1048" s="575"/>
      <c r="V1048" s="575"/>
      <c r="W1048" s="575"/>
    </row>
    <row r="1049">
      <c r="A1049" s="41"/>
      <c r="B1049" s="41"/>
      <c r="C1049" s="41"/>
      <c r="D1049" s="41"/>
      <c r="E1049" s="41"/>
      <c r="F1049" s="41"/>
      <c r="G1049" s="41"/>
      <c r="H1049" s="41"/>
      <c r="I1049" s="41"/>
      <c r="J1049" s="41"/>
      <c r="K1049" s="41"/>
      <c r="L1049" s="41"/>
      <c r="M1049" s="41"/>
      <c r="N1049" s="41"/>
      <c r="O1049" s="41"/>
      <c r="P1049" s="41"/>
      <c r="Q1049" s="41"/>
      <c r="R1049" s="41"/>
      <c r="S1049" s="41"/>
      <c r="T1049" s="575"/>
      <c r="U1049" s="575"/>
      <c r="V1049" s="575"/>
      <c r="W1049" s="575"/>
    </row>
    <row r="1050">
      <c r="A1050" s="41"/>
      <c r="B1050" s="41"/>
      <c r="C1050" s="41"/>
      <c r="D1050" s="41"/>
      <c r="E1050" s="41"/>
      <c r="F1050" s="41"/>
      <c r="G1050" s="41"/>
      <c r="H1050" s="41"/>
      <c r="I1050" s="41"/>
      <c r="J1050" s="41"/>
      <c r="K1050" s="41"/>
      <c r="L1050" s="41"/>
      <c r="M1050" s="41"/>
      <c r="N1050" s="41"/>
      <c r="O1050" s="41"/>
      <c r="P1050" s="41"/>
      <c r="Q1050" s="41"/>
      <c r="R1050" s="41"/>
      <c r="S1050" s="41"/>
      <c r="T1050" s="575"/>
      <c r="U1050" s="575"/>
      <c r="V1050" s="575"/>
      <c r="W1050" s="575"/>
    </row>
    <row r="1051">
      <c r="A1051" s="41"/>
      <c r="B1051" s="41"/>
      <c r="C1051" s="41"/>
      <c r="D1051" s="41"/>
      <c r="E1051" s="41"/>
      <c r="F1051" s="41"/>
      <c r="G1051" s="41"/>
      <c r="H1051" s="41"/>
      <c r="I1051" s="41"/>
      <c r="J1051" s="41"/>
      <c r="K1051" s="41"/>
      <c r="L1051" s="41"/>
      <c r="M1051" s="41"/>
      <c r="N1051" s="41"/>
      <c r="O1051" s="41"/>
      <c r="P1051" s="41"/>
      <c r="Q1051" s="41"/>
      <c r="R1051" s="41"/>
      <c r="S1051" s="41"/>
      <c r="T1051" s="575"/>
      <c r="U1051" s="575"/>
      <c r="V1051" s="575"/>
      <c r="W1051" s="575"/>
    </row>
    <row r="1052">
      <c r="A1052" s="41"/>
      <c r="B1052" s="41"/>
      <c r="C1052" s="41"/>
      <c r="D1052" s="41"/>
      <c r="E1052" s="41"/>
      <c r="F1052" s="41"/>
      <c r="G1052" s="41"/>
      <c r="H1052" s="41"/>
      <c r="I1052" s="41"/>
      <c r="J1052" s="41"/>
      <c r="K1052" s="41"/>
      <c r="L1052" s="41"/>
      <c r="M1052" s="41"/>
      <c r="N1052" s="41"/>
      <c r="O1052" s="41"/>
      <c r="P1052" s="41"/>
      <c r="Q1052" s="41"/>
      <c r="R1052" s="41"/>
      <c r="S1052" s="41"/>
      <c r="T1052" s="575"/>
      <c r="U1052" s="575"/>
      <c r="V1052" s="575"/>
      <c r="W1052" s="575"/>
    </row>
    <row r="1053">
      <c r="A1053" s="41"/>
      <c r="B1053" s="41"/>
      <c r="C1053" s="41"/>
      <c r="D1053" s="41"/>
      <c r="E1053" s="41"/>
      <c r="F1053" s="41"/>
      <c r="G1053" s="41"/>
      <c r="H1053" s="41"/>
      <c r="I1053" s="41"/>
      <c r="J1053" s="41"/>
      <c r="K1053" s="41"/>
      <c r="L1053" s="41"/>
      <c r="M1053" s="41"/>
      <c r="N1053" s="41"/>
      <c r="O1053" s="41"/>
      <c r="P1053" s="41"/>
      <c r="Q1053" s="41"/>
      <c r="R1053" s="41"/>
      <c r="S1053" s="41"/>
      <c r="T1053" s="575"/>
      <c r="U1053" s="575"/>
      <c r="V1053" s="575"/>
      <c r="W1053" s="575"/>
    </row>
    <row r="1054">
      <c r="A1054" s="41"/>
      <c r="B1054" s="41"/>
      <c r="C1054" s="41"/>
      <c r="D1054" s="41"/>
      <c r="E1054" s="41"/>
      <c r="F1054" s="41"/>
      <c r="G1054" s="41"/>
      <c r="H1054" s="41"/>
      <c r="I1054" s="41"/>
      <c r="J1054" s="41"/>
      <c r="K1054" s="41"/>
      <c r="L1054" s="41"/>
      <c r="M1054" s="41"/>
      <c r="N1054" s="41"/>
      <c r="O1054" s="41"/>
      <c r="P1054" s="41"/>
      <c r="Q1054" s="41"/>
      <c r="R1054" s="41"/>
      <c r="S1054" s="41"/>
      <c r="T1054" s="575"/>
      <c r="U1054" s="575"/>
      <c r="V1054" s="575"/>
      <c r="W1054" s="575"/>
    </row>
    <row r="1055">
      <c r="A1055" s="41"/>
      <c r="B1055" s="41"/>
      <c r="C1055" s="41"/>
      <c r="D1055" s="41"/>
      <c r="E1055" s="41"/>
      <c r="F1055" s="41"/>
      <c r="G1055" s="41"/>
      <c r="H1055" s="41"/>
      <c r="I1055" s="41"/>
      <c r="J1055" s="41"/>
      <c r="K1055" s="41"/>
      <c r="L1055" s="41"/>
      <c r="M1055" s="41"/>
      <c r="N1055" s="41"/>
      <c r="O1055" s="41"/>
      <c r="P1055" s="41"/>
      <c r="Q1055" s="41"/>
      <c r="R1055" s="41"/>
      <c r="S1055" s="41"/>
      <c r="T1055" s="575"/>
      <c r="U1055" s="575"/>
      <c r="V1055" s="575"/>
      <c r="W1055" s="575"/>
    </row>
    <row r="1056">
      <c r="A1056" s="41"/>
      <c r="B1056" s="41"/>
      <c r="C1056" s="41"/>
      <c r="D1056" s="41"/>
      <c r="E1056" s="41"/>
      <c r="F1056" s="41"/>
      <c r="G1056" s="41"/>
      <c r="H1056" s="41"/>
      <c r="I1056" s="41"/>
      <c r="J1056" s="41"/>
      <c r="K1056" s="41"/>
      <c r="L1056" s="41"/>
      <c r="M1056" s="41"/>
      <c r="N1056" s="41"/>
      <c r="O1056" s="41"/>
      <c r="P1056" s="41"/>
      <c r="Q1056" s="41"/>
      <c r="R1056" s="41"/>
      <c r="S1056" s="41"/>
      <c r="T1056" s="575"/>
      <c r="U1056" s="575"/>
      <c r="V1056" s="575"/>
      <c r="W1056" s="575"/>
    </row>
    <row r="1057">
      <c r="A1057" s="41"/>
      <c r="B1057" s="41"/>
      <c r="C1057" s="41"/>
      <c r="D1057" s="41"/>
      <c r="E1057" s="41"/>
      <c r="F1057" s="41"/>
      <c r="G1057" s="41"/>
      <c r="H1057" s="41"/>
      <c r="I1057" s="41"/>
      <c r="J1057" s="41"/>
      <c r="K1057" s="41"/>
      <c r="L1057" s="41"/>
      <c r="M1057" s="41"/>
      <c r="N1057" s="41"/>
      <c r="O1057" s="41"/>
      <c r="P1057" s="41"/>
      <c r="Q1057" s="41"/>
      <c r="R1057" s="41"/>
      <c r="S1057" s="41"/>
      <c r="T1057" s="575"/>
      <c r="U1057" s="575"/>
      <c r="V1057" s="575"/>
      <c r="W1057" s="575"/>
    </row>
    <row r="1058">
      <c r="A1058" s="41"/>
      <c r="B1058" s="41"/>
      <c r="C1058" s="41"/>
      <c r="D1058" s="41"/>
      <c r="E1058" s="41"/>
      <c r="F1058" s="41"/>
      <c r="G1058" s="41"/>
      <c r="H1058" s="41"/>
      <c r="I1058" s="41"/>
      <c r="J1058" s="41"/>
      <c r="K1058" s="41"/>
      <c r="L1058" s="41"/>
      <c r="M1058" s="41"/>
      <c r="N1058" s="41"/>
      <c r="O1058" s="41"/>
      <c r="P1058" s="41"/>
      <c r="Q1058" s="41"/>
      <c r="R1058" s="41"/>
      <c r="S1058" s="41"/>
      <c r="T1058" s="575"/>
      <c r="U1058" s="575"/>
      <c r="V1058" s="575"/>
      <c r="W1058" s="575"/>
    </row>
    <row r="1059">
      <c r="A1059" s="41"/>
      <c r="B1059" s="41"/>
      <c r="C1059" s="41"/>
      <c r="D1059" s="41"/>
      <c r="E1059" s="41"/>
      <c r="F1059" s="41"/>
      <c r="G1059" s="41"/>
      <c r="H1059" s="41"/>
      <c r="I1059" s="41"/>
      <c r="J1059" s="41"/>
      <c r="K1059" s="41"/>
      <c r="L1059" s="41"/>
      <c r="M1059" s="41"/>
      <c r="N1059" s="41"/>
      <c r="O1059" s="41"/>
      <c r="P1059" s="41"/>
      <c r="Q1059" s="41"/>
      <c r="R1059" s="41"/>
      <c r="S1059" s="41"/>
      <c r="T1059" s="575"/>
      <c r="U1059" s="575"/>
      <c r="V1059" s="575"/>
      <c r="W1059" s="575"/>
    </row>
    <row r="1060">
      <c r="A1060" s="41"/>
      <c r="B1060" s="41"/>
      <c r="C1060" s="41"/>
      <c r="D1060" s="41"/>
      <c r="E1060" s="41"/>
      <c r="F1060" s="41"/>
      <c r="G1060" s="41"/>
      <c r="H1060" s="41"/>
      <c r="I1060" s="41"/>
      <c r="J1060" s="41"/>
      <c r="K1060" s="41"/>
      <c r="L1060" s="41"/>
      <c r="M1060" s="41"/>
      <c r="N1060" s="41"/>
      <c r="O1060" s="41"/>
      <c r="P1060" s="41"/>
      <c r="Q1060" s="41"/>
      <c r="R1060" s="41"/>
      <c r="S1060" s="41"/>
      <c r="T1060" s="575"/>
      <c r="U1060" s="575"/>
      <c r="V1060" s="575"/>
      <c r="W1060" s="575"/>
    </row>
    <row r="1061">
      <c r="A1061" s="41"/>
      <c r="B1061" s="41"/>
      <c r="C1061" s="41"/>
      <c r="D1061" s="41"/>
      <c r="E1061" s="41"/>
      <c r="F1061" s="41"/>
      <c r="G1061" s="41"/>
      <c r="H1061" s="41"/>
      <c r="I1061" s="41"/>
      <c r="J1061" s="41"/>
      <c r="K1061" s="41"/>
      <c r="L1061" s="41"/>
      <c r="M1061" s="41"/>
      <c r="N1061" s="41"/>
      <c r="O1061" s="41"/>
      <c r="P1061" s="41"/>
      <c r="Q1061" s="41"/>
      <c r="R1061" s="41"/>
      <c r="S1061" s="41"/>
      <c r="T1061" s="575"/>
      <c r="U1061" s="575"/>
      <c r="V1061" s="575"/>
      <c r="W1061" s="575"/>
    </row>
    <row r="1062">
      <c r="A1062" s="41"/>
      <c r="B1062" s="41"/>
      <c r="C1062" s="41"/>
      <c r="D1062" s="41"/>
      <c r="E1062" s="41"/>
      <c r="F1062" s="41"/>
      <c r="G1062" s="41"/>
      <c r="H1062" s="41"/>
      <c r="I1062" s="41"/>
      <c r="J1062" s="41"/>
      <c r="K1062" s="41"/>
      <c r="L1062" s="41"/>
      <c r="M1062" s="41"/>
      <c r="N1062" s="41"/>
      <c r="O1062" s="41"/>
      <c r="P1062" s="41"/>
      <c r="Q1062" s="41"/>
      <c r="R1062" s="41"/>
      <c r="S1062" s="41"/>
      <c r="T1062" s="575"/>
      <c r="U1062" s="575"/>
      <c r="V1062" s="575"/>
      <c r="W1062" s="575"/>
    </row>
    <row r="1063">
      <c r="A1063" s="41"/>
      <c r="B1063" s="41"/>
      <c r="C1063" s="41"/>
      <c r="D1063" s="41"/>
      <c r="E1063" s="41"/>
      <c r="F1063" s="41"/>
      <c r="G1063" s="41"/>
      <c r="H1063" s="41"/>
      <c r="I1063" s="41"/>
      <c r="J1063" s="41"/>
      <c r="K1063" s="41"/>
      <c r="L1063" s="41"/>
      <c r="M1063" s="41"/>
      <c r="N1063" s="41"/>
      <c r="O1063" s="41"/>
      <c r="P1063" s="41"/>
      <c r="Q1063" s="41"/>
      <c r="R1063" s="41"/>
      <c r="S1063" s="41"/>
      <c r="T1063" s="575"/>
      <c r="U1063" s="575"/>
      <c r="V1063" s="575"/>
      <c r="W1063" s="575"/>
    </row>
    <row r="1064">
      <c r="A1064" s="41"/>
      <c r="B1064" s="41"/>
      <c r="C1064" s="41"/>
      <c r="D1064" s="41"/>
      <c r="E1064" s="41"/>
      <c r="F1064" s="41"/>
      <c r="G1064" s="41"/>
      <c r="H1064" s="41"/>
      <c r="I1064" s="41"/>
      <c r="J1064" s="41"/>
      <c r="K1064" s="41"/>
      <c r="L1064" s="41"/>
      <c r="M1064" s="41"/>
      <c r="N1064" s="41"/>
      <c r="O1064" s="41"/>
      <c r="P1064" s="41"/>
      <c r="Q1064" s="41"/>
      <c r="R1064" s="41"/>
      <c r="S1064" s="41"/>
      <c r="T1064" s="575"/>
      <c r="U1064" s="575"/>
      <c r="V1064" s="575"/>
      <c r="W1064" s="575"/>
    </row>
    <row r="1065">
      <c r="A1065" s="41"/>
      <c r="B1065" s="41"/>
      <c r="C1065" s="41"/>
      <c r="D1065" s="41"/>
      <c r="E1065" s="41"/>
      <c r="F1065" s="41"/>
      <c r="G1065" s="41"/>
      <c r="H1065" s="41"/>
      <c r="I1065" s="41"/>
      <c r="J1065" s="41"/>
      <c r="K1065" s="41"/>
      <c r="L1065" s="41"/>
      <c r="M1065" s="41"/>
      <c r="N1065" s="41"/>
      <c r="O1065" s="41"/>
      <c r="P1065" s="41"/>
      <c r="Q1065" s="41"/>
      <c r="R1065" s="41"/>
      <c r="S1065" s="41"/>
      <c r="T1065" s="575"/>
      <c r="U1065" s="575"/>
      <c r="V1065" s="575"/>
      <c r="W1065" s="575"/>
    </row>
    <row r="1066">
      <c r="A1066" s="41"/>
      <c r="B1066" s="41"/>
      <c r="C1066" s="41"/>
      <c r="D1066" s="41"/>
      <c r="E1066" s="41"/>
      <c r="F1066" s="41"/>
      <c r="G1066" s="41"/>
      <c r="H1066" s="41"/>
      <c r="I1066" s="41"/>
      <c r="J1066" s="41"/>
      <c r="K1066" s="41"/>
      <c r="L1066" s="41"/>
      <c r="M1066" s="41"/>
      <c r="N1066" s="41"/>
      <c r="O1066" s="41"/>
      <c r="P1066" s="41"/>
      <c r="Q1066" s="41"/>
      <c r="R1066" s="41"/>
      <c r="S1066" s="41"/>
      <c r="T1066" s="575"/>
      <c r="U1066" s="575"/>
      <c r="V1066" s="575"/>
      <c r="W1066" s="575"/>
    </row>
    <row r="1067">
      <c r="A1067" s="41"/>
      <c r="B1067" s="41"/>
      <c r="C1067" s="41"/>
      <c r="D1067" s="41"/>
      <c r="E1067" s="41"/>
      <c r="F1067" s="41"/>
      <c r="G1067" s="41"/>
      <c r="H1067" s="41"/>
      <c r="I1067" s="41"/>
      <c r="J1067" s="41"/>
      <c r="K1067" s="41"/>
      <c r="L1067" s="41"/>
      <c r="M1067" s="41"/>
      <c r="N1067" s="41"/>
      <c r="O1067" s="41"/>
      <c r="P1067" s="41"/>
      <c r="Q1067" s="41"/>
      <c r="R1067" s="41"/>
      <c r="S1067" s="41"/>
      <c r="T1067" s="575"/>
      <c r="U1067" s="575"/>
      <c r="V1067" s="575"/>
      <c r="W1067" s="575"/>
    </row>
    <row r="1068">
      <c r="A1068" s="41"/>
      <c r="B1068" s="41"/>
      <c r="C1068" s="41"/>
      <c r="D1068" s="41"/>
      <c r="E1068" s="41"/>
      <c r="F1068" s="41"/>
      <c r="G1068" s="41"/>
      <c r="H1068" s="41"/>
      <c r="I1068" s="41"/>
      <c r="J1068" s="41"/>
      <c r="K1068" s="41"/>
      <c r="L1068" s="41"/>
      <c r="M1068" s="41"/>
      <c r="N1068" s="41"/>
      <c r="O1068" s="41"/>
      <c r="P1068" s="41"/>
      <c r="Q1068" s="41"/>
      <c r="R1068" s="41"/>
      <c r="S1068" s="41"/>
      <c r="T1068" s="575"/>
      <c r="U1068" s="575"/>
      <c r="V1068" s="575"/>
      <c r="W1068" s="575"/>
    </row>
    <row r="1069">
      <c r="A1069" s="41"/>
      <c r="B1069" s="41"/>
      <c r="C1069" s="41"/>
      <c r="D1069" s="41"/>
      <c r="E1069" s="41"/>
      <c r="F1069" s="41"/>
      <c r="G1069" s="41"/>
      <c r="H1069" s="41"/>
      <c r="I1069" s="41"/>
      <c r="J1069" s="41"/>
      <c r="K1069" s="41"/>
      <c r="L1069" s="41"/>
      <c r="M1069" s="41"/>
      <c r="N1069" s="41"/>
      <c r="O1069" s="41"/>
      <c r="P1069" s="41"/>
      <c r="Q1069" s="41"/>
      <c r="R1069" s="41"/>
      <c r="S1069" s="41"/>
      <c r="T1069" s="575"/>
      <c r="U1069" s="575"/>
      <c r="V1069" s="575"/>
      <c r="W1069" s="575"/>
    </row>
    <row r="1070">
      <c r="A1070" s="41"/>
      <c r="B1070" s="41"/>
      <c r="C1070" s="41"/>
      <c r="D1070" s="41"/>
      <c r="E1070" s="41"/>
      <c r="F1070" s="41"/>
      <c r="G1070" s="41"/>
      <c r="H1070" s="41"/>
      <c r="I1070" s="41"/>
      <c r="J1070" s="41"/>
      <c r="K1070" s="41"/>
      <c r="L1070" s="41"/>
      <c r="M1070" s="41"/>
      <c r="N1070" s="41"/>
      <c r="O1070" s="41"/>
      <c r="P1070" s="41"/>
      <c r="Q1070" s="41"/>
      <c r="R1070" s="41"/>
      <c r="S1070" s="41"/>
      <c r="T1070" s="575"/>
      <c r="U1070" s="575"/>
      <c r="V1070" s="575"/>
      <c r="W1070" s="575"/>
    </row>
    <row r="1071">
      <c r="A1071" s="41"/>
      <c r="B1071" s="41"/>
      <c r="C1071" s="41"/>
      <c r="D1071" s="41"/>
      <c r="E1071" s="41"/>
      <c r="F1071" s="41"/>
      <c r="G1071" s="41"/>
      <c r="H1071" s="41"/>
      <c r="I1071" s="41"/>
      <c r="J1071" s="41"/>
      <c r="K1071" s="41"/>
      <c r="L1071" s="41"/>
      <c r="M1071" s="41"/>
      <c r="N1071" s="41"/>
      <c r="O1071" s="41"/>
      <c r="P1071" s="41"/>
      <c r="Q1071" s="41"/>
      <c r="R1071" s="41"/>
      <c r="S1071" s="41"/>
      <c r="T1071" s="575"/>
      <c r="U1071" s="575"/>
      <c r="V1071" s="575"/>
      <c r="W1071" s="575"/>
    </row>
    <row r="1072">
      <c r="A1072" s="41"/>
      <c r="B1072" s="41"/>
      <c r="C1072" s="41"/>
      <c r="D1072" s="41"/>
      <c r="E1072" s="41"/>
      <c r="F1072" s="41"/>
      <c r="G1072" s="41"/>
      <c r="H1072" s="41"/>
      <c r="I1072" s="41"/>
      <c r="J1072" s="41"/>
      <c r="K1072" s="41"/>
      <c r="L1072" s="41"/>
      <c r="M1072" s="41"/>
      <c r="N1072" s="41"/>
      <c r="O1072" s="41"/>
      <c r="P1072" s="41"/>
      <c r="Q1072" s="41"/>
      <c r="R1072" s="41"/>
      <c r="S1072" s="41"/>
      <c r="T1072" s="575"/>
      <c r="U1072" s="575"/>
      <c r="V1072" s="575"/>
      <c r="W1072" s="575"/>
    </row>
    <row r="1073">
      <c r="A1073" s="41"/>
      <c r="B1073" s="41"/>
      <c r="C1073" s="41"/>
      <c r="D1073" s="41"/>
      <c r="E1073" s="41"/>
      <c r="F1073" s="41"/>
      <c r="G1073" s="41"/>
      <c r="H1073" s="41"/>
      <c r="I1073" s="41"/>
      <c r="J1073" s="41"/>
      <c r="K1073" s="41"/>
      <c r="L1073" s="41"/>
      <c r="M1073" s="41"/>
      <c r="N1073" s="41"/>
      <c r="O1073" s="41"/>
      <c r="P1073" s="41"/>
      <c r="Q1073" s="41"/>
      <c r="R1073" s="41"/>
      <c r="S1073" s="41"/>
      <c r="T1073" s="575"/>
      <c r="U1073" s="575"/>
      <c r="V1073" s="575"/>
      <c r="W1073" s="575"/>
    </row>
    <row r="1074">
      <c r="A1074" s="41"/>
      <c r="B1074" s="41"/>
      <c r="C1074" s="41"/>
      <c r="D1074" s="41"/>
      <c r="E1074" s="41"/>
      <c r="F1074" s="41"/>
      <c r="G1074" s="41"/>
      <c r="H1074" s="41"/>
      <c r="I1074" s="41"/>
      <c r="J1074" s="41"/>
      <c r="K1074" s="41"/>
      <c r="L1074" s="41"/>
      <c r="M1074" s="41"/>
      <c r="N1074" s="41"/>
      <c r="O1074" s="41"/>
      <c r="P1074" s="41"/>
      <c r="Q1074" s="41"/>
      <c r="R1074" s="41"/>
      <c r="S1074" s="41"/>
      <c r="T1074" s="575"/>
      <c r="U1074" s="575"/>
      <c r="V1074" s="575"/>
      <c r="W1074" s="575"/>
    </row>
    <row r="1075">
      <c r="A1075" s="41"/>
      <c r="B1075" s="41"/>
      <c r="C1075" s="41"/>
      <c r="D1075" s="41"/>
      <c r="E1075" s="41"/>
      <c r="F1075" s="41"/>
      <c r="G1075" s="41"/>
      <c r="H1075" s="41"/>
      <c r="I1075" s="41"/>
      <c r="J1075" s="41"/>
      <c r="K1075" s="41"/>
      <c r="L1075" s="41"/>
      <c r="M1075" s="41"/>
      <c r="N1075" s="41"/>
      <c r="O1075" s="41"/>
      <c r="P1075" s="41"/>
      <c r="Q1075" s="41"/>
      <c r="R1075" s="41"/>
      <c r="S1075" s="41"/>
      <c r="T1075" s="575"/>
      <c r="U1075" s="575"/>
      <c r="V1075" s="575"/>
      <c r="W1075" s="575"/>
    </row>
    <row r="1076">
      <c r="A1076" s="41"/>
      <c r="B1076" s="41"/>
      <c r="C1076" s="41"/>
      <c r="D1076" s="41"/>
      <c r="E1076" s="41"/>
      <c r="F1076" s="41"/>
      <c r="G1076" s="41"/>
      <c r="H1076" s="41"/>
      <c r="I1076" s="41"/>
      <c r="J1076" s="41"/>
      <c r="K1076" s="41"/>
      <c r="L1076" s="41"/>
      <c r="M1076" s="41"/>
      <c r="N1076" s="41"/>
      <c r="O1076" s="41"/>
      <c r="P1076" s="41"/>
      <c r="Q1076" s="41"/>
      <c r="R1076" s="41"/>
      <c r="S1076" s="41"/>
      <c r="T1076" s="575"/>
      <c r="U1076" s="575"/>
      <c r="V1076" s="575"/>
      <c r="W1076" s="575"/>
    </row>
    <row r="1077">
      <c r="A1077" s="41"/>
      <c r="B1077" s="41"/>
      <c r="C1077" s="41"/>
      <c r="D1077" s="41"/>
      <c r="E1077" s="41"/>
      <c r="F1077" s="41"/>
      <c r="G1077" s="41"/>
      <c r="H1077" s="41"/>
      <c r="I1077" s="41"/>
      <c r="J1077" s="41"/>
      <c r="K1077" s="41"/>
      <c r="L1077" s="41"/>
      <c r="M1077" s="41"/>
      <c r="N1077" s="41"/>
      <c r="O1077" s="41"/>
      <c r="P1077" s="41"/>
      <c r="Q1077" s="41"/>
      <c r="R1077" s="41"/>
      <c r="S1077" s="41"/>
      <c r="T1077" s="575"/>
      <c r="U1077" s="575"/>
      <c r="V1077" s="575"/>
      <c r="W1077" s="575"/>
    </row>
    <row r="1078">
      <c r="A1078" s="41"/>
      <c r="B1078" s="41"/>
      <c r="C1078" s="41"/>
      <c r="D1078" s="41"/>
      <c r="E1078" s="41"/>
      <c r="F1078" s="41"/>
      <c r="G1078" s="41"/>
      <c r="H1078" s="41"/>
      <c r="I1078" s="41"/>
      <c r="J1078" s="41"/>
      <c r="K1078" s="41"/>
      <c r="L1078" s="41"/>
      <c r="M1078" s="41"/>
      <c r="N1078" s="41"/>
      <c r="O1078" s="41"/>
      <c r="P1078" s="41"/>
      <c r="Q1078" s="41"/>
      <c r="R1078" s="41"/>
      <c r="S1078" s="41"/>
      <c r="T1078" s="575"/>
      <c r="U1078" s="575"/>
      <c r="V1078" s="575"/>
      <c r="W1078" s="575"/>
    </row>
    <row r="1079">
      <c r="A1079" s="41"/>
      <c r="B1079" s="41"/>
      <c r="C1079" s="41"/>
      <c r="D1079" s="41"/>
      <c r="E1079" s="41"/>
      <c r="F1079" s="41"/>
      <c r="G1079" s="41"/>
      <c r="H1079" s="41"/>
      <c r="I1079" s="41"/>
      <c r="J1079" s="41"/>
      <c r="K1079" s="41"/>
      <c r="L1079" s="41"/>
      <c r="M1079" s="41"/>
      <c r="N1079" s="41"/>
      <c r="O1079" s="41"/>
      <c r="P1079" s="41"/>
      <c r="Q1079" s="41"/>
      <c r="R1079" s="41"/>
      <c r="S1079" s="41"/>
      <c r="T1079" s="575"/>
      <c r="U1079" s="575"/>
      <c r="V1079" s="575"/>
      <c r="W1079" s="575"/>
    </row>
  </sheetData>
  <mergeCells count="22">
    <mergeCell ref="A1:E1"/>
    <mergeCell ref="A3:A4"/>
    <mergeCell ref="A5:A12"/>
    <mergeCell ref="A13:E13"/>
    <mergeCell ref="A14:A18"/>
    <mergeCell ref="A19:A23"/>
    <mergeCell ref="A24:A27"/>
    <mergeCell ref="A77:A82"/>
    <mergeCell ref="A83:A88"/>
    <mergeCell ref="A89:A103"/>
    <mergeCell ref="A104:E104"/>
    <mergeCell ref="A105:A123"/>
    <mergeCell ref="A124:A129"/>
    <mergeCell ref="A130:A137"/>
    <mergeCell ref="A138:A149"/>
    <mergeCell ref="A28:A33"/>
    <mergeCell ref="A34:A43"/>
    <mergeCell ref="A44:A54"/>
    <mergeCell ref="A55:A58"/>
    <mergeCell ref="A59:A62"/>
    <mergeCell ref="A63:A70"/>
    <mergeCell ref="A71:A76"/>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5"/>
    <hyperlink r:id="rId102" ref="E106"/>
    <hyperlink r:id="rId103" ref="E107"/>
    <hyperlink r:id="rId104" ref="E108"/>
    <hyperlink r:id="rId105" ref="E109"/>
    <hyperlink r:id="rId106" ref="E110"/>
    <hyperlink r:id="rId107" ref="E111"/>
    <hyperlink r:id="rId108" ref="E112"/>
    <hyperlink r:id="rId109" ref="E113"/>
    <hyperlink r:id="rId110" ref="E114"/>
    <hyperlink r:id="rId111" ref="E115"/>
    <hyperlink r:id="rId112" ref="E116"/>
    <hyperlink r:id="rId113" ref="E117"/>
    <hyperlink r:id="rId114" ref="E118"/>
    <hyperlink r:id="rId115" ref="E119"/>
    <hyperlink r:id="rId116" ref="E120"/>
    <hyperlink r:id="rId117" ref="E121"/>
    <hyperlink r:id="rId118" ref="E122"/>
    <hyperlink r:id="rId119" ref="E123"/>
    <hyperlink r:id="rId120" ref="E124"/>
    <hyperlink r:id="rId121" ref="E125"/>
    <hyperlink r:id="rId122" ref="E126"/>
    <hyperlink r:id="rId123" ref="E127"/>
    <hyperlink r:id="rId124" ref="E128"/>
    <hyperlink r:id="rId125" ref="E129"/>
    <hyperlink r:id="rId126" ref="E130"/>
    <hyperlink r:id="rId127" ref="E131"/>
    <hyperlink r:id="rId128" ref="E132"/>
    <hyperlink r:id="rId129" ref="E133"/>
    <hyperlink r:id="rId130" ref="E134"/>
    <hyperlink r:id="rId131" ref="E135"/>
    <hyperlink r:id="rId132" ref="E136"/>
    <hyperlink r:id="rId133" ref="E137"/>
    <hyperlink r:id="rId134" ref="E138"/>
    <hyperlink r:id="rId135" ref="E139"/>
    <hyperlink r:id="rId136" ref="E140"/>
    <hyperlink r:id="rId137" ref="E141"/>
    <hyperlink r:id="rId138" ref="E142"/>
    <hyperlink r:id="rId139" ref="E143"/>
    <hyperlink r:id="rId140" ref="E144"/>
    <hyperlink r:id="rId141" ref="E145"/>
    <hyperlink r:id="rId142" ref="E146"/>
    <hyperlink r:id="rId143" ref="E147"/>
    <hyperlink r:id="rId144" ref="E148"/>
    <hyperlink r:id="rId145" ref="E149"/>
  </hyperlinks>
  <drawing r:id="rId14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2.0"/>
    <col customWidth="1" min="5" max="5" width="38.0"/>
  </cols>
  <sheetData>
    <row r="2">
      <c r="B2" s="682" t="s">
        <v>1845</v>
      </c>
    </row>
    <row r="3">
      <c r="B3" s="683" t="s">
        <v>1432</v>
      </c>
      <c r="C3" s="91"/>
      <c r="D3" s="684" t="s">
        <v>1433</v>
      </c>
      <c r="E3" s="683" t="s">
        <v>1434</v>
      </c>
    </row>
    <row r="4">
      <c r="B4" s="685" t="s">
        <v>1846</v>
      </c>
      <c r="C4" s="685" t="b">
        <v>0</v>
      </c>
      <c r="D4" s="686" t="s">
        <v>1847</v>
      </c>
      <c r="E4" s="687" t="s">
        <v>1848</v>
      </c>
    </row>
    <row r="5">
      <c r="B5" s="685" t="s">
        <v>1849</v>
      </c>
      <c r="C5" s="685" t="b">
        <v>0</v>
      </c>
      <c r="D5" s="688" t="s">
        <v>1850</v>
      </c>
      <c r="E5" s="689" t="s">
        <v>1851</v>
      </c>
    </row>
    <row r="6">
      <c r="B6" s="685" t="s">
        <v>1597</v>
      </c>
      <c r="C6" s="685" t="b">
        <v>0</v>
      </c>
      <c r="D6" s="690" t="s">
        <v>1852</v>
      </c>
      <c r="E6" s="687" t="s">
        <v>1853</v>
      </c>
    </row>
    <row r="7">
      <c r="B7" s="685" t="s">
        <v>1667</v>
      </c>
      <c r="C7" s="685" t="b">
        <v>0</v>
      </c>
      <c r="D7" s="690" t="s">
        <v>1854</v>
      </c>
      <c r="E7" s="687" t="s">
        <v>1855</v>
      </c>
    </row>
    <row r="8">
      <c r="B8" s="685" t="s">
        <v>1856</v>
      </c>
      <c r="C8" s="685" t="b">
        <v>0</v>
      </c>
      <c r="D8" s="690" t="s">
        <v>1857</v>
      </c>
      <c r="E8" s="687" t="s">
        <v>1858</v>
      </c>
    </row>
    <row r="9">
      <c r="B9" s="685" t="s">
        <v>1859</v>
      </c>
      <c r="C9" s="685" t="b">
        <v>0</v>
      </c>
      <c r="D9" s="690" t="s">
        <v>1860</v>
      </c>
      <c r="E9" s="687" t="s">
        <v>1861</v>
      </c>
    </row>
    <row r="10">
      <c r="B10" s="685" t="s">
        <v>1862</v>
      </c>
      <c r="C10" s="685" t="b">
        <v>0</v>
      </c>
      <c r="D10" s="690" t="s">
        <v>1863</v>
      </c>
      <c r="E10" s="687" t="s">
        <v>1864</v>
      </c>
    </row>
    <row r="11">
      <c r="B11" s="685" t="s">
        <v>1865</v>
      </c>
      <c r="C11" s="685" t="b">
        <v>0</v>
      </c>
      <c r="D11" s="690" t="s">
        <v>1866</v>
      </c>
      <c r="E11" s="687" t="s">
        <v>1867</v>
      </c>
    </row>
    <row r="12">
      <c r="B12" s="685" t="s">
        <v>1868</v>
      </c>
      <c r="C12" s="685" t="b">
        <v>0</v>
      </c>
      <c r="D12" s="690" t="s">
        <v>1869</v>
      </c>
      <c r="E12" s="687" t="s">
        <v>1870</v>
      </c>
    </row>
  </sheetData>
  <mergeCells count="1">
    <mergeCell ref="B2:E2"/>
  </mergeCells>
  <hyperlinks>
    <hyperlink r:id="rId1" ref="E4"/>
    <hyperlink r:id="rId2" ref="E5"/>
    <hyperlink r:id="rId3" ref="E6"/>
    <hyperlink r:id="rId4" ref="E7"/>
    <hyperlink r:id="rId5" ref="E8"/>
    <hyperlink r:id="rId6" ref="E9"/>
    <hyperlink r:id="rId7" ref="E10"/>
    <hyperlink r:id="rId8" ref="E11"/>
    <hyperlink r:id="rId9" ref="E12"/>
  </hyperlinks>
  <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3.25"/>
    <col customWidth="1" min="4" max="4" width="3.75"/>
    <col customWidth="1" min="5" max="5" width="70.75"/>
    <col customWidth="1" min="6" max="6" width="88.38"/>
  </cols>
  <sheetData>
    <row r="1" ht="33.75" customHeight="1">
      <c r="A1" s="575"/>
      <c r="B1" s="691" t="s">
        <v>1871</v>
      </c>
      <c r="G1" s="575"/>
      <c r="H1" s="575"/>
      <c r="I1" s="575"/>
      <c r="J1" s="575"/>
      <c r="K1" s="575"/>
      <c r="L1" s="575"/>
      <c r="M1" s="575"/>
      <c r="N1" s="575"/>
      <c r="O1" s="575"/>
      <c r="P1" s="575"/>
      <c r="Q1" s="575"/>
      <c r="R1" s="575"/>
      <c r="S1" s="575"/>
      <c r="T1" s="575"/>
      <c r="U1" s="575"/>
      <c r="V1" s="575"/>
      <c r="W1" s="575"/>
      <c r="X1" s="575"/>
      <c r="Y1" s="575"/>
      <c r="Z1" s="575"/>
      <c r="AA1" s="575"/>
    </row>
    <row r="2" ht="18.75" customHeight="1">
      <c r="A2" s="692"/>
      <c r="B2" s="693" t="s">
        <v>1872</v>
      </c>
      <c r="C2" s="693" t="s">
        <v>1432</v>
      </c>
      <c r="D2" s="693"/>
      <c r="E2" s="693" t="s">
        <v>1433</v>
      </c>
      <c r="F2" s="694" t="s">
        <v>1873</v>
      </c>
      <c r="G2" s="692"/>
      <c r="H2" s="692"/>
      <c r="I2" s="692"/>
      <c r="J2" s="692"/>
      <c r="K2" s="692"/>
      <c r="L2" s="692"/>
      <c r="M2" s="692"/>
      <c r="N2" s="692"/>
      <c r="O2" s="692"/>
      <c r="P2" s="692"/>
      <c r="Q2" s="692"/>
      <c r="R2" s="692"/>
      <c r="S2" s="692"/>
      <c r="T2" s="692"/>
      <c r="U2" s="692"/>
      <c r="V2" s="692"/>
      <c r="W2" s="692"/>
      <c r="X2" s="692"/>
      <c r="Y2" s="692"/>
      <c r="Z2" s="692"/>
      <c r="AA2" s="692"/>
    </row>
    <row r="3" ht="18.75" customHeight="1">
      <c r="A3" s="692"/>
      <c r="B3" s="695" t="s">
        <v>101</v>
      </c>
      <c r="C3" s="696" t="s">
        <v>1495</v>
      </c>
      <c r="D3" s="696" t="b">
        <v>0</v>
      </c>
      <c r="E3" s="697" t="s">
        <v>1874</v>
      </c>
      <c r="F3" s="698" t="s">
        <v>1875</v>
      </c>
      <c r="G3" s="692"/>
      <c r="H3" s="692"/>
      <c r="I3" s="692"/>
      <c r="J3" s="692"/>
      <c r="K3" s="692"/>
      <c r="L3" s="692"/>
      <c r="M3" s="692"/>
      <c r="N3" s="692"/>
      <c r="O3" s="692"/>
      <c r="P3" s="692"/>
      <c r="Q3" s="692"/>
      <c r="R3" s="692"/>
      <c r="S3" s="692"/>
      <c r="T3" s="692"/>
      <c r="U3" s="692"/>
      <c r="V3" s="692"/>
      <c r="W3" s="692"/>
      <c r="X3" s="692"/>
      <c r="Y3" s="692"/>
      <c r="Z3" s="692"/>
      <c r="AA3" s="692"/>
    </row>
    <row r="4" ht="18.75" customHeight="1">
      <c r="A4" s="692"/>
      <c r="B4" s="95"/>
      <c r="C4" s="696" t="s">
        <v>1876</v>
      </c>
      <c r="D4" s="696" t="b">
        <v>0</v>
      </c>
      <c r="E4" s="697" t="s">
        <v>1877</v>
      </c>
      <c r="F4" s="699" t="s">
        <v>1878</v>
      </c>
      <c r="G4" s="692"/>
      <c r="H4" s="692"/>
      <c r="I4" s="692"/>
      <c r="J4" s="692"/>
      <c r="K4" s="692"/>
      <c r="L4" s="692"/>
      <c r="M4" s="692"/>
      <c r="N4" s="692"/>
      <c r="O4" s="692"/>
      <c r="P4" s="692"/>
      <c r="Q4" s="692"/>
      <c r="R4" s="692"/>
      <c r="S4" s="692"/>
      <c r="T4" s="692"/>
      <c r="U4" s="692"/>
      <c r="V4" s="692"/>
      <c r="W4" s="692"/>
      <c r="X4" s="692"/>
      <c r="Y4" s="692"/>
      <c r="Z4" s="692"/>
      <c r="AA4" s="692"/>
    </row>
    <row r="5" ht="18.75" customHeight="1">
      <c r="A5" s="692"/>
      <c r="B5" s="95"/>
      <c r="C5" s="696" t="s">
        <v>1879</v>
      </c>
      <c r="D5" s="696" t="b">
        <v>0</v>
      </c>
      <c r="E5" s="697" t="s">
        <v>1880</v>
      </c>
      <c r="F5" s="699" t="s">
        <v>1881</v>
      </c>
      <c r="G5" s="692"/>
      <c r="H5" s="692"/>
      <c r="I5" s="692"/>
      <c r="J5" s="692"/>
      <c r="K5" s="692"/>
      <c r="L5" s="692"/>
      <c r="M5" s="692"/>
      <c r="N5" s="692"/>
      <c r="O5" s="692"/>
      <c r="P5" s="692"/>
      <c r="Q5" s="692"/>
      <c r="R5" s="692"/>
      <c r="S5" s="692"/>
      <c r="T5" s="692"/>
      <c r="U5" s="692"/>
      <c r="V5" s="692"/>
      <c r="W5" s="692"/>
      <c r="X5" s="692"/>
      <c r="Y5" s="692"/>
      <c r="Z5" s="692"/>
      <c r="AA5" s="692"/>
    </row>
    <row r="6" ht="18.75" customHeight="1">
      <c r="A6" s="692"/>
      <c r="B6" s="95"/>
      <c r="C6" s="696" t="s">
        <v>1882</v>
      </c>
      <c r="D6" s="696" t="b">
        <v>0</v>
      </c>
      <c r="E6" s="697" t="s">
        <v>1883</v>
      </c>
      <c r="F6" s="699" t="s">
        <v>1884</v>
      </c>
      <c r="G6" s="692"/>
      <c r="H6" s="692"/>
      <c r="I6" s="692"/>
      <c r="J6" s="692"/>
      <c r="K6" s="692"/>
      <c r="L6" s="692"/>
      <c r="M6" s="692"/>
      <c r="N6" s="692"/>
      <c r="O6" s="692"/>
      <c r="P6" s="692"/>
      <c r="Q6" s="692"/>
      <c r="R6" s="692"/>
      <c r="S6" s="692"/>
      <c r="T6" s="692"/>
      <c r="U6" s="692"/>
      <c r="V6" s="692"/>
      <c r="W6" s="692"/>
      <c r="X6" s="692"/>
      <c r="Y6" s="692"/>
      <c r="Z6" s="692"/>
      <c r="AA6" s="692"/>
    </row>
    <row r="7" ht="18.75" customHeight="1">
      <c r="A7" s="692"/>
      <c r="B7" s="95"/>
      <c r="C7" s="696" t="s">
        <v>1882</v>
      </c>
      <c r="D7" s="696" t="b">
        <v>0</v>
      </c>
      <c r="E7" s="697" t="s">
        <v>1885</v>
      </c>
      <c r="F7" s="699" t="s">
        <v>1886</v>
      </c>
      <c r="G7" s="692"/>
      <c r="H7" s="692"/>
      <c r="I7" s="692"/>
      <c r="J7" s="692"/>
      <c r="K7" s="692"/>
      <c r="L7" s="692"/>
      <c r="M7" s="692"/>
      <c r="N7" s="692"/>
      <c r="O7" s="692"/>
      <c r="P7" s="692"/>
      <c r="Q7" s="692"/>
      <c r="R7" s="692"/>
      <c r="S7" s="692"/>
      <c r="T7" s="692"/>
      <c r="U7" s="692"/>
      <c r="V7" s="692"/>
      <c r="W7" s="692"/>
      <c r="X7" s="692"/>
      <c r="Y7" s="692"/>
      <c r="Z7" s="692"/>
      <c r="AA7" s="692"/>
    </row>
    <row r="8" ht="18.75" customHeight="1">
      <c r="A8" s="692"/>
      <c r="B8" s="95"/>
      <c r="C8" s="696" t="s">
        <v>1887</v>
      </c>
      <c r="D8" s="696" t="b">
        <v>0</v>
      </c>
      <c r="E8" s="697" t="s">
        <v>1888</v>
      </c>
      <c r="F8" s="699" t="s">
        <v>1889</v>
      </c>
      <c r="G8" s="692"/>
      <c r="H8" s="692"/>
      <c r="I8" s="692"/>
      <c r="J8" s="692"/>
      <c r="K8" s="692"/>
      <c r="L8" s="692"/>
      <c r="M8" s="692"/>
      <c r="N8" s="692"/>
      <c r="O8" s="692"/>
      <c r="P8" s="692"/>
      <c r="Q8" s="692"/>
      <c r="R8" s="692"/>
      <c r="S8" s="692"/>
      <c r="T8" s="692"/>
      <c r="U8" s="692"/>
      <c r="V8" s="692"/>
      <c r="W8" s="692"/>
      <c r="X8" s="692"/>
      <c r="Y8" s="692"/>
      <c r="Z8" s="692"/>
      <c r="AA8" s="692"/>
    </row>
    <row r="9" ht="18.75" customHeight="1">
      <c r="A9" s="692"/>
      <c r="B9" s="164"/>
      <c r="C9" s="696" t="s">
        <v>1890</v>
      </c>
      <c r="D9" s="696" t="b">
        <v>0</v>
      </c>
      <c r="E9" s="697" t="s">
        <v>1891</v>
      </c>
      <c r="F9" s="699" t="s">
        <v>1892</v>
      </c>
      <c r="G9" s="692"/>
      <c r="H9" s="692"/>
      <c r="I9" s="692"/>
      <c r="J9" s="692"/>
      <c r="K9" s="692"/>
      <c r="L9" s="692"/>
      <c r="M9" s="692"/>
      <c r="N9" s="692"/>
      <c r="O9" s="692"/>
      <c r="P9" s="692"/>
      <c r="Q9" s="692"/>
      <c r="R9" s="692"/>
      <c r="S9" s="692"/>
      <c r="T9" s="692"/>
      <c r="U9" s="692"/>
      <c r="V9" s="692"/>
      <c r="W9" s="692"/>
      <c r="X9" s="692"/>
      <c r="Y9" s="692"/>
      <c r="Z9" s="692"/>
      <c r="AA9" s="692"/>
    </row>
    <row r="10" ht="18.75" customHeight="1">
      <c r="A10" s="692"/>
      <c r="B10" s="700" t="s">
        <v>1893</v>
      </c>
      <c r="C10" s="701" t="s">
        <v>1508</v>
      </c>
      <c r="D10" s="701" t="b">
        <v>0</v>
      </c>
      <c r="E10" s="702" t="s">
        <v>1894</v>
      </c>
      <c r="F10" s="703" t="s">
        <v>1510</v>
      </c>
      <c r="G10" s="692"/>
      <c r="H10" s="692"/>
      <c r="I10" s="692"/>
      <c r="J10" s="692"/>
      <c r="K10" s="692"/>
      <c r="L10" s="692"/>
      <c r="M10" s="692"/>
      <c r="N10" s="692"/>
      <c r="O10" s="692"/>
      <c r="P10" s="692"/>
      <c r="Q10" s="692"/>
      <c r="R10" s="692"/>
      <c r="S10" s="692"/>
      <c r="T10" s="692"/>
      <c r="U10" s="692"/>
      <c r="V10" s="692"/>
      <c r="W10" s="692"/>
      <c r="X10" s="692"/>
      <c r="Y10" s="692"/>
      <c r="Z10" s="692"/>
      <c r="AA10" s="692"/>
    </row>
    <row r="11" ht="18.75" customHeight="1">
      <c r="A11" s="692"/>
      <c r="B11" s="95"/>
      <c r="C11" s="701" t="s">
        <v>1495</v>
      </c>
      <c r="D11" s="701" t="b">
        <v>0</v>
      </c>
      <c r="E11" s="702" t="s">
        <v>1895</v>
      </c>
      <c r="F11" s="703" t="s">
        <v>1896</v>
      </c>
      <c r="G11" s="692"/>
      <c r="H11" s="692"/>
      <c r="I11" s="692"/>
      <c r="J11" s="692"/>
      <c r="K11" s="692"/>
      <c r="L11" s="692"/>
      <c r="M11" s="692"/>
      <c r="N11" s="692"/>
      <c r="O11" s="692"/>
      <c r="P11" s="692"/>
      <c r="Q11" s="692"/>
      <c r="R11" s="692"/>
      <c r="S11" s="692"/>
      <c r="T11" s="692"/>
      <c r="U11" s="692"/>
      <c r="V11" s="692"/>
      <c r="W11" s="692"/>
      <c r="X11" s="692"/>
      <c r="Y11" s="692"/>
      <c r="Z11" s="692"/>
      <c r="AA11" s="692"/>
    </row>
    <row r="12" ht="18.75" customHeight="1">
      <c r="A12" s="692"/>
      <c r="B12" s="95"/>
      <c r="C12" s="701" t="s">
        <v>1897</v>
      </c>
      <c r="D12" s="701" t="b">
        <v>0</v>
      </c>
      <c r="E12" s="702" t="s">
        <v>1898</v>
      </c>
      <c r="F12" s="703" t="s">
        <v>1899</v>
      </c>
      <c r="G12" s="692"/>
      <c r="H12" s="692"/>
      <c r="I12" s="692"/>
      <c r="J12" s="692"/>
      <c r="K12" s="692"/>
      <c r="L12" s="692"/>
      <c r="M12" s="692"/>
      <c r="N12" s="692"/>
      <c r="O12" s="692"/>
      <c r="P12" s="692"/>
      <c r="Q12" s="692"/>
      <c r="R12" s="692"/>
      <c r="S12" s="692"/>
      <c r="T12" s="692"/>
      <c r="U12" s="692"/>
      <c r="V12" s="692"/>
      <c r="W12" s="692"/>
      <c r="X12" s="692"/>
      <c r="Y12" s="692"/>
      <c r="Z12" s="692"/>
      <c r="AA12" s="692"/>
    </row>
    <row r="13" ht="18.75" customHeight="1">
      <c r="A13" s="692"/>
      <c r="B13" s="95"/>
      <c r="C13" s="701" t="s">
        <v>1900</v>
      </c>
      <c r="D13" s="701" t="b">
        <v>0</v>
      </c>
      <c r="E13" s="702" t="s">
        <v>1901</v>
      </c>
      <c r="F13" s="703" t="s">
        <v>1902</v>
      </c>
      <c r="G13" s="692"/>
      <c r="H13" s="692"/>
      <c r="I13" s="692"/>
      <c r="J13" s="692"/>
      <c r="K13" s="692"/>
      <c r="L13" s="692"/>
      <c r="M13" s="692"/>
      <c r="N13" s="692"/>
      <c r="O13" s="692"/>
      <c r="P13" s="692"/>
      <c r="Q13" s="692"/>
      <c r="R13" s="692"/>
      <c r="S13" s="692"/>
      <c r="T13" s="692"/>
      <c r="U13" s="692"/>
      <c r="V13" s="692"/>
      <c r="W13" s="692"/>
      <c r="X13" s="692"/>
      <c r="Y13" s="692"/>
      <c r="Z13" s="692"/>
      <c r="AA13" s="692"/>
    </row>
    <row r="14" ht="18.75" customHeight="1">
      <c r="A14" s="692"/>
      <c r="B14" s="95"/>
      <c r="C14" s="701" t="s">
        <v>1903</v>
      </c>
      <c r="D14" s="701" t="b">
        <v>0</v>
      </c>
      <c r="E14" s="702" t="s">
        <v>1904</v>
      </c>
      <c r="F14" s="703" t="s">
        <v>1905</v>
      </c>
      <c r="G14" s="692"/>
      <c r="H14" s="692"/>
      <c r="I14" s="692"/>
      <c r="J14" s="692"/>
      <c r="K14" s="692"/>
      <c r="L14" s="692"/>
      <c r="M14" s="692"/>
      <c r="N14" s="692"/>
      <c r="O14" s="692"/>
      <c r="P14" s="692"/>
      <c r="Q14" s="692"/>
      <c r="R14" s="692"/>
      <c r="S14" s="692"/>
      <c r="T14" s="692"/>
      <c r="U14" s="692"/>
      <c r="V14" s="692"/>
      <c r="W14" s="692"/>
      <c r="X14" s="692"/>
      <c r="Y14" s="692"/>
      <c r="Z14" s="692"/>
      <c r="AA14" s="692"/>
    </row>
    <row r="15" ht="18.75" customHeight="1">
      <c r="A15" s="692"/>
      <c r="B15" s="164"/>
      <c r="C15" s="598" t="s">
        <v>1906</v>
      </c>
      <c r="D15" s="598" t="b">
        <v>0</v>
      </c>
      <c r="E15" s="704" t="s">
        <v>1907</v>
      </c>
      <c r="F15" s="705" t="s">
        <v>1908</v>
      </c>
      <c r="G15" s="692"/>
      <c r="H15" s="692"/>
      <c r="I15" s="692"/>
      <c r="J15" s="692"/>
      <c r="K15" s="692"/>
      <c r="L15" s="692"/>
      <c r="M15" s="692"/>
      <c r="N15" s="692"/>
      <c r="O15" s="692"/>
      <c r="P15" s="692"/>
      <c r="Q15" s="692"/>
      <c r="R15" s="692"/>
      <c r="S15" s="692"/>
      <c r="T15" s="692"/>
      <c r="U15" s="692"/>
      <c r="V15" s="692"/>
      <c r="W15" s="692"/>
      <c r="X15" s="692"/>
      <c r="Y15" s="692"/>
      <c r="Z15" s="692"/>
      <c r="AA15" s="692"/>
    </row>
    <row r="16" ht="18.75" customHeight="1">
      <c r="A16" s="692"/>
      <c r="B16" s="695" t="s">
        <v>1909</v>
      </c>
      <c r="C16" s="696" t="s">
        <v>1816</v>
      </c>
      <c r="D16" s="696" t="b">
        <v>0</v>
      </c>
      <c r="E16" s="697" t="s">
        <v>1817</v>
      </c>
      <c r="F16" s="699" t="s">
        <v>1818</v>
      </c>
      <c r="G16" s="692"/>
      <c r="H16" s="692"/>
      <c r="I16" s="692"/>
      <c r="J16" s="692"/>
      <c r="K16" s="692"/>
      <c r="L16" s="692"/>
      <c r="M16" s="692"/>
      <c r="N16" s="692"/>
      <c r="O16" s="692"/>
      <c r="P16" s="692"/>
      <c r="Q16" s="692"/>
      <c r="R16" s="692"/>
      <c r="S16" s="692"/>
      <c r="T16" s="692"/>
      <c r="U16" s="692"/>
      <c r="V16" s="692"/>
      <c r="W16" s="692"/>
      <c r="X16" s="692"/>
      <c r="Y16" s="692"/>
      <c r="Z16" s="692"/>
      <c r="AA16" s="692"/>
    </row>
    <row r="17" ht="18.75" customHeight="1">
      <c r="A17" s="692"/>
      <c r="B17" s="95"/>
      <c r="C17" s="696" t="s">
        <v>1819</v>
      </c>
      <c r="D17" s="696" t="b">
        <v>0</v>
      </c>
      <c r="E17" s="697" t="s">
        <v>1820</v>
      </c>
      <c r="F17" s="699" t="s">
        <v>1821</v>
      </c>
      <c r="G17" s="692"/>
      <c r="H17" s="692"/>
      <c r="I17" s="692"/>
      <c r="J17" s="692"/>
      <c r="K17" s="692"/>
      <c r="L17" s="692"/>
      <c r="M17" s="692"/>
      <c r="N17" s="692"/>
      <c r="O17" s="692"/>
      <c r="P17" s="692"/>
      <c r="Q17" s="692"/>
      <c r="R17" s="692"/>
      <c r="S17" s="692"/>
      <c r="T17" s="692"/>
      <c r="U17" s="692"/>
      <c r="V17" s="692"/>
      <c r="W17" s="692"/>
      <c r="X17" s="692"/>
      <c r="Y17" s="692"/>
      <c r="Z17" s="692"/>
      <c r="AA17" s="692"/>
    </row>
    <row r="18" ht="18.75" customHeight="1">
      <c r="A18" s="692"/>
      <c r="B18" s="95"/>
      <c r="C18" s="696" t="s">
        <v>1508</v>
      </c>
      <c r="D18" s="696" t="b">
        <v>0</v>
      </c>
      <c r="E18" s="697" t="s">
        <v>1822</v>
      </c>
      <c r="F18" s="699" t="s">
        <v>1823</v>
      </c>
      <c r="G18" s="692"/>
      <c r="H18" s="692"/>
      <c r="I18" s="692"/>
      <c r="J18" s="692"/>
      <c r="K18" s="692"/>
      <c r="L18" s="692"/>
      <c r="M18" s="692"/>
      <c r="N18" s="692"/>
      <c r="O18" s="692"/>
      <c r="P18" s="692"/>
      <c r="Q18" s="692"/>
      <c r="R18" s="692"/>
      <c r="S18" s="692"/>
      <c r="T18" s="692"/>
      <c r="U18" s="692"/>
      <c r="V18" s="692"/>
      <c r="W18" s="692"/>
      <c r="X18" s="692"/>
      <c r="Y18" s="692"/>
      <c r="Z18" s="692"/>
      <c r="AA18" s="692"/>
    </row>
    <row r="19" ht="18.75" customHeight="1">
      <c r="A19" s="692"/>
      <c r="B19" s="95"/>
      <c r="C19" s="586" t="s">
        <v>1456</v>
      </c>
      <c r="D19" s="367" t="b">
        <v>0</v>
      </c>
      <c r="E19" s="587" t="s">
        <v>1824</v>
      </c>
      <c r="F19" s="706" t="s">
        <v>1825</v>
      </c>
      <c r="G19" s="692"/>
      <c r="H19" s="692"/>
      <c r="I19" s="692"/>
      <c r="J19" s="692"/>
      <c r="K19" s="692"/>
      <c r="L19" s="692"/>
      <c r="M19" s="692"/>
      <c r="N19" s="692"/>
      <c r="O19" s="692"/>
      <c r="P19" s="692"/>
      <c r="Q19" s="692"/>
      <c r="R19" s="692"/>
      <c r="S19" s="692"/>
      <c r="T19" s="692"/>
      <c r="U19" s="692"/>
      <c r="V19" s="692"/>
      <c r="W19" s="692"/>
      <c r="X19" s="692"/>
      <c r="Y19" s="692"/>
      <c r="Z19" s="692"/>
      <c r="AA19" s="692"/>
    </row>
    <row r="20" ht="18.75" customHeight="1">
      <c r="A20" s="692"/>
      <c r="B20" s="95"/>
      <c r="C20" s="590" t="s">
        <v>1816</v>
      </c>
      <c r="D20" s="590" t="b">
        <v>0</v>
      </c>
      <c r="E20" s="591" t="s">
        <v>1826</v>
      </c>
      <c r="F20" s="707" t="s">
        <v>1827</v>
      </c>
      <c r="G20" s="692"/>
      <c r="H20" s="692"/>
      <c r="I20" s="692"/>
      <c r="J20" s="692"/>
      <c r="K20" s="692"/>
      <c r="L20" s="692"/>
      <c r="M20" s="692"/>
      <c r="N20" s="692"/>
      <c r="O20" s="692"/>
      <c r="P20" s="692"/>
      <c r="Q20" s="692"/>
      <c r="R20" s="692"/>
      <c r="S20" s="692"/>
      <c r="T20" s="692"/>
      <c r="U20" s="692"/>
      <c r="V20" s="692"/>
      <c r="W20" s="692"/>
      <c r="X20" s="692"/>
      <c r="Y20" s="692"/>
      <c r="Z20" s="692"/>
      <c r="AA20" s="692"/>
    </row>
    <row r="21" ht="18.75" customHeight="1">
      <c r="A21" s="692"/>
      <c r="B21" s="95"/>
      <c r="C21" s="590" t="s">
        <v>1816</v>
      </c>
      <c r="D21" s="367" t="b">
        <v>0</v>
      </c>
      <c r="E21" s="591" t="s">
        <v>1828</v>
      </c>
      <c r="F21" s="707" t="s">
        <v>1818</v>
      </c>
      <c r="G21" s="692"/>
      <c r="H21" s="692"/>
      <c r="I21" s="692"/>
      <c r="J21" s="692"/>
      <c r="K21" s="692"/>
      <c r="L21" s="692"/>
      <c r="M21" s="692"/>
      <c r="N21" s="692"/>
      <c r="O21" s="692"/>
      <c r="P21" s="692"/>
      <c r="Q21" s="692"/>
      <c r="R21" s="692"/>
      <c r="S21" s="692"/>
      <c r="T21" s="692"/>
      <c r="U21" s="692"/>
      <c r="V21" s="692"/>
      <c r="W21" s="692"/>
      <c r="X21" s="692"/>
      <c r="Y21" s="692"/>
      <c r="Z21" s="692"/>
      <c r="AA21" s="692"/>
    </row>
    <row r="22" ht="18.75" customHeight="1">
      <c r="A22" s="692"/>
      <c r="B22" s="95"/>
      <c r="C22" s="590" t="s">
        <v>1829</v>
      </c>
      <c r="D22" s="590" t="b">
        <v>0</v>
      </c>
      <c r="E22" s="591" t="s">
        <v>1830</v>
      </c>
      <c r="F22" s="707" t="s">
        <v>1831</v>
      </c>
      <c r="G22" s="692"/>
      <c r="H22" s="692"/>
      <c r="I22" s="692"/>
      <c r="J22" s="692"/>
      <c r="K22" s="692"/>
      <c r="L22" s="692"/>
      <c r="M22" s="692"/>
      <c r="N22" s="692"/>
      <c r="O22" s="692"/>
      <c r="P22" s="692"/>
      <c r="Q22" s="692"/>
      <c r="R22" s="692"/>
      <c r="S22" s="692"/>
      <c r="T22" s="692"/>
      <c r="U22" s="692"/>
      <c r="V22" s="692"/>
      <c r="W22" s="692"/>
      <c r="X22" s="692"/>
      <c r="Y22" s="692"/>
      <c r="Z22" s="692"/>
      <c r="AA22" s="692"/>
    </row>
    <row r="23">
      <c r="A23" s="575"/>
      <c r="B23" s="95"/>
      <c r="C23" s="590" t="s">
        <v>1832</v>
      </c>
      <c r="D23" s="590" t="b">
        <v>0</v>
      </c>
      <c r="E23" s="591" t="s">
        <v>1833</v>
      </c>
      <c r="F23" s="708" t="s">
        <v>1834</v>
      </c>
      <c r="G23" s="575"/>
      <c r="H23" s="575"/>
      <c r="I23" s="575"/>
      <c r="J23" s="575"/>
      <c r="K23" s="575"/>
      <c r="L23" s="575"/>
      <c r="M23" s="575"/>
      <c r="N23" s="575"/>
      <c r="O23" s="575"/>
      <c r="P23" s="575"/>
      <c r="Q23" s="575"/>
      <c r="R23" s="575"/>
      <c r="S23" s="575"/>
      <c r="T23" s="575"/>
      <c r="U23" s="575"/>
      <c r="V23" s="575"/>
      <c r="W23" s="575"/>
      <c r="X23" s="575"/>
      <c r="Y23" s="575"/>
      <c r="Z23" s="575"/>
      <c r="AA23" s="575"/>
    </row>
    <row r="24">
      <c r="A24" s="575"/>
      <c r="B24" s="95"/>
      <c r="C24" s="590" t="s">
        <v>1835</v>
      </c>
      <c r="D24" s="590" t="b">
        <v>0</v>
      </c>
      <c r="E24" s="591" t="s">
        <v>1836</v>
      </c>
      <c r="F24" s="707" t="s">
        <v>1837</v>
      </c>
      <c r="G24" s="575"/>
      <c r="H24" s="575"/>
      <c r="I24" s="575"/>
      <c r="J24" s="575"/>
      <c r="K24" s="575"/>
      <c r="L24" s="575"/>
      <c r="M24" s="575"/>
      <c r="N24" s="575"/>
      <c r="O24" s="575"/>
      <c r="P24" s="575"/>
      <c r="Q24" s="575"/>
      <c r="R24" s="575"/>
      <c r="S24" s="575"/>
      <c r="T24" s="575"/>
      <c r="U24" s="575"/>
      <c r="V24" s="575"/>
      <c r="W24" s="575"/>
      <c r="X24" s="575"/>
      <c r="Y24" s="575"/>
      <c r="Z24" s="575"/>
      <c r="AA24" s="575"/>
    </row>
    <row r="25">
      <c r="A25" s="575"/>
      <c r="B25" s="95"/>
      <c r="C25" s="590" t="s">
        <v>1486</v>
      </c>
      <c r="D25" s="590" t="b">
        <v>0</v>
      </c>
      <c r="E25" s="591" t="s">
        <v>1838</v>
      </c>
      <c r="F25" s="707" t="s">
        <v>1839</v>
      </c>
      <c r="G25" s="575"/>
      <c r="H25" s="575"/>
      <c r="I25" s="575"/>
      <c r="J25" s="575"/>
      <c r="K25" s="575"/>
      <c r="L25" s="575"/>
      <c r="M25" s="575"/>
      <c r="N25" s="575"/>
      <c r="O25" s="575"/>
      <c r="P25" s="575"/>
      <c r="Q25" s="575"/>
      <c r="R25" s="575"/>
      <c r="S25" s="575"/>
      <c r="T25" s="575"/>
      <c r="U25" s="575"/>
      <c r="V25" s="575"/>
      <c r="W25" s="575"/>
      <c r="X25" s="575"/>
      <c r="Y25" s="575"/>
      <c r="Z25" s="575"/>
      <c r="AA25" s="575"/>
    </row>
    <row r="26">
      <c r="A26" s="575"/>
      <c r="B26" s="95"/>
      <c r="C26" s="590" t="s">
        <v>1840</v>
      </c>
      <c r="D26" s="590" t="b">
        <v>0</v>
      </c>
      <c r="E26" s="591" t="s">
        <v>1841</v>
      </c>
      <c r="F26" s="707" t="s">
        <v>1842</v>
      </c>
      <c r="G26" s="575"/>
      <c r="H26" s="575"/>
      <c r="I26" s="575"/>
      <c r="J26" s="575"/>
      <c r="K26" s="575"/>
      <c r="L26" s="575"/>
      <c r="M26" s="575"/>
      <c r="N26" s="575"/>
      <c r="O26" s="575"/>
      <c r="P26" s="575"/>
      <c r="Q26" s="575"/>
      <c r="R26" s="575"/>
      <c r="S26" s="575"/>
      <c r="T26" s="575"/>
      <c r="U26" s="575"/>
      <c r="V26" s="575"/>
      <c r="W26" s="575"/>
      <c r="X26" s="575"/>
      <c r="Y26" s="575"/>
      <c r="Z26" s="575"/>
      <c r="AA26" s="575"/>
    </row>
    <row r="27">
      <c r="A27" s="575"/>
      <c r="B27" s="164"/>
      <c r="C27" s="590" t="s">
        <v>1840</v>
      </c>
      <c r="D27" s="590" t="b">
        <v>0</v>
      </c>
      <c r="E27" s="591" t="s">
        <v>1843</v>
      </c>
      <c r="F27" s="707" t="s">
        <v>1844</v>
      </c>
      <c r="G27" s="575"/>
      <c r="H27" s="575"/>
      <c r="I27" s="575"/>
      <c r="J27" s="575"/>
      <c r="K27" s="575"/>
      <c r="L27" s="575"/>
      <c r="M27" s="575"/>
      <c r="N27" s="575"/>
      <c r="O27" s="575"/>
      <c r="P27" s="575"/>
      <c r="Q27" s="575"/>
      <c r="R27" s="575"/>
      <c r="S27" s="575"/>
      <c r="T27" s="575"/>
      <c r="U27" s="575"/>
      <c r="V27" s="575"/>
      <c r="W27" s="575"/>
      <c r="X27" s="575"/>
      <c r="Y27" s="575"/>
      <c r="Z27" s="575"/>
      <c r="AA27" s="575"/>
    </row>
    <row r="28">
      <c r="A28" s="575"/>
      <c r="B28" s="692"/>
      <c r="C28" s="709"/>
      <c r="D28" s="709"/>
      <c r="E28" s="692"/>
      <c r="F28" s="710"/>
      <c r="G28" s="575"/>
      <c r="H28" s="575"/>
      <c r="I28" s="575"/>
      <c r="J28" s="575"/>
      <c r="K28" s="575"/>
      <c r="L28" s="575"/>
      <c r="M28" s="575"/>
      <c r="N28" s="575"/>
      <c r="O28" s="575"/>
      <c r="P28" s="575"/>
      <c r="Q28" s="575"/>
      <c r="R28" s="575"/>
      <c r="S28" s="575"/>
      <c r="T28" s="575"/>
      <c r="U28" s="575"/>
      <c r="V28" s="575"/>
      <c r="W28" s="575"/>
      <c r="X28" s="575"/>
      <c r="Y28" s="575"/>
      <c r="Z28" s="575"/>
      <c r="AA28" s="575"/>
    </row>
    <row r="29">
      <c r="A29" s="575"/>
      <c r="B29" s="692"/>
      <c r="C29" s="709"/>
      <c r="D29" s="709"/>
      <c r="E29" s="692"/>
      <c r="F29" s="710"/>
      <c r="G29" s="575"/>
      <c r="H29" s="575"/>
      <c r="I29" s="575"/>
      <c r="J29" s="575"/>
      <c r="K29" s="575"/>
      <c r="L29" s="575"/>
      <c r="M29" s="575"/>
      <c r="N29" s="575"/>
      <c r="O29" s="575"/>
      <c r="P29" s="575"/>
      <c r="Q29" s="575"/>
      <c r="R29" s="575"/>
      <c r="S29" s="575"/>
      <c r="T29" s="575"/>
      <c r="U29" s="575"/>
      <c r="V29" s="575"/>
      <c r="W29" s="575"/>
      <c r="X29" s="575"/>
      <c r="Y29" s="575"/>
      <c r="Z29" s="575"/>
      <c r="AA29" s="575"/>
    </row>
    <row r="30">
      <c r="A30" s="575"/>
      <c r="B30" s="692"/>
      <c r="C30" s="709"/>
      <c r="D30" s="709"/>
      <c r="E30" s="692"/>
      <c r="F30" s="710"/>
      <c r="G30" s="575"/>
      <c r="H30" s="575"/>
      <c r="I30" s="575"/>
      <c r="J30" s="575"/>
      <c r="K30" s="575"/>
      <c r="L30" s="575"/>
      <c r="M30" s="575"/>
      <c r="N30" s="575"/>
      <c r="O30" s="575"/>
      <c r="P30" s="575"/>
      <c r="Q30" s="575"/>
      <c r="R30" s="575"/>
      <c r="S30" s="575"/>
      <c r="T30" s="575"/>
      <c r="U30" s="575"/>
      <c r="V30" s="575"/>
      <c r="W30" s="575"/>
      <c r="X30" s="575"/>
      <c r="Y30" s="575"/>
      <c r="Z30" s="575"/>
      <c r="AA30" s="575"/>
    </row>
    <row r="31">
      <c r="A31" s="575"/>
      <c r="B31" s="692"/>
      <c r="C31" s="709"/>
      <c r="D31" s="709"/>
      <c r="E31" s="692"/>
      <c r="F31" s="710"/>
      <c r="G31" s="575"/>
      <c r="H31" s="575"/>
      <c r="I31" s="575"/>
      <c r="J31" s="575"/>
      <c r="K31" s="575"/>
      <c r="L31" s="575"/>
      <c r="M31" s="575"/>
      <c r="N31" s="575"/>
      <c r="O31" s="575"/>
      <c r="P31" s="575"/>
      <c r="Q31" s="575"/>
      <c r="R31" s="575"/>
      <c r="S31" s="575"/>
      <c r="T31" s="575"/>
      <c r="U31" s="575"/>
      <c r="V31" s="575"/>
      <c r="W31" s="575"/>
      <c r="X31" s="575"/>
      <c r="Y31" s="575"/>
      <c r="Z31" s="575"/>
      <c r="AA31" s="575"/>
    </row>
    <row r="32">
      <c r="A32" s="575"/>
      <c r="B32" s="692"/>
      <c r="C32" s="709"/>
      <c r="D32" s="709"/>
      <c r="E32" s="692"/>
      <c r="F32" s="710"/>
      <c r="G32" s="575"/>
      <c r="H32" s="575"/>
      <c r="I32" s="575"/>
      <c r="J32" s="575"/>
      <c r="K32" s="575"/>
      <c r="L32" s="575"/>
      <c r="M32" s="575"/>
      <c r="N32" s="575"/>
      <c r="O32" s="575"/>
      <c r="P32" s="575"/>
      <c r="Q32" s="575"/>
      <c r="R32" s="575"/>
      <c r="S32" s="575"/>
      <c r="T32" s="575"/>
      <c r="U32" s="575"/>
      <c r="V32" s="575"/>
      <c r="W32" s="575"/>
      <c r="X32" s="575"/>
      <c r="Y32" s="575"/>
      <c r="Z32" s="575"/>
      <c r="AA32" s="575"/>
    </row>
    <row r="33">
      <c r="A33" s="575"/>
      <c r="B33" s="692"/>
      <c r="C33" s="709"/>
      <c r="D33" s="709"/>
      <c r="E33" s="692"/>
      <c r="F33" s="710"/>
      <c r="G33" s="575"/>
      <c r="H33" s="575"/>
      <c r="I33" s="575"/>
      <c r="J33" s="575"/>
      <c r="K33" s="575"/>
      <c r="L33" s="575"/>
      <c r="M33" s="575"/>
      <c r="N33" s="575"/>
      <c r="O33" s="575"/>
      <c r="P33" s="575"/>
      <c r="Q33" s="575"/>
      <c r="R33" s="575"/>
      <c r="S33" s="575"/>
      <c r="T33" s="575"/>
      <c r="U33" s="575"/>
      <c r="V33" s="575"/>
      <c r="W33" s="575"/>
      <c r="X33" s="575"/>
      <c r="Y33" s="575"/>
      <c r="Z33" s="575"/>
      <c r="AA33" s="575"/>
    </row>
    <row r="34">
      <c r="A34" s="575"/>
      <c r="B34" s="692"/>
      <c r="C34" s="709"/>
      <c r="D34" s="709"/>
      <c r="E34" s="692"/>
      <c r="F34" s="710"/>
      <c r="G34" s="575"/>
      <c r="H34" s="575"/>
      <c r="I34" s="575"/>
      <c r="J34" s="575"/>
      <c r="K34" s="575"/>
      <c r="L34" s="575"/>
      <c r="M34" s="575"/>
      <c r="N34" s="575"/>
      <c r="O34" s="575"/>
      <c r="P34" s="575"/>
      <c r="Q34" s="575"/>
      <c r="R34" s="575"/>
      <c r="S34" s="575"/>
      <c r="T34" s="575"/>
      <c r="U34" s="575"/>
      <c r="V34" s="575"/>
      <c r="W34" s="575"/>
      <c r="X34" s="575"/>
      <c r="Y34" s="575"/>
      <c r="Z34" s="575"/>
      <c r="AA34" s="575"/>
    </row>
    <row r="35">
      <c r="A35" s="575"/>
      <c r="B35" s="692"/>
      <c r="C35" s="709"/>
      <c r="D35" s="709"/>
      <c r="E35" s="692"/>
      <c r="F35" s="710"/>
      <c r="G35" s="575"/>
      <c r="H35" s="575"/>
      <c r="I35" s="575"/>
      <c r="J35" s="575"/>
      <c r="K35" s="575"/>
      <c r="L35" s="575"/>
      <c r="M35" s="575"/>
      <c r="N35" s="575"/>
      <c r="O35" s="575"/>
      <c r="P35" s="575"/>
      <c r="Q35" s="575"/>
      <c r="R35" s="575"/>
      <c r="S35" s="575"/>
      <c r="T35" s="575"/>
      <c r="U35" s="575"/>
      <c r="V35" s="575"/>
      <c r="W35" s="575"/>
      <c r="X35" s="575"/>
      <c r="Y35" s="575"/>
      <c r="Z35" s="575"/>
      <c r="AA35" s="575"/>
    </row>
    <row r="36">
      <c r="A36" s="575"/>
      <c r="B36" s="692"/>
      <c r="C36" s="709"/>
      <c r="D36" s="709"/>
      <c r="E36" s="692"/>
      <c r="F36" s="710"/>
      <c r="G36" s="575"/>
      <c r="H36" s="575"/>
      <c r="I36" s="575"/>
      <c r="J36" s="575"/>
      <c r="K36" s="575"/>
      <c r="L36" s="575"/>
      <c r="M36" s="575"/>
      <c r="N36" s="575"/>
      <c r="O36" s="575"/>
      <c r="P36" s="575"/>
      <c r="Q36" s="575"/>
      <c r="R36" s="575"/>
      <c r="S36" s="575"/>
      <c r="T36" s="575"/>
      <c r="U36" s="575"/>
      <c r="V36" s="575"/>
      <c r="W36" s="575"/>
      <c r="X36" s="575"/>
      <c r="Y36" s="575"/>
      <c r="Z36" s="575"/>
      <c r="AA36" s="575"/>
    </row>
    <row r="37">
      <c r="A37" s="575"/>
      <c r="B37" s="692"/>
      <c r="C37" s="709"/>
      <c r="D37" s="709"/>
      <c r="E37" s="692"/>
      <c r="F37" s="710"/>
      <c r="G37" s="575"/>
      <c r="H37" s="575"/>
      <c r="I37" s="575"/>
      <c r="J37" s="575"/>
      <c r="K37" s="575"/>
      <c r="L37" s="575"/>
      <c r="M37" s="575"/>
      <c r="N37" s="575"/>
      <c r="O37" s="575"/>
      <c r="P37" s="575"/>
      <c r="Q37" s="575"/>
      <c r="R37" s="575"/>
      <c r="S37" s="575"/>
      <c r="T37" s="575"/>
      <c r="U37" s="575"/>
      <c r="V37" s="575"/>
      <c r="W37" s="575"/>
      <c r="X37" s="575"/>
      <c r="Y37" s="575"/>
      <c r="Z37" s="575"/>
      <c r="AA37" s="575"/>
    </row>
    <row r="38">
      <c r="A38" s="575"/>
      <c r="B38" s="692"/>
      <c r="C38" s="709"/>
      <c r="D38" s="709"/>
      <c r="E38" s="692"/>
      <c r="F38" s="710"/>
      <c r="G38" s="575"/>
      <c r="H38" s="575"/>
      <c r="I38" s="575"/>
      <c r="J38" s="575"/>
      <c r="K38" s="575"/>
      <c r="L38" s="575"/>
      <c r="M38" s="575"/>
      <c r="N38" s="575"/>
      <c r="O38" s="575"/>
      <c r="P38" s="575"/>
      <c r="Q38" s="575"/>
      <c r="R38" s="575"/>
      <c r="S38" s="575"/>
      <c r="T38" s="575"/>
      <c r="U38" s="575"/>
      <c r="V38" s="575"/>
      <c r="W38" s="575"/>
      <c r="X38" s="575"/>
      <c r="Y38" s="575"/>
      <c r="Z38" s="575"/>
      <c r="AA38" s="575"/>
    </row>
    <row r="39">
      <c r="A39" s="575"/>
      <c r="B39" s="692"/>
      <c r="C39" s="709"/>
      <c r="D39" s="709"/>
      <c r="E39" s="692"/>
      <c r="F39" s="710"/>
      <c r="G39" s="575"/>
      <c r="H39" s="575"/>
      <c r="I39" s="575"/>
      <c r="J39" s="575"/>
      <c r="K39" s="575"/>
      <c r="L39" s="575"/>
      <c r="M39" s="575"/>
      <c r="N39" s="575"/>
      <c r="O39" s="575"/>
      <c r="P39" s="575"/>
      <c r="Q39" s="575"/>
      <c r="R39" s="575"/>
      <c r="S39" s="575"/>
      <c r="T39" s="575"/>
      <c r="U39" s="575"/>
      <c r="V39" s="575"/>
      <c r="W39" s="575"/>
      <c r="X39" s="575"/>
      <c r="Y39" s="575"/>
      <c r="Z39" s="575"/>
      <c r="AA39" s="575"/>
    </row>
    <row r="40">
      <c r="A40" s="575"/>
      <c r="B40" s="692"/>
      <c r="C40" s="709"/>
      <c r="D40" s="709"/>
      <c r="E40" s="692"/>
      <c r="F40" s="710"/>
      <c r="G40" s="575"/>
      <c r="H40" s="575"/>
      <c r="I40" s="575"/>
      <c r="J40" s="575"/>
      <c r="K40" s="575"/>
      <c r="L40" s="575"/>
      <c r="M40" s="575"/>
      <c r="N40" s="575"/>
      <c r="O40" s="575"/>
      <c r="P40" s="575"/>
      <c r="Q40" s="575"/>
      <c r="R40" s="575"/>
      <c r="S40" s="575"/>
      <c r="T40" s="575"/>
      <c r="U40" s="575"/>
      <c r="V40" s="575"/>
      <c r="W40" s="575"/>
      <c r="X40" s="575"/>
      <c r="Y40" s="575"/>
      <c r="Z40" s="575"/>
      <c r="AA40" s="575"/>
    </row>
    <row r="41">
      <c r="A41" s="575"/>
      <c r="B41" s="692"/>
      <c r="C41" s="709"/>
      <c r="D41" s="709"/>
      <c r="E41" s="692"/>
      <c r="F41" s="710"/>
      <c r="G41" s="575"/>
      <c r="H41" s="575"/>
      <c r="I41" s="575"/>
      <c r="J41" s="575"/>
      <c r="K41" s="575"/>
      <c r="L41" s="575"/>
      <c r="M41" s="575"/>
      <c r="N41" s="575"/>
      <c r="O41" s="575"/>
      <c r="P41" s="575"/>
      <c r="Q41" s="575"/>
      <c r="R41" s="575"/>
      <c r="S41" s="575"/>
      <c r="T41" s="575"/>
      <c r="U41" s="575"/>
      <c r="V41" s="575"/>
      <c r="W41" s="575"/>
      <c r="X41" s="575"/>
      <c r="Y41" s="575"/>
      <c r="Z41" s="575"/>
      <c r="AA41" s="575"/>
    </row>
    <row r="42">
      <c r="A42" s="575"/>
      <c r="B42" s="692"/>
      <c r="C42" s="709"/>
      <c r="D42" s="709"/>
      <c r="E42" s="692"/>
      <c r="F42" s="710"/>
      <c r="G42" s="575"/>
      <c r="H42" s="575"/>
      <c r="I42" s="575"/>
      <c r="J42" s="575"/>
      <c r="K42" s="575"/>
      <c r="L42" s="575"/>
      <c r="M42" s="575"/>
      <c r="N42" s="575"/>
      <c r="O42" s="575"/>
      <c r="P42" s="575"/>
      <c r="Q42" s="575"/>
      <c r="R42" s="575"/>
      <c r="S42" s="575"/>
      <c r="T42" s="575"/>
      <c r="U42" s="575"/>
      <c r="V42" s="575"/>
      <c r="W42" s="575"/>
      <c r="X42" s="575"/>
      <c r="Y42" s="575"/>
      <c r="Z42" s="575"/>
      <c r="AA42" s="575"/>
    </row>
    <row r="43">
      <c r="A43" s="575"/>
      <c r="B43" s="692"/>
      <c r="C43" s="709"/>
      <c r="D43" s="709"/>
      <c r="E43" s="692"/>
      <c r="F43" s="710"/>
      <c r="G43" s="575"/>
      <c r="H43" s="575"/>
      <c r="I43" s="575"/>
      <c r="J43" s="575"/>
      <c r="K43" s="575"/>
      <c r="L43" s="575"/>
      <c r="M43" s="575"/>
      <c r="N43" s="575"/>
      <c r="O43" s="575"/>
      <c r="P43" s="575"/>
      <c r="Q43" s="575"/>
      <c r="R43" s="575"/>
      <c r="S43" s="575"/>
      <c r="T43" s="575"/>
      <c r="U43" s="575"/>
      <c r="V43" s="575"/>
      <c r="W43" s="575"/>
      <c r="X43" s="575"/>
      <c r="Y43" s="575"/>
      <c r="Z43" s="575"/>
      <c r="AA43" s="575"/>
    </row>
    <row r="44">
      <c r="A44" s="575"/>
      <c r="B44" s="692"/>
      <c r="C44" s="709"/>
      <c r="D44" s="709"/>
      <c r="E44" s="692"/>
      <c r="F44" s="710"/>
      <c r="G44" s="575"/>
      <c r="H44" s="575"/>
      <c r="I44" s="575"/>
      <c r="J44" s="575"/>
      <c r="K44" s="575"/>
      <c r="L44" s="575"/>
      <c r="M44" s="575"/>
      <c r="N44" s="575"/>
      <c r="O44" s="575"/>
      <c r="P44" s="575"/>
      <c r="Q44" s="575"/>
      <c r="R44" s="575"/>
      <c r="S44" s="575"/>
      <c r="T44" s="575"/>
      <c r="U44" s="575"/>
      <c r="V44" s="575"/>
      <c r="W44" s="575"/>
      <c r="X44" s="575"/>
      <c r="Y44" s="575"/>
      <c r="Z44" s="575"/>
      <c r="AA44" s="575"/>
    </row>
    <row r="45">
      <c r="A45" s="575"/>
      <c r="B45" s="692"/>
      <c r="C45" s="709"/>
      <c r="D45" s="709"/>
      <c r="E45" s="692"/>
      <c r="F45" s="710"/>
      <c r="G45" s="575"/>
      <c r="H45" s="575"/>
      <c r="I45" s="575"/>
      <c r="J45" s="575"/>
      <c r="K45" s="575"/>
      <c r="L45" s="575"/>
      <c r="M45" s="575"/>
      <c r="N45" s="575"/>
      <c r="O45" s="575"/>
      <c r="P45" s="575"/>
      <c r="Q45" s="575"/>
      <c r="R45" s="575"/>
      <c r="S45" s="575"/>
      <c r="T45" s="575"/>
      <c r="U45" s="575"/>
      <c r="V45" s="575"/>
      <c r="W45" s="575"/>
      <c r="X45" s="575"/>
      <c r="Y45" s="575"/>
      <c r="Z45" s="575"/>
      <c r="AA45" s="575"/>
    </row>
    <row r="46">
      <c r="A46" s="575"/>
      <c r="B46" s="692"/>
      <c r="C46" s="709"/>
      <c r="D46" s="709"/>
      <c r="E46" s="692"/>
      <c r="F46" s="710"/>
      <c r="G46" s="575"/>
      <c r="H46" s="575"/>
      <c r="I46" s="575"/>
      <c r="J46" s="575"/>
      <c r="K46" s="575"/>
      <c r="L46" s="575"/>
      <c r="M46" s="575"/>
      <c r="N46" s="575"/>
      <c r="O46" s="575"/>
      <c r="P46" s="575"/>
      <c r="Q46" s="575"/>
      <c r="R46" s="575"/>
      <c r="S46" s="575"/>
      <c r="T46" s="575"/>
      <c r="U46" s="575"/>
      <c r="V46" s="575"/>
      <c r="W46" s="575"/>
      <c r="X46" s="575"/>
      <c r="Y46" s="575"/>
      <c r="Z46" s="575"/>
      <c r="AA46" s="575"/>
    </row>
    <row r="47">
      <c r="A47" s="575"/>
      <c r="B47" s="692"/>
      <c r="C47" s="709"/>
      <c r="D47" s="709"/>
      <c r="E47" s="692"/>
      <c r="F47" s="710"/>
      <c r="G47" s="575"/>
      <c r="H47" s="575"/>
      <c r="I47" s="575"/>
      <c r="J47" s="575"/>
      <c r="K47" s="575"/>
      <c r="L47" s="575"/>
      <c r="M47" s="575"/>
      <c r="N47" s="575"/>
      <c r="O47" s="575"/>
      <c r="P47" s="575"/>
      <c r="Q47" s="575"/>
      <c r="R47" s="575"/>
      <c r="S47" s="575"/>
      <c r="T47" s="575"/>
      <c r="U47" s="575"/>
      <c r="V47" s="575"/>
      <c r="W47" s="575"/>
      <c r="X47" s="575"/>
      <c r="Y47" s="575"/>
      <c r="Z47" s="575"/>
      <c r="AA47" s="575"/>
    </row>
    <row r="48">
      <c r="A48" s="575"/>
      <c r="B48" s="692"/>
      <c r="C48" s="709"/>
      <c r="D48" s="709"/>
      <c r="E48" s="692"/>
      <c r="F48" s="710"/>
      <c r="G48" s="575"/>
      <c r="H48" s="575"/>
      <c r="I48" s="575"/>
      <c r="J48" s="575"/>
      <c r="K48" s="575"/>
      <c r="L48" s="575"/>
      <c r="M48" s="575"/>
      <c r="N48" s="575"/>
      <c r="O48" s="575"/>
      <c r="P48" s="575"/>
      <c r="Q48" s="575"/>
      <c r="R48" s="575"/>
      <c r="S48" s="575"/>
      <c r="T48" s="575"/>
      <c r="U48" s="575"/>
      <c r="V48" s="575"/>
      <c r="W48" s="575"/>
      <c r="X48" s="575"/>
      <c r="Y48" s="575"/>
      <c r="Z48" s="575"/>
      <c r="AA48" s="575"/>
    </row>
    <row r="49">
      <c r="A49" s="575"/>
      <c r="B49" s="692"/>
      <c r="C49" s="709"/>
      <c r="D49" s="709"/>
      <c r="E49" s="692"/>
      <c r="F49" s="710"/>
      <c r="G49" s="575"/>
      <c r="H49" s="575"/>
      <c r="I49" s="575"/>
      <c r="J49" s="575"/>
      <c r="K49" s="575"/>
      <c r="L49" s="575"/>
      <c r="M49" s="575"/>
      <c r="N49" s="575"/>
      <c r="O49" s="575"/>
      <c r="P49" s="575"/>
      <c r="Q49" s="575"/>
      <c r="R49" s="575"/>
      <c r="S49" s="575"/>
      <c r="T49" s="575"/>
      <c r="U49" s="575"/>
      <c r="V49" s="575"/>
      <c r="W49" s="575"/>
      <c r="X49" s="575"/>
      <c r="Y49" s="575"/>
      <c r="Z49" s="575"/>
      <c r="AA49" s="575"/>
    </row>
    <row r="50">
      <c r="A50" s="575"/>
      <c r="B50" s="692"/>
      <c r="C50" s="709"/>
      <c r="D50" s="709"/>
      <c r="E50" s="692"/>
      <c r="F50" s="710"/>
      <c r="G50" s="575"/>
      <c r="H50" s="575"/>
      <c r="I50" s="575"/>
      <c r="J50" s="575"/>
      <c r="K50" s="575"/>
      <c r="L50" s="575"/>
      <c r="M50" s="575"/>
      <c r="N50" s="575"/>
      <c r="O50" s="575"/>
      <c r="P50" s="575"/>
      <c r="Q50" s="575"/>
      <c r="R50" s="575"/>
      <c r="S50" s="575"/>
      <c r="T50" s="575"/>
      <c r="U50" s="575"/>
      <c r="V50" s="575"/>
      <c r="W50" s="575"/>
      <c r="X50" s="575"/>
      <c r="Y50" s="575"/>
      <c r="Z50" s="575"/>
      <c r="AA50" s="575"/>
    </row>
    <row r="51">
      <c r="A51" s="575"/>
      <c r="B51" s="692"/>
      <c r="C51" s="709"/>
      <c r="D51" s="709"/>
      <c r="E51" s="692"/>
      <c r="F51" s="710"/>
      <c r="G51" s="575"/>
      <c r="H51" s="575"/>
      <c r="I51" s="575"/>
      <c r="J51" s="575"/>
      <c r="K51" s="575"/>
      <c r="L51" s="575"/>
      <c r="M51" s="575"/>
      <c r="N51" s="575"/>
      <c r="O51" s="575"/>
      <c r="P51" s="575"/>
      <c r="Q51" s="575"/>
      <c r="R51" s="575"/>
      <c r="S51" s="575"/>
      <c r="T51" s="575"/>
      <c r="U51" s="575"/>
      <c r="V51" s="575"/>
      <c r="W51" s="575"/>
      <c r="X51" s="575"/>
      <c r="Y51" s="575"/>
      <c r="Z51" s="575"/>
      <c r="AA51" s="575"/>
    </row>
    <row r="52">
      <c r="A52" s="575"/>
      <c r="B52" s="692"/>
      <c r="C52" s="709"/>
      <c r="D52" s="709"/>
      <c r="E52" s="692"/>
      <c r="F52" s="710"/>
      <c r="G52" s="575"/>
      <c r="H52" s="575"/>
      <c r="I52" s="575"/>
      <c r="J52" s="575"/>
      <c r="K52" s="575"/>
      <c r="L52" s="575"/>
      <c r="M52" s="575"/>
      <c r="N52" s="575"/>
      <c r="O52" s="575"/>
      <c r="P52" s="575"/>
      <c r="Q52" s="575"/>
      <c r="R52" s="575"/>
      <c r="S52" s="575"/>
      <c r="T52" s="575"/>
      <c r="U52" s="575"/>
      <c r="V52" s="575"/>
      <c r="W52" s="575"/>
      <c r="X52" s="575"/>
      <c r="Y52" s="575"/>
      <c r="Z52" s="575"/>
      <c r="AA52" s="575"/>
    </row>
    <row r="53">
      <c r="A53" s="575"/>
      <c r="B53" s="692"/>
      <c r="C53" s="709"/>
      <c r="D53" s="709"/>
      <c r="E53" s="692"/>
      <c r="F53" s="710"/>
      <c r="G53" s="575"/>
      <c r="H53" s="575"/>
      <c r="I53" s="575"/>
      <c r="J53" s="575"/>
      <c r="K53" s="575"/>
      <c r="L53" s="575"/>
      <c r="M53" s="575"/>
      <c r="N53" s="575"/>
      <c r="O53" s="575"/>
      <c r="P53" s="575"/>
      <c r="Q53" s="575"/>
      <c r="R53" s="575"/>
      <c r="S53" s="575"/>
      <c r="T53" s="575"/>
      <c r="U53" s="575"/>
      <c r="V53" s="575"/>
      <c r="W53" s="575"/>
      <c r="X53" s="575"/>
      <c r="Y53" s="575"/>
      <c r="Z53" s="575"/>
      <c r="AA53" s="575"/>
    </row>
    <row r="54">
      <c r="A54" s="575"/>
      <c r="B54" s="692"/>
      <c r="C54" s="709"/>
      <c r="D54" s="709"/>
      <c r="E54" s="692"/>
      <c r="F54" s="710"/>
      <c r="G54" s="575"/>
      <c r="H54" s="575"/>
      <c r="I54" s="575"/>
      <c r="J54" s="575"/>
      <c r="K54" s="575"/>
      <c r="L54" s="575"/>
      <c r="M54" s="575"/>
      <c r="N54" s="575"/>
      <c r="O54" s="575"/>
      <c r="P54" s="575"/>
      <c r="Q54" s="575"/>
      <c r="R54" s="575"/>
      <c r="S54" s="575"/>
      <c r="T54" s="575"/>
      <c r="U54" s="575"/>
      <c r="V54" s="575"/>
      <c r="W54" s="575"/>
      <c r="X54" s="575"/>
      <c r="Y54" s="575"/>
      <c r="Z54" s="575"/>
      <c r="AA54" s="575"/>
    </row>
    <row r="55">
      <c r="A55" s="575"/>
      <c r="B55" s="692"/>
      <c r="C55" s="709"/>
      <c r="D55" s="709"/>
      <c r="E55" s="692"/>
      <c r="F55" s="710"/>
      <c r="G55" s="575"/>
      <c r="H55" s="575"/>
      <c r="I55" s="575"/>
      <c r="J55" s="575"/>
      <c r="K55" s="575"/>
      <c r="L55" s="575"/>
      <c r="M55" s="575"/>
      <c r="N55" s="575"/>
      <c r="O55" s="575"/>
      <c r="P55" s="575"/>
      <c r="Q55" s="575"/>
      <c r="R55" s="575"/>
      <c r="S55" s="575"/>
      <c r="T55" s="575"/>
      <c r="U55" s="575"/>
      <c r="V55" s="575"/>
      <c r="W55" s="575"/>
      <c r="X55" s="575"/>
      <c r="Y55" s="575"/>
      <c r="Z55" s="575"/>
      <c r="AA55" s="575"/>
    </row>
    <row r="56">
      <c r="A56" s="575"/>
      <c r="B56" s="692"/>
      <c r="C56" s="709"/>
      <c r="D56" s="709"/>
      <c r="E56" s="692"/>
      <c r="F56" s="710"/>
      <c r="G56" s="575"/>
      <c r="H56" s="575"/>
      <c r="I56" s="575"/>
      <c r="J56" s="575"/>
      <c r="K56" s="575"/>
      <c r="L56" s="575"/>
      <c r="M56" s="575"/>
      <c r="N56" s="575"/>
      <c r="O56" s="575"/>
      <c r="P56" s="575"/>
      <c r="Q56" s="575"/>
      <c r="R56" s="575"/>
      <c r="S56" s="575"/>
      <c r="T56" s="575"/>
      <c r="U56" s="575"/>
      <c r="V56" s="575"/>
      <c r="W56" s="575"/>
      <c r="X56" s="575"/>
      <c r="Y56" s="575"/>
      <c r="Z56" s="575"/>
      <c r="AA56" s="575"/>
    </row>
    <row r="57">
      <c r="A57" s="575"/>
      <c r="B57" s="692"/>
      <c r="C57" s="709"/>
      <c r="D57" s="709"/>
      <c r="E57" s="692"/>
      <c r="F57" s="710"/>
      <c r="G57" s="575"/>
      <c r="H57" s="575"/>
      <c r="I57" s="575"/>
      <c r="J57" s="575"/>
      <c r="K57" s="575"/>
      <c r="L57" s="575"/>
      <c r="M57" s="575"/>
      <c r="N57" s="575"/>
      <c r="O57" s="575"/>
      <c r="P57" s="575"/>
      <c r="Q57" s="575"/>
      <c r="R57" s="575"/>
      <c r="S57" s="575"/>
      <c r="T57" s="575"/>
      <c r="U57" s="575"/>
      <c r="V57" s="575"/>
      <c r="W57" s="575"/>
      <c r="X57" s="575"/>
      <c r="Y57" s="575"/>
      <c r="Z57" s="575"/>
      <c r="AA57" s="575"/>
    </row>
    <row r="58">
      <c r="A58" s="575"/>
      <c r="B58" s="692"/>
      <c r="C58" s="709"/>
      <c r="D58" s="709"/>
      <c r="E58" s="692"/>
      <c r="F58" s="710"/>
      <c r="G58" s="575"/>
      <c r="H58" s="575"/>
      <c r="I58" s="575"/>
      <c r="J58" s="575"/>
      <c r="K58" s="575"/>
      <c r="L58" s="575"/>
      <c r="M58" s="575"/>
      <c r="N58" s="575"/>
      <c r="O58" s="575"/>
      <c r="P58" s="575"/>
      <c r="Q58" s="575"/>
      <c r="R58" s="575"/>
      <c r="S58" s="575"/>
      <c r="T58" s="575"/>
      <c r="U58" s="575"/>
      <c r="V58" s="575"/>
      <c r="W58" s="575"/>
      <c r="X58" s="575"/>
      <c r="Y58" s="575"/>
      <c r="Z58" s="575"/>
      <c r="AA58" s="575"/>
    </row>
    <row r="59">
      <c r="A59" s="575"/>
      <c r="B59" s="692"/>
      <c r="C59" s="709"/>
      <c r="D59" s="709"/>
      <c r="E59" s="692"/>
      <c r="F59" s="710"/>
      <c r="G59" s="575"/>
      <c r="H59" s="575"/>
      <c r="I59" s="575"/>
      <c r="J59" s="575"/>
      <c r="K59" s="575"/>
      <c r="L59" s="575"/>
      <c r="M59" s="575"/>
      <c r="N59" s="575"/>
      <c r="O59" s="575"/>
      <c r="P59" s="575"/>
      <c r="Q59" s="575"/>
      <c r="R59" s="575"/>
      <c r="S59" s="575"/>
      <c r="T59" s="575"/>
      <c r="U59" s="575"/>
      <c r="V59" s="575"/>
      <c r="W59" s="575"/>
      <c r="X59" s="575"/>
      <c r="Y59" s="575"/>
      <c r="Z59" s="575"/>
      <c r="AA59" s="575"/>
    </row>
    <row r="60">
      <c r="A60" s="575"/>
      <c r="B60" s="692"/>
      <c r="C60" s="709"/>
      <c r="D60" s="709"/>
      <c r="E60" s="692"/>
      <c r="F60" s="710"/>
      <c r="G60" s="575"/>
      <c r="H60" s="575"/>
      <c r="I60" s="575"/>
      <c r="J60" s="575"/>
      <c r="K60" s="575"/>
      <c r="L60" s="575"/>
      <c r="M60" s="575"/>
      <c r="N60" s="575"/>
      <c r="O60" s="575"/>
      <c r="P60" s="575"/>
      <c r="Q60" s="575"/>
      <c r="R60" s="575"/>
      <c r="S60" s="575"/>
      <c r="T60" s="575"/>
      <c r="U60" s="575"/>
      <c r="V60" s="575"/>
      <c r="W60" s="575"/>
      <c r="X60" s="575"/>
      <c r="Y60" s="575"/>
      <c r="Z60" s="575"/>
      <c r="AA60" s="575"/>
    </row>
    <row r="61">
      <c r="A61" s="575"/>
      <c r="B61" s="692"/>
      <c r="C61" s="709"/>
      <c r="D61" s="709"/>
      <c r="E61" s="692"/>
      <c r="F61" s="710"/>
      <c r="G61" s="575"/>
      <c r="H61" s="575"/>
      <c r="I61" s="575"/>
      <c r="J61" s="575"/>
      <c r="K61" s="575"/>
      <c r="L61" s="575"/>
      <c r="M61" s="575"/>
      <c r="N61" s="575"/>
      <c r="O61" s="575"/>
      <c r="P61" s="575"/>
      <c r="Q61" s="575"/>
      <c r="R61" s="575"/>
      <c r="S61" s="575"/>
      <c r="T61" s="575"/>
      <c r="U61" s="575"/>
      <c r="V61" s="575"/>
      <c r="W61" s="575"/>
      <c r="X61" s="575"/>
      <c r="Y61" s="575"/>
      <c r="Z61" s="575"/>
      <c r="AA61" s="575"/>
    </row>
    <row r="62">
      <c r="A62" s="575"/>
      <c r="B62" s="692"/>
      <c r="C62" s="709"/>
      <c r="D62" s="709"/>
      <c r="E62" s="692"/>
      <c r="F62" s="710"/>
      <c r="G62" s="575"/>
      <c r="H62" s="575"/>
      <c r="I62" s="575"/>
      <c r="J62" s="575"/>
      <c r="K62" s="575"/>
      <c r="L62" s="575"/>
      <c r="M62" s="575"/>
      <c r="N62" s="575"/>
      <c r="O62" s="575"/>
      <c r="P62" s="575"/>
      <c r="Q62" s="575"/>
      <c r="R62" s="575"/>
      <c r="S62" s="575"/>
      <c r="T62" s="575"/>
      <c r="U62" s="575"/>
      <c r="V62" s="575"/>
      <c r="W62" s="575"/>
      <c r="X62" s="575"/>
      <c r="Y62" s="575"/>
      <c r="Z62" s="575"/>
      <c r="AA62" s="575"/>
    </row>
    <row r="63">
      <c r="A63" s="575"/>
      <c r="B63" s="692"/>
      <c r="C63" s="709"/>
      <c r="D63" s="709"/>
      <c r="E63" s="692"/>
      <c r="F63" s="710"/>
      <c r="G63" s="575"/>
      <c r="H63" s="575"/>
      <c r="I63" s="575"/>
      <c r="J63" s="575"/>
      <c r="K63" s="575"/>
      <c r="L63" s="575"/>
      <c r="M63" s="575"/>
      <c r="N63" s="575"/>
      <c r="O63" s="575"/>
      <c r="P63" s="575"/>
      <c r="Q63" s="575"/>
      <c r="R63" s="575"/>
      <c r="S63" s="575"/>
      <c r="T63" s="575"/>
      <c r="U63" s="575"/>
      <c r="V63" s="575"/>
      <c r="W63" s="575"/>
      <c r="X63" s="575"/>
      <c r="Y63" s="575"/>
      <c r="Z63" s="575"/>
      <c r="AA63" s="575"/>
    </row>
    <row r="64">
      <c r="A64" s="575"/>
      <c r="B64" s="692"/>
      <c r="C64" s="709"/>
      <c r="D64" s="709"/>
      <c r="E64" s="692"/>
      <c r="F64" s="710"/>
      <c r="G64" s="575"/>
      <c r="H64" s="575"/>
      <c r="I64" s="575"/>
      <c r="J64" s="575"/>
      <c r="K64" s="575"/>
      <c r="L64" s="575"/>
      <c r="M64" s="575"/>
      <c r="N64" s="575"/>
      <c r="O64" s="575"/>
      <c r="P64" s="575"/>
      <c r="Q64" s="575"/>
      <c r="R64" s="575"/>
      <c r="S64" s="575"/>
      <c r="T64" s="575"/>
      <c r="U64" s="575"/>
      <c r="V64" s="575"/>
      <c r="W64" s="575"/>
      <c r="X64" s="575"/>
      <c r="Y64" s="575"/>
      <c r="Z64" s="575"/>
      <c r="AA64" s="575"/>
    </row>
    <row r="65">
      <c r="A65" s="575"/>
      <c r="B65" s="692"/>
      <c r="C65" s="709"/>
      <c r="D65" s="709"/>
      <c r="E65" s="692"/>
      <c r="F65" s="710"/>
      <c r="G65" s="575"/>
      <c r="H65" s="575"/>
      <c r="I65" s="575"/>
      <c r="J65" s="575"/>
      <c r="K65" s="575"/>
      <c r="L65" s="575"/>
      <c r="M65" s="575"/>
      <c r="N65" s="575"/>
      <c r="O65" s="575"/>
      <c r="P65" s="575"/>
      <c r="Q65" s="575"/>
      <c r="R65" s="575"/>
      <c r="S65" s="575"/>
      <c r="T65" s="575"/>
      <c r="U65" s="575"/>
      <c r="V65" s="575"/>
      <c r="W65" s="575"/>
      <c r="X65" s="575"/>
      <c r="Y65" s="575"/>
      <c r="Z65" s="575"/>
      <c r="AA65" s="575"/>
    </row>
    <row r="66">
      <c r="A66" s="575"/>
      <c r="B66" s="692"/>
      <c r="C66" s="709"/>
      <c r="D66" s="709"/>
      <c r="E66" s="692"/>
      <c r="F66" s="710"/>
      <c r="G66" s="575"/>
      <c r="H66" s="575"/>
      <c r="I66" s="575"/>
      <c r="J66" s="575"/>
      <c r="K66" s="575"/>
      <c r="L66" s="575"/>
      <c r="M66" s="575"/>
      <c r="N66" s="575"/>
      <c r="O66" s="575"/>
      <c r="P66" s="575"/>
      <c r="Q66" s="575"/>
      <c r="R66" s="575"/>
      <c r="S66" s="575"/>
      <c r="T66" s="575"/>
      <c r="U66" s="575"/>
      <c r="V66" s="575"/>
      <c r="W66" s="575"/>
      <c r="X66" s="575"/>
      <c r="Y66" s="575"/>
      <c r="Z66" s="575"/>
      <c r="AA66" s="575"/>
    </row>
    <row r="67">
      <c r="A67" s="575"/>
      <c r="B67" s="692"/>
      <c r="C67" s="709"/>
      <c r="D67" s="709"/>
      <c r="E67" s="692"/>
      <c r="F67" s="710"/>
      <c r="G67" s="575"/>
      <c r="H67" s="575"/>
      <c r="I67" s="575"/>
      <c r="J67" s="575"/>
      <c r="K67" s="575"/>
      <c r="L67" s="575"/>
      <c r="M67" s="575"/>
      <c r="N67" s="575"/>
      <c r="O67" s="575"/>
      <c r="P67" s="575"/>
      <c r="Q67" s="575"/>
      <c r="R67" s="575"/>
      <c r="S67" s="575"/>
      <c r="T67" s="575"/>
      <c r="U67" s="575"/>
      <c r="V67" s="575"/>
      <c r="W67" s="575"/>
      <c r="X67" s="575"/>
      <c r="Y67" s="575"/>
      <c r="Z67" s="575"/>
      <c r="AA67" s="575"/>
    </row>
    <row r="68">
      <c r="A68" s="575"/>
      <c r="B68" s="692"/>
      <c r="C68" s="709"/>
      <c r="D68" s="709"/>
      <c r="E68" s="692"/>
      <c r="F68" s="710"/>
      <c r="G68" s="575"/>
      <c r="H68" s="575"/>
      <c r="I68" s="575"/>
      <c r="J68" s="575"/>
      <c r="K68" s="575"/>
      <c r="L68" s="575"/>
      <c r="M68" s="575"/>
      <c r="N68" s="575"/>
      <c r="O68" s="575"/>
      <c r="P68" s="575"/>
      <c r="Q68" s="575"/>
      <c r="R68" s="575"/>
      <c r="S68" s="575"/>
      <c r="T68" s="575"/>
      <c r="U68" s="575"/>
      <c r="V68" s="575"/>
      <c r="W68" s="575"/>
      <c r="X68" s="575"/>
      <c r="Y68" s="575"/>
      <c r="Z68" s="575"/>
      <c r="AA68" s="575"/>
    </row>
    <row r="69">
      <c r="A69" s="575"/>
      <c r="B69" s="692"/>
      <c r="C69" s="709"/>
      <c r="D69" s="709"/>
      <c r="E69" s="692"/>
      <c r="F69" s="710"/>
      <c r="G69" s="575"/>
      <c r="H69" s="575"/>
      <c r="I69" s="575"/>
      <c r="J69" s="575"/>
      <c r="K69" s="575"/>
      <c r="L69" s="575"/>
      <c r="M69" s="575"/>
      <c r="N69" s="575"/>
      <c r="O69" s="575"/>
      <c r="P69" s="575"/>
      <c r="Q69" s="575"/>
      <c r="R69" s="575"/>
      <c r="S69" s="575"/>
      <c r="T69" s="575"/>
      <c r="U69" s="575"/>
      <c r="V69" s="575"/>
      <c r="W69" s="575"/>
      <c r="X69" s="575"/>
      <c r="Y69" s="575"/>
      <c r="Z69" s="575"/>
      <c r="AA69" s="575"/>
    </row>
    <row r="70">
      <c r="A70" s="575"/>
      <c r="B70" s="692"/>
      <c r="C70" s="709"/>
      <c r="D70" s="709"/>
      <c r="E70" s="692"/>
      <c r="F70" s="710"/>
      <c r="G70" s="575"/>
      <c r="H70" s="575"/>
      <c r="I70" s="575"/>
      <c r="J70" s="575"/>
      <c r="K70" s="575"/>
      <c r="L70" s="575"/>
      <c r="M70" s="575"/>
      <c r="N70" s="575"/>
      <c r="O70" s="575"/>
      <c r="P70" s="575"/>
      <c r="Q70" s="575"/>
      <c r="R70" s="575"/>
      <c r="S70" s="575"/>
      <c r="T70" s="575"/>
      <c r="U70" s="575"/>
      <c r="V70" s="575"/>
      <c r="W70" s="575"/>
      <c r="X70" s="575"/>
      <c r="Y70" s="575"/>
      <c r="Z70" s="575"/>
      <c r="AA70" s="575"/>
    </row>
    <row r="71">
      <c r="A71" s="575"/>
      <c r="B71" s="692"/>
      <c r="C71" s="709"/>
      <c r="D71" s="709"/>
      <c r="E71" s="692"/>
      <c r="F71" s="710"/>
      <c r="G71" s="575"/>
      <c r="H71" s="575"/>
      <c r="I71" s="575"/>
      <c r="J71" s="575"/>
      <c r="K71" s="575"/>
      <c r="L71" s="575"/>
      <c r="M71" s="575"/>
      <c r="N71" s="575"/>
      <c r="O71" s="575"/>
      <c r="P71" s="575"/>
      <c r="Q71" s="575"/>
      <c r="R71" s="575"/>
      <c r="S71" s="575"/>
      <c r="T71" s="575"/>
      <c r="U71" s="575"/>
      <c r="V71" s="575"/>
      <c r="W71" s="575"/>
      <c r="X71" s="575"/>
      <c r="Y71" s="575"/>
      <c r="Z71" s="575"/>
      <c r="AA71" s="575"/>
    </row>
    <row r="72">
      <c r="A72" s="575"/>
      <c r="B72" s="692"/>
      <c r="C72" s="709"/>
      <c r="D72" s="709"/>
      <c r="E72" s="692"/>
      <c r="F72" s="710"/>
      <c r="G72" s="575"/>
      <c r="H72" s="575"/>
      <c r="I72" s="575"/>
      <c r="J72" s="575"/>
      <c r="K72" s="575"/>
      <c r="L72" s="575"/>
      <c r="M72" s="575"/>
      <c r="N72" s="575"/>
      <c r="O72" s="575"/>
      <c r="P72" s="575"/>
      <c r="Q72" s="575"/>
      <c r="R72" s="575"/>
      <c r="S72" s="575"/>
      <c r="T72" s="575"/>
      <c r="U72" s="575"/>
      <c r="V72" s="575"/>
      <c r="W72" s="575"/>
      <c r="X72" s="575"/>
      <c r="Y72" s="575"/>
      <c r="Z72" s="575"/>
      <c r="AA72" s="575"/>
    </row>
    <row r="73">
      <c r="A73" s="575"/>
      <c r="B73" s="692"/>
      <c r="C73" s="709"/>
      <c r="D73" s="709"/>
      <c r="E73" s="692"/>
      <c r="F73" s="710"/>
      <c r="G73" s="575"/>
      <c r="H73" s="575"/>
      <c r="I73" s="575"/>
      <c r="J73" s="575"/>
      <c r="K73" s="575"/>
      <c r="L73" s="575"/>
      <c r="M73" s="575"/>
      <c r="N73" s="575"/>
      <c r="O73" s="575"/>
      <c r="P73" s="575"/>
      <c r="Q73" s="575"/>
      <c r="R73" s="575"/>
      <c r="S73" s="575"/>
      <c r="T73" s="575"/>
      <c r="U73" s="575"/>
      <c r="V73" s="575"/>
      <c r="W73" s="575"/>
      <c r="X73" s="575"/>
      <c r="Y73" s="575"/>
      <c r="Z73" s="575"/>
      <c r="AA73" s="575"/>
    </row>
    <row r="74">
      <c r="A74" s="575"/>
      <c r="B74" s="692"/>
      <c r="C74" s="709"/>
      <c r="D74" s="709"/>
      <c r="E74" s="692"/>
      <c r="F74" s="710"/>
      <c r="G74" s="575"/>
      <c r="H74" s="575"/>
      <c r="I74" s="575"/>
      <c r="J74" s="575"/>
      <c r="K74" s="575"/>
      <c r="L74" s="575"/>
      <c r="M74" s="575"/>
      <c r="N74" s="575"/>
      <c r="O74" s="575"/>
      <c r="P74" s="575"/>
      <c r="Q74" s="575"/>
      <c r="R74" s="575"/>
      <c r="S74" s="575"/>
      <c r="T74" s="575"/>
      <c r="U74" s="575"/>
      <c r="V74" s="575"/>
      <c r="W74" s="575"/>
      <c r="X74" s="575"/>
      <c r="Y74" s="575"/>
      <c r="Z74" s="575"/>
      <c r="AA74" s="575"/>
    </row>
    <row r="75">
      <c r="A75" s="575"/>
      <c r="B75" s="692"/>
      <c r="C75" s="709"/>
      <c r="D75" s="709"/>
      <c r="E75" s="692"/>
      <c r="F75" s="710"/>
      <c r="G75" s="575"/>
      <c r="H75" s="575"/>
      <c r="I75" s="575"/>
      <c r="J75" s="575"/>
      <c r="K75" s="575"/>
      <c r="L75" s="575"/>
      <c r="M75" s="575"/>
      <c r="N75" s="575"/>
      <c r="O75" s="575"/>
      <c r="P75" s="575"/>
      <c r="Q75" s="575"/>
      <c r="R75" s="575"/>
      <c r="S75" s="575"/>
      <c r="T75" s="575"/>
      <c r="U75" s="575"/>
      <c r="V75" s="575"/>
      <c r="W75" s="575"/>
      <c r="X75" s="575"/>
      <c r="Y75" s="575"/>
      <c r="Z75" s="575"/>
      <c r="AA75" s="575"/>
    </row>
    <row r="76">
      <c r="A76" s="575"/>
      <c r="B76" s="692"/>
      <c r="C76" s="709"/>
      <c r="D76" s="709"/>
      <c r="E76" s="692"/>
      <c r="F76" s="710"/>
      <c r="G76" s="575"/>
      <c r="H76" s="575"/>
      <c r="I76" s="575"/>
      <c r="J76" s="575"/>
      <c r="K76" s="575"/>
      <c r="L76" s="575"/>
      <c r="M76" s="575"/>
      <c r="N76" s="575"/>
      <c r="O76" s="575"/>
      <c r="P76" s="575"/>
      <c r="Q76" s="575"/>
      <c r="R76" s="575"/>
      <c r="S76" s="575"/>
      <c r="T76" s="575"/>
      <c r="U76" s="575"/>
      <c r="V76" s="575"/>
      <c r="W76" s="575"/>
      <c r="X76" s="575"/>
      <c r="Y76" s="575"/>
      <c r="Z76" s="575"/>
      <c r="AA76" s="575"/>
    </row>
    <row r="77">
      <c r="A77" s="575"/>
      <c r="B77" s="692"/>
      <c r="C77" s="709"/>
      <c r="D77" s="709"/>
      <c r="E77" s="692"/>
      <c r="F77" s="710"/>
      <c r="G77" s="575"/>
      <c r="H77" s="575"/>
      <c r="I77" s="575"/>
      <c r="J77" s="575"/>
      <c r="K77" s="575"/>
      <c r="L77" s="575"/>
      <c r="M77" s="575"/>
      <c r="N77" s="575"/>
      <c r="O77" s="575"/>
      <c r="P77" s="575"/>
      <c r="Q77" s="575"/>
      <c r="R77" s="575"/>
      <c r="S77" s="575"/>
      <c r="T77" s="575"/>
      <c r="U77" s="575"/>
      <c r="V77" s="575"/>
      <c r="W77" s="575"/>
      <c r="X77" s="575"/>
      <c r="Y77" s="575"/>
      <c r="Z77" s="575"/>
      <c r="AA77" s="575"/>
    </row>
    <row r="78">
      <c r="A78" s="575"/>
      <c r="B78" s="692"/>
      <c r="C78" s="709"/>
      <c r="D78" s="709"/>
      <c r="E78" s="692"/>
      <c r="F78" s="710"/>
      <c r="G78" s="575"/>
      <c r="H78" s="575"/>
      <c r="I78" s="575"/>
      <c r="J78" s="575"/>
      <c r="K78" s="575"/>
      <c r="L78" s="575"/>
      <c r="M78" s="575"/>
      <c r="N78" s="575"/>
      <c r="O78" s="575"/>
      <c r="P78" s="575"/>
      <c r="Q78" s="575"/>
      <c r="R78" s="575"/>
      <c r="S78" s="575"/>
      <c r="T78" s="575"/>
      <c r="U78" s="575"/>
      <c r="V78" s="575"/>
      <c r="W78" s="575"/>
      <c r="X78" s="575"/>
      <c r="Y78" s="575"/>
      <c r="Z78" s="575"/>
      <c r="AA78" s="575"/>
    </row>
    <row r="79">
      <c r="A79" s="575"/>
      <c r="B79" s="692"/>
      <c r="C79" s="709"/>
      <c r="D79" s="709"/>
      <c r="E79" s="692"/>
      <c r="F79" s="710"/>
      <c r="G79" s="575"/>
      <c r="H79" s="575"/>
      <c r="I79" s="575"/>
      <c r="J79" s="575"/>
      <c r="K79" s="575"/>
      <c r="L79" s="575"/>
      <c r="M79" s="575"/>
      <c r="N79" s="575"/>
      <c r="O79" s="575"/>
      <c r="P79" s="575"/>
      <c r="Q79" s="575"/>
      <c r="R79" s="575"/>
      <c r="S79" s="575"/>
      <c r="T79" s="575"/>
      <c r="U79" s="575"/>
      <c r="V79" s="575"/>
      <c r="W79" s="575"/>
      <c r="X79" s="575"/>
      <c r="Y79" s="575"/>
      <c r="Z79" s="575"/>
      <c r="AA79" s="575"/>
    </row>
    <row r="80">
      <c r="A80" s="575"/>
      <c r="B80" s="692"/>
      <c r="C80" s="709"/>
      <c r="D80" s="709"/>
      <c r="E80" s="692"/>
      <c r="F80" s="710"/>
      <c r="G80" s="575"/>
      <c r="H80" s="575"/>
      <c r="I80" s="575"/>
      <c r="J80" s="575"/>
      <c r="K80" s="575"/>
      <c r="L80" s="575"/>
      <c r="M80" s="575"/>
      <c r="N80" s="575"/>
      <c r="O80" s="575"/>
      <c r="P80" s="575"/>
      <c r="Q80" s="575"/>
      <c r="R80" s="575"/>
      <c r="S80" s="575"/>
      <c r="T80" s="575"/>
      <c r="U80" s="575"/>
      <c r="V80" s="575"/>
      <c r="W80" s="575"/>
      <c r="X80" s="575"/>
      <c r="Y80" s="575"/>
      <c r="Z80" s="575"/>
      <c r="AA80" s="575"/>
    </row>
    <row r="81">
      <c r="A81" s="575"/>
      <c r="B81" s="692"/>
      <c r="C81" s="709"/>
      <c r="D81" s="709"/>
      <c r="E81" s="692"/>
      <c r="F81" s="710"/>
      <c r="G81" s="575"/>
      <c r="H81" s="575"/>
      <c r="I81" s="575"/>
      <c r="J81" s="575"/>
      <c r="K81" s="575"/>
      <c r="L81" s="575"/>
      <c r="M81" s="575"/>
      <c r="N81" s="575"/>
      <c r="O81" s="575"/>
      <c r="P81" s="575"/>
      <c r="Q81" s="575"/>
      <c r="R81" s="575"/>
      <c r="S81" s="575"/>
      <c r="T81" s="575"/>
      <c r="U81" s="575"/>
      <c r="V81" s="575"/>
      <c r="W81" s="575"/>
      <c r="X81" s="575"/>
      <c r="Y81" s="575"/>
      <c r="Z81" s="575"/>
      <c r="AA81" s="575"/>
    </row>
    <row r="82">
      <c r="A82" s="575"/>
      <c r="B82" s="692"/>
      <c r="C82" s="709"/>
      <c r="D82" s="709"/>
      <c r="E82" s="692"/>
      <c r="F82" s="710"/>
      <c r="G82" s="575"/>
      <c r="H82" s="575"/>
      <c r="I82" s="575"/>
      <c r="J82" s="575"/>
      <c r="K82" s="575"/>
      <c r="L82" s="575"/>
      <c r="M82" s="575"/>
      <c r="N82" s="575"/>
      <c r="O82" s="575"/>
      <c r="P82" s="575"/>
      <c r="Q82" s="575"/>
      <c r="R82" s="575"/>
      <c r="S82" s="575"/>
      <c r="T82" s="575"/>
      <c r="U82" s="575"/>
      <c r="V82" s="575"/>
      <c r="W82" s="575"/>
      <c r="X82" s="575"/>
      <c r="Y82" s="575"/>
      <c r="Z82" s="575"/>
      <c r="AA82" s="575"/>
    </row>
    <row r="83">
      <c r="A83" s="575"/>
      <c r="B83" s="692"/>
      <c r="C83" s="709"/>
      <c r="D83" s="709"/>
      <c r="E83" s="692"/>
      <c r="F83" s="710"/>
      <c r="G83" s="575"/>
      <c r="H83" s="575"/>
      <c r="I83" s="575"/>
      <c r="J83" s="575"/>
      <c r="K83" s="575"/>
      <c r="L83" s="575"/>
      <c r="M83" s="575"/>
      <c r="N83" s="575"/>
      <c r="O83" s="575"/>
      <c r="P83" s="575"/>
      <c r="Q83" s="575"/>
      <c r="R83" s="575"/>
      <c r="S83" s="575"/>
      <c r="T83" s="575"/>
      <c r="U83" s="575"/>
      <c r="V83" s="575"/>
      <c r="W83" s="575"/>
      <c r="X83" s="575"/>
      <c r="Y83" s="575"/>
      <c r="Z83" s="575"/>
      <c r="AA83" s="575"/>
    </row>
    <row r="84">
      <c r="A84" s="575"/>
      <c r="B84" s="692"/>
      <c r="C84" s="709"/>
      <c r="D84" s="709"/>
      <c r="E84" s="692"/>
      <c r="F84" s="710"/>
      <c r="G84" s="575"/>
      <c r="H84" s="575"/>
      <c r="I84" s="575"/>
      <c r="J84" s="575"/>
      <c r="K84" s="575"/>
      <c r="L84" s="575"/>
      <c r="M84" s="575"/>
      <c r="N84" s="575"/>
      <c r="O84" s="575"/>
      <c r="P84" s="575"/>
      <c r="Q84" s="575"/>
      <c r="R84" s="575"/>
      <c r="S84" s="575"/>
      <c r="T84" s="575"/>
      <c r="U84" s="575"/>
      <c r="V84" s="575"/>
      <c r="W84" s="575"/>
      <c r="X84" s="575"/>
      <c r="Y84" s="575"/>
      <c r="Z84" s="575"/>
      <c r="AA84" s="575"/>
    </row>
    <row r="85">
      <c r="A85" s="575"/>
      <c r="B85" s="692"/>
      <c r="C85" s="709"/>
      <c r="D85" s="709"/>
      <c r="E85" s="692"/>
      <c r="F85" s="710"/>
      <c r="G85" s="575"/>
      <c r="H85" s="575"/>
      <c r="I85" s="575"/>
      <c r="J85" s="575"/>
      <c r="K85" s="575"/>
      <c r="L85" s="575"/>
      <c r="M85" s="575"/>
      <c r="N85" s="575"/>
      <c r="O85" s="575"/>
      <c r="P85" s="575"/>
      <c r="Q85" s="575"/>
      <c r="R85" s="575"/>
      <c r="S85" s="575"/>
      <c r="T85" s="575"/>
      <c r="U85" s="575"/>
      <c r="V85" s="575"/>
      <c r="W85" s="575"/>
      <c r="X85" s="575"/>
      <c r="Y85" s="575"/>
      <c r="Z85" s="575"/>
      <c r="AA85" s="575"/>
    </row>
    <row r="86">
      <c r="A86" s="575"/>
      <c r="B86" s="692"/>
      <c r="C86" s="709"/>
      <c r="D86" s="709"/>
      <c r="E86" s="692"/>
      <c r="F86" s="710"/>
      <c r="G86" s="575"/>
      <c r="H86" s="575"/>
      <c r="I86" s="575"/>
      <c r="J86" s="575"/>
      <c r="K86" s="575"/>
      <c r="L86" s="575"/>
      <c r="M86" s="575"/>
      <c r="N86" s="575"/>
      <c r="O86" s="575"/>
      <c r="P86" s="575"/>
      <c r="Q86" s="575"/>
      <c r="R86" s="575"/>
      <c r="S86" s="575"/>
      <c r="T86" s="575"/>
      <c r="U86" s="575"/>
      <c r="V86" s="575"/>
      <c r="W86" s="575"/>
      <c r="X86" s="575"/>
      <c r="Y86" s="575"/>
      <c r="Z86" s="575"/>
      <c r="AA86" s="575"/>
    </row>
    <row r="87">
      <c r="A87" s="575"/>
      <c r="B87" s="692"/>
      <c r="C87" s="709"/>
      <c r="D87" s="709"/>
      <c r="E87" s="692"/>
      <c r="F87" s="710"/>
      <c r="G87" s="575"/>
      <c r="H87" s="575"/>
      <c r="I87" s="575"/>
      <c r="J87" s="575"/>
      <c r="K87" s="575"/>
      <c r="L87" s="575"/>
      <c r="M87" s="575"/>
      <c r="N87" s="575"/>
      <c r="O87" s="575"/>
      <c r="P87" s="575"/>
      <c r="Q87" s="575"/>
      <c r="R87" s="575"/>
      <c r="S87" s="575"/>
      <c r="T87" s="575"/>
      <c r="U87" s="575"/>
      <c r="V87" s="575"/>
      <c r="W87" s="575"/>
      <c r="X87" s="575"/>
      <c r="Y87" s="575"/>
      <c r="Z87" s="575"/>
      <c r="AA87" s="575"/>
    </row>
    <row r="88">
      <c r="A88" s="575"/>
      <c r="B88" s="692"/>
      <c r="C88" s="709"/>
      <c r="D88" s="709"/>
      <c r="E88" s="692"/>
      <c r="F88" s="710"/>
      <c r="G88" s="575"/>
      <c r="H88" s="575"/>
      <c r="I88" s="575"/>
      <c r="J88" s="575"/>
      <c r="K88" s="575"/>
      <c r="L88" s="575"/>
      <c r="M88" s="575"/>
      <c r="N88" s="575"/>
      <c r="O88" s="575"/>
      <c r="P88" s="575"/>
      <c r="Q88" s="575"/>
      <c r="R88" s="575"/>
      <c r="S88" s="575"/>
      <c r="T88" s="575"/>
      <c r="U88" s="575"/>
      <c r="V88" s="575"/>
      <c r="W88" s="575"/>
      <c r="X88" s="575"/>
      <c r="Y88" s="575"/>
      <c r="Z88" s="575"/>
      <c r="AA88" s="575"/>
    </row>
    <row r="89">
      <c r="A89" s="575"/>
      <c r="B89" s="692"/>
      <c r="C89" s="709"/>
      <c r="D89" s="709"/>
      <c r="E89" s="692"/>
      <c r="F89" s="710"/>
      <c r="G89" s="575"/>
      <c r="H89" s="575"/>
      <c r="I89" s="575"/>
      <c r="J89" s="575"/>
      <c r="K89" s="575"/>
      <c r="L89" s="575"/>
      <c r="M89" s="575"/>
      <c r="N89" s="575"/>
      <c r="O89" s="575"/>
      <c r="P89" s="575"/>
      <c r="Q89" s="575"/>
      <c r="R89" s="575"/>
      <c r="S89" s="575"/>
      <c r="T89" s="575"/>
      <c r="U89" s="575"/>
      <c r="V89" s="575"/>
      <c r="W89" s="575"/>
      <c r="X89" s="575"/>
      <c r="Y89" s="575"/>
      <c r="Z89" s="575"/>
      <c r="AA89" s="575"/>
    </row>
    <row r="90">
      <c r="A90" s="575"/>
      <c r="B90" s="692"/>
      <c r="C90" s="709"/>
      <c r="D90" s="709"/>
      <c r="E90" s="692"/>
      <c r="F90" s="710"/>
      <c r="G90" s="575"/>
      <c r="H90" s="575"/>
      <c r="I90" s="575"/>
      <c r="J90" s="575"/>
      <c r="K90" s="575"/>
      <c r="L90" s="575"/>
      <c r="M90" s="575"/>
      <c r="N90" s="575"/>
      <c r="O90" s="575"/>
      <c r="P90" s="575"/>
      <c r="Q90" s="575"/>
      <c r="R90" s="575"/>
      <c r="S90" s="575"/>
      <c r="T90" s="575"/>
      <c r="U90" s="575"/>
      <c r="V90" s="575"/>
      <c r="W90" s="575"/>
      <c r="X90" s="575"/>
      <c r="Y90" s="575"/>
      <c r="Z90" s="575"/>
      <c r="AA90" s="575"/>
    </row>
    <row r="91">
      <c r="A91" s="575"/>
      <c r="B91" s="692"/>
      <c r="C91" s="709"/>
      <c r="D91" s="709"/>
      <c r="E91" s="692"/>
      <c r="F91" s="710"/>
      <c r="G91" s="575"/>
      <c r="H91" s="575"/>
      <c r="I91" s="575"/>
      <c r="J91" s="575"/>
      <c r="K91" s="575"/>
      <c r="L91" s="575"/>
      <c r="M91" s="575"/>
      <c r="N91" s="575"/>
      <c r="O91" s="575"/>
      <c r="P91" s="575"/>
      <c r="Q91" s="575"/>
      <c r="R91" s="575"/>
      <c r="S91" s="575"/>
      <c r="T91" s="575"/>
      <c r="U91" s="575"/>
      <c r="V91" s="575"/>
      <c r="W91" s="575"/>
      <c r="X91" s="575"/>
      <c r="Y91" s="575"/>
      <c r="Z91" s="575"/>
      <c r="AA91" s="575"/>
    </row>
    <row r="92">
      <c r="A92" s="575"/>
      <c r="B92" s="692"/>
      <c r="C92" s="709"/>
      <c r="D92" s="709"/>
      <c r="E92" s="692"/>
      <c r="F92" s="710"/>
      <c r="G92" s="575"/>
      <c r="H92" s="575"/>
      <c r="I92" s="575"/>
      <c r="J92" s="575"/>
      <c r="K92" s="575"/>
      <c r="L92" s="575"/>
      <c r="M92" s="575"/>
      <c r="N92" s="575"/>
      <c r="O92" s="575"/>
      <c r="P92" s="575"/>
      <c r="Q92" s="575"/>
      <c r="R92" s="575"/>
      <c r="S92" s="575"/>
      <c r="T92" s="575"/>
      <c r="U92" s="575"/>
      <c r="V92" s="575"/>
      <c r="W92" s="575"/>
      <c r="X92" s="575"/>
      <c r="Y92" s="575"/>
      <c r="Z92" s="575"/>
      <c r="AA92" s="575"/>
    </row>
    <row r="93">
      <c r="A93" s="575"/>
      <c r="B93" s="692"/>
      <c r="C93" s="709"/>
      <c r="D93" s="709"/>
      <c r="E93" s="692"/>
      <c r="F93" s="710"/>
      <c r="G93" s="575"/>
      <c r="H93" s="575"/>
      <c r="I93" s="575"/>
      <c r="J93" s="575"/>
      <c r="K93" s="575"/>
      <c r="L93" s="575"/>
      <c r="M93" s="575"/>
      <c r="N93" s="575"/>
      <c r="O93" s="575"/>
      <c r="P93" s="575"/>
      <c r="Q93" s="575"/>
      <c r="R93" s="575"/>
      <c r="S93" s="575"/>
      <c r="T93" s="575"/>
      <c r="U93" s="575"/>
      <c r="V93" s="575"/>
      <c r="W93" s="575"/>
      <c r="X93" s="575"/>
      <c r="Y93" s="575"/>
      <c r="Z93" s="575"/>
      <c r="AA93" s="575"/>
    </row>
    <row r="94">
      <c r="A94" s="575"/>
      <c r="B94" s="692"/>
      <c r="C94" s="709"/>
      <c r="D94" s="709"/>
      <c r="E94" s="692"/>
      <c r="F94" s="710"/>
      <c r="G94" s="575"/>
      <c r="H94" s="575"/>
      <c r="I94" s="575"/>
      <c r="J94" s="575"/>
      <c r="K94" s="575"/>
      <c r="L94" s="575"/>
      <c r="M94" s="575"/>
      <c r="N94" s="575"/>
      <c r="O94" s="575"/>
      <c r="P94" s="575"/>
      <c r="Q94" s="575"/>
      <c r="R94" s="575"/>
      <c r="S94" s="575"/>
      <c r="T94" s="575"/>
      <c r="U94" s="575"/>
      <c r="V94" s="575"/>
      <c r="W94" s="575"/>
      <c r="X94" s="575"/>
      <c r="Y94" s="575"/>
      <c r="Z94" s="575"/>
      <c r="AA94" s="575"/>
    </row>
    <row r="95">
      <c r="A95" s="575"/>
      <c r="B95" s="692"/>
      <c r="C95" s="709"/>
      <c r="D95" s="709"/>
      <c r="E95" s="692"/>
      <c r="F95" s="710"/>
      <c r="G95" s="575"/>
      <c r="H95" s="575"/>
      <c r="I95" s="575"/>
      <c r="J95" s="575"/>
      <c r="K95" s="575"/>
      <c r="L95" s="575"/>
      <c r="M95" s="575"/>
      <c r="N95" s="575"/>
      <c r="O95" s="575"/>
      <c r="P95" s="575"/>
      <c r="Q95" s="575"/>
      <c r="R95" s="575"/>
      <c r="S95" s="575"/>
      <c r="T95" s="575"/>
      <c r="U95" s="575"/>
      <c r="V95" s="575"/>
      <c r="W95" s="575"/>
      <c r="X95" s="575"/>
      <c r="Y95" s="575"/>
      <c r="Z95" s="575"/>
      <c r="AA95" s="575"/>
    </row>
    <row r="96">
      <c r="A96" s="575"/>
      <c r="B96" s="692"/>
      <c r="C96" s="709"/>
      <c r="D96" s="709"/>
      <c r="E96" s="692"/>
      <c r="F96" s="710"/>
      <c r="G96" s="575"/>
      <c r="H96" s="575"/>
      <c r="I96" s="575"/>
      <c r="J96" s="575"/>
      <c r="K96" s="575"/>
      <c r="L96" s="575"/>
      <c r="M96" s="575"/>
      <c r="N96" s="575"/>
      <c r="O96" s="575"/>
      <c r="P96" s="575"/>
      <c r="Q96" s="575"/>
      <c r="R96" s="575"/>
      <c r="S96" s="575"/>
      <c r="T96" s="575"/>
      <c r="U96" s="575"/>
      <c r="V96" s="575"/>
      <c r="W96" s="575"/>
      <c r="X96" s="575"/>
      <c r="Y96" s="575"/>
      <c r="Z96" s="575"/>
      <c r="AA96" s="575"/>
    </row>
    <row r="97">
      <c r="A97" s="575"/>
      <c r="B97" s="692"/>
      <c r="C97" s="709"/>
      <c r="D97" s="709"/>
      <c r="E97" s="692"/>
      <c r="F97" s="710"/>
      <c r="G97" s="575"/>
      <c r="H97" s="575"/>
      <c r="I97" s="575"/>
      <c r="J97" s="575"/>
      <c r="K97" s="575"/>
      <c r="L97" s="575"/>
      <c r="M97" s="575"/>
      <c r="N97" s="575"/>
      <c r="O97" s="575"/>
      <c r="P97" s="575"/>
      <c r="Q97" s="575"/>
      <c r="R97" s="575"/>
      <c r="S97" s="575"/>
      <c r="T97" s="575"/>
      <c r="U97" s="575"/>
      <c r="V97" s="575"/>
      <c r="W97" s="575"/>
      <c r="X97" s="575"/>
      <c r="Y97" s="575"/>
      <c r="Z97" s="575"/>
      <c r="AA97" s="575"/>
    </row>
    <row r="98">
      <c r="A98" s="575"/>
      <c r="B98" s="692"/>
      <c r="C98" s="709"/>
      <c r="D98" s="709"/>
      <c r="E98" s="692"/>
      <c r="F98" s="710"/>
      <c r="G98" s="575"/>
      <c r="H98" s="575"/>
      <c r="I98" s="575"/>
      <c r="J98" s="575"/>
      <c r="K98" s="575"/>
      <c r="L98" s="575"/>
      <c r="M98" s="575"/>
      <c r="N98" s="575"/>
      <c r="O98" s="575"/>
      <c r="P98" s="575"/>
      <c r="Q98" s="575"/>
      <c r="R98" s="575"/>
      <c r="S98" s="575"/>
      <c r="T98" s="575"/>
      <c r="U98" s="575"/>
      <c r="V98" s="575"/>
      <c r="W98" s="575"/>
      <c r="X98" s="575"/>
      <c r="Y98" s="575"/>
      <c r="Z98" s="575"/>
      <c r="AA98" s="575"/>
    </row>
    <row r="99">
      <c r="A99" s="575"/>
      <c r="B99" s="692"/>
      <c r="C99" s="709"/>
      <c r="D99" s="709"/>
      <c r="E99" s="692"/>
      <c r="F99" s="710"/>
      <c r="G99" s="575"/>
      <c r="H99" s="575"/>
      <c r="I99" s="575"/>
      <c r="J99" s="575"/>
      <c r="K99" s="575"/>
      <c r="L99" s="575"/>
      <c r="M99" s="575"/>
      <c r="N99" s="575"/>
      <c r="O99" s="575"/>
      <c r="P99" s="575"/>
      <c r="Q99" s="575"/>
      <c r="R99" s="575"/>
      <c r="S99" s="575"/>
      <c r="T99" s="575"/>
      <c r="U99" s="575"/>
      <c r="V99" s="575"/>
      <c r="W99" s="575"/>
      <c r="X99" s="575"/>
      <c r="Y99" s="575"/>
      <c r="Z99" s="575"/>
      <c r="AA99" s="575"/>
    </row>
    <row r="100">
      <c r="A100" s="575"/>
      <c r="B100" s="692"/>
      <c r="C100" s="709"/>
      <c r="D100" s="709"/>
      <c r="E100" s="692"/>
      <c r="F100" s="710"/>
      <c r="G100" s="575"/>
      <c r="H100" s="575"/>
      <c r="I100" s="575"/>
      <c r="J100" s="575"/>
      <c r="K100" s="575"/>
      <c r="L100" s="575"/>
      <c r="M100" s="575"/>
      <c r="N100" s="575"/>
      <c r="O100" s="575"/>
      <c r="P100" s="575"/>
      <c r="Q100" s="575"/>
      <c r="R100" s="575"/>
      <c r="S100" s="575"/>
      <c r="T100" s="575"/>
      <c r="U100" s="575"/>
      <c r="V100" s="575"/>
      <c r="W100" s="575"/>
      <c r="X100" s="575"/>
      <c r="Y100" s="575"/>
      <c r="Z100" s="575"/>
      <c r="AA100" s="575"/>
    </row>
    <row r="101">
      <c r="A101" s="575"/>
      <c r="B101" s="692"/>
      <c r="C101" s="709"/>
      <c r="D101" s="709"/>
      <c r="E101" s="692"/>
      <c r="F101" s="710"/>
      <c r="G101" s="575"/>
      <c r="H101" s="575"/>
      <c r="I101" s="575"/>
      <c r="J101" s="575"/>
      <c r="K101" s="575"/>
      <c r="L101" s="575"/>
      <c r="M101" s="575"/>
      <c r="N101" s="575"/>
      <c r="O101" s="575"/>
      <c r="P101" s="575"/>
      <c r="Q101" s="575"/>
      <c r="R101" s="575"/>
      <c r="S101" s="575"/>
      <c r="T101" s="575"/>
      <c r="U101" s="575"/>
      <c r="V101" s="575"/>
      <c r="W101" s="575"/>
      <c r="X101" s="575"/>
      <c r="Y101" s="575"/>
      <c r="Z101" s="575"/>
      <c r="AA101" s="575"/>
    </row>
    <row r="102">
      <c r="A102" s="575"/>
      <c r="B102" s="692"/>
      <c r="C102" s="709"/>
      <c r="D102" s="709"/>
      <c r="E102" s="692"/>
      <c r="F102" s="710"/>
      <c r="G102" s="575"/>
      <c r="H102" s="575"/>
      <c r="I102" s="575"/>
      <c r="J102" s="575"/>
      <c r="K102" s="575"/>
      <c r="L102" s="575"/>
      <c r="M102" s="575"/>
      <c r="N102" s="575"/>
      <c r="O102" s="575"/>
      <c r="P102" s="575"/>
      <c r="Q102" s="575"/>
      <c r="R102" s="575"/>
      <c r="S102" s="575"/>
      <c r="T102" s="575"/>
      <c r="U102" s="575"/>
      <c r="V102" s="575"/>
      <c r="W102" s="575"/>
      <c r="X102" s="575"/>
      <c r="Y102" s="575"/>
      <c r="Z102" s="575"/>
      <c r="AA102" s="575"/>
    </row>
    <row r="103">
      <c r="A103" s="575"/>
      <c r="B103" s="692"/>
      <c r="C103" s="709"/>
      <c r="D103" s="709"/>
      <c r="E103" s="692"/>
      <c r="F103" s="710"/>
      <c r="G103" s="575"/>
      <c r="H103" s="575"/>
      <c r="I103" s="575"/>
      <c r="J103" s="575"/>
      <c r="K103" s="575"/>
      <c r="L103" s="575"/>
      <c r="M103" s="575"/>
      <c r="N103" s="575"/>
      <c r="O103" s="575"/>
      <c r="P103" s="575"/>
      <c r="Q103" s="575"/>
      <c r="R103" s="575"/>
      <c r="S103" s="575"/>
      <c r="T103" s="575"/>
      <c r="U103" s="575"/>
      <c r="V103" s="575"/>
      <c r="W103" s="575"/>
      <c r="X103" s="575"/>
      <c r="Y103" s="575"/>
      <c r="Z103" s="575"/>
      <c r="AA103" s="575"/>
    </row>
    <row r="104">
      <c r="A104" s="575"/>
      <c r="B104" s="692"/>
      <c r="C104" s="709"/>
      <c r="D104" s="709"/>
      <c r="E104" s="692"/>
      <c r="F104" s="710"/>
      <c r="G104" s="575"/>
      <c r="H104" s="575"/>
      <c r="I104" s="575"/>
      <c r="J104" s="575"/>
      <c r="K104" s="575"/>
      <c r="L104" s="575"/>
      <c r="M104" s="575"/>
      <c r="N104" s="575"/>
      <c r="O104" s="575"/>
      <c r="P104" s="575"/>
      <c r="Q104" s="575"/>
      <c r="R104" s="575"/>
      <c r="S104" s="575"/>
      <c r="T104" s="575"/>
      <c r="U104" s="575"/>
      <c r="V104" s="575"/>
      <c r="W104" s="575"/>
      <c r="X104" s="575"/>
      <c r="Y104" s="575"/>
      <c r="Z104" s="575"/>
      <c r="AA104" s="575"/>
    </row>
    <row r="105">
      <c r="A105" s="575"/>
      <c r="B105" s="692"/>
      <c r="C105" s="709"/>
      <c r="D105" s="709"/>
      <c r="E105" s="692"/>
      <c r="F105" s="710"/>
      <c r="G105" s="575"/>
      <c r="H105" s="575"/>
      <c r="I105" s="575"/>
      <c r="J105" s="575"/>
      <c r="K105" s="575"/>
      <c r="L105" s="575"/>
      <c r="M105" s="575"/>
      <c r="N105" s="575"/>
      <c r="O105" s="575"/>
      <c r="P105" s="575"/>
      <c r="Q105" s="575"/>
      <c r="R105" s="575"/>
      <c r="S105" s="575"/>
      <c r="T105" s="575"/>
      <c r="U105" s="575"/>
      <c r="V105" s="575"/>
      <c r="W105" s="575"/>
      <c r="X105" s="575"/>
      <c r="Y105" s="575"/>
      <c r="Z105" s="575"/>
      <c r="AA105" s="575"/>
    </row>
    <row r="106">
      <c r="A106" s="575"/>
      <c r="B106" s="692"/>
      <c r="C106" s="709"/>
      <c r="D106" s="709"/>
      <c r="E106" s="692"/>
      <c r="F106" s="710"/>
      <c r="G106" s="575"/>
      <c r="H106" s="575"/>
      <c r="I106" s="575"/>
      <c r="J106" s="575"/>
      <c r="K106" s="575"/>
      <c r="L106" s="575"/>
      <c r="M106" s="575"/>
      <c r="N106" s="575"/>
      <c r="O106" s="575"/>
      <c r="P106" s="575"/>
      <c r="Q106" s="575"/>
      <c r="R106" s="575"/>
      <c r="S106" s="575"/>
      <c r="T106" s="575"/>
      <c r="U106" s="575"/>
      <c r="V106" s="575"/>
      <c r="W106" s="575"/>
      <c r="X106" s="575"/>
      <c r="Y106" s="575"/>
      <c r="Z106" s="575"/>
      <c r="AA106" s="575"/>
    </row>
    <row r="107">
      <c r="A107" s="575"/>
      <c r="B107" s="692"/>
      <c r="C107" s="709"/>
      <c r="D107" s="709"/>
      <c r="E107" s="692"/>
      <c r="F107" s="710"/>
      <c r="G107" s="575"/>
      <c r="H107" s="575"/>
      <c r="I107" s="575"/>
      <c r="J107" s="575"/>
      <c r="K107" s="575"/>
      <c r="L107" s="575"/>
      <c r="M107" s="575"/>
      <c r="N107" s="575"/>
      <c r="O107" s="575"/>
      <c r="P107" s="575"/>
      <c r="Q107" s="575"/>
      <c r="R107" s="575"/>
      <c r="S107" s="575"/>
      <c r="T107" s="575"/>
      <c r="U107" s="575"/>
      <c r="V107" s="575"/>
      <c r="W107" s="575"/>
      <c r="X107" s="575"/>
      <c r="Y107" s="575"/>
      <c r="Z107" s="575"/>
      <c r="AA107" s="575"/>
    </row>
    <row r="108">
      <c r="A108" s="575"/>
      <c r="B108" s="692"/>
      <c r="C108" s="709"/>
      <c r="D108" s="709"/>
      <c r="E108" s="692"/>
      <c r="F108" s="710"/>
      <c r="G108" s="575"/>
      <c r="H108" s="575"/>
      <c r="I108" s="575"/>
      <c r="J108" s="575"/>
      <c r="K108" s="575"/>
      <c r="L108" s="575"/>
      <c r="M108" s="575"/>
      <c r="N108" s="575"/>
      <c r="O108" s="575"/>
      <c r="P108" s="575"/>
      <c r="Q108" s="575"/>
      <c r="R108" s="575"/>
      <c r="S108" s="575"/>
      <c r="T108" s="575"/>
      <c r="U108" s="575"/>
      <c r="V108" s="575"/>
      <c r="W108" s="575"/>
      <c r="X108" s="575"/>
      <c r="Y108" s="575"/>
      <c r="Z108" s="575"/>
      <c r="AA108" s="575"/>
    </row>
    <row r="109">
      <c r="A109" s="575"/>
      <c r="B109" s="692"/>
      <c r="C109" s="709"/>
      <c r="D109" s="709"/>
      <c r="E109" s="692"/>
      <c r="F109" s="710"/>
      <c r="G109" s="575"/>
      <c r="H109" s="575"/>
      <c r="I109" s="575"/>
      <c r="J109" s="575"/>
      <c r="K109" s="575"/>
      <c r="L109" s="575"/>
      <c r="M109" s="575"/>
      <c r="N109" s="575"/>
      <c r="O109" s="575"/>
      <c r="P109" s="575"/>
      <c r="Q109" s="575"/>
      <c r="R109" s="575"/>
      <c r="S109" s="575"/>
      <c r="T109" s="575"/>
      <c r="U109" s="575"/>
      <c r="V109" s="575"/>
      <c r="W109" s="575"/>
      <c r="X109" s="575"/>
      <c r="Y109" s="575"/>
      <c r="Z109" s="575"/>
      <c r="AA109" s="575"/>
    </row>
    <row r="110">
      <c r="A110" s="575"/>
      <c r="B110" s="692"/>
      <c r="C110" s="709"/>
      <c r="D110" s="709"/>
      <c r="E110" s="692"/>
      <c r="F110" s="710"/>
      <c r="G110" s="575"/>
      <c r="H110" s="575"/>
      <c r="I110" s="575"/>
      <c r="J110" s="575"/>
      <c r="K110" s="575"/>
      <c r="L110" s="575"/>
      <c r="M110" s="575"/>
      <c r="N110" s="575"/>
      <c r="O110" s="575"/>
      <c r="P110" s="575"/>
      <c r="Q110" s="575"/>
      <c r="R110" s="575"/>
      <c r="S110" s="575"/>
      <c r="T110" s="575"/>
      <c r="U110" s="575"/>
      <c r="V110" s="575"/>
      <c r="W110" s="575"/>
      <c r="X110" s="575"/>
      <c r="Y110" s="575"/>
      <c r="Z110" s="575"/>
      <c r="AA110" s="575"/>
    </row>
    <row r="111">
      <c r="A111" s="575"/>
      <c r="B111" s="692"/>
      <c r="C111" s="709"/>
      <c r="D111" s="709"/>
      <c r="E111" s="692"/>
      <c r="F111" s="710"/>
      <c r="G111" s="575"/>
      <c r="H111" s="575"/>
      <c r="I111" s="575"/>
      <c r="J111" s="575"/>
      <c r="K111" s="575"/>
      <c r="L111" s="575"/>
      <c r="M111" s="575"/>
      <c r="N111" s="575"/>
      <c r="O111" s="575"/>
      <c r="P111" s="575"/>
      <c r="Q111" s="575"/>
      <c r="R111" s="575"/>
      <c r="S111" s="575"/>
      <c r="T111" s="575"/>
      <c r="U111" s="575"/>
      <c r="V111" s="575"/>
      <c r="W111" s="575"/>
      <c r="X111" s="575"/>
      <c r="Y111" s="575"/>
      <c r="Z111" s="575"/>
      <c r="AA111" s="575"/>
    </row>
    <row r="112">
      <c r="A112" s="575"/>
      <c r="B112" s="692"/>
      <c r="C112" s="709"/>
      <c r="D112" s="709"/>
      <c r="E112" s="692"/>
      <c r="F112" s="710"/>
      <c r="G112" s="575"/>
      <c r="H112" s="575"/>
      <c r="I112" s="575"/>
      <c r="J112" s="575"/>
      <c r="K112" s="575"/>
      <c r="L112" s="575"/>
      <c r="M112" s="575"/>
      <c r="N112" s="575"/>
      <c r="O112" s="575"/>
      <c r="P112" s="575"/>
      <c r="Q112" s="575"/>
      <c r="R112" s="575"/>
      <c r="S112" s="575"/>
      <c r="T112" s="575"/>
      <c r="U112" s="575"/>
      <c r="V112" s="575"/>
      <c r="W112" s="575"/>
      <c r="X112" s="575"/>
      <c r="Y112" s="575"/>
      <c r="Z112" s="575"/>
      <c r="AA112" s="575"/>
    </row>
    <row r="113">
      <c r="A113" s="575"/>
      <c r="B113" s="692"/>
      <c r="C113" s="709"/>
      <c r="D113" s="709"/>
      <c r="E113" s="692"/>
      <c r="F113" s="710"/>
      <c r="G113" s="575"/>
      <c r="H113" s="575"/>
      <c r="I113" s="575"/>
      <c r="J113" s="575"/>
      <c r="K113" s="575"/>
      <c r="L113" s="575"/>
      <c r="M113" s="575"/>
      <c r="N113" s="575"/>
      <c r="O113" s="575"/>
      <c r="P113" s="575"/>
      <c r="Q113" s="575"/>
      <c r="R113" s="575"/>
      <c r="S113" s="575"/>
      <c r="T113" s="575"/>
      <c r="U113" s="575"/>
      <c r="V113" s="575"/>
      <c r="W113" s="575"/>
      <c r="X113" s="575"/>
      <c r="Y113" s="575"/>
      <c r="Z113" s="575"/>
      <c r="AA113" s="575"/>
    </row>
    <row r="114">
      <c r="A114" s="575"/>
      <c r="B114" s="692"/>
      <c r="C114" s="709"/>
      <c r="D114" s="709"/>
      <c r="E114" s="692"/>
      <c r="F114" s="710"/>
      <c r="G114" s="575"/>
      <c r="H114" s="575"/>
      <c r="I114" s="575"/>
      <c r="J114" s="575"/>
      <c r="K114" s="575"/>
      <c r="L114" s="575"/>
      <c r="M114" s="575"/>
      <c r="N114" s="575"/>
      <c r="O114" s="575"/>
      <c r="P114" s="575"/>
      <c r="Q114" s="575"/>
      <c r="R114" s="575"/>
      <c r="S114" s="575"/>
      <c r="T114" s="575"/>
      <c r="U114" s="575"/>
      <c r="V114" s="575"/>
      <c r="W114" s="575"/>
      <c r="X114" s="575"/>
      <c r="Y114" s="575"/>
      <c r="Z114" s="575"/>
      <c r="AA114" s="575"/>
    </row>
    <row r="115">
      <c r="A115" s="575"/>
      <c r="B115" s="692"/>
      <c r="C115" s="709"/>
      <c r="D115" s="709"/>
      <c r="E115" s="692"/>
      <c r="F115" s="710"/>
      <c r="G115" s="575"/>
      <c r="H115" s="575"/>
      <c r="I115" s="575"/>
      <c r="J115" s="575"/>
      <c r="K115" s="575"/>
      <c r="L115" s="575"/>
      <c r="M115" s="575"/>
      <c r="N115" s="575"/>
      <c r="O115" s="575"/>
      <c r="P115" s="575"/>
      <c r="Q115" s="575"/>
      <c r="R115" s="575"/>
      <c r="S115" s="575"/>
      <c r="T115" s="575"/>
      <c r="U115" s="575"/>
      <c r="V115" s="575"/>
      <c r="W115" s="575"/>
      <c r="X115" s="575"/>
      <c r="Y115" s="575"/>
      <c r="Z115" s="575"/>
      <c r="AA115" s="575"/>
    </row>
    <row r="116">
      <c r="A116" s="575"/>
      <c r="B116" s="692"/>
      <c r="C116" s="709"/>
      <c r="D116" s="709"/>
      <c r="E116" s="692"/>
      <c r="F116" s="710"/>
      <c r="G116" s="575"/>
      <c r="H116" s="575"/>
      <c r="I116" s="575"/>
      <c r="J116" s="575"/>
      <c r="K116" s="575"/>
      <c r="L116" s="575"/>
      <c r="M116" s="575"/>
      <c r="N116" s="575"/>
      <c r="O116" s="575"/>
      <c r="P116" s="575"/>
      <c r="Q116" s="575"/>
      <c r="R116" s="575"/>
      <c r="S116" s="575"/>
      <c r="T116" s="575"/>
      <c r="U116" s="575"/>
      <c r="V116" s="575"/>
      <c r="W116" s="575"/>
      <c r="X116" s="575"/>
      <c r="Y116" s="575"/>
      <c r="Z116" s="575"/>
      <c r="AA116" s="575"/>
    </row>
    <row r="117">
      <c r="A117" s="575"/>
      <c r="B117" s="692"/>
      <c r="C117" s="709"/>
      <c r="D117" s="709"/>
      <c r="E117" s="692"/>
      <c r="F117" s="710"/>
      <c r="G117" s="575"/>
      <c r="H117" s="575"/>
      <c r="I117" s="575"/>
      <c r="J117" s="575"/>
      <c r="K117" s="575"/>
      <c r="L117" s="575"/>
      <c r="M117" s="575"/>
      <c r="N117" s="575"/>
      <c r="O117" s="575"/>
      <c r="P117" s="575"/>
      <c r="Q117" s="575"/>
      <c r="R117" s="575"/>
      <c r="S117" s="575"/>
      <c r="T117" s="575"/>
      <c r="U117" s="575"/>
      <c r="V117" s="575"/>
      <c r="W117" s="575"/>
      <c r="X117" s="575"/>
      <c r="Y117" s="575"/>
      <c r="Z117" s="575"/>
      <c r="AA117" s="575"/>
    </row>
    <row r="118">
      <c r="A118" s="575"/>
      <c r="B118" s="692"/>
      <c r="C118" s="709"/>
      <c r="D118" s="709"/>
      <c r="E118" s="692"/>
      <c r="F118" s="710"/>
      <c r="G118" s="575"/>
      <c r="H118" s="575"/>
      <c r="I118" s="575"/>
      <c r="J118" s="575"/>
      <c r="K118" s="575"/>
      <c r="L118" s="575"/>
      <c r="M118" s="575"/>
      <c r="N118" s="575"/>
      <c r="O118" s="575"/>
      <c r="P118" s="575"/>
      <c r="Q118" s="575"/>
      <c r="R118" s="575"/>
      <c r="S118" s="575"/>
      <c r="T118" s="575"/>
      <c r="U118" s="575"/>
      <c r="V118" s="575"/>
      <c r="W118" s="575"/>
      <c r="X118" s="575"/>
      <c r="Y118" s="575"/>
      <c r="Z118" s="575"/>
      <c r="AA118" s="575"/>
    </row>
    <row r="119">
      <c r="A119" s="575"/>
      <c r="B119" s="692"/>
      <c r="C119" s="709"/>
      <c r="D119" s="709"/>
      <c r="E119" s="692"/>
      <c r="F119" s="710"/>
      <c r="G119" s="575"/>
      <c r="H119" s="575"/>
      <c r="I119" s="575"/>
      <c r="J119" s="575"/>
      <c r="K119" s="575"/>
      <c r="L119" s="575"/>
      <c r="M119" s="575"/>
      <c r="N119" s="575"/>
      <c r="O119" s="575"/>
      <c r="P119" s="575"/>
      <c r="Q119" s="575"/>
      <c r="R119" s="575"/>
      <c r="S119" s="575"/>
      <c r="T119" s="575"/>
      <c r="U119" s="575"/>
      <c r="V119" s="575"/>
      <c r="W119" s="575"/>
      <c r="X119" s="575"/>
      <c r="Y119" s="575"/>
      <c r="Z119" s="575"/>
      <c r="AA119" s="575"/>
    </row>
    <row r="120">
      <c r="A120" s="575"/>
      <c r="B120" s="692"/>
      <c r="C120" s="709"/>
      <c r="D120" s="709"/>
      <c r="E120" s="692"/>
      <c r="F120" s="710"/>
      <c r="G120" s="575"/>
      <c r="H120" s="575"/>
      <c r="I120" s="575"/>
      <c r="J120" s="575"/>
      <c r="K120" s="575"/>
      <c r="L120" s="575"/>
      <c r="M120" s="575"/>
      <c r="N120" s="575"/>
      <c r="O120" s="575"/>
      <c r="P120" s="575"/>
      <c r="Q120" s="575"/>
      <c r="R120" s="575"/>
      <c r="S120" s="575"/>
      <c r="T120" s="575"/>
      <c r="U120" s="575"/>
      <c r="V120" s="575"/>
      <c r="W120" s="575"/>
      <c r="X120" s="575"/>
      <c r="Y120" s="575"/>
      <c r="Z120" s="575"/>
      <c r="AA120" s="575"/>
    </row>
    <row r="121">
      <c r="A121" s="575"/>
      <c r="B121" s="692"/>
      <c r="C121" s="709"/>
      <c r="D121" s="709"/>
      <c r="E121" s="692"/>
      <c r="F121" s="710"/>
      <c r="G121" s="575"/>
      <c r="H121" s="575"/>
      <c r="I121" s="575"/>
      <c r="J121" s="575"/>
      <c r="K121" s="575"/>
      <c r="L121" s="575"/>
      <c r="M121" s="575"/>
      <c r="N121" s="575"/>
      <c r="O121" s="575"/>
      <c r="P121" s="575"/>
      <c r="Q121" s="575"/>
      <c r="R121" s="575"/>
      <c r="S121" s="575"/>
      <c r="T121" s="575"/>
      <c r="U121" s="575"/>
      <c r="V121" s="575"/>
      <c r="W121" s="575"/>
      <c r="X121" s="575"/>
      <c r="Y121" s="575"/>
      <c r="Z121" s="575"/>
      <c r="AA121" s="575"/>
    </row>
    <row r="122">
      <c r="A122" s="575"/>
      <c r="B122" s="692"/>
      <c r="C122" s="709"/>
      <c r="D122" s="709"/>
      <c r="E122" s="692"/>
      <c r="F122" s="710"/>
      <c r="G122" s="575"/>
      <c r="H122" s="575"/>
      <c r="I122" s="575"/>
      <c r="J122" s="575"/>
      <c r="K122" s="575"/>
      <c r="L122" s="575"/>
      <c r="M122" s="575"/>
      <c r="N122" s="575"/>
      <c r="O122" s="575"/>
      <c r="P122" s="575"/>
      <c r="Q122" s="575"/>
      <c r="R122" s="575"/>
      <c r="S122" s="575"/>
      <c r="T122" s="575"/>
      <c r="U122" s="575"/>
      <c r="V122" s="575"/>
      <c r="W122" s="575"/>
      <c r="X122" s="575"/>
      <c r="Y122" s="575"/>
      <c r="Z122" s="575"/>
      <c r="AA122" s="575"/>
    </row>
    <row r="123">
      <c r="A123" s="575"/>
      <c r="B123" s="692"/>
      <c r="C123" s="709"/>
      <c r="D123" s="709"/>
      <c r="E123" s="692"/>
      <c r="F123" s="710"/>
      <c r="G123" s="575"/>
      <c r="H123" s="575"/>
      <c r="I123" s="575"/>
      <c r="J123" s="575"/>
      <c r="K123" s="575"/>
      <c r="L123" s="575"/>
      <c r="M123" s="575"/>
      <c r="N123" s="575"/>
      <c r="O123" s="575"/>
      <c r="P123" s="575"/>
      <c r="Q123" s="575"/>
      <c r="R123" s="575"/>
      <c r="S123" s="575"/>
      <c r="T123" s="575"/>
      <c r="U123" s="575"/>
      <c r="V123" s="575"/>
      <c r="W123" s="575"/>
      <c r="X123" s="575"/>
      <c r="Y123" s="575"/>
      <c r="Z123" s="575"/>
      <c r="AA123" s="575"/>
    </row>
    <row r="124">
      <c r="A124" s="575"/>
      <c r="B124" s="692"/>
      <c r="C124" s="709"/>
      <c r="D124" s="709"/>
      <c r="E124" s="692"/>
      <c r="F124" s="710"/>
      <c r="G124" s="575"/>
      <c r="H124" s="575"/>
      <c r="I124" s="575"/>
      <c r="J124" s="575"/>
      <c r="K124" s="575"/>
      <c r="L124" s="575"/>
      <c r="M124" s="575"/>
      <c r="N124" s="575"/>
      <c r="O124" s="575"/>
      <c r="P124" s="575"/>
      <c r="Q124" s="575"/>
      <c r="R124" s="575"/>
      <c r="S124" s="575"/>
      <c r="T124" s="575"/>
      <c r="U124" s="575"/>
      <c r="V124" s="575"/>
      <c r="W124" s="575"/>
      <c r="X124" s="575"/>
      <c r="Y124" s="575"/>
      <c r="Z124" s="575"/>
      <c r="AA124" s="575"/>
    </row>
    <row r="125">
      <c r="A125" s="575"/>
      <c r="B125" s="692"/>
      <c r="C125" s="709"/>
      <c r="D125" s="709"/>
      <c r="E125" s="692"/>
      <c r="F125" s="710"/>
      <c r="G125" s="575"/>
      <c r="H125" s="575"/>
      <c r="I125" s="575"/>
      <c r="J125" s="575"/>
      <c r="K125" s="575"/>
      <c r="L125" s="575"/>
      <c r="M125" s="575"/>
      <c r="N125" s="575"/>
      <c r="O125" s="575"/>
      <c r="P125" s="575"/>
      <c r="Q125" s="575"/>
      <c r="R125" s="575"/>
      <c r="S125" s="575"/>
      <c r="T125" s="575"/>
      <c r="U125" s="575"/>
      <c r="V125" s="575"/>
      <c r="W125" s="575"/>
      <c r="X125" s="575"/>
      <c r="Y125" s="575"/>
      <c r="Z125" s="575"/>
      <c r="AA125" s="575"/>
    </row>
    <row r="126">
      <c r="A126" s="575"/>
      <c r="B126" s="692"/>
      <c r="C126" s="709"/>
      <c r="D126" s="709"/>
      <c r="E126" s="692"/>
      <c r="F126" s="710"/>
      <c r="G126" s="575"/>
      <c r="H126" s="575"/>
      <c r="I126" s="575"/>
      <c r="J126" s="575"/>
      <c r="K126" s="575"/>
      <c r="L126" s="575"/>
      <c r="M126" s="575"/>
      <c r="N126" s="575"/>
      <c r="O126" s="575"/>
      <c r="P126" s="575"/>
      <c r="Q126" s="575"/>
      <c r="R126" s="575"/>
      <c r="S126" s="575"/>
      <c r="T126" s="575"/>
      <c r="U126" s="575"/>
      <c r="V126" s="575"/>
      <c r="W126" s="575"/>
      <c r="X126" s="575"/>
      <c r="Y126" s="575"/>
      <c r="Z126" s="575"/>
      <c r="AA126" s="575"/>
    </row>
    <row r="127">
      <c r="A127" s="575"/>
      <c r="B127" s="692"/>
      <c r="C127" s="709"/>
      <c r="D127" s="709"/>
      <c r="E127" s="692"/>
      <c r="F127" s="710"/>
      <c r="G127" s="575"/>
      <c r="H127" s="575"/>
      <c r="I127" s="575"/>
      <c r="J127" s="575"/>
      <c r="K127" s="575"/>
      <c r="L127" s="575"/>
      <c r="M127" s="575"/>
      <c r="N127" s="575"/>
      <c r="O127" s="575"/>
      <c r="P127" s="575"/>
      <c r="Q127" s="575"/>
      <c r="R127" s="575"/>
      <c r="S127" s="575"/>
      <c r="T127" s="575"/>
      <c r="U127" s="575"/>
      <c r="V127" s="575"/>
      <c r="W127" s="575"/>
      <c r="X127" s="575"/>
      <c r="Y127" s="575"/>
      <c r="Z127" s="575"/>
      <c r="AA127" s="575"/>
    </row>
    <row r="128">
      <c r="A128" s="575"/>
      <c r="B128" s="692"/>
      <c r="C128" s="709"/>
      <c r="D128" s="709"/>
      <c r="E128" s="692"/>
      <c r="F128" s="710"/>
      <c r="G128" s="575"/>
      <c r="H128" s="575"/>
      <c r="I128" s="575"/>
      <c r="J128" s="575"/>
      <c r="K128" s="575"/>
      <c r="L128" s="575"/>
      <c r="M128" s="575"/>
      <c r="N128" s="575"/>
      <c r="O128" s="575"/>
      <c r="P128" s="575"/>
      <c r="Q128" s="575"/>
      <c r="R128" s="575"/>
      <c r="S128" s="575"/>
      <c r="T128" s="575"/>
      <c r="U128" s="575"/>
      <c r="V128" s="575"/>
      <c r="W128" s="575"/>
      <c r="X128" s="575"/>
      <c r="Y128" s="575"/>
      <c r="Z128" s="575"/>
      <c r="AA128" s="575"/>
    </row>
    <row r="129">
      <c r="A129" s="575"/>
      <c r="B129" s="692"/>
      <c r="C129" s="709"/>
      <c r="D129" s="709"/>
      <c r="E129" s="692"/>
      <c r="F129" s="710"/>
      <c r="G129" s="575"/>
      <c r="H129" s="575"/>
      <c r="I129" s="575"/>
      <c r="J129" s="575"/>
      <c r="K129" s="575"/>
      <c r="L129" s="575"/>
      <c r="M129" s="575"/>
      <c r="N129" s="575"/>
      <c r="O129" s="575"/>
      <c r="P129" s="575"/>
      <c r="Q129" s="575"/>
      <c r="R129" s="575"/>
      <c r="S129" s="575"/>
      <c r="T129" s="575"/>
      <c r="U129" s="575"/>
      <c r="V129" s="575"/>
      <c r="W129" s="575"/>
      <c r="X129" s="575"/>
      <c r="Y129" s="575"/>
      <c r="Z129" s="575"/>
      <c r="AA129" s="575"/>
    </row>
    <row r="130">
      <c r="A130" s="575"/>
      <c r="B130" s="692"/>
      <c r="C130" s="709"/>
      <c r="D130" s="709"/>
      <c r="E130" s="692"/>
      <c r="F130" s="710"/>
      <c r="G130" s="575"/>
      <c r="H130" s="575"/>
      <c r="I130" s="575"/>
      <c r="J130" s="575"/>
      <c r="K130" s="575"/>
      <c r="L130" s="575"/>
      <c r="M130" s="575"/>
      <c r="N130" s="575"/>
      <c r="O130" s="575"/>
      <c r="P130" s="575"/>
      <c r="Q130" s="575"/>
      <c r="R130" s="575"/>
      <c r="S130" s="575"/>
      <c r="T130" s="575"/>
      <c r="U130" s="575"/>
      <c r="V130" s="575"/>
      <c r="W130" s="575"/>
      <c r="X130" s="575"/>
      <c r="Y130" s="575"/>
      <c r="Z130" s="575"/>
      <c r="AA130" s="575"/>
    </row>
    <row r="131">
      <c r="A131" s="575"/>
      <c r="B131" s="692"/>
      <c r="C131" s="709"/>
      <c r="D131" s="709"/>
      <c r="E131" s="692"/>
      <c r="F131" s="710"/>
      <c r="G131" s="575"/>
      <c r="H131" s="575"/>
      <c r="I131" s="575"/>
      <c r="J131" s="575"/>
      <c r="K131" s="575"/>
      <c r="L131" s="575"/>
      <c r="M131" s="575"/>
      <c r="N131" s="575"/>
      <c r="O131" s="575"/>
      <c r="P131" s="575"/>
      <c r="Q131" s="575"/>
      <c r="R131" s="575"/>
      <c r="S131" s="575"/>
      <c r="T131" s="575"/>
      <c r="U131" s="575"/>
      <c r="V131" s="575"/>
      <c r="W131" s="575"/>
      <c r="X131" s="575"/>
      <c r="Y131" s="575"/>
      <c r="Z131" s="575"/>
      <c r="AA131" s="575"/>
    </row>
    <row r="132">
      <c r="A132" s="575"/>
      <c r="B132" s="692"/>
      <c r="C132" s="709"/>
      <c r="D132" s="709"/>
      <c r="E132" s="692"/>
      <c r="F132" s="710"/>
      <c r="G132" s="575"/>
      <c r="H132" s="575"/>
      <c r="I132" s="575"/>
      <c r="J132" s="575"/>
      <c r="K132" s="575"/>
      <c r="L132" s="575"/>
      <c r="M132" s="575"/>
      <c r="N132" s="575"/>
      <c r="O132" s="575"/>
      <c r="P132" s="575"/>
      <c r="Q132" s="575"/>
      <c r="R132" s="575"/>
      <c r="S132" s="575"/>
      <c r="T132" s="575"/>
      <c r="U132" s="575"/>
      <c r="V132" s="575"/>
      <c r="W132" s="575"/>
      <c r="X132" s="575"/>
      <c r="Y132" s="575"/>
      <c r="Z132" s="575"/>
      <c r="AA132" s="575"/>
    </row>
    <row r="133">
      <c r="A133" s="575"/>
      <c r="B133" s="692"/>
      <c r="C133" s="709"/>
      <c r="D133" s="709"/>
      <c r="E133" s="692"/>
      <c r="F133" s="710"/>
      <c r="G133" s="575"/>
      <c r="H133" s="575"/>
      <c r="I133" s="575"/>
      <c r="J133" s="575"/>
      <c r="K133" s="575"/>
      <c r="L133" s="575"/>
      <c r="M133" s="575"/>
      <c r="N133" s="575"/>
      <c r="O133" s="575"/>
      <c r="P133" s="575"/>
      <c r="Q133" s="575"/>
      <c r="R133" s="575"/>
      <c r="S133" s="575"/>
      <c r="T133" s="575"/>
      <c r="U133" s="575"/>
      <c r="V133" s="575"/>
      <c r="W133" s="575"/>
      <c r="X133" s="575"/>
      <c r="Y133" s="575"/>
      <c r="Z133" s="575"/>
      <c r="AA133" s="575"/>
    </row>
    <row r="134">
      <c r="A134" s="575"/>
      <c r="B134" s="692"/>
      <c r="C134" s="709"/>
      <c r="D134" s="709"/>
      <c r="E134" s="692"/>
      <c r="F134" s="710"/>
      <c r="G134" s="575"/>
      <c r="H134" s="575"/>
      <c r="I134" s="575"/>
      <c r="J134" s="575"/>
      <c r="K134" s="575"/>
      <c r="L134" s="575"/>
      <c r="M134" s="575"/>
      <c r="N134" s="575"/>
      <c r="O134" s="575"/>
      <c r="P134" s="575"/>
      <c r="Q134" s="575"/>
      <c r="R134" s="575"/>
      <c r="S134" s="575"/>
      <c r="T134" s="575"/>
      <c r="U134" s="575"/>
      <c r="V134" s="575"/>
      <c r="W134" s="575"/>
      <c r="X134" s="575"/>
      <c r="Y134" s="575"/>
      <c r="Z134" s="575"/>
      <c r="AA134" s="575"/>
    </row>
    <row r="135">
      <c r="A135" s="575"/>
      <c r="B135" s="692"/>
      <c r="C135" s="709"/>
      <c r="D135" s="709"/>
      <c r="E135" s="692"/>
      <c r="F135" s="710"/>
      <c r="G135" s="575"/>
      <c r="H135" s="575"/>
      <c r="I135" s="575"/>
      <c r="J135" s="575"/>
      <c r="K135" s="575"/>
      <c r="L135" s="575"/>
      <c r="M135" s="575"/>
      <c r="N135" s="575"/>
      <c r="O135" s="575"/>
      <c r="P135" s="575"/>
      <c r="Q135" s="575"/>
      <c r="R135" s="575"/>
      <c r="S135" s="575"/>
      <c r="T135" s="575"/>
      <c r="U135" s="575"/>
      <c r="V135" s="575"/>
      <c r="W135" s="575"/>
      <c r="X135" s="575"/>
      <c r="Y135" s="575"/>
      <c r="Z135" s="575"/>
      <c r="AA135" s="575"/>
    </row>
    <row r="136">
      <c r="A136" s="575"/>
      <c r="B136" s="692"/>
      <c r="C136" s="709"/>
      <c r="D136" s="709"/>
      <c r="E136" s="692"/>
      <c r="F136" s="710"/>
      <c r="G136" s="575"/>
      <c r="H136" s="575"/>
      <c r="I136" s="575"/>
      <c r="J136" s="575"/>
      <c r="K136" s="575"/>
      <c r="L136" s="575"/>
      <c r="M136" s="575"/>
      <c r="N136" s="575"/>
      <c r="O136" s="575"/>
      <c r="P136" s="575"/>
      <c r="Q136" s="575"/>
      <c r="R136" s="575"/>
      <c r="S136" s="575"/>
      <c r="T136" s="575"/>
      <c r="U136" s="575"/>
      <c r="V136" s="575"/>
      <c r="W136" s="575"/>
      <c r="X136" s="575"/>
      <c r="Y136" s="575"/>
      <c r="Z136" s="575"/>
      <c r="AA136" s="575"/>
    </row>
    <row r="137">
      <c r="A137" s="575"/>
      <c r="B137" s="692"/>
      <c r="C137" s="709"/>
      <c r="D137" s="709"/>
      <c r="E137" s="692"/>
      <c r="F137" s="710"/>
      <c r="G137" s="575"/>
      <c r="H137" s="575"/>
      <c r="I137" s="575"/>
      <c r="J137" s="575"/>
      <c r="K137" s="575"/>
      <c r="L137" s="575"/>
      <c r="M137" s="575"/>
      <c r="N137" s="575"/>
      <c r="O137" s="575"/>
      <c r="P137" s="575"/>
      <c r="Q137" s="575"/>
      <c r="R137" s="575"/>
      <c r="S137" s="575"/>
      <c r="T137" s="575"/>
      <c r="U137" s="575"/>
      <c r="V137" s="575"/>
      <c r="W137" s="575"/>
      <c r="X137" s="575"/>
      <c r="Y137" s="575"/>
      <c r="Z137" s="575"/>
      <c r="AA137" s="575"/>
    </row>
    <row r="138">
      <c r="A138" s="575"/>
      <c r="B138" s="692"/>
      <c r="C138" s="709"/>
      <c r="D138" s="709"/>
      <c r="E138" s="692"/>
      <c r="F138" s="710"/>
      <c r="G138" s="575"/>
      <c r="H138" s="575"/>
      <c r="I138" s="575"/>
      <c r="J138" s="575"/>
      <c r="K138" s="575"/>
      <c r="L138" s="575"/>
      <c r="M138" s="575"/>
      <c r="N138" s="575"/>
      <c r="O138" s="575"/>
      <c r="P138" s="575"/>
      <c r="Q138" s="575"/>
      <c r="R138" s="575"/>
      <c r="S138" s="575"/>
      <c r="T138" s="575"/>
      <c r="U138" s="575"/>
      <c r="V138" s="575"/>
      <c r="W138" s="575"/>
      <c r="X138" s="575"/>
      <c r="Y138" s="575"/>
      <c r="Z138" s="575"/>
      <c r="AA138" s="575"/>
    </row>
    <row r="139">
      <c r="A139" s="575"/>
      <c r="B139" s="692"/>
      <c r="C139" s="709"/>
      <c r="D139" s="709"/>
      <c r="E139" s="692"/>
      <c r="F139" s="710"/>
      <c r="G139" s="575"/>
      <c r="H139" s="575"/>
      <c r="I139" s="575"/>
      <c r="J139" s="575"/>
      <c r="K139" s="575"/>
      <c r="L139" s="575"/>
      <c r="M139" s="575"/>
      <c r="N139" s="575"/>
      <c r="O139" s="575"/>
      <c r="P139" s="575"/>
      <c r="Q139" s="575"/>
      <c r="R139" s="575"/>
      <c r="S139" s="575"/>
      <c r="T139" s="575"/>
      <c r="U139" s="575"/>
      <c r="V139" s="575"/>
      <c r="W139" s="575"/>
      <c r="X139" s="575"/>
      <c r="Y139" s="575"/>
      <c r="Z139" s="575"/>
      <c r="AA139" s="575"/>
    </row>
    <row r="140">
      <c r="A140" s="575"/>
      <c r="B140" s="692"/>
      <c r="C140" s="709"/>
      <c r="D140" s="709"/>
      <c r="E140" s="692"/>
      <c r="F140" s="710"/>
      <c r="G140" s="575"/>
      <c r="H140" s="575"/>
      <c r="I140" s="575"/>
      <c r="J140" s="575"/>
      <c r="K140" s="575"/>
      <c r="L140" s="575"/>
      <c r="M140" s="575"/>
      <c r="N140" s="575"/>
      <c r="O140" s="575"/>
      <c r="P140" s="575"/>
      <c r="Q140" s="575"/>
      <c r="R140" s="575"/>
      <c r="S140" s="575"/>
      <c r="T140" s="575"/>
      <c r="U140" s="575"/>
      <c r="V140" s="575"/>
      <c r="W140" s="575"/>
      <c r="X140" s="575"/>
      <c r="Y140" s="575"/>
      <c r="Z140" s="575"/>
      <c r="AA140" s="575"/>
    </row>
    <row r="141">
      <c r="A141" s="575"/>
      <c r="B141" s="692"/>
      <c r="C141" s="709"/>
      <c r="D141" s="709"/>
      <c r="E141" s="692"/>
      <c r="F141" s="710"/>
      <c r="G141" s="575"/>
      <c r="H141" s="575"/>
      <c r="I141" s="575"/>
      <c r="J141" s="575"/>
      <c r="K141" s="575"/>
      <c r="L141" s="575"/>
      <c r="M141" s="575"/>
      <c r="N141" s="575"/>
      <c r="O141" s="575"/>
      <c r="P141" s="575"/>
      <c r="Q141" s="575"/>
      <c r="R141" s="575"/>
      <c r="S141" s="575"/>
      <c r="T141" s="575"/>
      <c r="U141" s="575"/>
      <c r="V141" s="575"/>
      <c r="W141" s="575"/>
      <c r="X141" s="575"/>
      <c r="Y141" s="575"/>
      <c r="Z141" s="575"/>
      <c r="AA141" s="575"/>
    </row>
    <row r="142">
      <c r="A142" s="575"/>
      <c r="B142" s="692"/>
      <c r="C142" s="709"/>
      <c r="D142" s="709"/>
      <c r="E142" s="692"/>
      <c r="F142" s="710"/>
      <c r="G142" s="575"/>
      <c r="H142" s="575"/>
      <c r="I142" s="575"/>
      <c r="J142" s="575"/>
      <c r="K142" s="575"/>
      <c r="L142" s="575"/>
      <c r="M142" s="575"/>
      <c r="N142" s="575"/>
      <c r="O142" s="575"/>
      <c r="P142" s="575"/>
      <c r="Q142" s="575"/>
      <c r="R142" s="575"/>
      <c r="S142" s="575"/>
      <c r="T142" s="575"/>
      <c r="U142" s="575"/>
      <c r="V142" s="575"/>
      <c r="W142" s="575"/>
      <c r="X142" s="575"/>
      <c r="Y142" s="575"/>
      <c r="Z142" s="575"/>
      <c r="AA142" s="575"/>
    </row>
    <row r="143">
      <c r="A143" s="575"/>
      <c r="B143" s="692"/>
      <c r="C143" s="709"/>
      <c r="D143" s="709"/>
      <c r="E143" s="692"/>
      <c r="F143" s="710"/>
      <c r="G143" s="575"/>
      <c r="H143" s="575"/>
      <c r="I143" s="575"/>
      <c r="J143" s="575"/>
      <c r="K143" s="575"/>
      <c r="L143" s="575"/>
      <c r="M143" s="575"/>
      <c r="N143" s="575"/>
      <c r="O143" s="575"/>
      <c r="P143" s="575"/>
      <c r="Q143" s="575"/>
      <c r="R143" s="575"/>
      <c r="S143" s="575"/>
      <c r="T143" s="575"/>
      <c r="U143" s="575"/>
      <c r="V143" s="575"/>
      <c r="W143" s="575"/>
      <c r="X143" s="575"/>
      <c r="Y143" s="575"/>
      <c r="Z143" s="575"/>
      <c r="AA143" s="575"/>
    </row>
    <row r="144">
      <c r="A144" s="575"/>
      <c r="B144" s="692"/>
      <c r="C144" s="709"/>
      <c r="D144" s="709"/>
      <c r="E144" s="692"/>
      <c r="F144" s="710"/>
      <c r="G144" s="575"/>
      <c r="H144" s="575"/>
      <c r="I144" s="575"/>
      <c r="J144" s="575"/>
      <c r="K144" s="575"/>
      <c r="L144" s="575"/>
      <c r="M144" s="575"/>
      <c r="N144" s="575"/>
      <c r="O144" s="575"/>
      <c r="P144" s="575"/>
      <c r="Q144" s="575"/>
      <c r="R144" s="575"/>
      <c r="S144" s="575"/>
      <c r="T144" s="575"/>
      <c r="U144" s="575"/>
      <c r="V144" s="575"/>
      <c r="W144" s="575"/>
      <c r="X144" s="575"/>
      <c r="Y144" s="575"/>
      <c r="Z144" s="575"/>
      <c r="AA144" s="575"/>
    </row>
    <row r="145">
      <c r="A145" s="575"/>
      <c r="B145" s="692"/>
      <c r="C145" s="709"/>
      <c r="D145" s="709"/>
      <c r="E145" s="692"/>
      <c r="F145" s="710"/>
      <c r="G145" s="575"/>
      <c r="H145" s="575"/>
      <c r="I145" s="575"/>
      <c r="J145" s="575"/>
      <c r="K145" s="575"/>
      <c r="L145" s="575"/>
      <c r="M145" s="575"/>
      <c r="N145" s="575"/>
      <c r="O145" s="575"/>
      <c r="P145" s="575"/>
      <c r="Q145" s="575"/>
      <c r="R145" s="575"/>
      <c r="S145" s="575"/>
      <c r="T145" s="575"/>
      <c r="U145" s="575"/>
      <c r="V145" s="575"/>
      <c r="W145" s="575"/>
      <c r="X145" s="575"/>
      <c r="Y145" s="575"/>
      <c r="Z145" s="575"/>
      <c r="AA145" s="575"/>
    </row>
    <row r="146">
      <c r="A146" s="575"/>
      <c r="B146" s="692"/>
      <c r="C146" s="709"/>
      <c r="D146" s="709"/>
      <c r="E146" s="692"/>
      <c r="F146" s="710"/>
      <c r="G146" s="575"/>
      <c r="H146" s="575"/>
      <c r="I146" s="575"/>
      <c r="J146" s="575"/>
      <c r="K146" s="575"/>
      <c r="L146" s="575"/>
      <c r="M146" s="575"/>
      <c r="N146" s="575"/>
      <c r="O146" s="575"/>
      <c r="P146" s="575"/>
      <c r="Q146" s="575"/>
      <c r="R146" s="575"/>
      <c r="S146" s="575"/>
      <c r="T146" s="575"/>
      <c r="U146" s="575"/>
      <c r="V146" s="575"/>
      <c r="W146" s="575"/>
      <c r="X146" s="575"/>
      <c r="Y146" s="575"/>
      <c r="Z146" s="575"/>
      <c r="AA146" s="575"/>
    </row>
    <row r="147">
      <c r="A147" s="575"/>
      <c r="B147" s="692"/>
      <c r="C147" s="709"/>
      <c r="D147" s="709"/>
      <c r="E147" s="692"/>
      <c r="F147" s="710"/>
      <c r="G147" s="575"/>
      <c r="H147" s="575"/>
      <c r="I147" s="575"/>
      <c r="J147" s="575"/>
      <c r="K147" s="575"/>
      <c r="L147" s="575"/>
      <c r="M147" s="575"/>
      <c r="N147" s="575"/>
      <c r="O147" s="575"/>
      <c r="P147" s="575"/>
      <c r="Q147" s="575"/>
      <c r="R147" s="575"/>
      <c r="S147" s="575"/>
      <c r="T147" s="575"/>
      <c r="U147" s="575"/>
      <c r="V147" s="575"/>
      <c r="W147" s="575"/>
      <c r="X147" s="575"/>
      <c r="Y147" s="575"/>
      <c r="Z147" s="575"/>
      <c r="AA147" s="575"/>
    </row>
    <row r="148">
      <c r="A148" s="575"/>
      <c r="B148" s="692"/>
      <c r="C148" s="709"/>
      <c r="D148" s="709"/>
      <c r="E148" s="692"/>
      <c r="F148" s="710"/>
      <c r="G148" s="575"/>
      <c r="H148" s="575"/>
      <c r="I148" s="575"/>
      <c r="J148" s="575"/>
      <c r="K148" s="575"/>
      <c r="L148" s="575"/>
      <c r="M148" s="575"/>
      <c r="N148" s="575"/>
      <c r="O148" s="575"/>
      <c r="P148" s="575"/>
      <c r="Q148" s="575"/>
      <c r="R148" s="575"/>
      <c r="S148" s="575"/>
      <c r="T148" s="575"/>
      <c r="U148" s="575"/>
      <c r="V148" s="575"/>
      <c r="W148" s="575"/>
      <c r="X148" s="575"/>
      <c r="Y148" s="575"/>
      <c r="Z148" s="575"/>
      <c r="AA148" s="575"/>
    </row>
    <row r="149">
      <c r="A149" s="575"/>
      <c r="B149" s="692"/>
      <c r="C149" s="709"/>
      <c r="D149" s="709"/>
      <c r="E149" s="692"/>
      <c r="F149" s="710"/>
      <c r="G149" s="575"/>
      <c r="H149" s="575"/>
      <c r="I149" s="575"/>
      <c r="J149" s="575"/>
      <c r="K149" s="575"/>
      <c r="L149" s="575"/>
      <c r="M149" s="575"/>
      <c r="N149" s="575"/>
      <c r="O149" s="575"/>
      <c r="P149" s="575"/>
      <c r="Q149" s="575"/>
      <c r="R149" s="575"/>
      <c r="S149" s="575"/>
      <c r="T149" s="575"/>
      <c r="U149" s="575"/>
      <c r="V149" s="575"/>
      <c r="W149" s="575"/>
      <c r="X149" s="575"/>
      <c r="Y149" s="575"/>
      <c r="Z149" s="575"/>
      <c r="AA149" s="575"/>
    </row>
    <row r="150">
      <c r="A150" s="575"/>
      <c r="B150" s="692"/>
      <c r="C150" s="709"/>
      <c r="D150" s="709"/>
      <c r="E150" s="692"/>
      <c r="F150" s="710"/>
      <c r="G150" s="575"/>
      <c r="H150" s="575"/>
      <c r="I150" s="575"/>
      <c r="J150" s="575"/>
      <c r="K150" s="575"/>
      <c r="L150" s="575"/>
      <c r="M150" s="575"/>
      <c r="N150" s="575"/>
      <c r="O150" s="575"/>
      <c r="P150" s="575"/>
      <c r="Q150" s="575"/>
      <c r="R150" s="575"/>
      <c r="S150" s="575"/>
      <c r="T150" s="575"/>
      <c r="U150" s="575"/>
      <c r="V150" s="575"/>
      <c r="W150" s="575"/>
      <c r="X150" s="575"/>
      <c r="Y150" s="575"/>
      <c r="Z150" s="575"/>
      <c r="AA150" s="575"/>
    </row>
    <row r="151">
      <c r="A151" s="575"/>
      <c r="B151" s="692"/>
      <c r="C151" s="709"/>
      <c r="D151" s="709"/>
      <c r="E151" s="692"/>
      <c r="F151" s="710"/>
      <c r="G151" s="575"/>
      <c r="H151" s="575"/>
      <c r="I151" s="575"/>
      <c r="J151" s="575"/>
      <c r="K151" s="575"/>
      <c r="L151" s="575"/>
      <c r="M151" s="575"/>
      <c r="N151" s="575"/>
      <c r="O151" s="575"/>
      <c r="P151" s="575"/>
      <c r="Q151" s="575"/>
      <c r="R151" s="575"/>
      <c r="S151" s="575"/>
      <c r="T151" s="575"/>
      <c r="U151" s="575"/>
      <c r="V151" s="575"/>
      <c r="W151" s="575"/>
      <c r="X151" s="575"/>
      <c r="Y151" s="575"/>
      <c r="Z151" s="575"/>
      <c r="AA151" s="575"/>
    </row>
    <row r="152">
      <c r="A152" s="575"/>
      <c r="B152" s="692"/>
      <c r="C152" s="709"/>
      <c r="D152" s="709"/>
      <c r="E152" s="692"/>
      <c r="F152" s="710"/>
      <c r="G152" s="575"/>
      <c r="H152" s="575"/>
      <c r="I152" s="575"/>
      <c r="J152" s="575"/>
      <c r="K152" s="575"/>
      <c r="L152" s="575"/>
      <c r="M152" s="575"/>
      <c r="N152" s="575"/>
      <c r="O152" s="575"/>
      <c r="P152" s="575"/>
      <c r="Q152" s="575"/>
      <c r="R152" s="575"/>
      <c r="S152" s="575"/>
      <c r="T152" s="575"/>
      <c r="U152" s="575"/>
      <c r="V152" s="575"/>
      <c r="W152" s="575"/>
      <c r="X152" s="575"/>
      <c r="Y152" s="575"/>
      <c r="Z152" s="575"/>
      <c r="AA152" s="575"/>
    </row>
    <row r="153">
      <c r="A153" s="575"/>
      <c r="B153" s="692"/>
      <c r="C153" s="709"/>
      <c r="D153" s="709"/>
      <c r="E153" s="692"/>
      <c r="F153" s="710"/>
      <c r="G153" s="575"/>
      <c r="H153" s="575"/>
      <c r="I153" s="575"/>
      <c r="J153" s="575"/>
      <c r="K153" s="575"/>
      <c r="L153" s="575"/>
      <c r="M153" s="575"/>
      <c r="N153" s="575"/>
      <c r="O153" s="575"/>
      <c r="P153" s="575"/>
      <c r="Q153" s="575"/>
      <c r="R153" s="575"/>
      <c r="S153" s="575"/>
      <c r="T153" s="575"/>
      <c r="U153" s="575"/>
      <c r="V153" s="575"/>
      <c r="W153" s="575"/>
      <c r="X153" s="575"/>
      <c r="Y153" s="575"/>
      <c r="Z153" s="575"/>
      <c r="AA153" s="575"/>
    </row>
    <row r="154">
      <c r="A154" s="575"/>
      <c r="B154" s="692"/>
      <c r="C154" s="709"/>
      <c r="D154" s="709"/>
      <c r="E154" s="692"/>
      <c r="F154" s="710"/>
      <c r="G154" s="575"/>
      <c r="H154" s="575"/>
      <c r="I154" s="575"/>
      <c r="J154" s="575"/>
      <c r="K154" s="575"/>
      <c r="L154" s="575"/>
      <c r="M154" s="575"/>
      <c r="N154" s="575"/>
      <c r="O154" s="575"/>
      <c r="P154" s="575"/>
      <c r="Q154" s="575"/>
      <c r="R154" s="575"/>
      <c r="S154" s="575"/>
      <c r="T154" s="575"/>
      <c r="U154" s="575"/>
      <c r="V154" s="575"/>
      <c r="W154" s="575"/>
      <c r="X154" s="575"/>
      <c r="Y154" s="575"/>
      <c r="Z154" s="575"/>
      <c r="AA154" s="575"/>
    </row>
    <row r="155">
      <c r="A155" s="575"/>
      <c r="B155" s="692"/>
      <c r="C155" s="709"/>
      <c r="D155" s="709"/>
      <c r="E155" s="692"/>
      <c r="F155" s="710"/>
      <c r="G155" s="575"/>
      <c r="H155" s="575"/>
      <c r="I155" s="575"/>
      <c r="J155" s="575"/>
      <c r="K155" s="575"/>
      <c r="L155" s="575"/>
      <c r="M155" s="575"/>
      <c r="N155" s="575"/>
      <c r="O155" s="575"/>
      <c r="P155" s="575"/>
      <c r="Q155" s="575"/>
      <c r="R155" s="575"/>
      <c r="S155" s="575"/>
      <c r="T155" s="575"/>
      <c r="U155" s="575"/>
      <c r="V155" s="575"/>
      <c r="W155" s="575"/>
      <c r="X155" s="575"/>
      <c r="Y155" s="575"/>
      <c r="Z155" s="575"/>
      <c r="AA155" s="575"/>
    </row>
    <row r="156">
      <c r="A156" s="575"/>
      <c r="B156" s="692"/>
      <c r="C156" s="709"/>
      <c r="D156" s="709"/>
      <c r="E156" s="692"/>
      <c r="F156" s="710"/>
      <c r="G156" s="575"/>
      <c r="H156" s="575"/>
      <c r="I156" s="575"/>
      <c r="J156" s="575"/>
      <c r="K156" s="575"/>
      <c r="L156" s="575"/>
      <c r="M156" s="575"/>
      <c r="N156" s="575"/>
      <c r="O156" s="575"/>
      <c r="P156" s="575"/>
      <c r="Q156" s="575"/>
      <c r="R156" s="575"/>
      <c r="S156" s="575"/>
      <c r="T156" s="575"/>
      <c r="U156" s="575"/>
      <c r="V156" s="575"/>
      <c r="W156" s="575"/>
      <c r="X156" s="575"/>
      <c r="Y156" s="575"/>
      <c r="Z156" s="575"/>
      <c r="AA156" s="575"/>
    </row>
    <row r="157">
      <c r="A157" s="575"/>
      <c r="B157" s="692"/>
      <c r="C157" s="709"/>
      <c r="D157" s="709"/>
      <c r="E157" s="692"/>
      <c r="F157" s="710"/>
      <c r="G157" s="575"/>
      <c r="H157" s="575"/>
      <c r="I157" s="575"/>
      <c r="J157" s="575"/>
      <c r="K157" s="575"/>
      <c r="L157" s="575"/>
      <c r="M157" s="575"/>
      <c r="N157" s="575"/>
      <c r="O157" s="575"/>
      <c r="P157" s="575"/>
      <c r="Q157" s="575"/>
      <c r="R157" s="575"/>
      <c r="S157" s="575"/>
      <c r="T157" s="575"/>
      <c r="U157" s="575"/>
      <c r="V157" s="575"/>
      <c r="W157" s="575"/>
      <c r="X157" s="575"/>
      <c r="Y157" s="575"/>
      <c r="Z157" s="575"/>
      <c r="AA157" s="575"/>
    </row>
    <row r="158">
      <c r="A158" s="575"/>
      <c r="B158" s="692"/>
      <c r="C158" s="709"/>
      <c r="D158" s="709"/>
      <c r="E158" s="692"/>
      <c r="F158" s="710"/>
      <c r="G158" s="575"/>
      <c r="H158" s="575"/>
      <c r="I158" s="575"/>
      <c r="J158" s="575"/>
      <c r="K158" s="575"/>
      <c r="L158" s="575"/>
      <c r="M158" s="575"/>
      <c r="N158" s="575"/>
      <c r="O158" s="575"/>
      <c r="P158" s="575"/>
      <c r="Q158" s="575"/>
      <c r="R158" s="575"/>
      <c r="S158" s="575"/>
      <c r="T158" s="575"/>
      <c r="U158" s="575"/>
      <c r="V158" s="575"/>
      <c r="W158" s="575"/>
      <c r="X158" s="575"/>
      <c r="Y158" s="575"/>
      <c r="Z158" s="575"/>
      <c r="AA158" s="575"/>
    </row>
    <row r="159">
      <c r="A159" s="575"/>
      <c r="B159" s="692"/>
      <c r="C159" s="709"/>
      <c r="D159" s="709"/>
      <c r="E159" s="692"/>
      <c r="F159" s="710"/>
      <c r="G159" s="575"/>
      <c r="H159" s="575"/>
      <c r="I159" s="575"/>
      <c r="J159" s="575"/>
      <c r="K159" s="575"/>
      <c r="L159" s="575"/>
      <c r="M159" s="575"/>
      <c r="N159" s="575"/>
      <c r="O159" s="575"/>
      <c r="P159" s="575"/>
      <c r="Q159" s="575"/>
      <c r="R159" s="575"/>
      <c r="S159" s="575"/>
      <c r="T159" s="575"/>
      <c r="U159" s="575"/>
      <c r="V159" s="575"/>
      <c r="W159" s="575"/>
      <c r="X159" s="575"/>
      <c r="Y159" s="575"/>
      <c r="Z159" s="575"/>
      <c r="AA159" s="575"/>
    </row>
    <row r="160">
      <c r="A160" s="575"/>
      <c r="B160" s="692"/>
      <c r="C160" s="709"/>
      <c r="D160" s="709"/>
      <c r="E160" s="692"/>
      <c r="F160" s="710"/>
      <c r="G160" s="575"/>
      <c r="H160" s="575"/>
      <c r="I160" s="575"/>
      <c r="J160" s="575"/>
      <c r="K160" s="575"/>
      <c r="L160" s="575"/>
      <c r="M160" s="575"/>
      <c r="N160" s="575"/>
      <c r="O160" s="575"/>
      <c r="P160" s="575"/>
      <c r="Q160" s="575"/>
      <c r="R160" s="575"/>
      <c r="S160" s="575"/>
      <c r="T160" s="575"/>
      <c r="U160" s="575"/>
      <c r="V160" s="575"/>
      <c r="W160" s="575"/>
      <c r="X160" s="575"/>
      <c r="Y160" s="575"/>
      <c r="Z160" s="575"/>
      <c r="AA160" s="575"/>
    </row>
    <row r="161">
      <c r="A161" s="575"/>
      <c r="B161" s="692"/>
      <c r="C161" s="709"/>
      <c r="D161" s="709"/>
      <c r="E161" s="692"/>
      <c r="F161" s="710"/>
      <c r="G161" s="575"/>
      <c r="H161" s="575"/>
      <c r="I161" s="575"/>
      <c r="J161" s="575"/>
      <c r="K161" s="575"/>
      <c r="L161" s="575"/>
      <c r="M161" s="575"/>
      <c r="N161" s="575"/>
      <c r="O161" s="575"/>
      <c r="P161" s="575"/>
      <c r="Q161" s="575"/>
      <c r="R161" s="575"/>
      <c r="S161" s="575"/>
      <c r="T161" s="575"/>
      <c r="U161" s="575"/>
      <c r="V161" s="575"/>
      <c r="W161" s="575"/>
      <c r="X161" s="575"/>
      <c r="Y161" s="575"/>
      <c r="Z161" s="575"/>
      <c r="AA161" s="575"/>
    </row>
    <row r="162">
      <c r="A162" s="575"/>
      <c r="B162" s="692"/>
      <c r="C162" s="709"/>
      <c r="D162" s="709"/>
      <c r="E162" s="692"/>
      <c r="F162" s="710"/>
      <c r="G162" s="575"/>
      <c r="H162" s="575"/>
      <c r="I162" s="575"/>
      <c r="J162" s="575"/>
      <c r="K162" s="575"/>
      <c r="L162" s="575"/>
      <c r="M162" s="575"/>
      <c r="N162" s="575"/>
      <c r="O162" s="575"/>
      <c r="P162" s="575"/>
      <c r="Q162" s="575"/>
      <c r="R162" s="575"/>
      <c r="S162" s="575"/>
      <c r="T162" s="575"/>
      <c r="U162" s="575"/>
      <c r="V162" s="575"/>
      <c r="W162" s="575"/>
      <c r="X162" s="575"/>
      <c r="Y162" s="575"/>
      <c r="Z162" s="575"/>
      <c r="AA162" s="575"/>
    </row>
    <row r="163">
      <c r="A163" s="575"/>
      <c r="B163" s="692"/>
      <c r="C163" s="709"/>
      <c r="D163" s="709"/>
      <c r="E163" s="692"/>
      <c r="F163" s="710"/>
      <c r="G163" s="575"/>
      <c r="H163" s="575"/>
      <c r="I163" s="575"/>
      <c r="J163" s="575"/>
      <c r="K163" s="575"/>
      <c r="L163" s="575"/>
      <c r="M163" s="575"/>
      <c r="N163" s="575"/>
      <c r="O163" s="575"/>
      <c r="P163" s="575"/>
      <c r="Q163" s="575"/>
      <c r="R163" s="575"/>
      <c r="S163" s="575"/>
      <c r="T163" s="575"/>
      <c r="U163" s="575"/>
      <c r="V163" s="575"/>
      <c r="W163" s="575"/>
      <c r="X163" s="575"/>
      <c r="Y163" s="575"/>
      <c r="Z163" s="575"/>
      <c r="AA163" s="575"/>
    </row>
    <row r="164">
      <c r="A164" s="575"/>
      <c r="B164" s="692"/>
      <c r="C164" s="709"/>
      <c r="D164" s="709"/>
      <c r="E164" s="692"/>
      <c r="F164" s="710"/>
      <c r="G164" s="575"/>
      <c r="H164" s="575"/>
      <c r="I164" s="575"/>
      <c r="J164" s="575"/>
      <c r="K164" s="575"/>
      <c r="L164" s="575"/>
      <c r="M164" s="575"/>
      <c r="N164" s="575"/>
      <c r="O164" s="575"/>
      <c r="P164" s="575"/>
      <c r="Q164" s="575"/>
      <c r="R164" s="575"/>
      <c r="S164" s="575"/>
      <c r="T164" s="575"/>
      <c r="U164" s="575"/>
      <c r="V164" s="575"/>
      <c r="W164" s="575"/>
      <c r="X164" s="575"/>
      <c r="Y164" s="575"/>
      <c r="Z164" s="575"/>
      <c r="AA164" s="575"/>
    </row>
    <row r="165">
      <c r="A165" s="575"/>
      <c r="B165" s="692"/>
      <c r="C165" s="709"/>
      <c r="D165" s="709"/>
      <c r="E165" s="692"/>
      <c r="F165" s="710"/>
      <c r="G165" s="575"/>
      <c r="H165" s="575"/>
      <c r="I165" s="575"/>
      <c r="J165" s="575"/>
      <c r="K165" s="575"/>
      <c r="L165" s="575"/>
      <c r="M165" s="575"/>
      <c r="N165" s="575"/>
      <c r="O165" s="575"/>
      <c r="P165" s="575"/>
      <c r="Q165" s="575"/>
      <c r="R165" s="575"/>
      <c r="S165" s="575"/>
      <c r="T165" s="575"/>
      <c r="U165" s="575"/>
      <c r="V165" s="575"/>
      <c r="W165" s="575"/>
      <c r="X165" s="575"/>
      <c r="Y165" s="575"/>
      <c r="Z165" s="575"/>
      <c r="AA165" s="575"/>
    </row>
    <row r="166">
      <c r="A166" s="575"/>
      <c r="B166" s="692"/>
      <c r="C166" s="709"/>
      <c r="D166" s="709"/>
      <c r="E166" s="692"/>
      <c r="F166" s="710"/>
      <c r="G166" s="575"/>
      <c r="H166" s="575"/>
      <c r="I166" s="575"/>
      <c r="J166" s="575"/>
      <c r="K166" s="575"/>
      <c r="L166" s="575"/>
      <c r="M166" s="575"/>
      <c r="N166" s="575"/>
      <c r="O166" s="575"/>
      <c r="P166" s="575"/>
      <c r="Q166" s="575"/>
      <c r="R166" s="575"/>
      <c r="S166" s="575"/>
      <c r="T166" s="575"/>
      <c r="U166" s="575"/>
      <c r="V166" s="575"/>
      <c r="W166" s="575"/>
      <c r="X166" s="575"/>
      <c r="Y166" s="575"/>
      <c r="Z166" s="575"/>
      <c r="AA166" s="575"/>
    </row>
    <row r="167">
      <c r="A167" s="575"/>
      <c r="B167" s="692"/>
      <c r="C167" s="709"/>
      <c r="D167" s="709"/>
      <c r="E167" s="692"/>
      <c r="F167" s="710"/>
      <c r="G167" s="575"/>
      <c r="H167" s="575"/>
      <c r="I167" s="575"/>
      <c r="J167" s="575"/>
      <c r="K167" s="575"/>
      <c r="L167" s="575"/>
      <c r="M167" s="575"/>
      <c r="N167" s="575"/>
      <c r="O167" s="575"/>
      <c r="P167" s="575"/>
      <c r="Q167" s="575"/>
      <c r="R167" s="575"/>
      <c r="S167" s="575"/>
      <c r="T167" s="575"/>
      <c r="U167" s="575"/>
      <c r="V167" s="575"/>
      <c r="W167" s="575"/>
      <c r="X167" s="575"/>
      <c r="Y167" s="575"/>
      <c r="Z167" s="575"/>
      <c r="AA167" s="575"/>
    </row>
    <row r="168">
      <c r="A168" s="575"/>
      <c r="B168" s="692"/>
      <c r="C168" s="709"/>
      <c r="D168" s="709"/>
      <c r="E168" s="692"/>
      <c r="F168" s="710"/>
      <c r="G168" s="575"/>
      <c r="H168" s="575"/>
      <c r="I168" s="575"/>
      <c r="J168" s="575"/>
      <c r="K168" s="575"/>
      <c r="L168" s="575"/>
      <c r="M168" s="575"/>
      <c r="N168" s="575"/>
      <c r="O168" s="575"/>
      <c r="P168" s="575"/>
      <c r="Q168" s="575"/>
      <c r="R168" s="575"/>
      <c r="S168" s="575"/>
      <c r="T168" s="575"/>
      <c r="U168" s="575"/>
      <c r="V168" s="575"/>
      <c r="W168" s="575"/>
      <c r="X168" s="575"/>
      <c r="Y168" s="575"/>
      <c r="Z168" s="575"/>
      <c r="AA168" s="575"/>
    </row>
    <row r="169">
      <c r="A169" s="575"/>
      <c r="B169" s="692"/>
      <c r="C169" s="709"/>
      <c r="D169" s="709"/>
      <c r="E169" s="692"/>
      <c r="F169" s="710"/>
      <c r="G169" s="575"/>
      <c r="H169" s="575"/>
      <c r="I169" s="575"/>
      <c r="J169" s="575"/>
      <c r="K169" s="575"/>
      <c r="L169" s="575"/>
      <c r="M169" s="575"/>
      <c r="N169" s="575"/>
      <c r="O169" s="575"/>
      <c r="P169" s="575"/>
      <c r="Q169" s="575"/>
      <c r="R169" s="575"/>
      <c r="S169" s="575"/>
      <c r="T169" s="575"/>
      <c r="U169" s="575"/>
      <c r="V169" s="575"/>
      <c r="W169" s="575"/>
      <c r="X169" s="575"/>
      <c r="Y169" s="575"/>
      <c r="Z169" s="575"/>
      <c r="AA169" s="575"/>
    </row>
    <row r="170">
      <c r="A170" s="575"/>
      <c r="B170" s="692"/>
      <c r="C170" s="709"/>
      <c r="D170" s="709"/>
      <c r="E170" s="692"/>
      <c r="F170" s="710"/>
      <c r="G170" s="575"/>
      <c r="H170" s="575"/>
      <c r="I170" s="575"/>
      <c r="J170" s="575"/>
      <c r="K170" s="575"/>
      <c r="L170" s="575"/>
      <c r="M170" s="575"/>
      <c r="N170" s="575"/>
      <c r="O170" s="575"/>
      <c r="P170" s="575"/>
      <c r="Q170" s="575"/>
      <c r="R170" s="575"/>
      <c r="S170" s="575"/>
      <c r="T170" s="575"/>
      <c r="U170" s="575"/>
      <c r="V170" s="575"/>
      <c r="W170" s="575"/>
      <c r="X170" s="575"/>
      <c r="Y170" s="575"/>
      <c r="Z170" s="575"/>
      <c r="AA170" s="575"/>
    </row>
    <row r="171">
      <c r="A171" s="575"/>
      <c r="B171" s="692"/>
      <c r="C171" s="709"/>
      <c r="D171" s="709"/>
      <c r="E171" s="692"/>
      <c r="F171" s="710"/>
      <c r="G171" s="575"/>
      <c r="H171" s="575"/>
      <c r="I171" s="575"/>
      <c r="J171" s="575"/>
      <c r="K171" s="575"/>
      <c r="L171" s="575"/>
      <c r="M171" s="575"/>
      <c r="N171" s="575"/>
      <c r="O171" s="575"/>
      <c r="P171" s="575"/>
      <c r="Q171" s="575"/>
      <c r="R171" s="575"/>
      <c r="S171" s="575"/>
      <c r="T171" s="575"/>
      <c r="U171" s="575"/>
      <c r="V171" s="575"/>
      <c r="W171" s="575"/>
      <c r="X171" s="575"/>
      <c r="Y171" s="575"/>
      <c r="Z171" s="575"/>
      <c r="AA171" s="575"/>
    </row>
    <row r="172">
      <c r="A172" s="575"/>
      <c r="B172" s="692"/>
      <c r="C172" s="709"/>
      <c r="D172" s="709"/>
      <c r="E172" s="692"/>
      <c r="F172" s="710"/>
      <c r="G172" s="575"/>
      <c r="H172" s="575"/>
      <c r="I172" s="575"/>
      <c r="J172" s="575"/>
      <c r="K172" s="575"/>
      <c r="L172" s="575"/>
      <c r="M172" s="575"/>
      <c r="N172" s="575"/>
      <c r="O172" s="575"/>
      <c r="P172" s="575"/>
      <c r="Q172" s="575"/>
      <c r="R172" s="575"/>
      <c r="S172" s="575"/>
      <c r="T172" s="575"/>
      <c r="U172" s="575"/>
      <c r="V172" s="575"/>
      <c r="W172" s="575"/>
      <c r="X172" s="575"/>
      <c r="Y172" s="575"/>
      <c r="Z172" s="575"/>
      <c r="AA172" s="575"/>
    </row>
    <row r="173">
      <c r="A173" s="575"/>
      <c r="B173" s="692"/>
      <c r="C173" s="709"/>
      <c r="D173" s="709"/>
      <c r="E173" s="692"/>
      <c r="F173" s="710"/>
      <c r="G173" s="575"/>
      <c r="H173" s="575"/>
      <c r="I173" s="575"/>
      <c r="J173" s="575"/>
      <c r="K173" s="575"/>
      <c r="L173" s="575"/>
      <c r="M173" s="575"/>
      <c r="N173" s="575"/>
      <c r="O173" s="575"/>
      <c r="P173" s="575"/>
      <c r="Q173" s="575"/>
      <c r="R173" s="575"/>
      <c r="S173" s="575"/>
      <c r="T173" s="575"/>
      <c r="U173" s="575"/>
      <c r="V173" s="575"/>
      <c r="W173" s="575"/>
      <c r="X173" s="575"/>
      <c r="Y173" s="575"/>
      <c r="Z173" s="575"/>
      <c r="AA173" s="575"/>
    </row>
    <row r="174">
      <c r="A174" s="575"/>
      <c r="B174" s="692"/>
      <c r="C174" s="709"/>
      <c r="D174" s="709"/>
      <c r="E174" s="692"/>
      <c r="F174" s="710"/>
      <c r="G174" s="575"/>
      <c r="H174" s="575"/>
      <c r="I174" s="575"/>
      <c r="J174" s="575"/>
      <c r="K174" s="575"/>
      <c r="L174" s="575"/>
      <c r="M174" s="575"/>
      <c r="N174" s="575"/>
      <c r="O174" s="575"/>
      <c r="P174" s="575"/>
      <c r="Q174" s="575"/>
      <c r="R174" s="575"/>
      <c r="S174" s="575"/>
      <c r="T174" s="575"/>
      <c r="U174" s="575"/>
      <c r="V174" s="575"/>
      <c r="W174" s="575"/>
      <c r="X174" s="575"/>
      <c r="Y174" s="575"/>
      <c r="Z174" s="575"/>
      <c r="AA174" s="575"/>
    </row>
    <row r="175">
      <c r="A175" s="575"/>
      <c r="B175" s="692"/>
      <c r="C175" s="709"/>
      <c r="D175" s="709"/>
      <c r="E175" s="692"/>
      <c r="F175" s="710"/>
      <c r="G175" s="575"/>
      <c r="H175" s="575"/>
      <c r="I175" s="575"/>
      <c r="J175" s="575"/>
      <c r="K175" s="575"/>
      <c r="L175" s="575"/>
      <c r="M175" s="575"/>
      <c r="N175" s="575"/>
      <c r="O175" s="575"/>
      <c r="P175" s="575"/>
      <c r="Q175" s="575"/>
      <c r="R175" s="575"/>
      <c r="S175" s="575"/>
      <c r="T175" s="575"/>
      <c r="U175" s="575"/>
      <c r="V175" s="575"/>
      <c r="W175" s="575"/>
      <c r="X175" s="575"/>
      <c r="Y175" s="575"/>
      <c r="Z175" s="575"/>
      <c r="AA175" s="575"/>
    </row>
    <row r="176">
      <c r="A176" s="575"/>
      <c r="B176" s="692"/>
      <c r="C176" s="709"/>
      <c r="D176" s="709"/>
      <c r="E176" s="692"/>
      <c r="F176" s="710"/>
      <c r="G176" s="575"/>
      <c r="H176" s="575"/>
      <c r="I176" s="575"/>
      <c r="J176" s="575"/>
      <c r="K176" s="575"/>
      <c r="L176" s="575"/>
      <c r="M176" s="575"/>
      <c r="N176" s="575"/>
      <c r="O176" s="575"/>
      <c r="P176" s="575"/>
      <c r="Q176" s="575"/>
      <c r="R176" s="575"/>
      <c r="S176" s="575"/>
      <c r="T176" s="575"/>
      <c r="U176" s="575"/>
      <c r="V176" s="575"/>
      <c r="W176" s="575"/>
      <c r="X176" s="575"/>
      <c r="Y176" s="575"/>
      <c r="Z176" s="575"/>
      <c r="AA176" s="575"/>
    </row>
    <row r="177">
      <c r="A177" s="575"/>
      <c r="B177" s="692"/>
      <c r="C177" s="709"/>
      <c r="D177" s="709"/>
      <c r="E177" s="692"/>
      <c r="F177" s="710"/>
      <c r="G177" s="575"/>
      <c r="H177" s="575"/>
      <c r="I177" s="575"/>
      <c r="J177" s="575"/>
      <c r="K177" s="575"/>
      <c r="L177" s="575"/>
      <c r="M177" s="575"/>
      <c r="N177" s="575"/>
      <c r="O177" s="575"/>
      <c r="P177" s="575"/>
      <c r="Q177" s="575"/>
      <c r="R177" s="575"/>
      <c r="S177" s="575"/>
      <c r="T177" s="575"/>
      <c r="U177" s="575"/>
      <c r="V177" s="575"/>
      <c r="W177" s="575"/>
      <c r="X177" s="575"/>
      <c r="Y177" s="575"/>
      <c r="Z177" s="575"/>
      <c r="AA177" s="575"/>
    </row>
    <row r="178">
      <c r="A178" s="575"/>
      <c r="B178" s="692"/>
      <c r="C178" s="709"/>
      <c r="D178" s="709"/>
      <c r="E178" s="692"/>
      <c r="F178" s="710"/>
      <c r="G178" s="575"/>
      <c r="H178" s="575"/>
      <c r="I178" s="575"/>
      <c r="J178" s="575"/>
      <c r="K178" s="575"/>
      <c r="L178" s="575"/>
      <c r="M178" s="575"/>
      <c r="N178" s="575"/>
      <c r="O178" s="575"/>
      <c r="P178" s="575"/>
      <c r="Q178" s="575"/>
      <c r="R178" s="575"/>
      <c r="S178" s="575"/>
      <c r="T178" s="575"/>
      <c r="U178" s="575"/>
      <c r="V178" s="575"/>
      <c r="W178" s="575"/>
      <c r="X178" s="575"/>
      <c r="Y178" s="575"/>
      <c r="Z178" s="575"/>
      <c r="AA178" s="575"/>
    </row>
    <row r="179">
      <c r="A179" s="575"/>
      <c r="B179" s="692"/>
      <c r="C179" s="709"/>
      <c r="D179" s="709"/>
      <c r="E179" s="692"/>
      <c r="F179" s="710"/>
      <c r="G179" s="575"/>
      <c r="H179" s="575"/>
      <c r="I179" s="575"/>
      <c r="J179" s="575"/>
      <c r="K179" s="575"/>
      <c r="L179" s="575"/>
      <c r="M179" s="575"/>
      <c r="N179" s="575"/>
      <c r="O179" s="575"/>
      <c r="P179" s="575"/>
      <c r="Q179" s="575"/>
      <c r="R179" s="575"/>
      <c r="S179" s="575"/>
      <c r="T179" s="575"/>
      <c r="U179" s="575"/>
      <c r="V179" s="575"/>
      <c r="W179" s="575"/>
      <c r="X179" s="575"/>
      <c r="Y179" s="575"/>
      <c r="Z179" s="575"/>
      <c r="AA179" s="575"/>
    </row>
    <row r="180">
      <c r="A180" s="575"/>
      <c r="B180" s="692"/>
      <c r="C180" s="709"/>
      <c r="D180" s="709"/>
      <c r="E180" s="692"/>
      <c r="F180" s="710"/>
      <c r="G180" s="575"/>
      <c r="H180" s="575"/>
      <c r="I180" s="575"/>
      <c r="J180" s="575"/>
      <c r="K180" s="575"/>
      <c r="L180" s="575"/>
      <c r="M180" s="575"/>
      <c r="N180" s="575"/>
      <c r="O180" s="575"/>
      <c r="P180" s="575"/>
      <c r="Q180" s="575"/>
      <c r="R180" s="575"/>
      <c r="S180" s="575"/>
      <c r="T180" s="575"/>
      <c r="U180" s="575"/>
      <c r="V180" s="575"/>
      <c r="W180" s="575"/>
      <c r="X180" s="575"/>
      <c r="Y180" s="575"/>
      <c r="Z180" s="575"/>
      <c r="AA180" s="575"/>
    </row>
    <row r="181">
      <c r="A181" s="575"/>
      <c r="B181" s="692"/>
      <c r="C181" s="709"/>
      <c r="D181" s="709"/>
      <c r="E181" s="692"/>
      <c r="F181" s="710"/>
      <c r="G181" s="575"/>
      <c r="H181" s="575"/>
      <c r="I181" s="575"/>
      <c r="J181" s="575"/>
      <c r="K181" s="575"/>
      <c r="L181" s="575"/>
      <c r="M181" s="575"/>
      <c r="N181" s="575"/>
      <c r="O181" s="575"/>
      <c r="P181" s="575"/>
      <c r="Q181" s="575"/>
      <c r="R181" s="575"/>
      <c r="S181" s="575"/>
      <c r="T181" s="575"/>
      <c r="U181" s="575"/>
      <c r="V181" s="575"/>
      <c r="W181" s="575"/>
      <c r="X181" s="575"/>
      <c r="Y181" s="575"/>
      <c r="Z181" s="575"/>
      <c r="AA181" s="575"/>
    </row>
    <row r="182">
      <c r="A182" s="575"/>
      <c r="B182" s="692"/>
      <c r="C182" s="709"/>
      <c r="D182" s="709"/>
      <c r="E182" s="692"/>
      <c r="F182" s="710"/>
      <c r="G182" s="575"/>
      <c r="H182" s="575"/>
      <c r="I182" s="575"/>
      <c r="J182" s="575"/>
      <c r="K182" s="575"/>
      <c r="L182" s="575"/>
      <c r="M182" s="575"/>
      <c r="N182" s="575"/>
      <c r="O182" s="575"/>
      <c r="P182" s="575"/>
      <c r="Q182" s="575"/>
      <c r="R182" s="575"/>
      <c r="S182" s="575"/>
      <c r="T182" s="575"/>
      <c r="U182" s="575"/>
      <c r="V182" s="575"/>
      <c r="W182" s="575"/>
      <c r="X182" s="575"/>
      <c r="Y182" s="575"/>
      <c r="Z182" s="575"/>
      <c r="AA182" s="575"/>
    </row>
    <row r="183">
      <c r="A183" s="575"/>
      <c r="B183" s="692"/>
      <c r="C183" s="709"/>
      <c r="D183" s="709"/>
      <c r="E183" s="692"/>
      <c r="F183" s="710"/>
      <c r="G183" s="575"/>
      <c r="H183" s="575"/>
      <c r="I183" s="575"/>
      <c r="J183" s="575"/>
      <c r="K183" s="575"/>
      <c r="L183" s="575"/>
      <c r="M183" s="575"/>
      <c r="N183" s="575"/>
      <c r="O183" s="575"/>
      <c r="P183" s="575"/>
      <c r="Q183" s="575"/>
      <c r="R183" s="575"/>
      <c r="S183" s="575"/>
      <c r="T183" s="575"/>
      <c r="U183" s="575"/>
      <c r="V183" s="575"/>
      <c r="W183" s="575"/>
      <c r="X183" s="575"/>
      <c r="Y183" s="575"/>
      <c r="Z183" s="575"/>
      <c r="AA183" s="575"/>
    </row>
    <row r="184">
      <c r="A184" s="575"/>
      <c r="B184" s="692"/>
      <c r="C184" s="709"/>
      <c r="D184" s="709"/>
      <c r="E184" s="692"/>
      <c r="F184" s="710"/>
      <c r="G184" s="575"/>
      <c r="H184" s="575"/>
      <c r="I184" s="575"/>
      <c r="J184" s="575"/>
      <c r="K184" s="575"/>
      <c r="L184" s="575"/>
      <c r="M184" s="575"/>
      <c r="N184" s="575"/>
      <c r="O184" s="575"/>
      <c r="P184" s="575"/>
      <c r="Q184" s="575"/>
      <c r="R184" s="575"/>
      <c r="S184" s="575"/>
      <c r="T184" s="575"/>
      <c r="U184" s="575"/>
      <c r="V184" s="575"/>
      <c r="W184" s="575"/>
      <c r="X184" s="575"/>
      <c r="Y184" s="575"/>
      <c r="Z184" s="575"/>
      <c r="AA184" s="575"/>
    </row>
    <row r="185">
      <c r="A185" s="575"/>
      <c r="B185" s="692"/>
      <c r="C185" s="709"/>
      <c r="D185" s="709"/>
      <c r="E185" s="692"/>
      <c r="F185" s="710"/>
      <c r="G185" s="575"/>
      <c r="H185" s="575"/>
      <c r="I185" s="575"/>
      <c r="J185" s="575"/>
      <c r="K185" s="575"/>
      <c r="L185" s="575"/>
      <c r="M185" s="575"/>
      <c r="N185" s="575"/>
      <c r="O185" s="575"/>
      <c r="P185" s="575"/>
      <c r="Q185" s="575"/>
      <c r="R185" s="575"/>
      <c r="S185" s="575"/>
      <c r="T185" s="575"/>
      <c r="U185" s="575"/>
      <c r="V185" s="575"/>
      <c r="W185" s="575"/>
      <c r="X185" s="575"/>
      <c r="Y185" s="575"/>
      <c r="Z185" s="575"/>
      <c r="AA185" s="575"/>
    </row>
    <row r="186">
      <c r="A186" s="575"/>
      <c r="B186" s="692"/>
      <c r="C186" s="709"/>
      <c r="D186" s="709"/>
      <c r="E186" s="692"/>
      <c r="F186" s="710"/>
      <c r="G186" s="575"/>
      <c r="H186" s="575"/>
      <c r="I186" s="575"/>
      <c r="J186" s="575"/>
      <c r="K186" s="575"/>
      <c r="L186" s="575"/>
      <c r="M186" s="575"/>
      <c r="N186" s="575"/>
      <c r="O186" s="575"/>
      <c r="P186" s="575"/>
      <c r="Q186" s="575"/>
      <c r="R186" s="575"/>
      <c r="S186" s="575"/>
      <c r="T186" s="575"/>
      <c r="U186" s="575"/>
      <c r="V186" s="575"/>
      <c r="W186" s="575"/>
      <c r="X186" s="575"/>
      <c r="Y186" s="575"/>
      <c r="Z186" s="575"/>
      <c r="AA186" s="575"/>
    </row>
    <row r="187">
      <c r="A187" s="575"/>
      <c r="B187" s="692"/>
      <c r="C187" s="709"/>
      <c r="D187" s="709"/>
      <c r="E187" s="692"/>
      <c r="F187" s="710"/>
      <c r="G187" s="575"/>
      <c r="H187" s="575"/>
      <c r="I187" s="575"/>
      <c r="J187" s="575"/>
      <c r="K187" s="575"/>
      <c r="L187" s="575"/>
      <c r="M187" s="575"/>
      <c r="N187" s="575"/>
      <c r="O187" s="575"/>
      <c r="P187" s="575"/>
      <c r="Q187" s="575"/>
      <c r="R187" s="575"/>
      <c r="S187" s="575"/>
      <c r="T187" s="575"/>
      <c r="U187" s="575"/>
      <c r="V187" s="575"/>
      <c r="W187" s="575"/>
      <c r="X187" s="575"/>
      <c r="Y187" s="575"/>
      <c r="Z187" s="575"/>
      <c r="AA187" s="575"/>
    </row>
    <row r="188">
      <c r="A188" s="575"/>
      <c r="B188" s="692"/>
      <c r="C188" s="709"/>
      <c r="D188" s="709"/>
      <c r="E188" s="692"/>
      <c r="F188" s="710"/>
      <c r="G188" s="575"/>
      <c r="H188" s="575"/>
      <c r="I188" s="575"/>
      <c r="J188" s="575"/>
      <c r="K188" s="575"/>
      <c r="L188" s="575"/>
      <c r="M188" s="575"/>
      <c r="N188" s="575"/>
      <c r="O188" s="575"/>
      <c r="P188" s="575"/>
      <c r="Q188" s="575"/>
      <c r="R188" s="575"/>
      <c r="S188" s="575"/>
      <c r="T188" s="575"/>
      <c r="U188" s="575"/>
      <c r="V188" s="575"/>
      <c r="W188" s="575"/>
      <c r="X188" s="575"/>
      <c r="Y188" s="575"/>
      <c r="Z188" s="575"/>
      <c r="AA188" s="575"/>
    </row>
    <row r="189">
      <c r="A189" s="575"/>
      <c r="B189" s="692"/>
      <c r="C189" s="709"/>
      <c r="D189" s="709"/>
      <c r="E189" s="692"/>
      <c r="F189" s="710"/>
      <c r="G189" s="575"/>
      <c r="H189" s="575"/>
      <c r="I189" s="575"/>
      <c r="J189" s="575"/>
      <c r="K189" s="575"/>
      <c r="L189" s="575"/>
      <c r="M189" s="575"/>
      <c r="N189" s="575"/>
      <c r="O189" s="575"/>
      <c r="P189" s="575"/>
      <c r="Q189" s="575"/>
      <c r="R189" s="575"/>
      <c r="S189" s="575"/>
      <c r="T189" s="575"/>
      <c r="U189" s="575"/>
      <c r="V189" s="575"/>
      <c r="W189" s="575"/>
      <c r="X189" s="575"/>
      <c r="Y189" s="575"/>
      <c r="Z189" s="575"/>
      <c r="AA189" s="575"/>
    </row>
    <row r="190">
      <c r="A190" s="575"/>
      <c r="B190" s="692"/>
      <c r="C190" s="709"/>
      <c r="D190" s="709"/>
      <c r="E190" s="692"/>
      <c r="F190" s="710"/>
      <c r="G190" s="575"/>
      <c r="H190" s="575"/>
      <c r="I190" s="575"/>
      <c r="J190" s="575"/>
      <c r="K190" s="575"/>
      <c r="L190" s="575"/>
      <c r="M190" s="575"/>
      <c r="N190" s="575"/>
      <c r="O190" s="575"/>
      <c r="P190" s="575"/>
      <c r="Q190" s="575"/>
      <c r="R190" s="575"/>
      <c r="S190" s="575"/>
      <c r="T190" s="575"/>
      <c r="U190" s="575"/>
      <c r="V190" s="575"/>
      <c r="W190" s="575"/>
      <c r="X190" s="575"/>
      <c r="Y190" s="575"/>
      <c r="Z190" s="575"/>
      <c r="AA190" s="575"/>
    </row>
    <row r="191">
      <c r="A191" s="575"/>
      <c r="B191" s="692"/>
      <c r="C191" s="709"/>
      <c r="D191" s="709"/>
      <c r="E191" s="692"/>
      <c r="F191" s="710"/>
      <c r="G191" s="575"/>
      <c r="H191" s="575"/>
      <c r="I191" s="575"/>
      <c r="J191" s="575"/>
      <c r="K191" s="575"/>
      <c r="L191" s="575"/>
      <c r="M191" s="575"/>
      <c r="N191" s="575"/>
      <c r="O191" s="575"/>
      <c r="P191" s="575"/>
      <c r="Q191" s="575"/>
      <c r="R191" s="575"/>
      <c r="S191" s="575"/>
      <c r="T191" s="575"/>
      <c r="U191" s="575"/>
      <c r="V191" s="575"/>
      <c r="W191" s="575"/>
      <c r="X191" s="575"/>
      <c r="Y191" s="575"/>
      <c r="Z191" s="575"/>
      <c r="AA191" s="575"/>
    </row>
    <row r="192">
      <c r="A192" s="575"/>
      <c r="B192" s="692"/>
      <c r="C192" s="709"/>
      <c r="D192" s="709"/>
      <c r="E192" s="692"/>
      <c r="F192" s="710"/>
      <c r="G192" s="575"/>
      <c r="H192" s="575"/>
      <c r="I192" s="575"/>
      <c r="J192" s="575"/>
      <c r="K192" s="575"/>
      <c r="L192" s="575"/>
      <c r="M192" s="575"/>
      <c r="N192" s="575"/>
      <c r="O192" s="575"/>
      <c r="P192" s="575"/>
      <c r="Q192" s="575"/>
      <c r="R192" s="575"/>
      <c r="S192" s="575"/>
      <c r="T192" s="575"/>
      <c r="U192" s="575"/>
      <c r="V192" s="575"/>
      <c r="W192" s="575"/>
      <c r="X192" s="575"/>
      <c r="Y192" s="575"/>
      <c r="Z192" s="575"/>
      <c r="AA192" s="575"/>
    </row>
    <row r="193">
      <c r="A193" s="575"/>
      <c r="B193" s="692"/>
      <c r="C193" s="709"/>
      <c r="D193" s="709"/>
      <c r="E193" s="692"/>
      <c r="F193" s="710"/>
      <c r="G193" s="575"/>
      <c r="H193" s="575"/>
      <c r="I193" s="575"/>
      <c r="J193" s="575"/>
      <c r="K193" s="575"/>
      <c r="L193" s="575"/>
      <c r="M193" s="575"/>
      <c r="N193" s="575"/>
      <c r="O193" s="575"/>
      <c r="P193" s="575"/>
      <c r="Q193" s="575"/>
      <c r="R193" s="575"/>
      <c r="S193" s="575"/>
      <c r="T193" s="575"/>
      <c r="U193" s="575"/>
      <c r="V193" s="575"/>
      <c r="W193" s="575"/>
      <c r="X193" s="575"/>
      <c r="Y193" s="575"/>
      <c r="Z193" s="575"/>
      <c r="AA193" s="575"/>
    </row>
    <row r="194">
      <c r="A194" s="575"/>
      <c r="B194" s="692"/>
      <c r="C194" s="709"/>
      <c r="D194" s="709"/>
      <c r="E194" s="692"/>
      <c r="F194" s="710"/>
      <c r="G194" s="575"/>
      <c r="H194" s="575"/>
      <c r="I194" s="575"/>
      <c r="J194" s="575"/>
      <c r="K194" s="575"/>
      <c r="L194" s="575"/>
      <c r="M194" s="575"/>
      <c r="N194" s="575"/>
      <c r="O194" s="575"/>
      <c r="P194" s="575"/>
      <c r="Q194" s="575"/>
      <c r="R194" s="575"/>
      <c r="S194" s="575"/>
      <c r="T194" s="575"/>
      <c r="U194" s="575"/>
      <c r="V194" s="575"/>
      <c r="W194" s="575"/>
      <c r="X194" s="575"/>
      <c r="Y194" s="575"/>
      <c r="Z194" s="575"/>
      <c r="AA194" s="575"/>
    </row>
    <row r="195">
      <c r="A195" s="575"/>
      <c r="B195" s="692"/>
      <c r="C195" s="709"/>
      <c r="D195" s="709"/>
      <c r="E195" s="692"/>
      <c r="F195" s="710"/>
      <c r="G195" s="575"/>
      <c r="H195" s="575"/>
      <c r="I195" s="575"/>
      <c r="J195" s="575"/>
      <c r="K195" s="575"/>
      <c r="L195" s="575"/>
      <c r="M195" s="575"/>
      <c r="N195" s="575"/>
      <c r="O195" s="575"/>
      <c r="P195" s="575"/>
      <c r="Q195" s="575"/>
      <c r="R195" s="575"/>
      <c r="S195" s="575"/>
      <c r="T195" s="575"/>
      <c r="U195" s="575"/>
      <c r="V195" s="575"/>
      <c r="W195" s="575"/>
      <c r="X195" s="575"/>
      <c r="Y195" s="575"/>
      <c r="Z195" s="575"/>
      <c r="AA195" s="575"/>
    </row>
    <row r="196">
      <c r="A196" s="575"/>
      <c r="B196" s="692"/>
      <c r="C196" s="709"/>
      <c r="D196" s="709"/>
      <c r="E196" s="692"/>
      <c r="F196" s="710"/>
      <c r="G196" s="575"/>
      <c r="H196" s="575"/>
      <c r="I196" s="575"/>
      <c r="J196" s="575"/>
      <c r="K196" s="575"/>
      <c r="L196" s="575"/>
      <c r="M196" s="575"/>
      <c r="N196" s="575"/>
      <c r="O196" s="575"/>
      <c r="P196" s="575"/>
      <c r="Q196" s="575"/>
      <c r="R196" s="575"/>
      <c r="S196" s="575"/>
      <c r="T196" s="575"/>
      <c r="U196" s="575"/>
      <c r="V196" s="575"/>
      <c r="W196" s="575"/>
      <c r="X196" s="575"/>
      <c r="Y196" s="575"/>
      <c r="Z196" s="575"/>
      <c r="AA196" s="575"/>
    </row>
    <row r="197">
      <c r="A197" s="575"/>
      <c r="B197" s="692"/>
      <c r="C197" s="709"/>
      <c r="D197" s="709"/>
      <c r="E197" s="692"/>
      <c r="F197" s="710"/>
      <c r="G197" s="575"/>
      <c r="H197" s="575"/>
      <c r="I197" s="575"/>
      <c r="J197" s="575"/>
      <c r="K197" s="575"/>
      <c r="L197" s="575"/>
      <c r="M197" s="575"/>
      <c r="N197" s="575"/>
      <c r="O197" s="575"/>
      <c r="P197" s="575"/>
      <c r="Q197" s="575"/>
      <c r="R197" s="575"/>
      <c r="S197" s="575"/>
      <c r="T197" s="575"/>
      <c r="U197" s="575"/>
      <c r="V197" s="575"/>
      <c r="W197" s="575"/>
      <c r="X197" s="575"/>
      <c r="Y197" s="575"/>
      <c r="Z197" s="575"/>
      <c r="AA197" s="575"/>
    </row>
    <row r="198">
      <c r="A198" s="575"/>
      <c r="B198" s="692"/>
      <c r="C198" s="709"/>
      <c r="D198" s="709"/>
      <c r="E198" s="692"/>
      <c r="F198" s="710"/>
      <c r="G198" s="575"/>
      <c r="H198" s="575"/>
      <c r="I198" s="575"/>
      <c r="J198" s="575"/>
      <c r="K198" s="575"/>
      <c r="L198" s="575"/>
      <c r="M198" s="575"/>
      <c r="N198" s="575"/>
      <c r="O198" s="575"/>
      <c r="P198" s="575"/>
      <c r="Q198" s="575"/>
      <c r="R198" s="575"/>
      <c r="S198" s="575"/>
      <c r="T198" s="575"/>
      <c r="U198" s="575"/>
      <c r="V198" s="575"/>
      <c r="W198" s="575"/>
      <c r="X198" s="575"/>
      <c r="Y198" s="575"/>
      <c r="Z198" s="575"/>
      <c r="AA198" s="575"/>
    </row>
    <row r="199">
      <c r="A199" s="575"/>
      <c r="B199" s="692"/>
      <c r="C199" s="709"/>
      <c r="D199" s="709"/>
      <c r="E199" s="692"/>
      <c r="F199" s="710"/>
      <c r="G199" s="575"/>
      <c r="H199" s="575"/>
      <c r="I199" s="575"/>
      <c r="J199" s="575"/>
      <c r="K199" s="575"/>
      <c r="L199" s="575"/>
      <c r="M199" s="575"/>
      <c r="N199" s="575"/>
      <c r="O199" s="575"/>
      <c r="P199" s="575"/>
      <c r="Q199" s="575"/>
      <c r="R199" s="575"/>
      <c r="S199" s="575"/>
      <c r="T199" s="575"/>
      <c r="U199" s="575"/>
      <c r="V199" s="575"/>
      <c r="W199" s="575"/>
      <c r="X199" s="575"/>
      <c r="Y199" s="575"/>
      <c r="Z199" s="575"/>
      <c r="AA199" s="575"/>
    </row>
    <row r="200">
      <c r="A200" s="575"/>
      <c r="B200" s="692"/>
      <c r="C200" s="709"/>
      <c r="D200" s="709"/>
      <c r="E200" s="692"/>
      <c r="F200" s="710"/>
      <c r="G200" s="575"/>
      <c r="H200" s="575"/>
      <c r="I200" s="575"/>
      <c r="J200" s="575"/>
      <c r="K200" s="575"/>
      <c r="L200" s="575"/>
      <c r="M200" s="575"/>
      <c r="N200" s="575"/>
      <c r="O200" s="575"/>
      <c r="P200" s="575"/>
      <c r="Q200" s="575"/>
      <c r="R200" s="575"/>
      <c r="S200" s="575"/>
      <c r="T200" s="575"/>
      <c r="U200" s="575"/>
      <c r="V200" s="575"/>
      <c r="W200" s="575"/>
      <c r="X200" s="575"/>
      <c r="Y200" s="575"/>
      <c r="Z200" s="575"/>
      <c r="AA200" s="575"/>
    </row>
    <row r="201">
      <c r="A201" s="575"/>
      <c r="B201" s="692"/>
      <c r="C201" s="709"/>
      <c r="D201" s="709"/>
      <c r="E201" s="692"/>
      <c r="F201" s="710"/>
      <c r="G201" s="575"/>
      <c r="H201" s="575"/>
      <c r="I201" s="575"/>
      <c r="J201" s="575"/>
      <c r="K201" s="575"/>
      <c r="L201" s="575"/>
      <c r="M201" s="575"/>
      <c r="N201" s="575"/>
      <c r="O201" s="575"/>
      <c r="P201" s="575"/>
      <c r="Q201" s="575"/>
      <c r="R201" s="575"/>
      <c r="S201" s="575"/>
      <c r="T201" s="575"/>
      <c r="U201" s="575"/>
      <c r="V201" s="575"/>
      <c r="W201" s="575"/>
      <c r="X201" s="575"/>
      <c r="Y201" s="575"/>
      <c r="Z201" s="575"/>
      <c r="AA201" s="575"/>
    </row>
    <row r="202">
      <c r="A202" s="575"/>
      <c r="B202" s="692"/>
      <c r="C202" s="709"/>
      <c r="D202" s="709"/>
      <c r="E202" s="692"/>
      <c r="F202" s="710"/>
      <c r="G202" s="575"/>
      <c r="H202" s="575"/>
      <c r="I202" s="575"/>
      <c r="J202" s="575"/>
      <c r="K202" s="575"/>
      <c r="L202" s="575"/>
      <c r="M202" s="575"/>
      <c r="N202" s="575"/>
      <c r="O202" s="575"/>
      <c r="P202" s="575"/>
      <c r="Q202" s="575"/>
      <c r="R202" s="575"/>
      <c r="S202" s="575"/>
      <c r="T202" s="575"/>
      <c r="U202" s="575"/>
      <c r="V202" s="575"/>
      <c r="W202" s="575"/>
      <c r="X202" s="575"/>
      <c r="Y202" s="575"/>
      <c r="Z202" s="575"/>
      <c r="AA202" s="575"/>
    </row>
    <row r="203">
      <c r="A203" s="575"/>
      <c r="B203" s="692"/>
      <c r="C203" s="709"/>
      <c r="D203" s="709"/>
      <c r="E203" s="692"/>
      <c r="F203" s="710"/>
      <c r="G203" s="575"/>
      <c r="H203" s="575"/>
      <c r="I203" s="575"/>
      <c r="J203" s="575"/>
      <c r="K203" s="575"/>
      <c r="L203" s="575"/>
      <c r="M203" s="575"/>
      <c r="N203" s="575"/>
      <c r="O203" s="575"/>
      <c r="P203" s="575"/>
      <c r="Q203" s="575"/>
      <c r="R203" s="575"/>
      <c r="S203" s="575"/>
      <c r="T203" s="575"/>
      <c r="U203" s="575"/>
      <c r="V203" s="575"/>
      <c r="W203" s="575"/>
      <c r="X203" s="575"/>
      <c r="Y203" s="575"/>
      <c r="Z203" s="575"/>
      <c r="AA203" s="575"/>
    </row>
    <row r="204">
      <c r="A204" s="575"/>
      <c r="B204" s="692"/>
      <c r="C204" s="709"/>
      <c r="D204" s="709"/>
      <c r="E204" s="692"/>
      <c r="F204" s="710"/>
      <c r="G204" s="575"/>
      <c r="H204" s="575"/>
      <c r="I204" s="575"/>
      <c r="J204" s="575"/>
      <c r="K204" s="575"/>
      <c r="L204" s="575"/>
      <c r="M204" s="575"/>
      <c r="N204" s="575"/>
      <c r="O204" s="575"/>
      <c r="P204" s="575"/>
      <c r="Q204" s="575"/>
      <c r="R204" s="575"/>
      <c r="S204" s="575"/>
      <c r="T204" s="575"/>
      <c r="U204" s="575"/>
      <c r="V204" s="575"/>
      <c r="W204" s="575"/>
      <c r="X204" s="575"/>
      <c r="Y204" s="575"/>
      <c r="Z204" s="575"/>
      <c r="AA204" s="575"/>
    </row>
    <row r="205">
      <c r="A205" s="575"/>
      <c r="B205" s="692"/>
      <c r="C205" s="709"/>
      <c r="D205" s="709"/>
      <c r="E205" s="692"/>
      <c r="F205" s="710"/>
      <c r="G205" s="575"/>
      <c r="H205" s="575"/>
      <c r="I205" s="575"/>
      <c r="J205" s="575"/>
      <c r="K205" s="575"/>
      <c r="L205" s="575"/>
      <c r="M205" s="575"/>
      <c r="N205" s="575"/>
      <c r="O205" s="575"/>
      <c r="P205" s="575"/>
      <c r="Q205" s="575"/>
      <c r="R205" s="575"/>
      <c r="S205" s="575"/>
      <c r="T205" s="575"/>
      <c r="U205" s="575"/>
      <c r="V205" s="575"/>
      <c r="W205" s="575"/>
      <c r="X205" s="575"/>
      <c r="Y205" s="575"/>
      <c r="Z205" s="575"/>
      <c r="AA205" s="575"/>
    </row>
    <row r="206">
      <c r="A206" s="575"/>
      <c r="B206" s="692"/>
      <c r="C206" s="709"/>
      <c r="D206" s="709"/>
      <c r="E206" s="692"/>
      <c r="F206" s="710"/>
      <c r="G206" s="575"/>
      <c r="H206" s="575"/>
      <c r="I206" s="575"/>
      <c r="J206" s="575"/>
      <c r="K206" s="575"/>
      <c r="L206" s="575"/>
      <c r="M206" s="575"/>
      <c r="N206" s="575"/>
      <c r="O206" s="575"/>
      <c r="P206" s="575"/>
      <c r="Q206" s="575"/>
      <c r="R206" s="575"/>
      <c r="S206" s="575"/>
      <c r="T206" s="575"/>
      <c r="U206" s="575"/>
      <c r="V206" s="575"/>
      <c r="W206" s="575"/>
      <c r="X206" s="575"/>
      <c r="Y206" s="575"/>
      <c r="Z206" s="575"/>
      <c r="AA206" s="575"/>
    </row>
    <row r="207">
      <c r="A207" s="575"/>
      <c r="B207" s="692"/>
      <c r="C207" s="709"/>
      <c r="D207" s="709"/>
      <c r="E207" s="692"/>
      <c r="F207" s="710"/>
      <c r="G207" s="575"/>
      <c r="H207" s="575"/>
      <c r="I207" s="575"/>
      <c r="J207" s="575"/>
      <c r="K207" s="575"/>
      <c r="L207" s="575"/>
      <c r="M207" s="575"/>
      <c r="N207" s="575"/>
      <c r="O207" s="575"/>
      <c r="P207" s="575"/>
      <c r="Q207" s="575"/>
      <c r="R207" s="575"/>
      <c r="S207" s="575"/>
      <c r="T207" s="575"/>
      <c r="U207" s="575"/>
      <c r="V207" s="575"/>
      <c r="W207" s="575"/>
      <c r="X207" s="575"/>
      <c r="Y207" s="575"/>
      <c r="Z207" s="575"/>
      <c r="AA207" s="575"/>
    </row>
    <row r="208">
      <c r="A208" s="575"/>
      <c r="B208" s="692"/>
      <c r="C208" s="709"/>
      <c r="D208" s="709"/>
      <c r="E208" s="692"/>
      <c r="F208" s="710"/>
      <c r="G208" s="575"/>
      <c r="H208" s="575"/>
      <c r="I208" s="575"/>
      <c r="J208" s="575"/>
      <c r="K208" s="575"/>
      <c r="L208" s="575"/>
      <c r="M208" s="575"/>
      <c r="N208" s="575"/>
      <c r="O208" s="575"/>
      <c r="P208" s="575"/>
      <c r="Q208" s="575"/>
      <c r="R208" s="575"/>
      <c r="S208" s="575"/>
      <c r="T208" s="575"/>
      <c r="U208" s="575"/>
      <c r="V208" s="575"/>
      <c r="W208" s="575"/>
      <c r="X208" s="575"/>
      <c r="Y208" s="575"/>
      <c r="Z208" s="575"/>
      <c r="AA208" s="575"/>
    </row>
    <row r="209">
      <c r="A209" s="575"/>
      <c r="B209" s="692"/>
      <c r="C209" s="709"/>
      <c r="D209" s="709"/>
      <c r="E209" s="692"/>
      <c r="F209" s="710"/>
      <c r="G209" s="575"/>
      <c r="H209" s="575"/>
      <c r="I209" s="575"/>
      <c r="J209" s="575"/>
      <c r="K209" s="575"/>
      <c r="L209" s="575"/>
      <c r="M209" s="575"/>
      <c r="N209" s="575"/>
      <c r="O209" s="575"/>
      <c r="P209" s="575"/>
      <c r="Q209" s="575"/>
      <c r="R209" s="575"/>
      <c r="S209" s="575"/>
      <c r="T209" s="575"/>
      <c r="U209" s="575"/>
      <c r="V209" s="575"/>
      <c r="W209" s="575"/>
      <c r="X209" s="575"/>
      <c r="Y209" s="575"/>
      <c r="Z209" s="575"/>
      <c r="AA209" s="575"/>
    </row>
    <row r="210">
      <c r="A210" s="575"/>
      <c r="B210" s="692"/>
      <c r="C210" s="709"/>
      <c r="D210" s="709"/>
      <c r="E210" s="692"/>
      <c r="F210" s="710"/>
      <c r="G210" s="575"/>
      <c r="H210" s="575"/>
      <c r="I210" s="575"/>
      <c r="J210" s="575"/>
      <c r="K210" s="575"/>
      <c r="L210" s="575"/>
      <c r="M210" s="575"/>
      <c r="N210" s="575"/>
      <c r="O210" s="575"/>
      <c r="P210" s="575"/>
      <c r="Q210" s="575"/>
      <c r="R210" s="575"/>
      <c r="S210" s="575"/>
      <c r="T210" s="575"/>
      <c r="U210" s="575"/>
      <c r="V210" s="575"/>
      <c r="W210" s="575"/>
      <c r="X210" s="575"/>
      <c r="Y210" s="575"/>
      <c r="Z210" s="575"/>
      <c r="AA210" s="575"/>
    </row>
    <row r="211">
      <c r="A211" s="575"/>
      <c r="B211" s="692"/>
      <c r="C211" s="709"/>
      <c r="D211" s="709"/>
      <c r="E211" s="692"/>
      <c r="F211" s="710"/>
      <c r="G211" s="575"/>
      <c r="H211" s="575"/>
      <c r="I211" s="575"/>
      <c r="J211" s="575"/>
      <c r="K211" s="575"/>
      <c r="L211" s="575"/>
      <c r="M211" s="575"/>
      <c r="N211" s="575"/>
      <c r="O211" s="575"/>
      <c r="P211" s="575"/>
      <c r="Q211" s="575"/>
      <c r="R211" s="575"/>
      <c r="S211" s="575"/>
      <c r="T211" s="575"/>
      <c r="U211" s="575"/>
      <c r="V211" s="575"/>
      <c r="W211" s="575"/>
      <c r="X211" s="575"/>
      <c r="Y211" s="575"/>
      <c r="Z211" s="575"/>
      <c r="AA211" s="575"/>
    </row>
    <row r="212">
      <c r="A212" s="575"/>
      <c r="B212" s="692"/>
      <c r="C212" s="709"/>
      <c r="D212" s="709"/>
      <c r="E212" s="692"/>
      <c r="F212" s="710"/>
      <c r="G212" s="575"/>
      <c r="H212" s="575"/>
      <c r="I212" s="575"/>
      <c r="J212" s="575"/>
      <c r="K212" s="575"/>
      <c r="L212" s="575"/>
      <c r="M212" s="575"/>
      <c r="N212" s="575"/>
      <c r="O212" s="575"/>
      <c r="P212" s="575"/>
      <c r="Q212" s="575"/>
      <c r="R212" s="575"/>
      <c r="S212" s="575"/>
      <c r="T212" s="575"/>
      <c r="U212" s="575"/>
      <c r="V212" s="575"/>
      <c r="W212" s="575"/>
      <c r="X212" s="575"/>
      <c r="Y212" s="575"/>
      <c r="Z212" s="575"/>
      <c r="AA212" s="575"/>
    </row>
    <row r="213">
      <c r="A213" s="575"/>
      <c r="B213" s="692"/>
      <c r="C213" s="709"/>
      <c r="D213" s="709"/>
      <c r="E213" s="692"/>
      <c r="F213" s="710"/>
      <c r="G213" s="575"/>
      <c r="H213" s="575"/>
      <c r="I213" s="575"/>
      <c r="J213" s="575"/>
      <c r="K213" s="575"/>
      <c r="L213" s="575"/>
      <c r="M213" s="575"/>
      <c r="N213" s="575"/>
      <c r="O213" s="575"/>
      <c r="P213" s="575"/>
      <c r="Q213" s="575"/>
      <c r="R213" s="575"/>
      <c r="S213" s="575"/>
      <c r="T213" s="575"/>
      <c r="U213" s="575"/>
      <c r="V213" s="575"/>
      <c r="W213" s="575"/>
      <c r="X213" s="575"/>
      <c r="Y213" s="575"/>
      <c r="Z213" s="575"/>
      <c r="AA213" s="575"/>
    </row>
    <row r="214">
      <c r="A214" s="575"/>
      <c r="B214" s="692"/>
      <c r="C214" s="709"/>
      <c r="D214" s="709"/>
      <c r="E214" s="692"/>
      <c r="F214" s="710"/>
      <c r="G214" s="575"/>
      <c r="H214" s="575"/>
      <c r="I214" s="575"/>
      <c r="J214" s="575"/>
      <c r="K214" s="575"/>
      <c r="L214" s="575"/>
      <c r="M214" s="575"/>
      <c r="N214" s="575"/>
      <c r="O214" s="575"/>
      <c r="P214" s="575"/>
      <c r="Q214" s="575"/>
      <c r="R214" s="575"/>
      <c r="S214" s="575"/>
      <c r="T214" s="575"/>
      <c r="U214" s="575"/>
      <c r="V214" s="575"/>
      <c r="W214" s="575"/>
      <c r="X214" s="575"/>
      <c r="Y214" s="575"/>
      <c r="Z214" s="575"/>
      <c r="AA214" s="575"/>
    </row>
    <row r="215">
      <c r="A215" s="575"/>
      <c r="B215" s="692"/>
      <c r="C215" s="709"/>
      <c r="D215" s="709"/>
      <c r="E215" s="692"/>
      <c r="F215" s="710"/>
      <c r="G215" s="575"/>
      <c r="H215" s="575"/>
      <c r="I215" s="575"/>
      <c r="J215" s="575"/>
      <c r="K215" s="575"/>
      <c r="L215" s="575"/>
      <c r="M215" s="575"/>
      <c r="N215" s="575"/>
      <c r="O215" s="575"/>
      <c r="P215" s="575"/>
      <c r="Q215" s="575"/>
      <c r="R215" s="575"/>
      <c r="S215" s="575"/>
      <c r="T215" s="575"/>
      <c r="U215" s="575"/>
      <c r="V215" s="575"/>
      <c r="W215" s="575"/>
      <c r="X215" s="575"/>
      <c r="Y215" s="575"/>
      <c r="Z215" s="575"/>
      <c r="AA215" s="575"/>
    </row>
    <row r="216">
      <c r="A216" s="575"/>
      <c r="B216" s="692"/>
      <c r="C216" s="709"/>
      <c r="D216" s="709"/>
      <c r="E216" s="692"/>
      <c r="F216" s="710"/>
      <c r="G216" s="575"/>
      <c r="H216" s="575"/>
      <c r="I216" s="575"/>
      <c r="J216" s="575"/>
      <c r="K216" s="575"/>
      <c r="L216" s="575"/>
      <c r="M216" s="575"/>
      <c r="N216" s="575"/>
      <c r="O216" s="575"/>
      <c r="P216" s="575"/>
      <c r="Q216" s="575"/>
      <c r="R216" s="575"/>
      <c r="S216" s="575"/>
      <c r="T216" s="575"/>
      <c r="U216" s="575"/>
      <c r="V216" s="575"/>
      <c r="W216" s="575"/>
      <c r="X216" s="575"/>
      <c r="Y216" s="575"/>
      <c r="Z216" s="575"/>
      <c r="AA216" s="575"/>
    </row>
    <row r="217">
      <c r="A217" s="575"/>
      <c r="B217" s="692"/>
      <c r="C217" s="709"/>
      <c r="D217" s="709"/>
      <c r="E217" s="692"/>
      <c r="F217" s="710"/>
      <c r="G217" s="575"/>
      <c r="H217" s="575"/>
      <c r="I217" s="575"/>
      <c r="J217" s="575"/>
      <c r="K217" s="575"/>
      <c r="L217" s="575"/>
      <c r="M217" s="575"/>
      <c r="N217" s="575"/>
      <c r="O217" s="575"/>
      <c r="P217" s="575"/>
      <c r="Q217" s="575"/>
      <c r="R217" s="575"/>
      <c r="S217" s="575"/>
      <c r="T217" s="575"/>
      <c r="U217" s="575"/>
      <c r="V217" s="575"/>
      <c r="W217" s="575"/>
      <c r="X217" s="575"/>
      <c r="Y217" s="575"/>
      <c r="Z217" s="575"/>
      <c r="AA217" s="575"/>
    </row>
    <row r="218">
      <c r="A218" s="575"/>
      <c r="B218" s="692"/>
      <c r="C218" s="709"/>
      <c r="D218" s="709"/>
      <c r="E218" s="692"/>
      <c r="F218" s="710"/>
      <c r="G218" s="575"/>
      <c r="H218" s="575"/>
      <c r="I218" s="575"/>
      <c r="J218" s="575"/>
      <c r="K218" s="575"/>
      <c r="L218" s="575"/>
      <c r="M218" s="575"/>
      <c r="N218" s="575"/>
      <c r="O218" s="575"/>
      <c r="P218" s="575"/>
      <c r="Q218" s="575"/>
      <c r="R218" s="575"/>
      <c r="S218" s="575"/>
      <c r="T218" s="575"/>
      <c r="U218" s="575"/>
      <c r="V218" s="575"/>
      <c r="W218" s="575"/>
      <c r="X218" s="575"/>
      <c r="Y218" s="575"/>
      <c r="Z218" s="575"/>
      <c r="AA218" s="575"/>
    </row>
    <row r="219">
      <c r="A219" s="575"/>
      <c r="B219" s="692"/>
      <c r="C219" s="709"/>
      <c r="D219" s="709"/>
      <c r="E219" s="692"/>
      <c r="F219" s="710"/>
      <c r="G219" s="575"/>
      <c r="H219" s="575"/>
      <c r="I219" s="575"/>
      <c r="J219" s="575"/>
      <c r="K219" s="575"/>
      <c r="L219" s="575"/>
      <c r="M219" s="575"/>
      <c r="N219" s="575"/>
      <c r="O219" s="575"/>
      <c r="P219" s="575"/>
      <c r="Q219" s="575"/>
      <c r="R219" s="575"/>
      <c r="S219" s="575"/>
      <c r="T219" s="575"/>
      <c r="U219" s="575"/>
      <c r="V219" s="575"/>
      <c r="W219" s="575"/>
      <c r="X219" s="575"/>
      <c r="Y219" s="575"/>
      <c r="Z219" s="575"/>
      <c r="AA219" s="575"/>
    </row>
    <row r="220">
      <c r="A220" s="575"/>
      <c r="B220" s="692"/>
      <c r="C220" s="709"/>
      <c r="D220" s="709"/>
      <c r="E220" s="692"/>
      <c r="F220" s="710"/>
      <c r="G220" s="575"/>
      <c r="H220" s="575"/>
      <c r="I220" s="575"/>
      <c r="J220" s="575"/>
      <c r="K220" s="575"/>
      <c r="L220" s="575"/>
      <c r="M220" s="575"/>
      <c r="N220" s="575"/>
      <c r="O220" s="575"/>
      <c r="P220" s="575"/>
      <c r="Q220" s="575"/>
      <c r="R220" s="575"/>
      <c r="S220" s="575"/>
      <c r="T220" s="575"/>
      <c r="U220" s="575"/>
      <c r="V220" s="575"/>
      <c r="W220" s="575"/>
      <c r="X220" s="575"/>
      <c r="Y220" s="575"/>
      <c r="Z220" s="575"/>
      <c r="AA220" s="575"/>
    </row>
    <row r="221">
      <c r="A221" s="575"/>
      <c r="B221" s="692"/>
      <c r="C221" s="709"/>
      <c r="D221" s="709"/>
      <c r="E221" s="692"/>
      <c r="F221" s="710"/>
      <c r="G221" s="575"/>
      <c r="H221" s="575"/>
      <c r="I221" s="575"/>
      <c r="J221" s="575"/>
      <c r="K221" s="575"/>
      <c r="L221" s="575"/>
      <c r="M221" s="575"/>
      <c r="N221" s="575"/>
      <c r="O221" s="575"/>
      <c r="P221" s="575"/>
      <c r="Q221" s="575"/>
      <c r="R221" s="575"/>
      <c r="S221" s="575"/>
      <c r="T221" s="575"/>
      <c r="U221" s="575"/>
      <c r="V221" s="575"/>
      <c r="W221" s="575"/>
      <c r="X221" s="575"/>
      <c r="Y221" s="575"/>
      <c r="Z221" s="575"/>
      <c r="AA221" s="575"/>
    </row>
    <row r="222">
      <c r="A222" s="575"/>
      <c r="B222" s="692"/>
      <c r="C222" s="709"/>
      <c r="D222" s="709"/>
      <c r="E222" s="692"/>
      <c r="F222" s="710"/>
      <c r="G222" s="575"/>
      <c r="H222" s="575"/>
      <c r="I222" s="575"/>
      <c r="J222" s="575"/>
      <c r="K222" s="575"/>
      <c r="L222" s="575"/>
      <c r="M222" s="575"/>
      <c r="N222" s="575"/>
      <c r="O222" s="575"/>
      <c r="P222" s="575"/>
      <c r="Q222" s="575"/>
      <c r="R222" s="575"/>
      <c r="S222" s="575"/>
      <c r="T222" s="575"/>
      <c r="U222" s="575"/>
      <c r="V222" s="575"/>
      <c r="W222" s="575"/>
      <c r="X222" s="575"/>
      <c r="Y222" s="575"/>
      <c r="Z222" s="575"/>
      <c r="AA222" s="575"/>
    </row>
    <row r="223">
      <c r="A223" s="575"/>
      <c r="B223" s="692"/>
      <c r="C223" s="709"/>
      <c r="D223" s="709"/>
      <c r="E223" s="692"/>
      <c r="F223" s="710"/>
      <c r="G223" s="575"/>
      <c r="H223" s="575"/>
      <c r="I223" s="575"/>
      <c r="J223" s="575"/>
      <c r="K223" s="575"/>
      <c r="L223" s="575"/>
      <c r="M223" s="575"/>
      <c r="N223" s="575"/>
      <c r="O223" s="575"/>
      <c r="P223" s="575"/>
      <c r="Q223" s="575"/>
      <c r="R223" s="575"/>
      <c r="S223" s="575"/>
      <c r="T223" s="575"/>
      <c r="U223" s="575"/>
      <c r="V223" s="575"/>
      <c r="W223" s="575"/>
      <c r="X223" s="575"/>
      <c r="Y223" s="575"/>
      <c r="Z223" s="575"/>
      <c r="AA223" s="575"/>
    </row>
    <row r="224">
      <c r="A224" s="575"/>
      <c r="B224" s="692"/>
      <c r="C224" s="709"/>
      <c r="D224" s="709"/>
      <c r="E224" s="692"/>
      <c r="F224" s="710"/>
      <c r="G224" s="575"/>
      <c r="H224" s="575"/>
      <c r="I224" s="575"/>
      <c r="J224" s="575"/>
      <c r="K224" s="575"/>
      <c r="L224" s="575"/>
      <c r="M224" s="575"/>
      <c r="N224" s="575"/>
      <c r="O224" s="575"/>
      <c r="P224" s="575"/>
      <c r="Q224" s="575"/>
      <c r="R224" s="575"/>
      <c r="S224" s="575"/>
      <c r="T224" s="575"/>
      <c r="U224" s="575"/>
      <c r="V224" s="575"/>
      <c r="W224" s="575"/>
      <c r="X224" s="575"/>
      <c r="Y224" s="575"/>
      <c r="Z224" s="575"/>
      <c r="AA224" s="575"/>
    </row>
    <row r="225">
      <c r="A225" s="575"/>
      <c r="B225" s="692"/>
      <c r="C225" s="709"/>
      <c r="D225" s="709"/>
      <c r="E225" s="692"/>
      <c r="F225" s="710"/>
      <c r="G225" s="575"/>
      <c r="H225" s="575"/>
      <c r="I225" s="575"/>
      <c r="J225" s="575"/>
      <c r="K225" s="575"/>
      <c r="L225" s="575"/>
      <c r="M225" s="575"/>
      <c r="N225" s="575"/>
      <c r="O225" s="575"/>
      <c r="P225" s="575"/>
      <c r="Q225" s="575"/>
      <c r="R225" s="575"/>
      <c r="S225" s="575"/>
      <c r="T225" s="575"/>
      <c r="U225" s="575"/>
      <c r="V225" s="575"/>
      <c r="W225" s="575"/>
      <c r="X225" s="575"/>
      <c r="Y225" s="575"/>
      <c r="Z225" s="575"/>
      <c r="AA225" s="575"/>
    </row>
    <row r="226">
      <c r="A226" s="575"/>
      <c r="B226" s="692"/>
      <c r="C226" s="709"/>
      <c r="D226" s="709"/>
      <c r="E226" s="692"/>
      <c r="F226" s="710"/>
      <c r="G226" s="575"/>
      <c r="H226" s="575"/>
      <c r="I226" s="575"/>
      <c r="J226" s="575"/>
      <c r="K226" s="575"/>
      <c r="L226" s="575"/>
      <c r="M226" s="575"/>
      <c r="N226" s="575"/>
      <c r="O226" s="575"/>
      <c r="P226" s="575"/>
      <c r="Q226" s="575"/>
      <c r="R226" s="575"/>
      <c r="S226" s="575"/>
      <c r="T226" s="575"/>
      <c r="U226" s="575"/>
      <c r="V226" s="575"/>
      <c r="W226" s="575"/>
      <c r="X226" s="575"/>
      <c r="Y226" s="575"/>
      <c r="Z226" s="575"/>
      <c r="AA226" s="575"/>
    </row>
    <row r="227">
      <c r="A227" s="575"/>
      <c r="B227" s="692"/>
      <c r="C227" s="709"/>
      <c r="D227" s="709"/>
      <c r="E227" s="692"/>
      <c r="F227" s="710"/>
      <c r="G227" s="575"/>
      <c r="H227" s="575"/>
      <c r="I227" s="575"/>
      <c r="J227" s="575"/>
      <c r="K227" s="575"/>
      <c r="L227" s="575"/>
      <c r="M227" s="575"/>
      <c r="N227" s="575"/>
      <c r="O227" s="575"/>
      <c r="P227" s="575"/>
      <c r="Q227" s="575"/>
      <c r="R227" s="575"/>
      <c r="S227" s="575"/>
      <c r="T227" s="575"/>
      <c r="U227" s="575"/>
      <c r="V227" s="575"/>
      <c r="W227" s="575"/>
      <c r="X227" s="575"/>
      <c r="Y227" s="575"/>
      <c r="Z227" s="575"/>
      <c r="AA227" s="575"/>
    </row>
    <row r="228">
      <c r="A228" s="575"/>
      <c r="B228" s="692"/>
      <c r="C228" s="709"/>
      <c r="D228" s="709"/>
      <c r="E228" s="692"/>
      <c r="F228" s="710"/>
      <c r="G228" s="575"/>
      <c r="H228" s="575"/>
      <c r="I228" s="575"/>
      <c r="J228" s="575"/>
      <c r="K228" s="575"/>
      <c r="L228" s="575"/>
      <c r="M228" s="575"/>
      <c r="N228" s="575"/>
      <c r="O228" s="575"/>
      <c r="P228" s="575"/>
      <c r="Q228" s="575"/>
      <c r="R228" s="575"/>
      <c r="S228" s="575"/>
      <c r="T228" s="575"/>
      <c r="U228" s="575"/>
      <c r="V228" s="575"/>
      <c r="W228" s="575"/>
      <c r="X228" s="575"/>
      <c r="Y228" s="575"/>
      <c r="Z228" s="575"/>
      <c r="AA228" s="575"/>
    </row>
    <row r="229">
      <c r="A229" s="575"/>
      <c r="B229" s="692"/>
      <c r="C229" s="709"/>
      <c r="D229" s="709"/>
      <c r="E229" s="692"/>
      <c r="F229" s="710"/>
      <c r="G229" s="575"/>
      <c r="H229" s="575"/>
      <c r="I229" s="575"/>
      <c r="J229" s="575"/>
      <c r="K229" s="575"/>
      <c r="L229" s="575"/>
      <c r="M229" s="575"/>
      <c r="N229" s="575"/>
      <c r="O229" s="575"/>
      <c r="P229" s="575"/>
      <c r="Q229" s="575"/>
      <c r="R229" s="575"/>
      <c r="S229" s="575"/>
      <c r="T229" s="575"/>
      <c r="U229" s="575"/>
      <c r="V229" s="575"/>
      <c r="W229" s="575"/>
      <c r="X229" s="575"/>
      <c r="Y229" s="575"/>
      <c r="Z229" s="575"/>
      <c r="AA229" s="575"/>
    </row>
    <row r="230">
      <c r="A230" s="575"/>
      <c r="B230" s="692"/>
      <c r="C230" s="709"/>
      <c r="D230" s="709"/>
      <c r="E230" s="692"/>
      <c r="F230" s="710"/>
      <c r="G230" s="575"/>
      <c r="H230" s="575"/>
      <c r="I230" s="575"/>
      <c r="J230" s="575"/>
      <c r="K230" s="575"/>
      <c r="L230" s="575"/>
      <c r="M230" s="575"/>
      <c r="N230" s="575"/>
      <c r="O230" s="575"/>
      <c r="P230" s="575"/>
      <c r="Q230" s="575"/>
      <c r="R230" s="575"/>
      <c r="S230" s="575"/>
      <c r="T230" s="575"/>
      <c r="U230" s="575"/>
      <c r="V230" s="575"/>
      <c r="W230" s="575"/>
      <c r="X230" s="575"/>
      <c r="Y230" s="575"/>
      <c r="Z230" s="575"/>
      <c r="AA230" s="575"/>
    </row>
    <row r="231">
      <c r="A231" s="575"/>
      <c r="B231" s="692"/>
      <c r="C231" s="709"/>
      <c r="D231" s="709"/>
      <c r="E231" s="692"/>
      <c r="F231" s="710"/>
      <c r="G231" s="575"/>
      <c r="H231" s="575"/>
      <c r="I231" s="575"/>
      <c r="J231" s="575"/>
      <c r="K231" s="575"/>
      <c r="L231" s="575"/>
      <c r="M231" s="575"/>
      <c r="N231" s="575"/>
      <c r="O231" s="575"/>
      <c r="P231" s="575"/>
      <c r="Q231" s="575"/>
      <c r="R231" s="575"/>
      <c r="S231" s="575"/>
      <c r="T231" s="575"/>
      <c r="U231" s="575"/>
      <c r="V231" s="575"/>
      <c r="W231" s="575"/>
      <c r="X231" s="575"/>
      <c r="Y231" s="575"/>
      <c r="Z231" s="575"/>
      <c r="AA231" s="575"/>
    </row>
    <row r="232">
      <c r="A232" s="575"/>
      <c r="B232" s="692"/>
      <c r="C232" s="709"/>
      <c r="D232" s="709"/>
      <c r="E232" s="692"/>
      <c r="F232" s="710"/>
      <c r="G232" s="575"/>
      <c r="H232" s="575"/>
      <c r="I232" s="575"/>
      <c r="J232" s="575"/>
      <c r="K232" s="575"/>
      <c r="L232" s="575"/>
      <c r="M232" s="575"/>
      <c r="N232" s="575"/>
      <c r="O232" s="575"/>
      <c r="P232" s="575"/>
      <c r="Q232" s="575"/>
      <c r="R232" s="575"/>
      <c r="S232" s="575"/>
      <c r="T232" s="575"/>
      <c r="U232" s="575"/>
      <c r="V232" s="575"/>
      <c r="W232" s="575"/>
      <c r="X232" s="575"/>
      <c r="Y232" s="575"/>
      <c r="Z232" s="575"/>
      <c r="AA232" s="575"/>
    </row>
    <row r="233">
      <c r="A233" s="575"/>
      <c r="B233" s="692"/>
      <c r="C233" s="709"/>
      <c r="D233" s="709"/>
      <c r="E233" s="692"/>
      <c r="F233" s="710"/>
      <c r="G233" s="575"/>
      <c r="H233" s="575"/>
      <c r="I233" s="575"/>
      <c r="J233" s="575"/>
      <c r="K233" s="575"/>
      <c r="L233" s="575"/>
      <c r="M233" s="575"/>
      <c r="N233" s="575"/>
      <c r="O233" s="575"/>
      <c r="P233" s="575"/>
      <c r="Q233" s="575"/>
      <c r="R233" s="575"/>
      <c r="S233" s="575"/>
      <c r="T233" s="575"/>
      <c r="U233" s="575"/>
      <c r="V233" s="575"/>
      <c r="W233" s="575"/>
      <c r="X233" s="575"/>
      <c r="Y233" s="575"/>
      <c r="Z233" s="575"/>
      <c r="AA233" s="575"/>
    </row>
    <row r="234">
      <c r="A234" s="575"/>
      <c r="B234" s="692"/>
      <c r="C234" s="709"/>
      <c r="D234" s="709"/>
      <c r="E234" s="692"/>
      <c r="F234" s="710"/>
      <c r="G234" s="575"/>
      <c r="H234" s="575"/>
      <c r="I234" s="575"/>
      <c r="J234" s="575"/>
      <c r="K234" s="575"/>
      <c r="L234" s="575"/>
      <c r="M234" s="575"/>
      <c r="N234" s="575"/>
      <c r="O234" s="575"/>
      <c r="P234" s="575"/>
      <c r="Q234" s="575"/>
      <c r="R234" s="575"/>
      <c r="S234" s="575"/>
      <c r="T234" s="575"/>
      <c r="U234" s="575"/>
      <c r="V234" s="575"/>
      <c r="W234" s="575"/>
      <c r="X234" s="575"/>
      <c r="Y234" s="575"/>
      <c r="Z234" s="575"/>
      <c r="AA234" s="575"/>
    </row>
    <row r="235">
      <c r="A235" s="575"/>
      <c r="B235" s="692"/>
      <c r="C235" s="709"/>
      <c r="D235" s="709"/>
      <c r="E235" s="692"/>
      <c r="F235" s="710"/>
      <c r="G235" s="575"/>
      <c r="H235" s="575"/>
      <c r="I235" s="575"/>
      <c r="J235" s="575"/>
      <c r="K235" s="575"/>
      <c r="L235" s="575"/>
      <c r="M235" s="575"/>
      <c r="N235" s="575"/>
      <c r="O235" s="575"/>
      <c r="P235" s="575"/>
      <c r="Q235" s="575"/>
      <c r="R235" s="575"/>
      <c r="S235" s="575"/>
      <c r="T235" s="575"/>
      <c r="U235" s="575"/>
      <c r="V235" s="575"/>
      <c r="W235" s="575"/>
      <c r="X235" s="575"/>
      <c r="Y235" s="575"/>
      <c r="Z235" s="575"/>
      <c r="AA235" s="575"/>
    </row>
    <row r="236">
      <c r="A236" s="575"/>
      <c r="B236" s="692"/>
      <c r="C236" s="709"/>
      <c r="D236" s="709"/>
      <c r="E236" s="692"/>
      <c r="F236" s="710"/>
      <c r="G236" s="575"/>
      <c r="H236" s="575"/>
      <c r="I236" s="575"/>
      <c r="J236" s="575"/>
      <c r="K236" s="575"/>
      <c r="L236" s="575"/>
      <c r="M236" s="575"/>
      <c r="N236" s="575"/>
      <c r="O236" s="575"/>
      <c r="P236" s="575"/>
      <c r="Q236" s="575"/>
      <c r="R236" s="575"/>
      <c r="S236" s="575"/>
      <c r="T236" s="575"/>
      <c r="U236" s="575"/>
      <c r="V236" s="575"/>
      <c r="W236" s="575"/>
      <c r="X236" s="575"/>
      <c r="Y236" s="575"/>
      <c r="Z236" s="575"/>
      <c r="AA236" s="575"/>
    </row>
    <row r="237">
      <c r="A237" s="575"/>
      <c r="B237" s="692"/>
      <c r="C237" s="709"/>
      <c r="D237" s="709"/>
      <c r="E237" s="692"/>
      <c r="F237" s="710"/>
      <c r="G237" s="575"/>
      <c r="H237" s="575"/>
      <c r="I237" s="575"/>
      <c r="J237" s="575"/>
      <c r="K237" s="575"/>
      <c r="L237" s="575"/>
      <c r="M237" s="575"/>
      <c r="N237" s="575"/>
      <c r="O237" s="575"/>
      <c r="P237" s="575"/>
      <c r="Q237" s="575"/>
      <c r="R237" s="575"/>
      <c r="S237" s="575"/>
      <c r="T237" s="575"/>
      <c r="U237" s="575"/>
      <c r="V237" s="575"/>
      <c r="W237" s="575"/>
      <c r="X237" s="575"/>
      <c r="Y237" s="575"/>
      <c r="Z237" s="575"/>
      <c r="AA237" s="575"/>
    </row>
    <row r="238">
      <c r="A238" s="575"/>
      <c r="B238" s="692"/>
      <c r="C238" s="709"/>
      <c r="D238" s="709"/>
      <c r="E238" s="692"/>
      <c r="F238" s="710"/>
      <c r="G238" s="575"/>
      <c r="H238" s="575"/>
      <c r="I238" s="575"/>
      <c r="J238" s="575"/>
      <c r="K238" s="575"/>
      <c r="L238" s="575"/>
      <c r="M238" s="575"/>
      <c r="N238" s="575"/>
      <c r="O238" s="575"/>
      <c r="P238" s="575"/>
      <c r="Q238" s="575"/>
      <c r="R238" s="575"/>
      <c r="S238" s="575"/>
      <c r="T238" s="575"/>
      <c r="U238" s="575"/>
      <c r="V238" s="575"/>
      <c r="W238" s="575"/>
      <c r="X238" s="575"/>
      <c r="Y238" s="575"/>
      <c r="Z238" s="575"/>
      <c r="AA238" s="575"/>
    </row>
    <row r="239">
      <c r="A239" s="575"/>
      <c r="B239" s="692"/>
      <c r="C239" s="709"/>
      <c r="D239" s="709"/>
      <c r="E239" s="692"/>
      <c r="F239" s="710"/>
      <c r="G239" s="575"/>
      <c r="H239" s="575"/>
      <c r="I239" s="575"/>
      <c r="J239" s="575"/>
      <c r="K239" s="575"/>
      <c r="L239" s="575"/>
      <c r="M239" s="575"/>
      <c r="N239" s="575"/>
      <c r="O239" s="575"/>
      <c r="P239" s="575"/>
      <c r="Q239" s="575"/>
      <c r="R239" s="575"/>
      <c r="S239" s="575"/>
      <c r="T239" s="575"/>
      <c r="U239" s="575"/>
      <c r="V239" s="575"/>
      <c r="W239" s="575"/>
      <c r="X239" s="575"/>
      <c r="Y239" s="575"/>
      <c r="Z239" s="575"/>
      <c r="AA239" s="575"/>
    </row>
    <row r="240">
      <c r="A240" s="575"/>
      <c r="B240" s="692"/>
      <c r="C240" s="709"/>
      <c r="D240" s="709"/>
      <c r="E240" s="692"/>
      <c r="F240" s="710"/>
      <c r="G240" s="575"/>
      <c r="H240" s="575"/>
      <c r="I240" s="575"/>
      <c r="J240" s="575"/>
      <c r="K240" s="575"/>
      <c r="L240" s="575"/>
      <c r="M240" s="575"/>
      <c r="N240" s="575"/>
      <c r="O240" s="575"/>
      <c r="P240" s="575"/>
      <c r="Q240" s="575"/>
      <c r="R240" s="575"/>
      <c r="S240" s="575"/>
      <c r="T240" s="575"/>
      <c r="U240" s="575"/>
      <c r="V240" s="575"/>
      <c r="W240" s="575"/>
      <c r="X240" s="575"/>
      <c r="Y240" s="575"/>
      <c r="Z240" s="575"/>
      <c r="AA240" s="575"/>
    </row>
    <row r="241">
      <c r="A241" s="575"/>
      <c r="B241" s="692"/>
      <c r="C241" s="709"/>
      <c r="D241" s="709"/>
      <c r="E241" s="692"/>
      <c r="F241" s="710"/>
      <c r="G241" s="575"/>
      <c r="H241" s="575"/>
      <c r="I241" s="575"/>
      <c r="J241" s="575"/>
      <c r="K241" s="575"/>
      <c r="L241" s="575"/>
      <c r="M241" s="575"/>
      <c r="N241" s="575"/>
      <c r="O241" s="575"/>
      <c r="P241" s="575"/>
      <c r="Q241" s="575"/>
      <c r="R241" s="575"/>
      <c r="S241" s="575"/>
      <c r="T241" s="575"/>
      <c r="U241" s="575"/>
      <c r="V241" s="575"/>
      <c r="W241" s="575"/>
      <c r="X241" s="575"/>
      <c r="Y241" s="575"/>
      <c r="Z241" s="575"/>
      <c r="AA241" s="575"/>
    </row>
    <row r="242">
      <c r="A242" s="575"/>
      <c r="B242" s="692"/>
      <c r="C242" s="709"/>
      <c r="D242" s="709"/>
      <c r="E242" s="692"/>
      <c r="F242" s="710"/>
      <c r="G242" s="575"/>
      <c r="H242" s="575"/>
      <c r="I242" s="575"/>
      <c r="J242" s="575"/>
      <c r="K242" s="575"/>
      <c r="L242" s="575"/>
      <c r="M242" s="575"/>
      <c r="N242" s="575"/>
      <c r="O242" s="575"/>
      <c r="P242" s="575"/>
      <c r="Q242" s="575"/>
      <c r="R242" s="575"/>
      <c r="S242" s="575"/>
      <c r="T242" s="575"/>
      <c r="U242" s="575"/>
      <c r="V242" s="575"/>
      <c r="W242" s="575"/>
      <c r="X242" s="575"/>
      <c r="Y242" s="575"/>
      <c r="Z242" s="575"/>
      <c r="AA242" s="575"/>
    </row>
    <row r="243">
      <c r="A243" s="575"/>
      <c r="B243" s="692"/>
      <c r="C243" s="709"/>
      <c r="D243" s="709"/>
      <c r="E243" s="692"/>
      <c r="F243" s="710"/>
      <c r="G243" s="575"/>
      <c r="H243" s="575"/>
      <c r="I243" s="575"/>
      <c r="J243" s="575"/>
      <c r="K243" s="575"/>
      <c r="L243" s="575"/>
      <c r="M243" s="575"/>
      <c r="N243" s="575"/>
      <c r="O243" s="575"/>
      <c r="P243" s="575"/>
      <c r="Q243" s="575"/>
      <c r="R243" s="575"/>
      <c r="S243" s="575"/>
      <c r="T243" s="575"/>
      <c r="U243" s="575"/>
      <c r="V243" s="575"/>
      <c r="W243" s="575"/>
      <c r="X243" s="575"/>
      <c r="Y243" s="575"/>
      <c r="Z243" s="575"/>
      <c r="AA243" s="575"/>
    </row>
    <row r="244">
      <c r="A244" s="575"/>
      <c r="B244" s="692"/>
      <c r="C244" s="709"/>
      <c r="D244" s="709"/>
      <c r="E244" s="692"/>
      <c r="F244" s="710"/>
      <c r="G244" s="575"/>
      <c r="H244" s="575"/>
      <c r="I244" s="575"/>
      <c r="J244" s="575"/>
      <c r="K244" s="575"/>
      <c r="L244" s="575"/>
      <c r="M244" s="575"/>
      <c r="N244" s="575"/>
      <c r="O244" s="575"/>
      <c r="P244" s="575"/>
      <c r="Q244" s="575"/>
      <c r="R244" s="575"/>
      <c r="S244" s="575"/>
      <c r="T244" s="575"/>
      <c r="U244" s="575"/>
      <c r="V244" s="575"/>
      <c r="W244" s="575"/>
      <c r="X244" s="575"/>
      <c r="Y244" s="575"/>
      <c r="Z244" s="575"/>
      <c r="AA244" s="575"/>
    </row>
    <row r="245">
      <c r="A245" s="575"/>
      <c r="B245" s="692"/>
      <c r="C245" s="709"/>
      <c r="D245" s="709"/>
      <c r="E245" s="692"/>
      <c r="F245" s="710"/>
      <c r="G245" s="575"/>
      <c r="H245" s="575"/>
      <c r="I245" s="575"/>
      <c r="J245" s="575"/>
      <c r="K245" s="575"/>
      <c r="L245" s="575"/>
      <c r="M245" s="575"/>
      <c r="N245" s="575"/>
      <c r="O245" s="575"/>
      <c r="P245" s="575"/>
      <c r="Q245" s="575"/>
      <c r="R245" s="575"/>
      <c r="S245" s="575"/>
      <c r="T245" s="575"/>
      <c r="U245" s="575"/>
      <c r="V245" s="575"/>
      <c r="W245" s="575"/>
      <c r="X245" s="575"/>
      <c r="Y245" s="575"/>
      <c r="Z245" s="575"/>
      <c r="AA245" s="575"/>
    </row>
    <row r="246">
      <c r="A246" s="575"/>
      <c r="B246" s="692"/>
      <c r="C246" s="709"/>
      <c r="D246" s="709"/>
      <c r="E246" s="692"/>
      <c r="F246" s="710"/>
      <c r="G246" s="575"/>
      <c r="H246" s="575"/>
      <c r="I246" s="575"/>
      <c r="J246" s="575"/>
      <c r="K246" s="575"/>
      <c r="L246" s="575"/>
      <c r="M246" s="575"/>
      <c r="N246" s="575"/>
      <c r="O246" s="575"/>
      <c r="P246" s="575"/>
      <c r="Q246" s="575"/>
      <c r="R246" s="575"/>
      <c r="S246" s="575"/>
      <c r="T246" s="575"/>
      <c r="U246" s="575"/>
      <c r="V246" s="575"/>
      <c r="W246" s="575"/>
      <c r="X246" s="575"/>
      <c r="Y246" s="575"/>
      <c r="Z246" s="575"/>
      <c r="AA246" s="575"/>
    </row>
    <row r="247">
      <c r="A247" s="575"/>
      <c r="B247" s="692"/>
      <c r="C247" s="709"/>
      <c r="D247" s="709"/>
      <c r="E247" s="692"/>
      <c r="F247" s="710"/>
      <c r="G247" s="575"/>
      <c r="H247" s="575"/>
      <c r="I247" s="575"/>
      <c r="J247" s="575"/>
      <c r="K247" s="575"/>
      <c r="L247" s="575"/>
      <c r="M247" s="575"/>
      <c r="N247" s="575"/>
      <c r="O247" s="575"/>
      <c r="P247" s="575"/>
      <c r="Q247" s="575"/>
      <c r="R247" s="575"/>
      <c r="S247" s="575"/>
      <c r="T247" s="575"/>
      <c r="U247" s="575"/>
      <c r="V247" s="575"/>
      <c r="W247" s="575"/>
      <c r="X247" s="575"/>
      <c r="Y247" s="575"/>
      <c r="Z247" s="575"/>
      <c r="AA247" s="575"/>
    </row>
    <row r="248">
      <c r="A248" s="575"/>
      <c r="B248" s="692"/>
      <c r="C248" s="709"/>
      <c r="D248" s="709"/>
      <c r="E248" s="692"/>
      <c r="F248" s="710"/>
      <c r="G248" s="575"/>
      <c r="H248" s="575"/>
      <c r="I248" s="575"/>
      <c r="J248" s="575"/>
      <c r="K248" s="575"/>
      <c r="L248" s="575"/>
      <c r="M248" s="575"/>
      <c r="N248" s="575"/>
      <c r="O248" s="575"/>
      <c r="P248" s="575"/>
      <c r="Q248" s="575"/>
      <c r="R248" s="575"/>
      <c r="S248" s="575"/>
      <c r="T248" s="575"/>
      <c r="U248" s="575"/>
      <c r="V248" s="575"/>
      <c r="W248" s="575"/>
      <c r="X248" s="575"/>
      <c r="Y248" s="575"/>
      <c r="Z248" s="575"/>
      <c r="AA248" s="575"/>
    </row>
    <row r="249">
      <c r="A249" s="575"/>
      <c r="B249" s="692"/>
      <c r="C249" s="709"/>
      <c r="D249" s="709"/>
      <c r="E249" s="692"/>
      <c r="F249" s="710"/>
      <c r="G249" s="575"/>
      <c r="H249" s="575"/>
      <c r="I249" s="575"/>
      <c r="J249" s="575"/>
      <c r="K249" s="575"/>
      <c r="L249" s="575"/>
      <c r="M249" s="575"/>
      <c r="N249" s="575"/>
      <c r="O249" s="575"/>
      <c r="P249" s="575"/>
      <c r="Q249" s="575"/>
      <c r="R249" s="575"/>
      <c r="S249" s="575"/>
      <c r="T249" s="575"/>
      <c r="U249" s="575"/>
      <c r="V249" s="575"/>
      <c r="W249" s="575"/>
      <c r="X249" s="575"/>
      <c r="Y249" s="575"/>
      <c r="Z249" s="575"/>
      <c r="AA249" s="575"/>
    </row>
    <row r="250">
      <c r="A250" s="575"/>
      <c r="B250" s="692"/>
      <c r="C250" s="709"/>
      <c r="D250" s="709"/>
      <c r="E250" s="692"/>
      <c r="F250" s="710"/>
      <c r="G250" s="575"/>
      <c r="H250" s="575"/>
      <c r="I250" s="575"/>
      <c r="J250" s="575"/>
      <c r="K250" s="575"/>
      <c r="L250" s="575"/>
      <c r="M250" s="575"/>
      <c r="N250" s="575"/>
      <c r="O250" s="575"/>
      <c r="P250" s="575"/>
      <c r="Q250" s="575"/>
      <c r="R250" s="575"/>
      <c r="S250" s="575"/>
      <c r="T250" s="575"/>
      <c r="U250" s="575"/>
      <c r="V250" s="575"/>
      <c r="W250" s="575"/>
      <c r="X250" s="575"/>
      <c r="Y250" s="575"/>
      <c r="Z250" s="575"/>
      <c r="AA250" s="575"/>
    </row>
    <row r="251">
      <c r="A251" s="575"/>
      <c r="B251" s="692"/>
      <c r="C251" s="709"/>
      <c r="D251" s="709"/>
      <c r="E251" s="692"/>
      <c r="F251" s="710"/>
      <c r="G251" s="575"/>
      <c r="H251" s="575"/>
      <c r="I251" s="575"/>
      <c r="J251" s="575"/>
      <c r="K251" s="575"/>
      <c r="L251" s="575"/>
      <c r="M251" s="575"/>
      <c r="N251" s="575"/>
      <c r="O251" s="575"/>
      <c r="P251" s="575"/>
      <c r="Q251" s="575"/>
      <c r="R251" s="575"/>
      <c r="S251" s="575"/>
      <c r="T251" s="575"/>
      <c r="U251" s="575"/>
      <c r="V251" s="575"/>
      <c r="W251" s="575"/>
      <c r="X251" s="575"/>
      <c r="Y251" s="575"/>
      <c r="Z251" s="575"/>
      <c r="AA251" s="575"/>
    </row>
    <row r="252">
      <c r="A252" s="575"/>
      <c r="B252" s="692"/>
      <c r="C252" s="709"/>
      <c r="D252" s="709"/>
      <c r="E252" s="692"/>
      <c r="F252" s="710"/>
      <c r="G252" s="575"/>
      <c r="H252" s="575"/>
      <c r="I252" s="575"/>
      <c r="J252" s="575"/>
      <c r="K252" s="575"/>
      <c r="L252" s="575"/>
      <c r="M252" s="575"/>
      <c r="N252" s="575"/>
      <c r="O252" s="575"/>
      <c r="P252" s="575"/>
      <c r="Q252" s="575"/>
      <c r="R252" s="575"/>
      <c r="S252" s="575"/>
      <c r="T252" s="575"/>
      <c r="U252" s="575"/>
      <c r="V252" s="575"/>
      <c r="W252" s="575"/>
      <c r="X252" s="575"/>
      <c r="Y252" s="575"/>
      <c r="Z252" s="575"/>
      <c r="AA252" s="575"/>
    </row>
    <row r="253">
      <c r="A253" s="575"/>
      <c r="B253" s="692"/>
      <c r="C253" s="709"/>
      <c r="D253" s="709"/>
      <c r="E253" s="692"/>
      <c r="F253" s="710"/>
      <c r="G253" s="575"/>
      <c r="H253" s="575"/>
      <c r="I253" s="575"/>
      <c r="J253" s="575"/>
      <c r="K253" s="575"/>
      <c r="L253" s="575"/>
      <c r="M253" s="575"/>
      <c r="N253" s="575"/>
      <c r="O253" s="575"/>
      <c r="P253" s="575"/>
      <c r="Q253" s="575"/>
      <c r="R253" s="575"/>
      <c r="S253" s="575"/>
      <c r="T253" s="575"/>
      <c r="U253" s="575"/>
      <c r="V253" s="575"/>
      <c r="W253" s="575"/>
      <c r="X253" s="575"/>
      <c r="Y253" s="575"/>
      <c r="Z253" s="575"/>
      <c r="AA253" s="575"/>
    </row>
    <row r="254">
      <c r="A254" s="575"/>
      <c r="B254" s="692"/>
      <c r="C254" s="709"/>
      <c r="D254" s="709"/>
      <c r="E254" s="692"/>
      <c r="F254" s="710"/>
      <c r="G254" s="575"/>
      <c r="H254" s="575"/>
      <c r="I254" s="575"/>
      <c r="J254" s="575"/>
      <c r="K254" s="575"/>
      <c r="L254" s="575"/>
      <c r="M254" s="575"/>
      <c r="N254" s="575"/>
      <c r="O254" s="575"/>
      <c r="P254" s="575"/>
      <c r="Q254" s="575"/>
      <c r="R254" s="575"/>
      <c r="S254" s="575"/>
      <c r="T254" s="575"/>
      <c r="U254" s="575"/>
      <c r="V254" s="575"/>
      <c r="W254" s="575"/>
      <c r="X254" s="575"/>
      <c r="Y254" s="575"/>
      <c r="Z254" s="575"/>
      <c r="AA254" s="575"/>
    </row>
    <row r="255">
      <c r="A255" s="575"/>
      <c r="B255" s="692"/>
      <c r="C255" s="709"/>
      <c r="D255" s="709"/>
      <c r="E255" s="692"/>
      <c r="F255" s="710"/>
      <c r="G255" s="575"/>
      <c r="H255" s="575"/>
      <c r="I255" s="575"/>
      <c r="J255" s="575"/>
      <c r="K255" s="575"/>
      <c r="L255" s="575"/>
      <c r="M255" s="575"/>
      <c r="N255" s="575"/>
      <c r="O255" s="575"/>
      <c r="P255" s="575"/>
      <c r="Q255" s="575"/>
      <c r="R255" s="575"/>
      <c r="S255" s="575"/>
      <c r="T255" s="575"/>
      <c r="U255" s="575"/>
      <c r="V255" s="575"/>
      <c r="W255" s="575"/>
      <c r="X255" s="575"/>
      <c r="Y255" s="575"/>
      <c r="Z255" s="575"/>
      <c r="AA255" s="575"/>
    </row>
    <row r="256">
      <c r="A256" s="575"/>
      <c r="B256" s="692"/>
      <c r="C256" s="709"/>
      <c r="D256" s="709"/>
      <c r="E256" s="692"/>
      <c r="F256" s="710"/>
      <c r="G256" s="575"/>
      <c r="H256" s="575"/>
      <c r="I256" s="575"/>
      <c r="J256" s="575"/>
      <c r="K256" s="575"/>
      <c r="L256" s="575"/>
      <c r="M256" s="575"/>
      <c r="N256" s="575"/>
      <c r="O256" s="575"/>
      <c r="P256" s="575"/>
      <c r="Q256" s="575"/>
      <c r="R256" s="575"/>
      <c r="S256" s="575"/>
      <c r="T256" s="575"/>
      <c r="U256" s="575"/>
      <c r="V256" s="575"/>
      <c r="W256" s="575"/>
      <c r="X256" s="575"/>
      <c r="Y256" s="575"/>
      <c r="Z256" s="575"/>
      <c r="AA256" s="575"/>
    </row>
    <row r="257">
      <c r="A257" s="575"/>
      <c r="B257" s="692"/>
      <c r="C257" s="709"/>
      <c r="D257" s="709"/>
      <c r="E257" s="692"/>
      <c r="F257" s="710"/>
      <c r="G257" s="575"/>
      <c r="H257" s="575"/>
      <c r="I257" s="575"/>
      <c r="J257" s="575"/>
      <c r="K257" s="575"/>
      <c r="L257" s="575"/>
      <c r="M257" s="575"/>
      <c r="N257" s="575"/>
      <c r="O257" s="575"/>
      <c r="P257" s="575"/>
      <c r="Q257" s="575"/>
      <c r="R257" s="575"/>
      <c r="S257" s="575"/>
      <c r="T257" s="575"/>
      <c r="U257" s="575"/>
      <c r="V257" s="575"/>
      <c r="W257" s="575"/>
      <c r="X257" s="575"/>
      <c r="Y257" s="575"/>
      <c r="Z257" s="575"/>
      <c r="AA257" s="575"/>
    </row>
    <row r="258">
      <c r="A258" s="575"/>
      <c r="B258" s="692"/>
      <c r="C258" s="709"/>
      <c r="D258" s="709"/>
      <c r="E258" s="692"/>
      <c r="F258" s="710"/>
      <c r="G258" s="575"/>
      <c r="H258" s="575"/>
      <c r="I258" s="575"/>
      <c r="J258" s="575"/>
      <c r="K258" s="575"/>
      <c r="L258" s="575"/>
      <c r="M258" s="575"/>
      <c r="N258" s="575"/>
      <c r="O258" s="575"/>
      <c r="P258" s="575"/>
      <c r="Q258" s="575"/>
      <c r="R258" s="575"/>
      <c r="S258" s="575"/>
      <c r="T258" s="575"/>
      <c r="U258" s="575"/>
      <c r="V258" s="575"/>
      <c r="W258" s="575"/>
      <c r="X258" s="575"/>
      <c r="Y258" s="575"/>
      <c r="Z258" s="575"/>
      <c r="AA258" s="575"/>
    </row>
    <row r="259">
      <c r="A259" s="575"/>
      <c r="B259" s="692"/>
      <c r="C259" s="709"/>
      <c r="D259" s="709"/>
      <c r="E259" s="692"/>
      <c r="F259" s="710"/>
      <c r="G259" s="575"/>
      <c r="H259" s="575"/>
      <c r="I259" s="575"/>
      <c r="J259" s="575"/>
      <c r="K259" s="575"/>
      <c r="L259" s="575"/>
      <c r="M259" s="575"/>
      <c r="N259" s="575"/>
      <c r="O259" s="575"/>
      <c r="P259" s="575"/>
      <c r="Q259" s="575"/>
      <c r="R259" s="575"/>
      <c r="S259" s="575"/>
      <c r="T259" s="575"/>
      <c r="U259" s="575"/>
      <c r="V259" s="575"/>
      <c r="W259" s="575"/>
      <c r="X259" s="575"/>
      <c r="Y259" s="575"/>
      <c r="Z259" s="575"/>
      <c r="AA259" s="575"/>
    </row>
    <row r="260">
      <c r="A260" s="575"/>
      <c r="B260" s="692"/>
      <c r="C260" s="709"/>
      <c r="D260" s="709"/>
      <c r="E260" s="692"/>
      <c r="F260" s="710"/>
      <c r="G260" s="575"/>
      <c r="H260" s="575"/>
      <c r="I260" s="575"/>
      <c r="J260" s="575"/>
      <c r="K260" s="575"/>
      <c r="L260" s="575"/>
      <c r="M260" s="575"/>
      <c r="N260" s="575"/>
      <c r="O260" s="575"/>
      <c r="P260" s="575"/>
      <c r="Q260" s="575"/>
      <c r="R260" s="575"/>
      <c r="S260" s="575"/>
      <c r="T260" s="575"/>
      <c r="U260" s="575"/>
      <c r="V260" s="575"/>
      <c r="W260" s="575"/>
      <c r="X260" s="575"/>
      <c r="Y260" s="575"/>
      <c r="Z260" s="575"/>
      <c r="AA260" s="575"/>
    </row>
    <row r="261">
      <c r="A261" s="575"/>
      <c r="B261" s="692"/>
      <c r="C261" s="709"/>
      <c r="D261" s="709"/>
      <c r="E261" s="692"/>
      <c r="F261" s="710"/>
      <c r="G261" s="575"/>
      <c r="H261" s="575"/>
      <c r="I261" s="575"/>
      <c r="J261" s="575"/>
      <c r="K261" s="575"/>
      <c r="L261" s="575"/>
      <c r="M261" s="575"/>
      <c r="N261" s="575"/>
      <c r="O261" s="575"/>
      <c r="P261" s="575"/>
      <c r="Q261" s="575"/>
      <c r="R261" s="575"/>
      <c r="S261" s="575"/>
      <c r="T261" s="575"/>
      <c r="U261" s="575"/>
      <c r="V261" s="575"/>
      <c r="W261" s="575"/>
      <c r="X261" s="575"/>
      <c r="Y261" s="575"/>
      <c r="Z261" s="575"/>
      <c r="AA261" s="575"/>
    </row>
    <row r="262">
      <c r="A262" s="575"/>
      <c r="B262" s="692"/>
      <c r="C262" s="709"/>
      <c r="D262" s="709"/>
      <c r="E262" s="692"/>
      <c r="F262" s="710"/>
      <c r="G262" s="575"/>
      <c r="H262" s="575"/>
      <c r="I262" s="575"/>
      <c r="J262" s="575"/>
      <c r="K262" s="575"/>
      <c r="L262" s="575"/>
      <c r="M262" s="575"/>
      <c r="N262" s="575"/>
      <c r="O262" s="575"/>
      <c r="P262" s="575"/>
      <c r="Q262" s="575"/>
      <c r="R262" s="575"/>
      <c r="S262" s="575"/>
      <c r="T262" s="575"/>
      <c r="U262" s="575"/>
      <c r="V262" s="575"/>
      <c r="W262" s="575"/>
      <c r="X262" s="575"/>
      <c r="Y262" s="575"/>
      <c r="Z262" s="575"/>
      <c r="AA262" s="575"/>
    </row>
    <row r="263">
      <c r="A263" s="575"/>
      <c r="B263" s="692"/>
      <c r="C263" s="709"/>
      <c r="D263" s="709"/>
      <c r="E263" s="692"/>
      <c r="F263" s="710"/>
      <c r="G263" s="575"/>
      <c r="H263" s="575"/>
      <c r="I263" s="575"/>
      <c r="J263" s="575"/>
      <c r="K263" s="575"/>
      <c r="L263" s="575"/>
      <c r="M263" s="575"/>
      <c r="N263" s="575"/>
      <c r="O263" s="575"/>
      <c r="P263" s="575"/>
      <c r="Q263" s="575"/>
      <c r="R263" s="575"/>
      <c r="S263" s="575"/>
      <c r="T263" s="575"/>
      <c r="U263" s="575"/>
      <c r="V263" s="575"/>
      <c r="W263" s="575"/>
      <c r="X263" s="575"/>
      <c r="Y263" s="575"/>
      <c r="Z263" s="575"/>
      <c r="AA263" s="575"/>
    </row>
    <row r="264">
      <c r="A264" s="575"/>
      <c r="B264" s="692"/>
      <c r="C264" s="709"/>
      <c r="D264" s="709"/>
      <c r="E264" s="692"/>
      <c r="F264" s="710"/>
      <c r="G264" s="575"/>
      <c r="H264" s="575"/>
      <c r="I264" s="575"/>
      <c r="J264" s="575"/>
      <c r="K264" s="575"/>
      <c r="L264" s="575"/>
      <c r="M264" s="575"/>
      <c r="N264" s="575"/>
      <c r="O264" s="575"/>
      <c r="P264" s="575"/>
      <c r="Q264" s="575"/>
      <c r="R264" s="575"/>
      <c r="S264" s="575"/>
      <c r="T264" s="575"/>
      <c r="U264" s="575"/>
      <c r="V264" s="575"/>
      <c r="W264" s="575"/>
      <c r="X264" s="575"/>
      <c r="Y264" s="575"/>
      <c r="Z264" s="575"/>
      <c r="AA264" s="575"/>
    </row>
    <row r="265">
      <c r="A265" s="575"/>
      <c r="B265" s="692"/>
      <c r="C265" s="709"/>
      <c r="D265" s="709"/>
      <c r="E265" s="692"/>
      <c r="F265" s="710"/>
      <c r="G265" s="575"/>
      <c r="H265" s="575"/>
      <c r="I265" s="575"/>
      <c r="J265" s="575"/>
      <c r="K265" s="575"/>
      <c r="L265" s="575"/>
      <c r="M265" s="575"/>
      <c r="N265" s="575"/>
      <c r="O265" s="575"/>
      <c r="P265" s="575"/>
      <c r="Q265" s="575"/>
      <c r="R265" s="575"/>
      <c r="S265" s="575"/>
      <c r="T265" s="575"/>
      <c r="U265" s="575"/>
      <c r="V265" s="575"/>
      <c r="W265" s="575"/>
      <c r="X265" s="575"/>
      <c r="Y265" s="575"/>
      <c r="Z265" s="575"/>
      <c r="AA265" s="575"/>
    </row>
    <row r="266">
      <c r="A266" s="575"/>
      <c r="B266" s="692"/>
      <c r="C266" s="709"/>
      <c r="D266" s="709"/>
      <c r="E266" s="692"/>
      <c r="F266" s="710"/>
      <c r="G266" s="575"/>
      <c r="H266" s="575"/>
      <c r="I266" s="575"/>
      <c r="J266" s="575"/>
      <c r="K266" s="575"/>
      <c r="L266" s="575"/>
      <c r="M266" s="575"/>
      <c r="N266" s="575"/>
      <c r="O266" s="575"/>
      <c r="P266" s="575"/>
      <c r="Q266" s="575"/>
      <c r="R266" s="575"/>
      <c r="S266" s="575"/>
      <c r="T266" s="575"/>
      <c r="U266" s="575"/>
      <c r="V266" s="575"/>
      <c r="W266" s="575"/>
      <c r="X266" s="575"/>
      <c r="Y266" s="575"/>
      <c r="Z266" s="575"/>
      <c r="AA266" s="575"/>
    </row>
    <row r="267">
      <c r="A267" s="575"/>
      <c r="B267" s="692"/>
      <c r="C267" s="709"/>
      <c r="D267" s="709"/>
      <c r="E267" s="692"/>
      <c r="F267" s="710"/>
      <c r="G267" s="575"/>
      <c r="H267" s="575"/>
      <c r="I267" s="575"/>
      <c r="J267" s="575"/>
      <c r="K267" s="575"/>
      <c r="L267" s="575"/>
      <c r="M267" s="575"/>
      <c r="N267" s="575"/>
      <c r="O267" s="575"/>
      <c r="P267" s="575"/>
      <c r="Q267" s="575"/>
      <c r="R267" s="575"/>
      <c r="S267" s="575"/>
      <c r="T267" s="575"/>
      <c r="U267" s="575"/>
      <c r="V267" s="575"/>
      <c r="W267" s="575"/>
      <c r="X267" s="575"/>
      <c r="Y267" s="575"/>
      <c r="Z267" s="575"/>
      <c r="AA267" s="575"/>
    </row>
    <row r="268">
      <c r="A268" s="575"/>
      <c r="B268" s="692"/>
      <c r="C268" s="709"/>
      <c r="D268" s="709"/>
      <c r="E268" s="692"/>
      <c r="F268" s="710"/>
      <c r="G268" s="575"/>
      <c r="H268" s="575"/>
      <c r="I268" s="575"/>
      <c r="J268" s="575"/>
      <c r="K268" s="575"/>
      <c r="L268" s="575"/>
      <c r="M268" s="575"/>
      <c r="N268" s="575"/>
      <c r="O268" s="575"/>
      <c r="P268" s="575"/>
      <c r="Q268" s="575"/>
      <c r="R268" s="575"/>
      <c r="S268" s="575"/>
      <c r="T268" s="575"/>
      <c r="U268" s="575"/>
      <c r="V268" s="575"/>
      <c r="W268" s="575"/>
      <c r="X268" s="575"/>
      <c r="Y268" s="575"/>
      <c r="Z268" s="575"/>
      <c r="AA268" s="575"/>
    </row>
    <row r="269">
      <c r="A269" s="575"/>
      <c r="B269" s="692"/>
      <c r="C269" s="709"/>
      <c r="D269" s="709"/>
      <c r="E269" s="692"/>
      <c r="F269" s="710"/>
      <c r="G269" s="575"/>
      <c r="H269" s="575"/>
      <c r="I269" s="575"/>
      <c r="J269" s="575"/>
      <c r="K269" s="575"/>
      <c r="L269" s="575"/>
      <c r="M269" s="575"/>
      <c r="N269" s="575"/>
      <c r="O269" s="575"/>
      <c r="P269" s="575"/>
      <c r="Q269" s="575"/>
      <c r="R269" s="575"/>
      <c r="S269" s="575"/>
      <c r="T269" s="575"/>
      <c r="U269" s="575"/>
      <c r="V269" s="575"/>
      <c r="W269" s="575"/>
      <c r="X269" s="575"/>
      <c r="Y269" s="575"/>
      <c r="Z269" s="575"/>
      <c r="AA269" s="575"/>
    </row>
    <row r="270">
      <c r="A270" s="575"/>
      <c r="B270" s="692"/>
      <c r="C270" s="709"/>
      <c r="D270" s="709"/>
      <c r="E270" s="692"/>
      <c r="F270" s="710"/>
      <c r="G270" s="575"/>
      <c r="H270" s="575"/>
      <c r="I270" s="575"/>
      <c r="J270" s="575"/>
      <c r="K270" s="575"/>
      <c r="L270" s="575"/>
      <c r="M270" s="575"/>
      <c r="N270" s="575"/>
      <c r="O270" s="575"/>
      <c r="P270" s="575"/>
      <c r="Q270" s="575"/>
      <c r="R270" s="575"/>
      <c r="S270" s="575"/>
      <c r="T270" s="575"/>
      <c r="U270" s="575"/>
      <c r="V270" s="575"/>
      <c r="W270" s="575"/>
      <c r="X270" s="575"/>
      <c r="Y270" s="575"/>
      <c r="Z270" s="575"/>
      <c r="AA270" s="575"/>
    </row>
    <row r="271">
      <c r="A271" s="575"/>
      <c r="B271" s="692"/>
      <c r="C271" s="709"/>
      <c r="D271" s="709"/>
      <c r="E271" s="692"/>
      <c r="F271" s="710"/>
      <c r="G271" s="575"/>
      <c r="H271" s="575"/>
      <c r="I271" s="575"/>
      <c r="J271" s="575"/>
      <c r="K271" s="575"/>
      <c r="L271" s="575"/>
      <c r="M271" s="575"/>
      <c r="N271" s="575"/>
      <c r="O271" s="575"/>
      <c r="P271" s="575"/>
      <c r="Q271" s="575"/>
      <c r="R271" s="575"/>
      <c r="S271" s="575"/>
      <c r="T271" s="575"/>
      <c r="U271" s="575"/>
      <c r="V271" s="575"/>
      <c r="W271" s="575"/>
      <c r="X271" s="575"/>
      <c r="Y271" s="575"/>
      <c r="Z271" s="575"/>
      <c r="AA271" s="575"/>
    </row>
    <row r="272">
      <c r="A272" s="575"/>
      <c r="B272" s="692"/>
      <c r="C272" s="709"/>
      <c r="D272" s="709"/>
      <c r="E272" s="692"/>
      <c r="F272" s="710"/>
      <c r="G272" s="575"/>
      <c r="H272" s="575"/>
      <c r="I272" s="575"/>
      <c r="J272" s="575"/>
      <c r="K272" s="575"/>
      <c r="L272" s="575"/>
      <c r="M272" s="575"/>
      <c r="N272" s="575"/>
      <c r="O272" s="575"/>
      <c r="P272" s="575"/>
      <c r="Q272" s="575"/>
      <c r="R272" s="575"/>
      <c r="S272" s="575"/>
      <c r="T272" s="575"/>
      <c r="U272" s="575"/>
      <c r="V272" s="575"/>
      <c r="W272" s="575"/>
      <c r="X272" s="575"/>
      <c r="Y272" s="575"/>
      <c r="Z272" s="575"/>
      <c r="AA272" s="575"/>
    </row>
    <row r="273">
      <c r="A273" s="575"/>
      <c r="B273" s="692"/>
      <c r="C273" s="709"/>
      <c r="D273" s="709"/>
      <c r="E273" s="692"/>
      <c r="F273" s="710"/>
      <c r="G273" s="575"/>
      <c r="H273" s="575"/>
      <c r="I273" s="575"/>
      <c r="J273" s="575"/>
      <c r="K273" s="575"/>
      <c r="L273" s="575"/>
      <c r="M273" s="575"/>
      <c r="N273" s="575"/>
      <c r="O273" s="575"/>
      <c r="P273" s="575"/>
      <c r="Q273" s="575"/>
      <c r="R273" s="575"/>
      <c r="S273" s="575"/>
      <c r="T273" s="575"/>
      <c r="U273" s="575"/>
      <c r="V273" s="575"/>
      <c r="W273" s="575"/>
      <c r="X273" s="575"/>
      <c r="Y273" s="575"/>
      <c r="Z273" s="575"/>
      <c r="AA273" s="575"/>
    </row>
    <row r="274">
      <c r="A274" s="575"/>
      <c r="B274" s="692"/>
      <c r="C274" s="709"/>
      <c r="D274" s="709"/>
      <c r="E274" s="692"/>
      <c r="F274" s="710"/>
      <c r="G274" s="575"/>
      <c r="H274" s="575"/>
      <c r="I274" s="575"/>
      <c r="J274" s="575"/>
      <c r="K274" s="575"/>
      <c r="L274" s="575"/>
      <c r="M274" s="575"/>
      <c r="N274" s="575"/>
      <c r="O274" s="575"/>
      <c r="P274" s="575"/>
      <c r="Q274" s="575"/>
      <c r="R274" s="575"/>
      <c r="S274" s="575"/>
      <c r="T274" s="575"/>
      <c r="U274" s="575"/>
      <c r="V274" s="575"/>
      <c r="W274" s="575"/>
      <c r="X274" s="575"/>
      <c r="Y274" s="575"/>
      <c r="Z274" s="575"/>
      <c r="AA274" s="575"/>
    </row>
    <row r="275">
      <c r="A275" s="575"/>
      <c r="B275" s="692"/>
      <c r="C275" s="709"/>
      <c r="D275" s="709"/>
      <c r="E275" s="692"/>
      <c r="F275" s="710"/>
      <c r="G275" s="575"/>
      <c r="H275" s="575"/>
      <c r="I275" s="575"/>
      <c r="J275" s="575"/>
      <c r="K275" s="575"/>
      <c r="L275" s="575"/>
      <c r="M275" s="575"/>
      <c r="N275" s="575"/>
      <c r="O275" s="575"/>
      <c r="P275" s="575"/>
      <c r="Q275" s="575"/>
      <c r="R275" s="575"/>
      <c r="S275" s="575"/>
      <c r="T275" s="575"/>
      <c r="U275" s="575"/>
      <c r="V275" s="575"/>
      <c r="W275" s="575"/>
      <c r="X275" s="575"/>
      <c r="Y275" s="575"/>
      <c r="Z275" s="575"/>
      <c r="AA275" s="575"/>
    </row>
    <row r="276">
      <c r="A276" s="575"/>
      <c r="B276" s="692"/>
      <c r="C276" s="709"/>
      <c r="D276" s="709"/>
      <c r="E276" s="692"/>
      <c r="F276" s="710"/>
      <c r="G276" s="575"/>
      <c r="H276" s="575"/>
      <c r="I276" s="575"/>
      <c r="J276" s="575"/>
      <c r="K276" s="575"/>
      <c r="L276" s="575"/>
      <c r="M276" s="575"/>
      <c r="N276" s="575"/>
      <c r="O276" s="575"/>
      <c r="P276" s="575"/>
      <c r="Q276" s="575"/>
      <c r="R276" s="575"/>
      <c r="S276" s="575"/>
      <c r="T276" s="575"/>
      <c r="U276" s="575"/>
      <c r="V276" s="575"/>
      <c r="W276" s="575"/>
      <c r="X276" s="575"/>
      <c r="Y276" s="575"/>
      <c r="Z276" s="575"/>
      <c r="AA276" s="575"/>
    </row>
    <row r="277">
      <c r="A277" s="575"/>
      <c r="B277" s="692"/>
      <c r="C277" s="709"/>
      <c r="D277" s="709"/>
      <c r="E277" s="692"/>
      <c r="F277" s="710"/>
      <c r="G277" s="575"/>
      <c r="H277" s="575"/>
      <c r="I277" s="575"/>
      <c r="J277" s="575"/>
      <c r="K277" s="575"/>
      <c r="L277" s="575"/>
      <c r="M277" s="575"/>
      <c r="N277" s="575"/>
      <c r="O277" s="575"/>
      <c r="P277" s="575"/>
      <c r="Q277" s="575"/>
      <c r="R277" s="575"/>
      <c r="S277" s="575"/>
      <c r="T277" s="575"/>
      <c r="U277" s="575"/>
      <c r="V277" s="575"/>
      <c r="W277" s="575"/>
      <c r="X277" s="575"/>
      <c r="Y277" s="575"/>
      <c r="Z277" s="575"/>
      <c r="AA277" s="575"/>
    </row>
    <row r="278">
      <c r="A278" s="575"/>
      <c r="B278" s="692"/>
      <c r="C278" s="709"/>
      <c r="D278" s="709"/>
      <c r="E278" s="692"/>
      <c r="F278" s="710"/>
      <c r="G278" s="575"/>
      <c r="H278" s="575"/>
      <c r="I278" s="575"/>
      <c r="J278" s="575"/>
      <c r="K278" s="575"/>
      <c r="L278" s="575"/>
      <c r="M278" s="575"/>
      <c r="N278" s="575"/>
      <c r="O278" s="575"/>
      <c r="P278" s="575"/>
      <c r="Q278" s="575"/>
      <c r="R278" s="575"/>
      <c r="S278" s="575"/>
      <c r="T278" s="575"/>
      <c r="U278" s="575"/>
      <c r="V278" s="575"/>
      <c r="W278" s="575"/>
      <c r="X278" s="575"/>
      <c r="Y278" s="575"/>
      <c r="Z278" s="575"/>
      <c r="AA278" s="575"/>
    </row>
    <row r="279">
      <c r="A279" s="575"/>
      <c r="B279" s="692"/>
      <c r="C279" s="709"/>
      <c r="D279" s="709"/>
      <c r="E279" s="692"/>
      <c r="F279" s="710"/>
      <c r="G279" s="575"/>
      <c r="H279" s="575"/>
      <c r="I279" s="575"/>
      <c r="J279" s="575"/>
      <c r="K279" s="575"/>
      <c r="L279" s="575"/>
      <c r="M279" s="575"/>
      <c r="N279" s="575"/>
      <c r="O279" s="575"/>
      <c r="P279" s="575"/>
      <c r="Q279" s="575"/>
      <c r="R279" s="575"/>
      <c r="S279" s="575"/>
      <c r="T279" s="575"/>
      <c r="U279" s="575"/>
      <c r="V279" s="575"/>
      <c r="W279" s="575"/>
      <c r="X279" s="575"/>
      <c r="Y279" s="575"/>
      <c r="Z279" s="575"/>
      <c r="AA279" s="575"/>
    </row>
    <row r="280">
      <c r="A280" s="575"/>
      <c r="B280" s="692"/>
      <c r="C280" s="709"/>
      <c r="D280" s="709"/>
      <c r="E280" s="692"/>
      <c r="F280" s="710"/>
      <c r="G280" s="575"/>
      <c r="H280" s="575"/>
      <c r="I280" s="575"/>
      <c r="J280" s="575"/>
      <c r="K280" s="575"/>
      <c r="L280" s="575"/>
      <c r="M280" s="575"/>
      <c r="N280" s="575"/>
      <c r="O280" s="575"/>
      <c r="P280" s="575"/>
      <c r="Q280" s="575"/>
      <c r="R280" s="575"/>
      <c r="S280" s="575"/>
      <c r="T280" s="575"/>
      <c r="U280" s="575"/>
      <c r="V280" s="575"/>
      <c r="W280" s="575"/>
      <c r="X280" s="575"/>
      <c r="Y280" s="575"/>
      <c r="Z280" s="575"/>
      <c r="AA280" s="575"/>
    </row>
    <row r="281">
      <c r="A281" s="575"/>
      <c r="B281" s="692"/>
      <c r="C281" s="709"/>
      <c r="D281" s="709"/>
      <c r="E281" s="692"/>
      <c r="F281" s="710"/>
      <c r="G281" s="575"/>
      <c r="H281" s="575"/>
      <c r="I281" s="575"/>
      <c r="J281" s="575"/>
      <c r="K281" s="575"/>
      <c r="L281" s="575"/>
      <c r="M281" s="575"/>
      <c r="N281" s="575"/>
      <c r="O281" s="575"/>
      <c r="P281" s="575"/>
      <c r="Q281" s="575"/>
      <c r="R281" s="575"/>
      <c r="S281" s="575"/>
      <c r="T281" s="575"/>
      <c r="U281" s="575"/>
      <c r="V281" s="575"/>
      <c r="W281" s="575"/>
      <c r="X281" s="575"/>
      <c r="Y281" s="575"/>
      <c r="Z281" s="575"/>
      <c r="AA281" s="575"/>
    </row>
    <row r="282">
      <c r="A282" s="575"/>
      <c r="B282" s="692"/>
      <c r="C282" s="709"/>
      <c r="D282" s="709"/>
      <c r="E282" s="692"/>
      <c r="F282" s="710"/>
      <c r="G282" s="575"/>
      <c r="H282" s="575"/>
      <c r="I282" s="575"/>
      <c r="J282" s="575"/>
      <c r="K282" s="575"/>
      <c r="L282" s="575"/>
      <c r="M282" s="575"/>
      <c r="N282" s="575"/>
      <c r="O282" s="575"/>
      <c r="P282" s="575"/>
      <c r="Q282" s="575"/>
      <c r="R282" s="575"/>
      <c r="S282" s="575"/>
      <c r="T282" s="575"/>
      <c r="U282" s="575"/>
      <c r="V282" s="575"/>
      <c r="W282" s="575"/>
      <c r="X282" s="575"/>
      <c r="Y282" s="575"/>
      <c r="Z282" s="575"/>
      <c r="AA282" s="575"/>
    </row>
    <row r="283">
      <c r="A283" s="575"/>
      <c r="B283" s="692"/>
      <c r="C283" s="709"/>
      <c r="D283" s="709"/>
      <c r="E283" s="692"/>
      <c r="F283" s="710"/>
      <c r="G283" s="575"/>
      <c r="H283" s="575"/>
      <c r="I283" s="575"/>
      <c r="J283" s="575"/>
      <c r="K283" s="575"/>
      <c r="L283" s="575"/>
      <c r="M283" s="575"/>
      <c r="N283" s="575"/>
      <c r="O283" s="575"/>
      <c r="P283" s="575"/>
      <c r="Q283" s="575"/>
      <c r="R283" s="575"/>
      <c r="S283" s="575"/>
      <c r="T283" s="575"/>
      <c r="U283" s="575"/>
      <c r="V283" s="575"/>
      <c r="W283" s="575"/>
      <c r="X283" s="575"/>
      <c r="Y283" s="575"/>
      <c r="Z283" s="575"/>
      <c r="AA283" s="575"/>
    </row>
    <row r="284">
      <c r="A284" s="575"/>
      <c r="B284" s="692"/>
      <c r="C284" s="709"/>
      <c r="D284" s="709"/>
      <c r="E284" s="692"/>
      <c r="F284" s="710"/>
      <c r="G284" s="575"/>
      <c r="H284" s="575"/>
      <c r="I284" s="575"/>
      <c r="J284" s="575"/>
      <c r="K284" s="575"/>
      <c r="L284" s="575"/>
      <c r="M284" s="575"/>
      <c r="N284" s="575"/>
      <c r="O284" s="575"/>
      <c r="P284" s="575"/>
      <c r="Q284" s="575"/>
      <c r="R284" s="575"/>
      <c r="S284" s="575"/>
      <c r="T284" s="575"/>
      <c r="U284" s="575"/>
      <c r="V284" s="575"/>
      <c r="W284" s="575"/>
      <c r="X284" s="575"/>
      <c r="Y284" s="575"/>
      <c r="Z284" s="575"/>
      <c r="AA284" s="575"/>
    </row>
    <row r="285">
      <c r="A285" s="575"/>
      <c r="B285" s="692"/>
      <c r="C285" s="709"/>
      <c r="D285" s="709"/>
      <c r="E285" s="692"/>
      <c r="F285" s="710"/>
      <c r="G285" s="575"/>
      <c r="H285" s="575"/>
      <c r="I285" s="575"/>
      <c r="J285" s="575"/>
      <c r="K285" s="575"/>
      <c r="L285" s="575"/>
      <c r="M285" s="575"/>
      <c r="N285" s="575"/>
      <c r="O285" s="575"/>
      <c r="P285" s="575"/>
      <c r="Q285" s="575"/>
      <c r="R285" s="575"/>
      <c r="S285" s="575"/>
      <c r="T285" s="575"/>
      <c r="U285" s="575"/>
      <c r="V285" s="575"/>
      <c r="W285" s="575"/>
      <c r="X285" s="575"/>
      <c r="Y285" s="575"/>
      <c r="Z285" s="575"/>
      <c r="AA285" s="575"/>
    </row>
    <row r="286">
      <c r="A286" s="575"/>
      <c r="B286" s="692"/>
      <c r="C286" s="709"/>
      <c r="D286" s="709"/>
      <c r="E286" s="692"/>
      <c r="F286" s="710"/>
      <c r="G286" s="575"/>
      <c r="H286" s="575"/>
      <c r="I286" s="575"/>
      <c r="J286" s="575"/>
      <c r="K286" s="575"/>
      <c r="L286" s="575"/>
      <c r="M286" s="575"/>
      <c r="N286" s="575"/>
      <c r="O286" s="575"/>
      <c r="P286" s="575"/>
      <c r="Q286" s="575"/>
      <c r="R286" s="575"/>
      <c r="S286" s="575"/>
      <c r="T286" s="575"/>
      <c r="U286" s="575"/>
      <c r="V286" s="575"/>
      <c r="W286" s="575"/>
      <c r="X286" s="575"/>
      <c r="Y286" s="575"/>
      <c r="Z286" s="575"/>
      <c r="AA286" s="575"/>
    </row>
    <row r="287">
      <c r="A287" s="575"/>
      <c r="B287" s="692"/>
      <c r="C287" s="709"/>
      <c r="D287" s="709"/>
      <c r="E287" s="692"/>
      <c r="F287" s="710"/>
      <c r="G287" s="575"/>
      <c r="H287" s="575"/>
      <c r="I287" s="575"/>
      <c r="J287" s="575"/>
      <c r="K287" s="575"/>
      <c r="L287" s="575"/>
      <c r="M287" s="575"/>
      <c r="N287" s="575"/>
      <c r="O287" s="575"/>
      <c r="P287" s="575"/>
      <c r="Q287" s="575"/>
      <c r="R287" s="575"/>
      <c r="S287" s="575"/>
      <c r="T287" s="575"/>
      <c r="U287" s="575"/>
      <c r="V287" s="575"/>
      <c r="W287" s="575"/>
      <c r="X287" s="575"/>
      <c r="Y287" s="575"/>
      <c r="Z287" s="575"/>
      <c r="AA287" s="575"/>
    </row>
    <row r="288">
      <c r="A288" s="575"/>
      <c r="B288" s="692"/>
      <c r="C288" s="709"/>
      <c r="D288" s="709"/>
      <c r="E288" s="692"/>
      <c r="F288" s="710"/>
      <c r="G288" s="575"/>
      <c r="H288" s="575"/>
      <c r="I288" s="575"/>
      <c r="J288" s="575"/>
      <c r="K288" s="575"/>
      <c r="L288" s="575"/>
      <c r="M288" s="575"/>
      <c r="N288" s="575"/>
      <c r="O288" s="575"/>
      <c r="P288" s="575"/>
      <c r="Q288" s="575"/>
      <c r="R288" s="575"/>
      <c r="S288" s="575"/>
      <c r="T288" s="575"/>
      <c r="U288" s="575"/>
      <c r="V288" s="575"/>
      <c r="W288" s="575"/>
      <c r="X288" s="575"/>
      <c r="Y288" s="575"/>
      <c r="Z288" s="575"/>
      <c r="AA288" s="575"/>
    </row>
    <row r="289">
      <c r="A289" s="575"/>
      <c r="B289" s="692"/>
      <c r="C289" s="709"/>
      <c r="D289" s="709"/>
      <c r="E289" s="692"/>
      <c r="F289" s="710"/>
      <c r="G289" s="575"/>
      <c r="H289" s="575"/>
      <c r="I289" s="575"/>
      <c r="J289" s="575"/>
      <c r="K289" s="575"/>
      <c r="L289" s="575"/>
      <c r="M289" s="575"/>
      <c r="N289" s="575"/>
      <c r="O289" s="575"/>
      <c r="P289" s="575"/>
      <c r="Q289" s="575"/>
      <c r="R289" s="575"/>
      <c r="S289" s="575"/>
      <c r="T289" s="575"/>
      <c r="U289" s="575"/>
      <c r="V289" s="575"/>
      <c r="W289" s="575"/>
      <c r="X289" s="575"/>
      <c r="Y289" s="575"/>
      <c r="Z289" s="575"/>
      <c r="AA289" s="575"/>
    </row>
    <row r="290">
      <c r="A290" s="575"/>
      <c r="B290" s="692"/>
      <c r="C290" s="709"/>
      <c r="D290" s="709"/>
      <c r="E290" s="692"/>
      <c r="F290" s="710"/>
      <c r="G290" s="575"/>
      <c r="H290" s="575"/>
      <c r="I290" s="575"/>
      <c r="J290" s="575"/>
      <c r="K290" s="575"/>
      <c r="L290" s="575"/>
      <c r="M290" s="575"/>
      <c r="N290" s="575"/>
      <c r="O290" s="575"/>
      <c r="P290" s="575"/>
      <c r="Q290" s="575"/>
      <c r="R290" s="575"/>
      <c r="S290" s="575"/>
      <c r="T290" s="575"/>
      <c r="U290" s="575"/>
      <c r="V290" s="575"/>
      <c r="W290" s="575"/>
      <c r="X290" s="575"/>
      <c r="Y290" s="575"/>
      <c r="Z290" s="575"/>
      <c r="AA290" s="575"/>
    </row>
    <row r="291">
      <c r="A291" s="575"/>
      <c r="B291" s="692"/>
      <c r="C291" s="709"/>
      <c r="D291" s="709"/>
      <c r="E291" s="692"/>
      <c r="F291" s="710"/>
      <c r="G291" s="575"/>
      <c r="H291" s="575"/>
      <c r="I291" s="575"/>
      <c r="J291" s="575"/>
      <c r="K291" s="575"/>
      <c r="L291" s="575"/>
      <c r="M291" s="575"/>
      <c r="N291" s="575"/>
      <c r="O291" s="575"/>
      <c r="P291" s="575"/>
      <c r="Q291" s="575"/>
      <c r="R291" s="575"/>
      <c r="S291" s="575"/>
      <c r="T291" s="575"/>
      <c r="U291" s="575"/>
      <c r="V291" s="575"/>
      <c r="W291" s="575"/>
      <c r="X291" s="575"/>
      <c r="Y291" s="575"/>
      <c r="Z291" s="575"/>
      <c r="AA291" s="575"/>
    </row>
    <row r="292">
      <c r="A292" s="575"/>
      <c r="B292" s="692"/>
      <c r="C292" s="709"/>
      <c r="D292" s="709"/>
      <c r="E292" s="692"/>
      <c r="F292" s="710"/>
      <c r="G292" s="575"/>
      <c r="H292" s="575"/>
      <c r="I292" s="575"/>
      <c r="J292" s="575"/>
      <c r="K292" s="575"/>
      <c r="L292" s="575"/>
      <c r="M292" s="575"/>
      <c r="N292" s="575"/>
      <c r="O292" s="575"/>
      <c r="P292" s="575"/>
      <c r="Q292" s="575"/>
      <c r="R292" s="575"/>
      <c r="S292" s="575"/>
      <c r="T292" s="575"/>
      <c r="U292" s="575"/>
      <c r="V292" s="575"/>
      <c r="W292" s="575"/>
      <c r="X292" s="575"/>
      <c r="Y292" s="575"/>
      <c r="Z292" s="575"/>
      <c r="AA292" s="575"/>
    </row>
    <row r="293">
      <c r="A293" s="575"/>
      <c r="B293" s="692"/>
      <c r="C293" s="709"/>
      <c r="D293" s="709"/>
      <c r="E293" s="692"/>
      <c r="F293" s="710"/>
      <c r="G293" s="575"/>
      <c r="H293" s="575"/>
      <c r="I293" s="575"/>
      <c r="J293" s="575"/>
      <c r="K293" s="575"/>
      <c r="L293" s="575"/>
      <c r="M293" s="575"/>
      <c r="N293" s="575"/>
      <c r="O293" s="575"/>
      <c r="P293" s="575"/>
      <c r="Q293" s="575"/>
      <c r="R293" s="575"/>
      <c r="S293" s="575"/>
      <c r="T293" s="575"/>
      <c r="U293" s="575"/>
      <c r="V293" s="575"/>
      <c r="W293" s="575"/>
      <c r="X293" s="575"/>
      <c r="Y293" s="575"/>
      <c r="Z293" s="575"/>
      <c r="AA293" s="575"/>
    </row>
    <row r="294">
      <c r="A294" s="575"/>
      <c r="B294" s="692"/>
      <c r="C294" s="709"/>
      <c r="D294" s="709"/>
      <c r="E294" s="692"/>
      <c r="F294" s="710"/>
      <c r="G294" s="575"/>
      <c r="H294" s="575"/>
      <c r="I294" s="575"/>
      <c r="J294" s="575"/>
      <c r="K294" s="575"/>
      <c r="L294" s="575"/>
      <c r="M294" s="575"/>
      <c r="N294" s="575"/>
      <c r="O294" s="575"/>
      <c r="P294" s="575"/>
      <c r="Q294" s="575"/>
      <c r="R294" s="575"/>
      <c r="S294" s="575"/>
      <c r="T294" s="575"/>
      <c r="U294" s="575"/>
      <c r="V294" s="575"/>
      <c r="W294" s="575"/>
      <c r="X294" s="575"/>
      <c r="Y294" s="575"/>
      <c r="Z294" s="575"/>
      <c r="AA294" s="575"/>
    </row>
    <row r="295">
      <c r="A295" s="575"/>
      <c r="B295" s="692"/>
      <c r="C295" s="709"/>
      <c r="D295" s="709"/>
      <c r="E295" s="692"/>
      <c r="F295" s="710"/>
      <c r="G295" s="575"/>
      <c r="H295" s="575"/>
      <c r="I295" s="575"/>
      <c r="J295" s="575"/>
      <c r="K295" s="575"/>
      <c r="L295" s="575"/>
      <c r="M295" s="575"/>
      <c r="N295" s="575"/>
      <c r="O295" s="575"/>
      <c r="P295" s="575"/>
      <c r="Q295" s="575"/>
      <c r="R295" s="575"/>
      <c r="S295" s="575"/>
      <c r="T295" s="575"/>
      <c r="U295" s="575"/>
      <c r="V295" s="575"/>
      <c r="W295" s="575"/>
      <c r="X295" s="575"/>
      <c r="Y295" s="575"/>
      <c r="Z295" s="575"/>
      <c r="AA295" s="575"/>
    </row>
    <row r="296">
      <c r="A296" s="575"/>
      <c r="B296" s="692"/>
      <c r="C296" s="709"/>
      <c r="D296" s="709"/>
      <c r="E296" s="692"/>
      <c r="F296" s="710"/>
      <c r="G296" s="575"/>
      <c r="H296" s="575"/>
      <c r="I296" s="575"/>
      <c r="J296" s="575"/>
      <c r="K296" s="575"/>
      <c r="L296" s="575"/>
      <c r="M296" s="575"/>
      <c r="N296" s="575"/>
      <c r="O296" s="575"/>
      <c r="P296" s="575"/>
      <c r="Q296" s="575"/>
      <c r="R296" s="575"/>
      <c r="S296" s="575"/>
      <c r="T296" s="575"/>
      <c r="U296" s="575"/>
      <c r="V296" s="575"/>
      <c r="W296" s="575"/>
      <c r="X296" s="575"/>
      <c r="Y296" s="575"/>
      <c r="Z296" s="575"/>
      <c r="AA296" s="575"/>
    </row>
    <row r="297">
      <c r="A297" s="575"/>
      <c r="B297" s="692"/>
      <c r="C297" s="709"/>
      <c r="D297" s="709"/>
      <c r="E297" s="692"/>
      <c r="F297" s="710"/>
      <c r="G297" s="575"/>
      <c r="H297" s="575"/>
      <c r="I297" s="575"/>
      <c r="J297" s="575"/>
      <c r="K297" s="575"/>
      <c r="L297" s="575"/>
      <c r="M297" s="575"/>
      <c r="N297" s="575"/>
      <c r="O297" s="575"/>
      <c r="P297" s="575"/>
      <c r="Q297" s="575"/>
      <c r="R297" s="575"/>
      <c r="S297" s="575"/>
      <c r="T297" s="575"/>
      <c r="U297" s="575"/>
      <c r="V297" s="575"/>
      <c r="W297" s="575"/>
      <c r="X297" s="575"/>
      <c r="Y297" s="575"/>
      <c r="Z297" s="575"/>
      <c r="AA297" s="575"/>
    </row>
    <row r="298">
      <c r="A298" s="575"/>
      <c r="B298" s="692"/>
      <c r="C298" s="709"/>
      <c r="D298" s="709"/>
      <c r="E298" s="692"/>
      <c r="F298" s="710"/>
      <c r="G298" s="575"/>
      <c r="H298" s="575"/>
      <c r="I298" s="575"/>
      <c r="J298" s="575"/>
      <c r="K298" s="575"/>
      <c r="L298" s="575"/>
      <c r="M298" s="575"/>
      <c r="N298" s="575"/>
      <c r="O298" s="575"/>
      <c r="P298" s="575"/>
      <c r="Q298" s="575"/>
      <c r="R298" s="575"/>
      <c r="S298" s="575"/>
      <c r="T298" s="575"/>
      <c r="U298" s="575"/>
      <c r="V298" s="575"/>
      <c r="W298" s="575"/>
      <c r="X298" s="575"/>
      <c r="Y298" s="575"/>
      <c r="Z298" s="575"/>
      <c r="AA298" s="575"/>
    </row>
    <row r="299">
      <c r="A299" s="575"/>
      <c r="B299" s="692"/>
      <c r="C299" s="709"/>
      <c r="D299" s="709"/>
      <c r="E299" s="692"/>
      <c r="F299" s="710"/>
      <c r="G299" s="575"/>
      <c r="H299" s="575"/>
      <c r="I299" s="575"/>
      <c r="J299" s="575"/>
      <c r="K299" s="575"/>
      <c r="L299" s="575"/>
      <c r="M299" s="575"/>
      <c r="N299" s="575"/>
      <c r="O299" s="575"/>
      <c r="P299" s="575"/>
      <c r="Q299" s="575"/>
      <c r="R299" s="575"/>
      <c r="S299" s="575"/>
      <c r="T299" s="575"/>
      <c r="U299" s="575"/>
      <c r="V299" s="575"/>
      <c r="W299" s="575"/>
      <c r="X299" s="575"/>
      <c r="Y299" s="575"/>
      <c r="Z299" s="575"/>
      <c r="AA299" s="575"/>
    </row>
    <row r="300">
      <c r="A300" s="575"/>
      <c r="B300" s="692"/>
      <c r="C300" s="709"/>
      <c r="D300" s="709"/>
      <c r="E300" s="692"/>
      <c r="F300" s="710"/>
      <c r="G300" s="575"/>
      <c r="H300" s="575"/>
      <c r="I300" s="575"/>
      <c r="J300" s="575"/>
      <c r="K300" s="575"/>
      <c r="L300" s="575"/>
      <c r="M300" s="575"/>
      <c r="N300" s="575"/>
      <c r="O300" s="575"/>
      <c r="P300" s="575"/>
      <c r="Q300" s="575"/>
      <c r="R300" s="575"/>
      <c r="S300" s="575"/>
      <c r="T300" s="575"/>
      <c r="U300" s="575"/>
      <c r="V300" s="575"/>
      <c r="W300" s="575"/>
      <c r="X300" s="575"/>
      <c r="Y300" s="575"/>
      <c r="Z300" s="575"/>
      <c r="AA300" s="575"/>
    </row>
    <row r="301">
      <c r="A301" s="575"/>
      <c r="B301" s="692"/>
      <c r="C301" s="709"/>
      <c r="D301" s="709"/>
      <c r="E301" s="692"/>
      <c r="F301" s="710"/>
      <c r="G301" s="575"/>
      <c r="H301" s="575"/>
      <c r="I301" s="575"/>
      <c r="J301" s="575"/>
      <c r="K301" s="575"/>
      <c r="L301" s="575"/>
      <c r="M301" s="575"/>
      <c r="N301" s="575"/>
      <c r="O301" s="575"/>
      <c r="P301" s="575"/>
      <c r="Q301" s="575"/>
      <c r="R301" s="575"/>
      <c r="S301" s="575"/>
      <c r="T301" s="575"/>
      <c r="U301" s="575"/>
      <c r="V301" s="575"/>
      <c r="W301" s="575"/>
      <c r="X301" s="575"/>
      <c r="Y301" s="575"/>
      <c r="Z301" s="575"/>
      <c r="AA301" s="575"/>
    </row>
    <row r="302">
      <c r="A302" s="575"/>
      <c r="B302" s="692"/>
      <c r="C302" s="709"/>
      <c r="D302" s="709"/>
      <c r="E302" s="692"/>
      <c r="F302" s="710"/>
      <c r="G302" s="575"/>
      <c r="H302" s="575"/>
      <c r="I302" s="575"/>
      <c r="J302" s="575"/>
      <c r="K302" s="575"/>
      <c r="L302" s="575"/>
      <c r="M302" s="575"/>
      <c r="N302" s="575"/>
      <c r="O302" s="575"/>
      <c r="P302" s="575"/>
      <c r="Q302" s="575"/>
      <c r="R302" s="575"/>
      <c r="S302" s="575"/>
      <c r="T302" s="575"/>
      <c r="U302" s="575"/>
      <c r="V302" s="575"/>
      <c r="W302" s="575"/>
      <c r="X302" s="575"/>
      <c r="Y302" s="575"/>
      <c r="Z302" s="575"/>
      <c r="AA302" s="575"/>
    </row>
    <row r="303">
      <c r="A303" s="575"/>
      <c r="B303" s="692"/>
      <c r="C303" s="709"/>
      <c r="D303" s="709"/>
      <c r="E303" s="692"/>
      <c r="F303" s="710"/>
      <c r="G303" s="575"/>
      <c r="H303" s="575"/>
      <c r="I303" s="575"/>
      <c r="J303" s="575"/>
      <c r="K303" s="575"/>
      <c r="L303" s="575"/>
      <c r="M303" s="575"/>
      <c r="N303" s="575"/>
      <c r="O303" s="575"/>
      <c r="P303" s="575"/>
      <c r="Q303" s="575"/>
      <c r="R303" s="575"/>
      <c r="S303" s="575"/>
      <c r="T303" s="575"/>
      <c r="U303" s="575"/>
      <c r="V303" s="575"/>
      <c r="W303" s="575"/>
      <c r="X303" s="575"/>
      <c r="Y303" s="575"/>
      <c r="Z303" s="575"/>
      <c r="AA303" s="575"/>
    </row>
    <row r="304">
      <c r="A304" s="575"/>
      <c r="B304" s="692"/>
      <c r="C304" s="709"/>
      <c r="D304" s="709"/>
      <c r="E304" s="692"/>
      <c r="F304" s="710"/>
      <c r="G304" s="575"/>
      <c r="H304" s="575"/>
      <c r="I304" s="575"/>
      <c r="J304" s="575"/>
      <c r="K304" s="575"/>
      <c r="L304" s="575"/>
      <c r="M304" s="575"/>
      <c r="N304" s="575"/>
      <c r="O304" s="575"/>
      <c r="P304" s="575"/>
      <c r="Q304" s="575"/>
      <c r="R304" s="575"/>
      <c r="S304" s="575"/>
      <c r="T304" s="575"/>
      <c r="U304" s="575"/>
      <c r="V304" s="575"/>
      <c r="W304" s="575"/>
      <c r="X304" s="575"/>
      <c r="Y304" s="575"/>
      <c r="Z304" s="575"/>
      <c r="AA304" s="575"/>
    </row>
    <row r="305">
      <c r="A305" s="575"/>
      <c r="B305" s="692"/>
      <c r="C305" s="709"/>
      <c r="D305" s="709"/>
      <c r="E305" s="692"/>
      <c r="F305" s="710"/>
      <c r="G305" s="575"/>
      <c r="H305" s="575"/>
      <c r="I305" s="575"/>
      <c r="J305" s="575"/>
      <c r="K305" s="575"/>
      <c r="L305" s="575"/>
      <c r="M305" s="575"/>
      <c r="N305" s="575"/>
      <c r="O305" s="575"/>
      <c r="P305" s="575"/>
      <c r="Q305" s="575"/>
      <c r="R305" s="575"/>
      <c r="S305" s="575"/>
      <c r="T305" s="575"/>
      <c r="U305" s="575"/>
      <c r="V305" s="575"/>
      <c r="W305" s="575"/>
      <c r="X305" s="575"/>
      <c r="Y305" s="575"/>
      <c r="Z305" s="575"/>
      <c r="AA305" s="575"/>
    </row>
    <row r="306">
      <c r="A306" s="575"/>
      <c r="B306" s="692"/>
      <c r="C306" s="709"/>
      <c r="D306" s="709"/>
      <c r="E306" s="692"/>
      <c r="F306" s="710"/>
      <c r="G306" s="575"/>
      <c r="H306" s="575"/>
      <c r="I306" s="575"/>
      <c r="J306" s="575"/>
      <c r="K306" s="575"/>
      <c r="L306" s="575"/>
      <c r="M306" s="575"/>
      <c r="N306" s="575"/>
      <c r="O306" s="575"/>
      <c r="P306" s="575"/>
      <c r="Q306" s="575"/>
      <c r="R306" s="575"/>
      <c r="S306" s="575"/>
      <c r="T306" s="575"/>
      <c r="U306" s="575"/>
      <c r="V306" s="575"/>
      <c r="W306" s="575"/>
      <c r="X306" s="575"/>
      <c r="Y306" s="575"/>
      <c r="Z306" s="575"/>
      <c r="AA306" s="575"/>
    </row>
    <row r="307">
      <c r="A307" s="575"/>
      <c r="B307" s="692"/>
      <c r="C307" s="709"/>
      <c r="D307" s="709"/>
      <c r="E307" s="692"/>
      <c r="F307" s="710"/>
      <c r="G307" s="575"/>
      <c r="H307" s="575"/>
      <c r="I307" s="575"/>
      <c r="J307" s="575"/>
      <c r="K307" s="575"/>
      <c r="L307" s="575"/>
      <c r="M307" s="575"/>
      <c r="N307" s="575"/>
      <c r="O307" s="575"/>
      <c r="P307" s="575"/>
      <c r="Q307" s="575"/>
      <c r="R307" s="575"/>
      <c r="S307" s="575"/>
      <c r="T307" s="575"/>
      <c r="U307" s="575"/>
      <c r="V307" s="575"/>
      <c r="W307" s="575"/>
      <c r="X307" s="575"/>
      <c r="Y307" s="575"/>
      <c r="Z307" s="575"/>
      <c r="AA307" s="575"/>
    </row>
    <row r="308">
      <c r="A308" s="575"/>
      <c r="B308" s="692"/>
      <c r="C308" s="709"/>
      <c r="D308" s="709"/>
      <c r="E308" s="692"/>
      <c r="F308" s="710"/>
      <c r="G308" s="575"/>
      <c r="H308" s="575"/>
      <c r="I308" s="575"/>
      <c r="J308" s="575"/>
      <c r="K308" s="575"/>
      <c r="L308" s="575"/>
      <c r="M308" s="575"/>
      <c r="N308" s="575"/>
      <c r="O308" s="575"/>
      <c r="P308" s="575"/>
      <c r="Q308" s="575"/>
      <c r="R308" s="575"/>
      <c r="S308" s="575"/>
      <c r="T308" s="575"/>
      <c r="U308" s="575"/>
      <c r="V308" s="575"/>
      <c r="W308" s="575"/>
      <c r="X308" s="575"/>
      <c r="Y308" s="575"/>
      <c r="Z308" s="575"/>
      <c r="AA308" s="575"/>
    </row>
    <row r="309">
      <c r="A309" s="575"/>
      <c r="B309" s="692"/>
      <c r="C309" s="709"/>
      <c r="D309" s="709"/>
      <c r="E309" s="692"/>
      <c r="F309" s="710"/>
      <c r="G309" s="575"/>
      <c r="H309" s="575"/>
      <c r="I309" s="575"/>
      <c r="J309" s="575"/>
      <c r="K309" s="575"/>
      <c r="L309" s="575"/>
      <c r="M309" s="575"/>
      <c r="N309" s="575"/>
      <c r="O309" s="575"/>
      <c r="P309" s="575"/>
      <c r="Q309" s="575"/>
      <c r="R309" s="575"/>
      <c r="S309" s="575"/>
      <c r="T309" s="575"/>
      <c r="U309" s="575"/>
      <c r="V309" s="575"/>
      <c r="W309" s="575"/>
      <c r="X309" s="575"/>
      <c r="Y309" s="575"/>
      <c r="Z309" s="575"/>
      <c r="AA309" s="575"/>
    </row>
    <row r="310">
      <c r="A310" s="575"/>
      <c r="B310" s="692"/>
      <c r="C310" s="709"/>
      <c r="D310" s="709"/>
      <c r="E310" s="692"/>
      <c r="F310" s="710"/>
      <c r="G310" s="575"/>
      <c r="H310" s="575"/>
      <c r="I310" s="575"/>
      <c r="J310" s="575"/>
      <c r="K310" s="575"/>
      <c r="L310" s="575"/>
      <c r="M310" s="575"/>
      <c r="N310" s="575"/>
      <c r="O310" s="575"/>
      <c r="P310" s="575"/>
      <c r="Q310" s="575"/>
      <c r="R310" s="575"/>
      <c r="S310" s="575"/>
      <c r="T310" s="575"/>
      <c r="U310" s="575"/>
      <c r="V310" s="575"/>
      <c r="W310" s="575"/>
      <c r="X310" s="575"/>
      <c r="Y310" s="575"/>
      <c r="Z310" s="575"/>
      <c r="AA310" s="575"/>
    </row>
    <row r="311">
      <c r="A311" s="575"/>
      <c r="B311" s="692"/>
      <c r="C311" s="709"/>
      <c r="D311" s="709"/>
      <c r="E311" s="692"/>
      <c r="F311" s="710"/>
      <c r="G311" s="575"/>
      <c r="H311" s="575"/>
      <c r="I311" s="575"/>
      <c r="J311" s="575"/>
      <c r="K311" s="575"/>
      <c r="L311" s="575"/>
      <c r="M311" s="575"/>
      <c r="N311" s="575"/>
      <c r="O311" s="575"/>
      <c r="P311" s="575"/>
      <c r="Q311" s="575"/>
      <c r="R311" s="575"/>
      <c r="S311" s="575"/>
      <c r="T311" s="575"/>
      <c r="U311" s="575"/>
      <c r="V311" s="575"/>
      <c r="W311" s="575"/>
      <c r="X311" s="575"/>
      <c r="Y311" s="575"/>
      <c r="Z311" s="575"/>
      <c r="AA311" s="575"/>
    </row>
    <row r="312">
      <c r="A312" s="575"/>
      <c r="B312" s="692"/>
      <c r="C312" s="709"/>
      <c r="D312" s="709"/>
      <c r="E312" s="692"/>
      <c r="F312" s="710"/>
      <c r="G312" s="575"/>
      <c r="H312" s="575"/>
      <c r="I312" s="575"/>
      <c r="J312" s="575"/>
      <c r="K312" s="575"/>
      <c r="L312" s="575"/>
      <c r="M312" s="575"/>
      <c r="N312" s="575"/>
      <c r="O312" s="575"/>
      <c r="P312" s="575"/>
      <c r="Q312" s="575"/>
      <c r="R312" s="575"/>
      <c r="S312" s="575"/>
      <c r="T312" s="575"/>
      <c r="U312" s="575"/>
      <c r="V312" s="575"/>
      <c r="W312" s="575"/>
      <c r="X312" s="575"/>
      <c r="Y312" s="575"/>
      <c r="Z312" s="575"/>
      <c r="AA312" s="575"/>
    </row>
    <row r="313">
      <c r="A313" s="575"/>
      <c r="B313" s="692"/>
      <c r="C313" s="709"/>
      <c r="D313" s="709"/>
      <c r="E313" s="692"/>
      <c r="F313" s="710"/>
      <c r="G313" s="575"/>
      <c r="H313" s="575"/>
      <c r="I313" s="575"/>
      <c r="J313" s="575"/>
      <c r="K313" s="575"/>
      <c r="L313" s="575"/>
      <c r="M313" s="575"/>
      <c r="N313" s="575"/>
      <c r="O313" s="575"/>
      <c r="P313" s="575"/>
      <c r="Q313" s="575"/>
      <c r="R313" s="575"/>
      <c r="S313" s="575"/>
      <c r="T313" s="575"/>
      <c r="U313" s="575"/>
      <c r="V313" s="575"/>
      <c r="W313" s="575"/>
      <c r="X313" s="575"/>
      <c r="Y313" s="575"/>
      <c r="Z313" s="575"/>
      <c r="AA313" s="575"/>
    </row>
    <row r="314">
      <c r="A314" s="575"/>
      <c r="B314" s="692"/>
      <c r="C314" s="709"/>
      <c r="D314" s="709"/>
      <c r="E314" s="692"/>
      <c r="F314" s="710"/>
      <c r="G314" s="575"/>
      <c r="H314" s="575"/>
      <c r="I314" s="575"/>
      <c r="J314" s="575"/>
      <c r="K314" s="575"/>
      <c r="L314" s="575"/>
      <c r="M314" s="575"/>
      <c r="N314" s="575"/>
      <c r="O314" s="575"/>
      <c r="P314" s="575"/>
      <c r="Q314" s="575"/>
      <c r="R314" s="575"/>
      <c r="S314" s="575"/>
      <c r="T314" s="575"/>
      <c r="U314" s="575"/>
      <c r="V314" s="575"/>
      <c r="W314" s="575"/>
      <c r="X314" s="575"/>
      <c r="Y314" s="575"/>
      <c r="Z314" s="575"/>
      <c r="AA314" s="575"/>
    </row>
    <row r="315">
      <c r="A315" s="575"/>
      <c r="B315" s="692"/>
      <c r="C315" s="709"/>
      <c r="D315" s="709"/>
      <c r="E315" s="692"/>
      <c r="F315" s="710"/>
      <c r="G315" s="575"/>
      <c r="H315" s="575"/>
      <c r="I315" s="575"/>
      <c r="J315" s="575"/>
      <c r="K315" s="575"/>
      <c r="L315" s="575"/>
      <c r="M315" s="575"/>
      <c r="N315" s="575"/>
      <c r="O315" s="575"/>
      <c r="P315" s="575"/>
      <c r="Q315" s="575"/>
      <c r="R315" s="575"/>
      <c r="S315" s="575"/>
      <c r="T315" s="575"/>
      <c r="U315" s="575"/>
      <c r="V315" s="575"/>
      <c r="W315" s="575"/>
      <c r="X315" s="575"/>
      <c r="Y315" s="575"/>
      <c r="Z315" s="575"/>
      <c r="AA315" s="575"/>
    </row>
    <row r="316">
      <c r="A316" s="575"/>
      <c r="B316" s="692"/>
      <c r="C316" s="709"/>
      <c r="D316" s="709"/>
      <c r="E316" s="692"/>
      <c r="F316" s="710"/>
      <c r="G316" s="575"/>
      <c r="H316" s="575"/>
      <c r="I316" s="575"/>
      <c r="J316" s="575"/>
      <c r="K316" s="575"/>
      <c r="L316" s="575"/>
      <c r="M316" s="575"/>
      <c r="N316" s="575"/>
      <c r="O316" s="575"/>
      <c r="P316" s="575"/>
      <c r="Q316" s="575"/>
      <c r="R316" s="575"/>
      <c r="S316" s="575"/>
      <c r="T316" s="575"/>
      <c r="U316" s="575"/>
      <c r="V316" s="575"/>
      <c r="W316" s="575"/>
      <c r="X316" s="575"/>
      <c r="Y316" s="575"/>
      <c r="Z316" s="575"/>
      <c r="AA316" s="575"/>
    </row>
    <row r="317">
      <c r="A317" s="575"/>
      <c r="B317" s="692"/>
      <c r="C317" s="709"/>
      <c r="D317" s="709"/>
      <c r="E317" s="692"/>
      <c r="F317" s="710"/>
      <c r="G317" s="575"/>
      <c r="H317" s="575"/>
      <c r="I317" s="575"/>
      <c r="J317" s="575"/>
      <c r="K317" s="575"/>
      <c r="L317" s="575"/>
      <c r="M317" s="575"/>
      <c r="N317" s="575"/>
      <c r="O317" s="575"/>
      <c r="P317" s="575"/>
      <c r="Q317" s="575"/>
      <c r="R317" s="575"/>
      <c r="S317" s="575"/>
      <c r="T317" s="575"/>
      <c r="U317" s="575"/>
      <c r="V317" s="575"/>
      <c r="W317" s="575"/>
      <c r="X317" s="575"/>
      <c r="Y317" s="575"/>
      <c r="Z317" s="575"/>
      <c r="AA317" s="575"/>
    </row>
    <row r="318">
      <c r="A318" s="575"/>
      <c r="B318" s="692"/>
      <c r="C318" s="709"/>
      <c r="D318" s="709"/>
      <c r="E318" s="692"/>
      <c r="F318" s="710"/>
      <c r="G318" s="575"/>
      <c r="H318" s="575"/>
      <c r="I318" s="575"/>
      <c r="J318" s="575"/>
      <c r="K318" s="575"/>
      <c r="L318" s="575"/>
      <c r="M318" s="575"/>
      <c r="N318" s="575"/>
      <c r="O318" s="575"/>
      <c r="P318" s="575"/>
      <c r="Q318" s="575"/>
      <c r="R318" s="575"/>
      <c r="S318" s="575"/>
      <c r="T318" s="575"/>
      <c r="U318" s="575"/>
      <c r="V318" s="575"/>
      <c r="W318" s="575"/>
      <c r="X318" s="575"/>
      <c r="Y318" s="575"/>
      <c r="Z318" s="575"/>
      <c r="AA318" s="575"/>
    </row>
    <row r="319">
      <c r="A319" s="575"/>
      <c r="B319" s="692"/>
      <c r="C319" s="709"/>
      <c r="D319" s="709"/>
      <c r="E319" s="692"/>
      <c r="F319" s="710"/>
      <c r="G319" s="575"/>
      <c r="H319" s="575"/>
      <c r="I319" s="575"/>
      <c r="J319" s="575"/>
      <c r="K319" s="575"/>
      <c r="L319" s="575"/>
      <c r="M319" s="575"/>
      <c r="N319" s="575"/>
      <c r="O319" s="575"/>
      <c r="P319" s="575"/>
      <c r="Q319" s="575"/>
      <c r="R319" s="575"/>
      <c r="S319" s="575"/>
      <c r="T319" s="575"/>
      <c r="U319" s="575"/>
      <c r="V319" s="575"/>
      <c r="W319" s="575"/>
      <c r="X319" s="575"/>
      <c r="Y319" s="575"/>
      <c r="Z319" s="575"/>
      <c r="AA319" s="575"/>
    </row>
    <row r="320">
      <c r="A320" s="575"/>
      <c r="B320" s="692"/>
      <c r="C320" s="709"/>
      <c r="D320" s="709"/>
      <c r="E320" s="692"/>
      <c r="F320" s="710"/>
      <c r="G320" s="575"/>
      <c r="H320" s="575"/>
      <c r="I320" s="575"/>
      <c r="J320" s="575"/>
      <c r="K320" s="575"/>
      <c r="L320" s="575"/>
      <c r="M320" s="575"/>
      <c r="N320" s="575"/>
      <c r="O320" s="575"/>
      <c r="P320" s="575"/>
      <c r="Q320" s="575"/>
      <c r="R320" s="575"/>
      <c r="S320" s="575"/>
      <c r="T320" s="575"/>
      <c r="U320" s="575"/>
      <c r="V320" s="575"/>
      <c r="W320" s="575"/>
      <c r="X320" s="575"/>
      <c r="Y320" s="575"/>
      <c r="Z320" s="575"/>
      <c r="AA320" s="575"/>
    </row>
    <row r="321">
      <c r="A321" s="575"/>
      <c r="B321" s="692"/>
      <c r="C321" s="709"/>
      <c r="D321" s="709"/>
      <c r="E321" s="692"/>
      <c r="F321" s="710"/>
      <c r="G321" s="575"/>
      <c r="H321" s="575"/>
      <c r="I321" s="575"/>
      <c r="J321" s="575"/>
      <c r="K321" s="575"/>
      <c r="L321" s="575"/>
      <c r="M321" s="575"/>
      <c r="N321" s="575"/>
      <c r="O321" s="575"/>
      <c r="P321" s="575"/>
      <c r="Q321" s="575"/>
      <c r="R321" s="575"/>
      <c r="S321" s="575"/>
      <c r="T321" s="575"/>
      <c r="U321" s="575"/>
      <c r="V321" s="575"/>
      <c r="W321" s="575"/>
      <c r="X321" s="575"/>
      <c r="Y321" s="575"/>
      <c r="Z321" s="575"/>
      <c r="AA321" s="575"/>
    </row>
    <row r="322">
      <c r="A322" s="575"/>
      <c r="B322" s="692"/>
      <c r="C322" s="709"/>
      <c r="D322" s="709"/>
      <c r="E322" s="692"/>
      <c r="F322" s="710"/>
      <c r="G322" s="575"/>
      <c r="H322" s="575"/>
      <c r="I322" s="575"/>
      <c r="J322" s="575"/>
      <c r="K322" s="575"/>
      <c r="L322" s="575"/>
      <c r="M322" s="575"/>
      <c r="N322" s="575"/>
      <c r="O322" s="575"/>
      <c r="P322" s="575"/>
      <c r="Q322" s="575"/>
      <c r="R322" s="575"/>
      <c r="S322" s="575"/>
      <c r="T322" s="575"/>
      <c r="U322" s="575"/>
      <c r="V322" s="575"/>
      <c r="W322" s="575"/>
      <c r="X322" s="575"/>
      <c r="Y322" s="575"/>
      <c r="Z322" s="575"/>
      <c r="AA322" s="575"/>
    </row>
    <row r="323">
      <c r="A323" s="575"/>
      <c r="B323" s="692"/>
      <c r="C323" s="709"/>
      <c r="D323" s="709"/>
      <c r="E323" s="692"/>
      <c r="F323" s="710"/>
      <c r="G323" s="575"/>
      <c r="H323" s="575"/>
      <c r="I323" s="575"/>
      <c r="J323" s="575"/>
      <c r="K323" s="575"/>
      <c r="L323" s="575"/>
      <c r="M323" s="575"/>
      <c r="N323" s="575"/>
      <c r="O323" s="575"/>
      <c r="P323" s="575"/>
      <c r="Q323" s="575"/>
      <c r="R323" s="575"/>
      <c r="S323" s="575"/>
      <c r="T323" s="575"/>
      <c r="U323" s="575"/>
      <c r="V323" s="575"/>
      <c r="W323" s="575"/>
      <c r="X323" s="575"/>
      <c r="Y323" s="575"/>
      <c r="Z323" s="575"/>
      <c r="AA323" s="575"/>
    </row>
    <row r="324">
      <c r="A324" s="575"/>
      <c r="B324" s="692"/>
      <c r="C324" s="709"/>
      <c r="D324" s="709"/>
      <c r="E324" s="692"/>
      <c r="F324" s="710"/>
      <c r="G324" s="575"/>
      <c r="H324" s="575"/>
      <c r="I324" s="575"/>
      <c r="J324" s="575"/>
      <c r="K324" s="575"/>
      <c r="L324" s="575"/>
      <c r="M324" s="575"/>
      <c r="N324" s="575"/>
      <c r="O324" s="575"/>
      <c r="P324" s="575"/>
      <c r="Q324" s="575"/>
      <c r="R324" s="575"/>
      <c r="S324" s="575"/>
      <c r="T324" s="575"/>
      <c r="U324" s="575"/>
      <c r="V324" s="575"/>
      <c r="W324" s="575"/>
      <c r="X324" s="575"/>
      <c r="Y324" s="575"/>
      <c r="Z324" s="575"/>
      <c r="AA324" s="575"/>
    </row>
    <row r="325">
      <c r="A325" s="575"/>
      <c r="B325" s="692"/>
      <c r="C325" s="709"/>
      <c r="D325" s="709"/>
      <c r="E325" s="692"/>
      <c r="F325" s="710"/>
      <c r="G325" s="575"/>
      <c r="H325" s="575"/>
      <c r="I325" s="575"/>
      <c r="J325" s="575"/>
      <c r="K325" s="575"/>
      <c r="L325" s="575"/>
      <c r="M325" s="575"/>
      <c r="N325" s="575"/>
      <c r="O325" s="575"/>
      <c r="P325" s="575"/>
      <c r="Q325" s="575"/>
      <c r="R325" s="575"/>
      <c r="S325" s="575"/>
      <c r="T325" s="575"/>
      <c r="U325" s="575"/>
      <c r="V325" s="575"/>
      <c r="W325" s="575"/>
      <c r="X325" s="575"/>
      <c r="Y325" s="575"/>
      <c r="Z325" s="575"/>
      <c r="AA325" s="575"/>
    </row>
    <row r="326">
      <c r="A326" s="575"/>
      <c r="B326" s="692"/>
      <c r="C326" s="709"/>
      <c r="D326" s="709"/>
      <c r="E326" s="692"/>
      <c r="F326" s="710"/>
      <c r="G326" s="575"/>
      <c r="H326" s="575"/>
      <c r="I326" s="575"/>
      <c r="J326" s="575"/>
      <c r="K326" s="575"/>
      <c r="L326" s="575"/>
      <c r="M326" s="575"/>
      <c r="N326" s="575"/>
      <c r="O326" s="575"/>
      <c r="P326" s="575"/>
      <c r="Q326" s="575"/>
      <c r="R326" s="575"/>
      <c r="S326" s="575"/>
      <c r="T326" s="575"/>
      <c r="U326" s="575"/>
      <c r="V326" s="575"/>
      <c r="W326" s="575"/>
      <c r="X326" s="575"/>
      <c r="Y326" s="575"/>
      <c r="Z326" s="575"/>
      <c r="AA326" s="575"/>
    </row>
    <row r="327">
      <c r="A327" s="575"/>
      <c r="B327" s="692"/>
      <c r="C327" s="709"/>
      <c r="D327" s="709"/>
      <c r="E327" s="692"/>
      <c r="F327" s="710"/>
      <c r="G327" s="575"/>
      <c r="H327" s="575"/>
      <c r="I327" s="575"/>
      <c r="J327" s="575"/>
      <c r="K327" s="575"/>
      <c r="L327" s="575"/>
      <c r="M327" s="575"/>
      <c r="N327" s="575"/>
      <c r="O327" s="575"/>
      <c r="P327" s="575"/>
      <c r="Q327" s="575"/>
      <c r="R327" s="575"/>
      <c r="S327" s="575"/>
      <c r="T327" s="575"/>
      <c r="U327" s="575"/>
      <c r="V327" s="575"/>
      <c r="W327" s="575"/>
      <c r="X327" s="575"/>
      <c r="Y327" s="575"/>
      <c r="Z327" s="575"/>
      <c r="AA327" s="575"/>
    </row>
    <row r="328">
      <c r="A328" s="575"/>
      <c r="B328" s="692"/>
      <c r="C328" s="709"/>
      <c r="D328" s="709"/>
      <c r="E328" s="692"/>
      <c r="F328" s="710"/>
      <c r="G328" s="575"/>
      <c r="H328" s="575"/>
      <c r="I328" s="575"/>
      <c r="J328" s="575"/>
      <c r="K328" s="575"/>
      <c r="L328" s="575"/>
      <c r="M328" s="575"/>
      <c r="N328" s="575"/>
      <c r="O328" s="575"/>
      <c r="P328" s="575"/>
      <c r="Q328" s="575"/>
      <c r="R328" s="575"/>
      <c r="S328" s="575"/>
      <c r="T328" s="575"/>
      <c r="U328" s="575"/>
      <c r="V328" s="575"/>
      <c r="W328" s="575"/>
      <c r="X328" s="575"/>
      <c r="Y328" s="575"/>
      <c r="Z328" s="575"/>
      <c r="AA328" s="575"/>
    </row>
    <row r="329">
      <c r="A329" s="575"/>
      <c r="B329" s="692"/>
      <c r="C329" s="709"/>
      <c r="D329" s="709"/>
      <c r="E329" s="692"/>
      <c r="F329" s="710"/>
      <c r="G329" s="575"/>
      <c r="H329" s="575"/>
      <c r="I329" s="575"/>
      <c r="J329" s="575"/>
      <c r="K329" s="575"/>
      <c r="L329" s="575"/>
      <c r="M329" s="575"/>
      <c r="N329" s="575"/>
      <c r="O329" s="575"/>
      <c r="P329" s="575"/>
      <c r="Q329" s="575"/>
      <c r="R329" s="575"/>
      <c r="S329" s="575"/>
      <c r="T329" s="575"/>
      <c r="U329" s="575"/>
      <c r="V329" s="575"/>
      <c r="W329" s="575"/>
      <c r="X329" s="575"/>
      <c r="Y329" s="575"/>
      <c r="Z329" s="575"/>
      <c r="AA329" s="575"/>
    </row>
    <row r="330">
      <c r="A330" s="575"/>
      <c r="B330" s="692"/>
      <c r="C330" s="709"/>
      <c r="D330" s="709"/>
      <c r="E330" s="692"/>
      <c r="F330" s="710"/>
      <c r="G330" s="575"/>
      <c r="H330" s="575"/>
      <c r="I330" s="575"/>
      <c r="J330" s="575"/>
      <c r="K330" s="575"/>
      <c r="L330" s="575"/>
      <c r="M330" s="575"/>
      <c r="N330" s="575"/>
      <c r="O330" s="575"/>
      <c r="P330" s="575"/>
      <c r="Q330" s="575"/>
      <c r="R330" s="575"/>
      <c r="S330" s="575"/>
      <c r="T330" s="575"/>
      <c r="U330" s="575"/>
      <c r="V330" s="575"/>
      <c r="W330" s="575"/>
      <c r="X330" s="575"/>
      <c r="Y330" s="575"/>
      <c r="Z330" s="575"/>
      <c r="AA330" s="575"/>
    </row>
    <row r="331">
      <c r="A331" s="575"/>
      <c r="B331" s="692"/>
      <c r="C331" s="709"/>
      <c r="D331" s="709"/>
      <c r="E331" s="692"/>
      <c r="F331" s="710"/>
      <c r="G331" s="575"/>
      <c r="H331" s="575"/>
      <c r="I331" s="575"/>
      <c r="J331" s="575"/>
      <c r="K331" s="575"/>
      <c r="L331" s="575"/>
      <c r="M331" s="575"/>
      <c r="N331" s="575"/>
      <c r="O331" s="575"/>
      <c r="P331" s="575"/>
      <c r="Q331" s="575"/>
      <c r="R331" s="575"/>
      <c r="S331" s="575"/>
      <c r="T331" s="575"/>
      <c r="U331" s="575"/>
      <c r="V331" s="575"/>
      <c r="W331" s="575"/>
      <c r="X331" s="575"/>
      <c r="Y331" s="575"/>
      <c r="Z331" s="575"/>
      <c r="AA331" s="575"/>
    </row>
    <row r="332">
      <c r="A332" s="575"/>
      <c r="B332" s="692"/>
      <c r="C332" s="709"/>
      <c r="D332" s="709"/>
      <c r="E332" s="692"/>
      <c r="F332" s="710"/>
      <c r="G332" s="575"/>
      <c r="H332" s="575"/>
      <c r="I332" s="575"/>
      <c r="J332" s="575"/>
      <c r="K332" s="575"/>
      <c r="L332" s="575"/>
      <c r="M332" s="575"/>
      <c r="N332" s="575"/>
      <c r="O332" s="575"/>
      <c r="P332" s="575"/>
      <c r="Q332" s="575"/>
      <c r="R332" s="575"/>
      <c r="S332" s="575"/>
      <c r="T332" s="575"/>
      <c r="U332" s="575"/>
      <c r="V332" s="575"/>
      <c r="W332" s="575"/>
      <c r="X332" s="575"/>
      <c r="Y332" s="575"/>
      <c r="Z332" s="575"/>
      <c r="AA332" s="575"/>
    </row>
    <row r="333">
      <c r="A333" s="575"/>
      <c r="B333" s="692"/>
      <c r="C333" s="709"/>
      <c r="D333" s="709"/>
      <c r="E333" s="692"/>
      <c r="F333" s="710"/>
      <c r="G333" s="575"/>
      <c r="H333" s="575"/>
      <c r="I333" s="575"/>
      <c r="J333" s="575"/>
      <c r="K333" s="575"/>
      <c r="L333" s="575"/>
      <c r="M333" s="575"/>
      <c r="N333" s="575"/>
      <c r="O333" s="575"/>
      <c r="P333" s="575"/>
      <c r="Q333" s="575"/>
      <c r="R333" s="575"/>
      <c r="S333" s="575"/>
      <c r="T333" s="575"/>
      <c r="U333" s="575"/>
      <c r="V333" s="575"/>
      <c r="W333" s="575"/>
      <c r="X333" s="575"/>
      <c r="Y333" s="575"/>
      <c r="Z333" s="575"/>
      <c r="AA333" s="575"/>
    </row>
    <row r="334">
      <c r="A334" s="575"/>
      <c r="B334" s="692"/>
      <c r="C334" s="709"/>
      <c r="D334" s="709"/>
      <c r="E334" s="692"/>
      <c r="F334" s="710"/>
      <c r="G334" s="575"/>
      <c r="H334" s="575"/>
      <c r="I334" s="575"/>
      <c r="J334" s="575"/>
      <c r="K334" s="575"/>
      <c r="L334" s="575"/>
      <c r="M334" s="575"/>
      <c r="N334" s="575"/>
      <c r="O334" s="575"/>
      <c r="P334" s="575"/>
      <c r="Q334" s="575"/>
      <c r="R334" s="575"/>
      <c r="S334" s="575"/>
      <c r="T334" s="575"/>
      <c r="U334" s="575"/>
      <c r="V334" s="575"/>
      <c r="W334" s="575"/>
      <c r="X334" s="575"/>
      <c r="Y334" s="575"/>
      <c r="Z334" s="575"/>
      <c r="AA334" s="575"/>
    </row>
    <row r="335">
      <c r="A335" s="575"/>
      <c r="B335" s="692"/>
      <c r="C335" s="709"/>
      <c r="D335" s="709"/>
      <c r="E335" s="692"/>
      <c r="F335" s="710"/>
      <c r="G335" s="575"/>
      <c r="H335" s="575"/>
      <c r="I335" s="575"/>
      <c r="J335" s="575"/>
      <c r="K335" s="575"/>
      <c r="L335" s="575"/>
      <c r="M335" s="575"/>
      <c r="N335" s="575"/>
      <c r="O335" s="575"/>
      <c r="P335" s="575"/>
      <c r="Q335" s="575"/>
      <c r="R335" s="575"/>
      <c r="S335" s="575"/>
      <c r="T335" s="575"/>
      <c r="U335" s="575"/>
      <c r="V335" s="575"/>
      <c r="W335" s="575"/>
      <c r="X335" s="575"/>
      <c r="Y335" s="575"/>
      <c r="Z335" s="575"/>
      <c r="AA335" s="575"/>
    </row>
    <row r="336">
      <c r="A336" s="575"/>
      <c r="B336" s="692"/>
      <c r="C336" s="709"/>
      <c r="D336" s="709"/>
      <c r="E336" s="692"/>
      <c r="F336" s="710"/>
      <c r="G336" s="575"/>
      <c r="H336" s="575"/>
      <c r="I336" s="575"/>
      <c r="J336" s="575"/>
      <c r="K336" s="575"/>
      <c r="L336" s="575"/>
      <c r="M336" s="575"/>
      <c r="N336" s="575"/>
      <c r="O336" s="575"/>
      <c r="P336" s="575"/>
      <c r="Q336" s="575"/>
      <c r="R336" s="575"/>
      <c r="S336" s="575"/>
      <c r="T336" s="575"/>
      <c r="U336" s="575"/>
      <c r="V336" s="575"/>
      <c r="W336" s="575"/>
      <c r="X336" s="575"/>
      <c r="Y336" s="575"/>
      <c r="Z336" s="575"/>
      <c r="AA336" s="575"/>
    </row>
    <row r="337">
      <c r="A337" s="575"/>
      <c r="B337" s="692"/>
      <c r="C337" s="709"/>
      <c r="D337" s="709"/>
      <c r="E337" s="692"/>
      <c r="F337" s="710"/>
      <c r="G337" s="575"/>
      <c r="H337" s="575"/>
      <c r="I337" s="575"/>
      <c r="J337" s="575"/>
      <c r="K337" s="575"/>
      <c r="L337" s="575"/>
      <c r="M337" s="575"/>
      <c r="N337" s="575"/>
      <c r="O337" s="575"/>
      <c r="P337" s="575"/>
      <c r="Q337" s="575"/>
      <c r="R337" s="575"/>
      <c r="S337" s="575"/>
      <c r="T337" s="575"/>
      <c r="U337" s="575"/>
      <c r="V337" s="575"/>
      <c r="W337" s="575"/>
      <c r="X337" s="575"/>
      <c r="Y337" s="575"/>
      <c r="Z337" s="575"/>
      <c r="AA337" s="575"/>
    </row>
    <row r="338">
      <c r="A338" s="575"/>
      <c r="B338" s="692"/>
      <c r="C338" s="709"/>
      <c r="D338" s="709"/>
      <c r="E338" s="692"/>
      <c r="F338" s="710"/>
      <c r="G338" s="575"/>
      <c r="H338" s="575"/>
      <c r="I338" s="575"/>
      <c r="J338" s="575"/>
      <c r="K338" s="575"/>
      <c r="L338" s="575"/>
      <c r="M338" s="575"/>
      <c r="N338" s="575"/>
      <c r="O338" s="575"/>
      <c r="P338" s="575"/>
      <c r="Q338" s="575"/>
      <c r="R338" s="575"/>
      <c r="S338" s="575"/>
      <c r="T338" s="575"/>
      <c r="U338" s="575"/>
      <c r="V338" s="575"/>
      <c r="W338" s="575"/>
      <c r="X338" s="575"/>
      <c r="Y338" s="575"/>
      <c r="Z338" s="575"/>
      <c r="AA338" s="575"/>
    </row>
    <row r="339">
      <c r="A339" s="575"/>
      <c r="B339" s="692"/>
      <c r="C339" s="709"/>
      <c r="D339" s="709"/>
      <c r="E339" s="692"/>
      <c r="F339" s="710"/>
      <c r="G339" s="575"/>
      <c r="H339" s="575"/>
      <c r="I339" s="575"/>
      <c r="J339" s="575"/>
      <c r="K339" s="575"/>
      <c r="L339" s="575"/>
      <c r="M339" s="575"/>
      <c r="N339" s="575"/>
      <c r="O339" s="575"/>
      <c r="P339" s="575"/>
      <c r="Q339" s="575"/>
      <c r="R339" s="575"/>
      <c r="S339" s="575"/>
      <c r="T339" s="575"/>
      <c r="U339" s="575"/>
      <c r="V339" s="575"/>
      <c r="W339" s="575"/>
      <c r="X339" s="575"/>
      <c r="Y339" s="575"/>
      <c r="Z339" s="575"/>
      <c r="AA339" s="575"/>
    </row>
    <row r="340">
      <c r="A340" s="575"/>
      <c r="B340" s="692"/>
      <c r="C340" s="709"/>
      <c r="D340" s="709"/>
      <c r="E340" s="692"/>
      <c r="F340" s="710"/>
      <c r="G340" s="575"/>
      <c r="H340" s="575"/>
      <c r="I340" s="575"/>
      <c r="J340" s="575"/>
      <c r="K340" s="575"/>
      <c r="L340" s="575"/>
      <c r="M340" s="575"/>
      <c r="N340" s="575"/>
      <c r="O340" s="575"/>
      <c r="P340" s="575"/>
      <c r="Q340" s="575"/>
      <c r="R340" s="575"/>
      <c r="S340" s="575"/>
      <c r="T340" s="575"/>
      <c r="U340" s="575"/>
      <c r="V340" s="575"/>
      <c r="W340" s="575"/>
      <c r="X340" s="575"/>
      <c r="Y340" s="575"/>
      <c r="Z340" s="575"/>
      <c r="AA340" s="575"/>
    </row>
    <row r="341">
      <c r="A341" s="575"/>
      <c r="B341" s="692"/>
      <c r="C341" s="709"/>
      <c r="D341" s="709"/>
      <c r="E341" s="692"/>
      <c r="F341" s="710"/>
      <c r="G341" s="575"/>
      <c r="H341" s="575"/>
      <c r="I341" s="575"/>
      <c r="J341" s="575"/>
      <c r="K341" s="575"/>
      <c r="L341" s="575"/>
      <c r="M341" s="575"/>
      <c r="N341" s="575"/>
      <c r="O341" s="575"/>
      <c r="P341" s="575"/>
      <c r="Q341" s="575"/>
      <c r="R341" s="575"/>
      <c r="S341" s="575"/>
      <c r="T341" s="575"/>
      <c r="U341" s="575"/>
      <c r="V341" s="575"/>
      <c r="W341" s="575"/>
      <c r="X341" s="575"/>
      <c r="Y341" s="575"/>
      <c r="Z341" s="575"/>
      <c r="AA341" s="575"/>
    </row>
    <row r="342">
      <c r="A342" s="575"/>
      <c r="B342" s="692"/>
      <c r="C342" s="709"/>
      <c r="D342" s="709"/>
      <c r="E342" s="692"/>
      <c r="F342" s="710"/>
      <c r="G342" s="575"/>
      <c r="H342" s="575"/>
      <c r="I342" s="575"/>
      <c r="J342" s="575"/>
      <c r="K342" s="575"/>
      <c r="L342" s="575"/>
      <c r="M342" s="575"/>
      <c r="N342" s="575"/>
      <c r="O342" s="575"/>
      <c r="P342" s="575"/>
      <c r="Q342" s="575"/>
      <c r="R342" s="575"/>
      <c r="S342" s="575"/>
      <c r="T342" s="575"/>
      <c r="U342" s="575"/>
      <c r="V342" s="575"/>
      <c r="W342" s="575"/>
      <c r="X342" s="575"/>
      <c r="Y342" s="575"/>
      <c r="Z342" s="575"/>
      <c r="AA342" s="575"/>
    </row>
    <row r="343">
      <c r="A343" s="575"/>
      <c r="B343" s="692"/>
      <c r="C343" s="709"/>
      <c r="D343" s="709"/>
      <c r="E343" s="692"/>
      <c r="F343" s="710"/>
      <c r="G343" s="575"/>
      <c r="H343" s="575"/>
      <c r="I343" s="575"/>
      <c r="J343" s="575"/>
      <c r="K343" s="575"/>
      <c r="L343" s="575"/>
      <c r="M343" s="575"/>
      <c r="N343" s="575"/>
      <c r="O343" s="575"/>
      <c r="P343" s="575"/>
      <c r="Q343" s="575"/>
      <c r="R343" s="575"/>
      <c r="S343" s="575"/>
      <c r="T343" s="575"/>
      <c r="U343" s="575"/>
      <c r="V343" s="575"/>
      <c r="W343" s="575"/>
      <c r="X343" s="575"/>
      <c r="Y343" s="575"/>
      <c r="Z343" s="575"/>
      <c r="AA343" s="575"/>
    </row>
    <row r="344">
      <c r="A344" s="575"/>
      <c r="B344" s="692"/>
      <c r="C344" s="709"/>
      <c r="D344" s="709"/>
      <c r="E344" s="692"/>
      <c r="F344" s="710"/>
      <c r="G344" s="575"/>
      <c r="H344" s="575"/>
      <c r="I344" s="575"/>
      <c r="J344" s="575"/>
      <c r="K344" s="575"/>
      <c r="L344" s="575"/>
      <c r="M344" s="575"/>
      <c r="N344" s="575"/>
      <c r="O344" s="575"/>
      <c r="P344" s="575"/>
      <c r="Q344" s="575"/>
      <c r="R344" s="575"/>
      <c r="S344" s="575"/>
      <c r="T344" s="575"/>
      <c r="U344" s="575"/>
      <c r="V344" s="575"/>
      <c r="W344" s="575"/>
      <c r="X344" s="575"/>
      <c r="Y344" s="575"/>
      <c r="Z344" s="575"/>
      <c r="AA344" s="575"/>
    </row>
    <row r="345">
      <c r="A345" s="575"/>
      <c r="B345" s="692"/>
      <c r="C345" s="709"/>
      <c r="D345" s="709"/>
      <c r="E345" s="692"/>
      <c r="F345" s="710"/>
      <c r="G345" s="575"/>
      <c r="H345" s="575"/>
      <c r="I345" s="575"/>
      <c r="J345" s="575"/>
      <c r="K345" s="575"/>
      <c r="L345" s="575"/>
      <c r="M345" s="575"/>
      <c r="N345" s="575"/>
      <c r="O345" s="575"/>
      <c r="P345" s="575"/>
      <c r="Q345" s="575"/>
      <c r="R345" s="575"/>
      <c r="S345" s="575"/>
      <c r="T345" s="575"/>
      <c r="U345" s="575"/>
      <c r="V345" s="575"/>
      <c r="W345" s="575"/>
      <c r="X345" s="575"/>
      <c r="Y345" s="575"/>
      <c r="Z345" s="575"/>
      <c r="AA345" s="575"/>
    </row>
    <row r="346">
      <c r="A346" s="575"/>
      <c r="B346" s="692"/>
      <c r="C346" s="709"/>
      <c r="D346" s="709"/>
      <c r="E346" s="692"/>
      <c r="F346" s="710"/>
      <c r="G346" s="575"/>
      <c r="H346" s="575"/>
      <c r="I346" s="575"/>
      <c r="J346" s="575"/>
      <c r="K346" s="575"/>
      <c r="L346" s="575"/>
      <c r="M346" s="575"/>
      <c r="N346" s="575"/>
      <c r="O346" s="575"/>
      <c r="P346" s="575"/>
      <c r="Q346" s="575"/>
      <c r="R346" s="575"/>
      <c r="S346" s="575"/>
      <c r="T346" s="575"/>
      <c r="U346" s="575"/>
      <c r="V346" s="575"/>
      <c r="W346" s="575"/>
      <c r="X346" s="575"/>
      <c r="Y346" s="575"/>
      <c r="Z346" s="575"/>
      <c r="AA346" s="575"/>
    </row>
    <row r="347">
      <c r="A347" s="575"/>
      <c r="B347" s="692"/>
      <c r="C347" s="709"/>
      <c r="D347" s="709"/>
      <c r="E347" s="692"/>
      <c r="F347" s="710"/>
      <c r="G347" s="575"/>
      <c r="H347" s="575"/>
      <c r="I347" s="575"/>
      <c r="J347" s="575"/>
      <c r="K347" s="575"/>
      <c r="L347" s="575"/>
      <c r="M347" s="575"/>
      <c r="N347" s="575"/>
      <c r="O347" s="575"/>
      <c r="P347" s="575"/>
      <c r="Q347" s="575"/>
      <c r="R347" s="575"/>
      <c r="S347" s="575"/>
      <c r="T347" s="575"/>
      <c r="U347" s="575"/>
      <c r="V347" s="575"/>
      <c r="W347" s="575"/>
      <c r="X347" s="575"/>
      <c r="Y347" s="575"/>
      <c r="Z347" s="575"/>
      <c r="AA347" s="575"/>
    </row>
    <row r="348">
      <c r="A348" s="575"/>
      <c r="B348" s="692"/>
      <c r="C348" s="709"/>
      <c r="D348" s="709"/>
      <c r="E348" s="692"/>
      <c r="F348" s="710"/>
      <c r="G348" s="575"/>
      <c r="H348" s="575"/>
      <c r="I348" s="575"/>
      <c r="J348" s="575"/>
      <c r="K348" s="575"/>
      <c r="L348" s="575"/>
      <c r="M348" s="575"/>
      <c r="N348" s="575"/>
      <c r="O348" s="575"/>
      <c r="P348" s="575"/>
      <c r="Q348" s="575"/>
      <c r="R348" s="575"/>
      <c r="S348" s="575"/>
      <c r="T348" s="575"/>
      <c r="U348" s="575"/>
      <c r="V348" s="575"/>
      <c r="W348" s="575"/>
      <c r="X348" s="575"/>
      <c r="Y348" s="575"/>
      <c r="Z348" s="575"/>
      <c r="AA348" s="575"/>
    </row>
    <row r="349">
      <c r="A349" s="575"/>
      <c r="B349" s="692"/>
      <c r="C349" s="709"/>
      <c r="D349" s="709"/>
      <c r="E349" s="692"/>
      <c r="F349" s="710"/>
      <c r="G349" s="575"/>
      <c r="H349" s="575"/>
      <c r="I349" s="575"/>
      <c r="J349" s="575"/>
      <c r="K349" s="575"/>
      <c r="L349" s="575"/>
      <c r="M349" s="575"/>
      <c r="N349" s="575"/>
      <c r="O349" s="575"/>
      <c r="P349" s="575"/>
      <c r="Q349" s="575"/>
      <c r="R349" s="575"/>
      <c r="S349" s="575"/>
      <c r="T349" s="575"/>
      <c r="U349" s="575"/>
      <c r="V349" s="575"/>
      <c r="W349" s="575"/>
      <c r="X349" s="575"/>
      <c r="Y349" s="575"/>
      <c r="Z349" s="575"/>
      <c r="AA349" s="575"/>
    </row>
    <row r="350">
      <c r="A350" s="575"/>
      <c r="B350" s="692"/>
      <c r="C350" s="709"/>
      <c r="D350" s="709"/>
      <c r="E350" s="692"/>
      <c r="F350" s="710"/>
      <c r="G350" s="575"/>
      <c r="H350" s="575"/>
      <c r="I350" s="575"/>
      <c r="J350" s="575"/>
      <c r="K350" s="575"/>
      <c r="L350" s="575"/>
      <c r="M350" s="575"/>
      <c r="N350" s="575"/>
      <c r="O350" s="575"/>
      <c r="P350" s="575"/>
      <c r="Q350" s="575"/>
      <c r="R350" s="575"/>
      <c r="S350" s="575"/>
      <c r="T350" s="575"/>
      <c r="U350" s="575"/>
      <c r="V350" s="575"/>
      <c r="W350" s="575"/>
      <c r="X350" s="575"/>
      <c r="Y350" s="575"/>
      <c r="Z350" s="575"/>
      <c r="AA350" s="575"/>
    </row>
    <row r="351">
      <c r="A351" s="575"/>
      <c r="B351" s="692"/>
      <c r="C351" s="709"/>
      <c r="D351" s="709"/>
      <c r="E351" s="692"/>
      <c r="F351" s="710"/>
      <c r="G351" s="575"/>
      <c r="H351" s="575"/>
      <c r="I351" s="575"/>
      <c r="J351" s="575"/>
      <c r="K351" s="575"/>
      <c r="L351" s="575"/>
      <c r="M351" s="575"/>
      <c r="N351" s="575"/>
      <c r="O351" s="575"/>
      <c r="P351" s="575"/>
      <c r="Q351" s="575"/>
      <c r="R351" s="575"/>
      <c r="S351" s="575"/>
      <c r="T351" s="575"/>
      <c r="U351" s="575"/>
      <c r="V351" s="575"/>
      <c r="W351" s="575"/>
      <c r="X351" s="575"/>
      <c r="Y351" s="575"/>
      <c r="Z351" s="575"/>
      <c r="AA351" s="575"/>
    </row>
    <row r="352">
      <c r="A352" s="575"/>
      <c r="B352" s="692"/>
      <c r="C352" s="709"/>
      <c r="D352" s="709"/>
      <c r="E352" s="692"/>
      <c r="F352" s="710"/>
      <c r="G352" s="575"/>
      <c r="H352" s="575"/>
      <c r="I352" s="575"/>
      <c r="J352" s="575"/>
      <c r="K352" s="575"/>
      <c r="L352" s="575"/>
      <c r="M352" s="575"/>
      <c r="N352" s="575"/>
      <c r="O352" s="575"/>
      <c r="P352" s="575"/>
      <c r="Q352" s="575"/>
      <c r="R352" s="575"/>
      <c r="S352" s="575"/>
      <c r="T352" s="575"/>
      <c r="U352" s="575"/>
      <c r="V352" s="575"/>
      <c r="W352" s="575"/>
      <c r="X352" s="575"/>
      <c r="Y352" s="575"/>
      <c r="Z352" s="575"/>
      <c r="AA352" s="575"/>
    </row>
    <row r="353">
      <c r="A353" s="575"/>
      <c r="B353" s="692"/>
      <c r="C353" s="709"/>
      <c r="D353" s="709"/>
      <c r="E353" s="692"/>
      <c r="F353" s="710"/>
      <c r="G353" s="575"/>
      <c r="H353" s="575"/>
      <c r="I353" s="575"/>
      <c r="J353" s="575"/>
      <c r="K353" s="575"/>
      <c r="L353" s="575"/>
      <c r="M353" s="575"/>
      <c r="N353" s="575"/>
      <c r="O353" s="575"/>
      <c r="P353" s="575"/>
      <c r="Q353" s="575"/>
      <c r="R353" s="575"/>
      <c r="S353" s="575"/>
      <c r="T353" s="575"/>
      <c r="U353" s="575"/>
      <c r="V353" s="575"/>
      <c r="W353" s="575"/>
      <c r="X353" s="575"/>
      <c r="Y353" s="575"/>
      <c r="Z353" s="575"/>
      <c r="AA353" s="575"/>
    </row>
    <row r="354">
      <c r="A354" s="575"/>
      <c r="B354" s="692"/>
      <c r="C354" s="709"/>
      <c r="D354" s="709"/>
      <c r="E354" s="692"/>
      <c r="F354" s="710"/>
      <c r="G354" s="575"/>
      <c r="H354" s="575"/>
      <c r="I354" s="575"/>
      <c r="J354" s="575"/>
      <c r="K354" s="575"/>
      <c r="L354" s="575"/>
      <c r="M354" s="575"/>
      <c r="N354" s="575"/>
      <c r="O354" s="575"/>
      <c r="P354" s="575"/>
      <c r="Q354" s="575"/>
      <c r="R354" s="575"/>
      <c r="S354" s="575"/>
      <c r="T354" s="575"/>
      <c r="U354" s="575"/>
      <c r="V354" s="575"/>
      <c r="W354" s="575"/>
      <c r="X354" s="575"/>
      <c r="Y354" s="575"/>
      <c r="Z354" s="575"/>
      <c r="AA354" s="575"/>
    </row>
    <row r="355">
      <c r="A355" s="575"/>
      <c r="B355" s="692"/>
      <c r="C355" s="709"/>
      <c r="D355" s="709"/>
      <c r="E355" s="692"/>
      <c r="F355" s="710"/>
      <c r="G355" s="575"/>
      <c r="H355" s="575"/>
      <c r="I355" s="575"/>
      <c r="J355" s="575"/>
      <c r="K355" s="575"/>
      <c r="L355" s="575"/>
      <c r="M355" s="575"/>
      <c r="N355" s="575"/>
      <c r="O355" s="575"/>
      <c r="P355" s="575"/>
      <c r="Q355" s="575"/>
      <c r="R355" s="575"/>
      <c r="S355" s="575"/>
      <c r="T355" s="575"/>
      <c r="U355" s="575"/>
      <c r="V355" s="575"/>
      <c r="W355" s="575"/>
      <c r="X355" s="575"/>
      <c r="Y355" s="575"/>
      <c r="Z355" s="575"/>
      <c r="AA355" s="575"/>
    </row>
    <row r="356">
      <c r="A356" s="575"/>
      <c r="B356" s="692"/>
      <c r="C356" s="709"/>
      <c r="D356" s="709"/>
      <c r="E356" s="692"/>
      <c r="F356" s="710"/>
      <c r="G356" s="575"/>
      <c r="H356" s="575"/>
      <c r="I356" s="575"/>
      <c r="J356" s="575"/>
      <c r="K356" s="575"/>
      <c r="L356" s="575"/>
      <c r="M356" s="575"/>
      <c r="N356" s="575"/>
      <c r="O356" s="575"/>
      <c r="P356" s="575"/>
      <c r="Q356" s="575"/>
      <c r="R356" s="575"/>
      <c r="S356" s="575"/>
      <c r="T356" s="575"/>
      <c r="U356" s="575"/>
      <c r="V356" s="575"/>
      <c r="W356" s="575"/>
      <c r="X356" s="575"/>
      <c r="Y356" s="575"/>
      <c r="Z356" s="575"/>
      <c r="AA356" s="575"/>
    </row>
    <row r="357">
      <c r="A357" s="575"/>
      <c r="B357" s="692"/>
      <c r="C357" s="709"/>
      <c r="D357" s="709"/>
      <c r="E357" s="692"/>
      <c r="F357" s="710"/>
      <c r="G357" s="575"/>
      <c r="H357" s="575"/>
      <c r="I357" s="575"/>
      <c r="J357" s="575"/>
      <c r="K357" s="575"/>
      <c r="L357" s="575"/>
      <c r="M357" s="575"/>
      <c r="N357" s="575"/>
      <c r="O357" s="575"/>
      <c r="P357" s="575"/>
      <c r="Q357" s="575"/>
      <c r="R357" s="575"/>
      <c r="S357" s="575"/>
      <c r="T357" s="575"/>
      <c r="U357" s="575"/>
      <c r="V357" s="575"/>
      <c r="W357" s="575"/>
      <c r="X357" s="575"/>
      <c r="Y357" s="575"/>
      <c r="Z357" s="575"/>
      <c r="AA357" s="575"/>
    </row>
    <row r="358">
      <c r="A358" s="575"/>
      <c r="B358" s="692"/>
      <c r="C358" s="709"/>
      <c r="D358" s="709"/>
      <c r="E358" s="692"/>
      <c r="F358" s="710"/>
      <c r="G358" s="575"/>
      <c r="H358" s="575"/>
      <c r="I358" s="575"/>
      <c r="J358" s="575"/>
      <c r="K358" s="575"/>
      <c r="L358" s="575"/>
      <c r="M358" s="575"/>
      <c r="N358" s="575"/>
      <c r="O358" s="575"/>
      <c r="P358" s="575"/>
      <c r="Q358" s="575"/>
      <c r="R358" s="575"/>
      <c r="S358" s="575"/>
      <c r="T358" s="575"/>
      <c r="U358" s="575"/>
      <c r="V358" s="575"/>
      <c r="W358" s="575"/>
      <c r="X358" s="575"/>
      <c r="Y358" s="575"/>
      <c r="Z358" s="575"/>
      <c r="AA358" s="575"/>
    </row>
    <row r="359">
      <c r="A359" s="575"/>
      <c r="B359" s="692"/>
      <c r="C359" s="709"/>
      <c r="D359" s="709"/>
      <c r="E359" s="692"/>
      <c r="F359" s="710"/>
      <c r="G359" s="575"/>
      <c r="H359" s="575"/>
      <c r="I359" s="575"/>
      <c r="J359" s="575"/>
      <c r="K359" s="575"/>
      <c r="L359" s="575"/>
      <c r="M359" s="575"/>
      <c r="N359" s="575"/>
      <c r="O359" s="575"/>
      <c r="P359" s="575"/>
      <c r="Q359" s="575"/>
      <c r="R359" s="575"/>
      <c r="S359" s="575"/>
      <c r="T359" s="575"/>
      <c r="U359" s="575"/>
      <c r="V359" s="575"/>
      <c r="W359" s="575"/>
      <c r="X359" s="575"/>
      <c r="Y359" s="575"/>
      <c r="Z359" s="575"/>
      <c r="AA359" s="575"/>
    </row>
    <row r="360">
      <c r="A360" s="575"/>
      <c r="B360" s="692"/>
      <c r="C360" s="709"/>
      <c r="D360" s="709"/>
      <c r="E360" s="692"/>
      <c r="F360" s="710"/>
      <c r="G360" s="575"/>
      <c r="H360" s="575"/>
      <c r="I360" s="575"/>
      <c r="J360" s="575"/>
      <c r="K360" s="575"/>
      <c r="L360" s="575"/>
      <c r="M360" s="575"/>
      <c r="N360" s="575"/>
      <c r="O360" s="575"/>
      <c r="P360" s="575"/>
      <c r="Q360" s="575"/>
      <c r="R360" s="575"/>
      <c r="S360" s="575"/>
      <c r="T360" s="575"/>
      <c r="U360" s="575"/>
      <c r="V360" s="575"/>
      <c r="W360" s="575"/>
      <c r="X360" s="575"/>
      <c r="Y360" s="575"/>
      <c r="Z360" s="575"/>
      <c r="AA360" s="575"/>
    </row>
    <row r="361">
      <c r="A361" s="575"/>
      <c r="B361" s="692"/>
      <c r="C361" s="709"/>
      <c r="D361" s="709"/>
      <c r="E361" s="692"/>
      <c r="F361" s="710"/>
      <c r="G361" s="575"/>
      <c r="H361" s="575"/>
      <c r="I361" s="575"/>
      <c r="J361" s="575"/>
      <c r="K361" s="575"/>
      <c r="L361" s="575"/>
      <c r="M361" s="575"/>
      <c r="N361" s="575"/>
      <c r="O361" s="575"/>
      <c r="P361" s="575"/>
      <c r="Q361" s="575"/>
      <c r="R361" s="575"/>
      <c r="S361" s="575"/>
      <c r="T361" s="575"/>
      <c r="U361" s="575"/>
      <c r="V361" s="575"/>
      <c r="W361" s="575"/>
      <c r="X361" s="575"/>
      <c r="Y361" s="575"/>
      <c r="Z361" s="575"/>
      <c r="AA361" s="575"/>
    </row>
    <row r="362">
      <c r="A362" s="575"/>
      <c r="B362" s="692"/>
      <c r="C362" s="709"/>
      <c r="D362" s="709"/>
      <c r="E362" s="692"/>
      <c r="F362" s="710"/>
      <c r="G362" s="575"/>
      <c r="H362" s="575"/>
      <c r="I362" s="575"/>
      <c r="J362" s="575"/>
      <c r="K362" s="575"/>
      <c r="L362" s="575"/>
      <c r="M362" s="575"/>
      <c r="N362" s="575"/>
      <c r="O362" s="575"/>
      <c r="P362" s="575"/>
      <c r="Q362" s="575"/>
      <c r="R362" s="575"/>
      <c r="S362" s="575"/>
      <c r="T362" s="575"/>
      <c r="U362" s="575"/>
      <c r="V362" s="575"/>
      <c r="W362" s="575"/>
      <c r="X362" s="575"/>
      <c r="Y362" s="575"/>
      <c r="Z362" s="575"/>
      <c r="AA362" s="575"/>
    </row>
    <row r="363">
      <c r="A363" s="575"/>
      <c r="B363" s="692"/>
      <c r="C363" s="709"/>
      <c r="D363" s="709"/>
      <c r="E363" s="692"/>
      <c r="F363" s="710"/>
      <c r="G363" s="575"/>
      <c r="H363" s="575"/>
      <c r="I363" s="575"/>
      <c r="J363" s="575"/>
      <c r="K363" s="575"/>
      <c r="L363" s="575"/>
      <c r="M363" s="575"/>
      <c r="N363" s="575"/>
      <c r="O363" s="575"/>
      <c r="P363" s="575"/>
      <c r="Q363" s="575"/>
      <c r="R363" s="575"/>
      <c r="S363" s="575"/>
      <c r="T363" s="575"/>
      <c r="U363" s="575"/>
      <c r="V363" s="575"/>
      <c r="W363" s="575"/>
      <c r="X363" s="575"/>
      <c r="Y363" s="575"/>
      <c r="Z363" s="575"/>
      <c r="AA363" s="575"/>
    </row>
    <row r="364">
      <c r="A364" s="575"/>
      <c r="B364" s="692"/>
      <c r="C364" s="709"/>
      <c r="D364" s="709"/>
      <c r="E364" s="692"/>
      <c r="F364" s="710"/>
      <c r="G364" s="575"/>
      <c r="H364" s="575"/>
      <c r="I364" s="575"/>
      <c r="J364" s="575"/>
      <c r="K364" s="575"/>
      <c r="L364" s="575"/>
      <c r="M364" s="575"/>
      <c r="N364" s="575"/>
      <c r="O364" s="575"/>
      <c r="P364" s="575"/>
      <c r="Q364" s="575"/>
      <c r="R364" s="575"/>
      <c r="S364" s="575"/>
      <c r="T364" s="575"/>
      <c r="U364" s="575"/>
      <c r="V364" s="575"/>
      <c r="W364" s="575"/>
      <c r="X364" s="575"/>
      <c r="Y364" s="575"/>
      <c r="Z364" s="575"/>
      <c r="AA364" s="575"/>
    </row>
    <row r="365">
      <c r="A365" s="575"/>
      <c r="B365" s="692"/>
      <c r="C365" s="709"/>
      <c r="D365" s="709"/>
      <c r="E365" s="692"/>
      <c r="F365" s="710"/>
      <c r="G365" s="575"/>
      <c r="H365" s="575"/>
      <c r="I365" s="575"/>
      <c r="J365" s="575"/>
      <c r="K365" s="575"/>
      <c r="L365" s="575"/>
      <c r="M365" s="575"/>
      <c r="N365" s="575"/>
      <c r="O365" s="575"/>
      <c r="P365" s="575"/>
      <c r="Q365" s="575"/>
      <c r="R365" s="575"/>
      <c r="S365" s="575"/>
      <c r="T365" s="575"/>
      <c r="U365" s="575"/>
      <c r="V365" s="575"/>
      <c r="W365" s="575"/>
      <c r="X365" s="575"/>
      <c r="Y365" s="575"/>
      <c r="Z365" s="575"/>
      <c r="AA365" s="575"/>
    </row>
    <row r="366">
      <c r="A366" s="575"/>
      <c r="B366" s="692"/>
      <c r="C366" s="709"/>
      <c r="D366" s="709"/>
      <c r="E366" s="692"/>
      <c r="F366" s="710"/>
      <c r="G366" s="575"/>
      <c r="H366" s="575"/>
      <c r="I366" s="575"/>
      <c r="J366" s="575"/>
      <c r="K366" s="575"/>
      <c r="L366" s="575"/>
      <c r="M366" s="575"/>
      <c r="N366" s="575"/>
      <c r="O366" s="575"/>
      <c r="P366" s="575"/>
      <c r="Q366" s="575"/>
      <c r="R366" s="575"/>
      <c r="S366" s="575"/>
      <c r="T366" s="575"/>
      <c r="U366" s="575"/>
      <c r="V366" s="575"/>
      <c r="W366" s="575"/>
      <c r="X366" s="575"/>
      <c r="Y366" s="575"/>
      <c r="Z366" s="575"/>
      <c r="AA366" s="575"/>
    </row>
    <row r="367">
      <c r="A367" s="575"/>
      <c r="B367" s="692"/>
      <c r="C367" s="709"/>
      <c r="D367" s="709"/>
      <c r="E367" s="692"/>
      <c r="F367" s="710"/>
      <c r="G367" s="575"/>
      <c r="H367" s="575"/>
      <c r="I367" s="575"/>
      <c r="J367" s="575"/>
      <c r="K367" s="575"/>
      <c r="L367" s="575"/>
      <c r="M367" s="575"/>
      <c r="N367" s="575"/>
      <c r="O367" s="575"/>
      <c r="P367" s="575"/>
      <c r="Q367" s="575"/>
      <c r="R367" s="575"/>
      <c r="S367" s="575"/>
      <c r="T367" s="575"/>
      <c r="U367" s="575"/>
      <c r="V367" s="575"/>
      <c r="W367" s="575"/>
      <c r="X367" s="575"/>
      <c r="Y367" s="575"/>
      <c r="Z367" s="575"/>
      <c r="AA367" s="575"/>
    </row>
    <row r="368">
      <c r="A368" s="575"/>
      <c r="B368" s="692"/>
      <c r="C368" s="709"/>
      <c r="D368" s="709"/>
      <c r="E368" s="692"/>
      <c r="F368" s="710"/>
      <c r="G368" s="575"/>
      <c r="H368" s="575"/>
      <c r="I368" s="575"/>
      <c r="J368" s="575"/>
      <c r="K368" s="575"/>
      <c r="L368" s="575"/>
      <c r="M368" s="575"/>
      <c r="N368" s="575"/>
      <c r="O368" s="575"/>
      <c r="P368" s="575"/>
      <c r="Q368" s="575"/>
      <c r="R368" s="575"/>
      <c r="S368" s="575"/>
      <c r="T368" s="575"/>
      <c r="U368" s="575"/>
      <c r="V368" s="575"/>
      <c r="W368" s="575"/>
      <c r="X368" s="575"/>
      <c r="Y368" s="575"/>
      <c r="Z368" s="575"/>
      <c r="AA368" s="575"/>
    </row>
    <row r="369">
      <c r="A369" s="575"/>
      <c r="B369" s="692"/>
      <c r="C369" s="709"/>
      <c r="D369" s="709"/>
      <c r="E369" s="692"/>
      <c r="F369" s="710"/>
      <c r="G369" s="575"/>
      <c r="H369" s="575"/>
      <c r="I369" s="575"/>
      <c r="J369" s="575"/>
      <c r="K369" s="575"/>
      <c r="L369" s="575"/>
      <c r="M369" s="575"/>
      <c r="N369" s="575"/>
      <c r="O369" s="575"/>
      <c r="P369" s="575"/>
      <c r="Q369" s="575"/>
      <c r="R369" s="575"/>
      <c r="S369" s="575"/>
      <c r="T369" s="575"/>
      <c r="U369" s="575"/>
      <c r="V369" s="575"/>
      <c r="W369" s="575"/>
      <c r="X369" s="575"/>
      <c r="Y369" s="575"/>
      <c r="Z369" s="575"/>
      <c r="AA369" s="575"/>
    </row>
    <row r="370">
      <c r="A370" s="575"/>
      <c r="B370" s="692"/>
      <c r="C370" s="709"/>
      <c r="D370" s="709"/>
      <c r="E370" s="692"/>
      <c r="F370" s="710"/>
      <c r="G370" s="575"/>
      <c r="H370" s="575"/>
      <c r="I370" s="575"/>
      <c r="J370" s="575"/>
      <c r="K370" s="575"/>
      <c r="L370" s="575"/>
      <c r="M370" s="575"/>
      <c r="N370" s="575"/>
      <c r="O370" s="575"/>
      <c r="P370" s="575"/>
      <c r="Q370" s="575"/>
      <c r="R370" s="575"/>
      <c r="S370" s="575"/>
      <c r="T370" s="575"/>
      <c r="U370" s="575"/>
      <c r="V370" s="575"/>
      <c r="W370" s="575"/>
      <c r="X370" s="575"/>
      <c r="Y370" s="575"/>
      <c r="Z370" s="575"/>
      <c r="AA370" s="575"/>
    </row>
    <row r="371">
      <c r="A371" s="575"/>
      <c r="B371" s="692"/>
      <c r="C371" s="709"/>
      <c r="D371" s="709"/>
      <c r="E371" s="692"/>
      <c r="F371" s="710"/>
      <c r="G371" s="575"/>
      <c r="H371" s="575"/>
      <c r="I371" s="575"/>
      <c r="J371" s="575"/>
      <c r="K371" s="575"/>
      <c r="L371" s="575"/>
      <c r="M371" s="575"/>
      <c r="N371" s="575"/>
      <c r="O371" s="575"/>
      <c r="P371" s="575"/>
      <c r="Q371" s="575"/>
      <c r="R371" s="575"/>
      <c r="S371" s="575"/>
      <c r="T371" s="575"/>
      <c r="U371" s="575"/>
      <c r="V371" s="575"/>
      <c r="W371" s="575"/>
      <c r="X371" s="575"/>
      <c r="Y371" s="575"/>
      <c r="Z371" s="575"/>
      <c r="AA371" s="575"/>
    </row>
    <row r="372">
      <c r="A372" s="575"/>
      <c r="B372" s="692"/>
      <c r="C372" s="709"/>
      <c r="D372" s="709"/>
      <c r="E372" s="692"/>
      <c r="F372" s="710"/>
      <c r="G372" s="575"/>
      <c r="H372" s="575"/>
      <c r="I372" s="575"/>
      <c r="J372" s="575"/>
      <c r="K372" s="575"/>
      <c r="L372" s="575"/>
      <c r="M372" s="575"/>
      <c r="N372" s="575"/>
      <c r="O372" s="575"/>
      <c r="P372" s="575"/>
      <c r="Q372" s="575"/>
      <c r="R372" s="575"/>
      <c r="S372" s="575"/>
      <c r="T372" s="575"/>
      <c r="U372" s="575"/>
      <c r="V372" s="575"/>
      <c r="W372" s="575"/>
      <c r="X372" s="575"/>
      <c r="Y372" s="575"/>
      <c r="Z372" s="575"/>
      <c r="AA372" s="575"/>
    </row>
    <row r="373">
      <c r="A373" s="575"/>
      <c r="B373" s="692"/>
      <c r="C373" s="709"/>
      <c r="D373" s="709"/>
      <c r="E373" s="692"/>
      <c r="F373" s="710"/>
      <c r="G373" s="575"/>
      <c r="H373" s="575"/>
      <c r="I373" s="575"/>
      <c r="J373" s="575"/>
      <c r="K373" s="575"/>
      <c r="L373" s="575"/>
      <c r="M373" s="575"/>
      <c r="N373" s="575"/>
      <c r="O373" s="575"/>
      <c r="P373" s="575"/>
      <c r="Q373" s="575"/>
      <c r="R373" s="575"/>
      <c r="S373" s="575"/>
      <c r="T373" s="575"/>
      <c r="U373" s="575"/>
      <c r="V373" s="575"/>
      <c r="W373" s="575"/>
      <c r="X373" s="575"/>
      <c r="Y373" s="575"/>
      <c r="Z373" s="575"/>
      <c r="AA373" s="575"/>
    </row>
    <row r="374">
      <c r="A374" s="575"/>
      <c r="B374" s="692"/>
      <c r="C374" s="709"/>
      <c r="D374" s="709"/>
      <c r="E374" s="692"/>
      <c r="F374" s="710"/>
      <c r="G374" s="575"/>
      <c r="H374" s="575"/>
      <c r="I374" s="575"/>
      <c r="J374" s="575"/>
      <c r="K374" s="575"/>
      <c r="L374" s="575"/>
      <c r="M374" s="575"/>
      <c r="N374" s="575"/>
      <c r="O374" s="575"/>
      <c r="P374" s="575"/>
      <c r="Q374" s="575"/>
      <c r="R374" s="575"/>
      <c r="S374" s="575"/>
      <c r="T374" s="575"/>
      <c r="U374" s="575"/>
      <c r="V374" s="575"/>
      <c r="W374" s="575"/>
      <c r="X374" s="575"/>
      <c r="Y374" s="575"/>
      <c r="Z374" s="575"/>
      <c r="AA374" s="575"/>
    </row>
    <row r="375">
      <c r="A375" s="575"/>
      <c r="B375" s="692"/>
      <c r="C375" s="709"/>
      <c r="D375" s="709"/>
      <c r="E375" s="692"/>
      <c r="F375" s="710"/>
      <c r="G375" s="575"/>
      <c r="H375" s="575"/>
      <c r="I375" s="575"/>
      <c r="J375" s="575"/>
      <c r="K375" s="575"/>
      <c r="L375" s="575"/>
      <c r="M375" s="575"/>
      <c r="N375" s="575"/>
      <c r="O375" s="575"/>
      <c r="P375" s="575"/>
      <c r="Q375" s="575"/>
      <c r="R375" s="575"/>
      <c r="S375" s="575"/>
      <c r="T375" s="575"/>
      <c r="U375" s="575"/>
      <c r="V375" s="575"/>
      <c r="W375" s="575"/>
      <c r="X375" s="575"/>
      <c r="Y375" s="575"/>
      <c r="Z375" s="575"/>
      <c r="AA375" s="575"/>
    </row>
    <row r="376">
      <c r="A376" s="575"/>
      <c r="B376" s="692"/>
      <c r="C376" s="709"/>
      <c r="D376" s="709"/>
      <c r="E376" s="692"/>
      <c r="F376" s="710"/>
      <c r="G376" s="575"/>
      <c r="H376" s="575"/>
      <c r="I376" s="575"/>
      <c r="J376" s="575"/>
      <c r="K376" s="575"/>
      <c r="L376" s="575"/>
      <c r="M376" s="575"/>
      <c r="N376" s="575"/>
      <c r="O376" s="575"/>
      <c r="P376" s="575"/>
      <c r="Q376" s="575"/>
      <c r="R376" s="575"/>
      <c r="S376" s="575"/>
      <c r="T376" s="575"/>
      <c r="U376" s="575"/>
      <c r="V376" s="575"/>
      <c r="W376" s="575"/>
      <c r="X376" s="575"/>
      <c r="Y376" s="575"/>
      <c r="Z376" s="575"/>
      <c r="AA376" s="575"/>
    </row>
    <row r="377">
      <c r="A377" s="575"/>
      <c r="B377" s="692"/>
      <c r="C377" s="709"/>
      <c r="D377" s="709"/>
      <c r="E377" s="692"/>
      <c r="F377" s="710"/>
      <c r="G377" s="575"/>
      <c r="H377" s="575"/>
      <c r="I377" s="575"/>
      <c r="J377" s="575"/>
      <c r="K377" s="575"/>
      <c r="L377" s="575"/>
      <c r="M377" s="575"/>
      <c r="N377" s="575"/>
      <c r="O377" s="575"/>
      <c r="P377" s="575"/>
      <c r="Q377" s="575"/>
      <c r="R377" s="575"/>
      <c r="S377" s="575"/>
      <c r="T377" s="575"/>
      <c r="U377" s="575"/>
      <c r="V377" s="575"/>
      <c r="W377" s="575"/>
      <c r="X377" s="575"/>
      <c r="Y377" s="575"/>
      <c r="Z377" s="575"/>
      <c r="AA377" s="575"/>
    </row>
    <row r="378">
      <c r="A378" s="575"/>
      <c r="B378" s="692"/>
      <c r="C378" s="709"/>
      <c r="D378" s="709"/>
      <c r="E378" s="692"/>
      <c r="F378" s="710"/>
      <c r="G378" s="575"/>
      <c r="H378" s="575"/>
      <c r="I378" s="575"/>
      <c r="J378" s="575"/>
      <c r="K378" s="575"/>
      <c r="L378" s="575"/>
      <c r="M378" s="575"/>
      <c r="N378" s="575"/>
      <c r="O378" s="575"/>
      <c r="P378" s="575"/>
      <c r="Q378" s="575"/>
      <c r="R378" s="575"/>
      <c r="S378" s="575"/>
      <c r="T378" s="575"/>
      <c r="U378" s="575"/>
      <c r="V378" s="575"/>
      <c r="W378" s="575"/>
      <c r="X378" s="575"/>
      <c r="Y378" s="575"/>
      <c r="Z378" s="575"/>
      <c r="AA378" s="575"/>
    </row>
    <row r="379">
      <c r="A379" s="575"/>
      <c r="B379" s="692"/>
      <c r="C379" s="709"/>
      <c r="D379" s="709"/>
      <c r="E379" s="692"/>
      <c r="F379" s="710"/>
      <c r="G379" s="575"/>
      <c r="H379" s="575"/>
      <c r="I379" s="575"/>
      <c r="J379" s="575"/>
      <c r="K379" s="575"/>
      <c r="L379" s="575"/>
      <c r="M379" s="575"/>
      <c r="N379" s="575"/>
      <c r="O379" s="575"/>
      <c r="P379" s="575"/>
      <c r="Q379" s="575"/>
      <c r="R379" s="575"/>
      <c r="S379" s="575"/>
      <c r="T379" s="575"/>
      <c r="U379" s="575"/>
      <c r="V379" s="575"/>
      <c r="W379" s="575"/>
      <c r="X379" s="575"/>
      <c r="Y379" s="575"/>
      <c r="Z379" s="575"/>
      <c r="AA379" s="575"/>
    </row>
    <row r="380">
      <c r="A380" s="575"/>
      <c r="B380" s="692"/>
      <c r="C380" s="709"/>
      <c r="D380" s="709"/>
      <c r="E380" s="692"/>
      <c r="F380" s="710"/>
      <c r="G380" s="575"/>
      <c r="H380" s="575"/>
      <c r="I380" s="575"/>
      <c r="J380" s="575"/>
      <c r="K380" s="575"/>
      <c r="L380" s="575"/>
      <c r="M380" s="575"/>
      <c r="N380" s="575"/>
      <c r="O380" s="575"/>
      <c r="P380" s="575"/>
      <c r="Q380" s="575"/>
      <c r="R380" s="575"/>
      <c r="S380" s="575"/>
      <c r="T380" s="575"/>
      <c r="U380" s="575"/>
      <c r="V380" s="575"/>
      <c r="W380" s="575"/>
      <c r="X380" s="575"/>
      <c r="Y380" s="575"/>
      <c r="Z380" s="575"/>
      <c r="AA380" s="575"/>
    </row>
    <row r="381">
      <c r="A381" s="575"/>
      <c r="B381" s="692"/>
      <c r="C381" s="709"/>
      <c r="D381" s="709"/>
      <c r="E381" s="692"/>
      <c r="F381" s="710"/>
      <c r="G381" s="575"/>
      <c r="H381" s="575"/>
      <c r="I381" s="575"/>
      <c r="J381" s="575"/>
      <c r="K381" s="575"/>
      <c r="L381" s="575"/>
      <c r="M381" s="575"/>
      <c r="N381" s="575"/>
      <c r="O381" s="575"/>
      <c r="P381" s="575"/>
      <c r="Q381" s="575"/>
      <c r="R381" s="575"/>
      <c r="S381" s="575"/>
      <c r="T381" s="575"/>
      <c r="U381" s="575"/>
      <c r="V381" s="575"/>
      <c r="W381" s="575"/>
      <c r="X381" s="575"/>
      <c r="Y381" s="575"/>
      <c r="Z381" s="575"/>
      <c r="AA381" s="575"/>
    </row>
    <row r="382">
      <c r="A382" s="575"/>
      <c r="B382" s="692"/>
      <c r="C382" s="709"/>
      <c r="D382" s="709"/>
      <c r="E382" s="692"/>
      <c r="F382" s="710"/>
      <c r="G382" s="575"/>
      <c r="H382" s="575"/>
      <c r="I382" s="575"/>
      <c r="J382" s="575"/>
      <c r="K382" s="575"/>
      <c r="L382" s="575"/>
      <c r="M382" s="575"/>
      <c r="N382" s="575"/>
      <c r="O382" s="575"/>
      <c r="P382" s="575"/>
      <c r="Q382" s="575"/>
      <c r="R382" s="575"/>
      <c r="S382" s="575"/>
      <c r="T382" s="575"/>
      <c r="U382" s="575"/>
      <c r="V382" s="575"/>
      <c r="W382" s="575"/>
      <c r="X382" s="575"/>
      <c r="Y382" s="575"/>
      <c r="Z382" s="575"/>
      <c r="AA382" s="575"/>
    </row>
    <row r="383">
      <c r="A383" s="575"/>
      <c r="B383" s="692"/>
      <c r="C383" s="709"/>
      <c r="D383" s="709"/>
      <c r="E383" s="692"/>
      <c r="F383" s="710"/>
      <c r="G383" s="575"/>
      <c r="H383" s="575"/>
      <c r="I383" s="575"/>
      <c r="J383" s="575"/>
      <c r="K383" s="575"/>
      <c r="L383" s="575"/>
      <c r="M383" s="575"/>
      <c r="N383" s="575"/>
      <c r="O383" s="575"/>
      <c r="P383" s="575"/>
      <c r="Q383" s="575"/>
      <c r="R383" s="575"/>
      <c r="S383" s="575"/>
      <c r="T383" s="575"/>
      <c r="U383" s="575"/>
      <c r="V383" s="575"/>
      <c r="W383" s="575"/>
      <c r="X383" s="575"/>
      <c r="Y383" s="575"/>
      <c r="Z383" s="575"/>
      <c r="AA383" s="575"/>
    </row>
    <row r="384">
      <c r="A384" s="575"/>
      <c r="B384" s="692"/>
      <c r="C384" s="709"/>
      <c r="D384" s="709"/>
      <c r="E384" s="692"/>
      <c r="F384" s="710"/>
      <c r="G384" s="575"/>
      <c r="H384" s="575"/>
      <c r="I384" s="575"/>
      <c r="J384" s="575"/>
      <c r="K384" s="575"/>
      <c r="L384" s="575"/>
      <c r="M384" s="575"/>
      <c r="N384" s="575"/>
      <c r="O384" s="575"/>
      <c r="P384" s="575"/>
      <c r="Q384" s="575"/>
      <c r="R384" s="575"/>
      <c r="S384" s="575"/>
      <c r="T384" s="575"/>
      <c r="U384" s="575"/>
      <c r="V384" s="575"/>
      <c r="W384" s="575"/>
      <c r="X384" s="575"/>
      <c r="Y384" s="575"/>
      <c r="Z384" s="575"/>
      <c r="AA384" s="575"/>
    </row>
    <row r="385">
      <c r="A385" s="575"/>
      <c r="B385" s="692"/>
      <c r="C385" s="709"/>
      <c r="D385" s="709"/>
      <c r="E385" s="692"/>
      <c r="F385" s="710"/>
      <c r="G385" s="575"/>
      <c r="H385" s="575"/>
      <c r="I385" s="575"/>
      <c r="J385" s="575"/>
      <c r="K385" s="575"/>
      <c r="L385" s="575"/>
      <c r="M385" s="575"/>
      <c r="N385" s="575"/>
      <c r="O385" s="575"/>
      <c r="P385" s="575"/>
      <c r="Q385" s="575"/>
      <c r="R385" s="575"/>
      <c r="S385" s="575"/>
      <c r="T385" s="575"/>
      <c r="U385" s="575"/>
      <c r="V385" s="575"/>
      <c r="W385" s="575"/>
      <c r="X385" s="575"/>
      <c r="Y385" s="575"/>
      <c r="Z385" s="575"/>
      <c r="AA385" s="575"/>
    </row>
    <row r="386">
      <c r="A386" s="575"/>
      <c r="B386" s="692"/>
      <c r="C386" s="709"/>
      <c r="D386" s="709"/>
      <c r="E386" s="692"/>
      <c r="F386" s="710"/>
      <c r="G386" s="575"/>
      <c r="H386" s="575"/>
      <c r="I386" s="575"/>
      <c r="J386" s="575"/>
      <c r="K386" s="575"/>
      <c r="L386" s="575"/>
      <c r="M386" s="575"/>
      <c r="N386" s="575"/>
      <c r="O386" s="575"/>
      <c r="P386" s="575"/>
      <c r="Q386" s="575"/>
      <c r="R386" s="575"/>
      <c r="S386" s="575"/>
      <c r="T386" s="575"/>
      <c r="U386" s="575"/>
      <c r="V386" s="575"/>
      <c r="W386" s="575"/>
      <c r="X386" s="575"/>
      <c r="Y386" s="575"/>
      <c r="Z386" s="575"/>
      <c r="AA386" s="575"/>
    </row>
    <row r="387">
      <c r="A387" s="575"/>
      <c r="B387" s="692"/>
      <c r="C387" s="709"/>
      <c r="D387" s="709"/>
      <c r="E387" s="692"/>
      <c r="F387" s="710"/>
      <c r="G387" s="575"/>
      <c r="H387" s="575"/>
      <c r="I387" s="575"/>
      <c r="J387" s="575"/>
      <c r="K387" s="575"/>
      <c r="L387" s="575"/>
      <c r="M387" s="575"/>
      <c r="N387" s="575"/>
      <c r="O387" s="575"/>
      <c r="P387" s="575"/>
      <c r="Q387" s="575"/>
      <c r="R387" s="575"/>
      <c r="S387" s="575"/>
      <c r="T387" s="575"/>
      <c r="U387" s="575"/>
      <c r="V387" s="575"/>
      <c r="W387" s="575"/>
      <c r="X387" s="575"/>
      <c r="Y387" s="575"/>
      <c r="Z387" s="575"/>
      <c r="AA387" s="575"/>
    </row>
    <row r="388">
      <c r="A388" s="575"/>
      <c r="B388" s="692"/>
      <c r="C388" s="709"/>
      <c r="D388" s="709"/>
      <c r="E388" s="692"/>
      <c r="F388" s="710"/>
      <c r="G388" s="575"/>
      <c r="H388" s="575"/>
      <c r="I388" s="575"/>
      <c r="J388" s="575"/>
      <c r="K388" s="575"/>
      <c r="L388" s="575"/>
      <c r="M388" s="575"/>
      <c r="N388" s="575"/>
      <c r="O388" s="575"/>
      <c r="P388" s="575"/>
      <c r="Q388" s="575"/>
      <c r="R388" s="575"/>
      <c r="S388" s="575"/>
      <c r="T388" s="575"/>
      <c r="U388" s="575"/>
      <c r="V388" s="575"/>
      <c r="W388" s="575"/>
      <c r="X388" s="575"/>
      <c r="Y388" s="575"/>
      <c r="Z388" s="575"/>
      <c r="AA388" s="575"/>
    </row>
    <row r="389">
      <c r="A389" s="575"/>
      <c r="B389" s="692"/>
      <c r="C389" s="709"/>
      <c r="D389" s="709"/>
      <c r="E389" s="692"/>
      <c r="F389" s="710"/>
      <c r="G389" s="575"/>
      <c r="H389" s="575"/>
      <c r="I389" s="575"/>
      <c r="J389" s="575"/>
      <c r="K389" s="575"/>
      <c r="L389" s="575"/>
      <c r="M389" s="575"/>
      <c r="N389" s="575"/>
      <c r="O389" s="575"/>
      <c r="P389" s="575"/>
      <c r="Q389" s="575"/>
      <c r="R389" s="575"/>
      <c r="S389" s="575"/>
      <c r="T389" s="575"/>
      <c r="U389" s="575"/>
      <c r="V389" s="575"/>
      <c r="W389" s="575"/>
      <c r="X389" s="575"/>
      <c r="Y389" s="575"/>
      <c r="Z389" s="575"/>
      <c r="AA389" s="575"/>
    </row>
    <row r="390">
      <c r="A390" s="575"/>
      <c r="B390" s="692"/>
      <c r="C390" s="709"/>
      <c r="D390" s="709"/>
      <c r="E390" s="692"/>
      <c r="F390" s="710"/>
      <c r="G390" s="575"/>
      <c r="H390" s="575"/>
      <c r="I390" s="575"/>
      <c r="J390" s="575"/>
      <c r="K390" s="575"/>
      <c r="L390" s="575"/>
      <c r="M390" s="575"/>
      <c r="N390" s="575"/>
      <c r="O390" s="575"/>
      <c r="P390" s="575"/>
      <c r="Q390" s="575"/>
      <c r="R390" s="575"/>
      <c r="S390" s="575"/>
      <c r="T390" s="575"/>
      <c r="U390" s="575"/>
      <c r="V390" s="575"/>
      <c r="W390" s="575"/>
      <c r="X390" s="575"/>
      <c r="Y390" s="575"/>
      <c r="Z390" s="575"/>
      <c r="AA390" s="575"/>
    </row>
    <row r="391">
      <c r="A391" s="575"/>
      <c r="B391" s="692"/>
      <c r="C391" s="709"/>
      <c r="D391" s="709"/>
      <c r="E391" s="692"/>
      <c r="F391" s="710"/>
      <c r="G391" s="575"/>
      <c r="H391" s="575"/>
      <c r="I391" s="575"/>
      <c r="J391" s="575"/>
      <c r="K391" s="575"/>
      <c r="L391" s="575"/>
      <c r="M391" s="575"/>
      <c r="N391" s="575"/>
      <c r="O391" s="575"/>
      <c r="P391" s="575"/>
      <c r="Q391" s="575"/>
      <c r="R391" s="575"/>
      <c r="S391" s="575"/>
      <c r="T391" s="575"/>
      <c r="U391" s="575"/>
      <c r="V391" s="575"/>
      <c r="W391" s="575"/>
      <c r="X391" s="575"/>
      <c r="Y391" s="575"/>
      <c r="Z391" s="575"/>
      <c r="AA391" s="575"/>
    </row>
    <row r="392">
      <c r="A392" s="575"/>
      <c r="B392" s="692"/>
      <c r="C392" s="709"/>
      <c r="D392" s="709"/>
      <c r="E392" s="692"/>
      <c r="F392" s="710"/>
      <c r="G392" s="575"/>
      <c r="H392" s="575"/>
      <c r="I392" s="575"/>
      <c r="J392" s="575"/>
      <c r="K392" s="575"/>
      <c r="L392" s="575"/>
      <c r="M392" s="575"/>
      <c r="N392" s="575"/>
      <c r="O392" s="575"/>
      <c r="P392" s="575"/>
      <c r="Q392" s="575"/>
      <c r="R392" s="575"/>
      <c r="S392" s="575"/>
      <c r="T392" s="575"/>
      <c r="U392" s="575"/>
      <c r="V392" s="575"/>
      <c r="W392" s="575"/>
      <c r="X392" s="575"/>
      <c r="Y392" s="575"/>
      <c r="Z392" s="575"/>
      <c r="AA392" s="575"/>
    </row>
    <row r="393">
      <c r="A393" s="575"/>
      <c r="B393" s="692"/>
      <c r="C393" s="709"/>
      <c r="D393" s="709"/>
      <c r="E393" s="692"/>
      <c r="F393" s="710"/>
      <c r="G393" s="575"/>
      <c r="H393" s="575"/>
      <c r="I393" s="575"/>
      <c r="J393" s="575"/>
      <c r="K393" s="575"/>
      <c r="L393" s="575"/>
      <c r="M393" s="575"/>
      <c r="N393" s="575"/>
      <c r="O393" s="575"/>
      <c r="P393" s="575"/>
      <c r="Q393" s="575"/>
      <c r="R393" s="575"/>
      <c r="S393" s="575"/>
      <c r="T393" s="575"/>
      <c r="U393" s="575"/>
      <c r="V393" s="575"/>
      <c r="W393" s="575"/>
      <c r="X393" s="575"/>
      <c r="Y393" s="575"/>
      <c r="Z393" s="575"/>
      <c r="AA393" s="575"/>
    </row>
    <row r="394">
      <c r="A394" s="575"/>
      <c r="B394" s="692"/>
      <c r="C394" s="709"/>
      <c r="D394" s="709"/>
      <c r="E394" s="692"/>
      <c r="F394" s="710"/>
      <c r="G394" s="575"/>
      <c r="H394" s="575"/>
      <c r="I394" s="575"/>
      <c r="J394" s="575"/>
      <c r="K394" s="575"/>
      <c r="L394" s="575"/>
      <c r="M394" s="575"/>
      <c r="N394" s="575"/>
      <c r="O394" s="575"/>
      <c r="P394" s="575"/>
      <c r="Q394" s="575"/>
      <c r="R394" s="575"/>
      <c r="S394" s="575"/>
      <c r="T394" s="575"/>
      <c r="U394" s="575"/>
      <c r="V394" s="575"/>
      <c r="W394" s="575"/>
      <c r="X394" s="575"/>
      <c r="Y394" s="575"/>
      <c r="Z394" s="575"/>
      <c r="AA394" s="575"/>
    </row>
    <row r="395">
      <c r="A395" s="575"/>
      <c r="B395" s="692"/>
      <c r="C395" s="709"/>
      <c r="D395" s="709"/>
      <c r="E395" s="692"/>
      <c r="F395" s="710"/>
      <c r="G395" s="575"/>
      <c r="H395" s="575"/>
      <c r="I395" s="575"/>
      <c r="J395" s="575"/>
      <c r="K395" s="575"/>
      <c r="L395" s="575"/>
      <c r="M395" s="575"/>
      <c r="N395" s="575"/>
      <c r="O395" s="575"/>
      <c r="P395" s="575"/>
      <c r="Q395" s="575"/>
      <c r="R395" s="575"/>
      <c r="S395" s="575"/>
      <c r="T395" s="575"/>
      <c r="U395" s="575"/>
      <c r="V395" s="575"/>
      <c r="W395" s="575"/>
      <c r="X395" s="575"/>
      <c r="Y395" s="575"/>
      <c r="Z395" s="575"/>
      <c r="AA395" s="575"/>
    </row>
    <row r="396">
      <c r="A396" s="575"/>
      <c r="B396" s="692"/>
      <c r="C396" s="709"/>
      <c r="D396" s="709"/>
      <c r="E396" s="692"/>
      <c r="F396" s="710"/>
      <c r="G396" s="575"/>
      <c r="H396" s="575"/>
      <c r="I396" s="575"/>
      <c r="J396" s="575"/>
      <c r="K396" s="575"/>
      <c r="L396" s="575"/>
      <c r="M396" s="575"/>
      <c r="N396" s="575"/>
      <c r="O396" s="575"/>
      <c r="P396" s="575"/>
      <c r="Q396" s="575"/>
      <c r="R396" s="575"/>
      <c r="S396" s="575"/>
      <c r="T396" s="575"/>
      <c r="U396" s="575"/>
      <c r="V396" s="575"/>
      <c r="W396" s="575"/>
      <c r="X396" s="575"/>
      <c r="Y396" s="575"/>
      <c r="Z396" s="575"/>
      <c r="AA396" s="575"/>
    </row>
    <row r="397">
      <c r="A397" s="575"/>
      <c r="B397" s="692"/>
      <c r="C397" s="709"/>
      <c r="D397" s="709"/>
      <c r="E397" s="692"/>
      <c r="F397" s="710"/>
      <c r="G397" s="575"/>
      <c r="H397" s="575"/>
      <c r="I397" s="575"/>
      <c r="J397" s="575"/>
      <c r="K397" s="575"/>
      <c r="L397" s="575"/>
      <c r="M397" s="575"/>
      <c r="N397" s="575"/>
      <c r="O397" s="575"/>
      <c r="P397" s="575"/>
      <c r="Q397" s="575"/>
      <c r="R397" s="575"/>
      <c r="S397" s="575"/>
      <c r="T397" s="575"/>
      <c r="U397" s="575"/>
      <c r="V397" s="575"/>
      <c r="W397" s="575"/>
      <c r="X397" s="575"/>
      <c r="Y397" s="575"/>
      <c r="Z397" s="575"/>
      <c r="AA397" s="575"/>
    </row>
    <row r="398">
      <c r="A398" s="575"/>
      <c r="B398" s="692"/>
      <c r="C398" s="709"/>
      <c r="D398" s="709"/>
      <c r="E398" s="692"/>
      <c r="F398" s="710"/>
      <c r="G398" s="575"/>
      <c r="H398" s="575"/>
      <c r="I398" s="575"/>
      <c r="J398" s="575"/>
      <c r="K398" s="575"/>
      <c r="L398" s="575"/>
      <c r="M398" s="575"/>
      <c r="N398" s="575"/>
      <c r="O398" s="575"/>
      <c r="P398" s="575"/>
      <c r="Q398" s="575"/>
      <c r="R398" s="575"/>
      <c r="S398" s="575"/>
      <c r="T398" s="575"/>
      <c r="U398" s="575"/>
      <c r="V398" s="575"/>
      <c r="W398" s="575"/>
      <c r="X398" s="575"/>
      <c r="Y398" s="575"/>
      <c r="Z398" s="575"/>
      <c r="AA398" s="575"/>
    </row>
    <row r="399">
      <c r="A399" s="575"/>
      <c r="B399" s="692"/>
      <c r="C399" s="709"/>
      <c r="D399" s="709"/>
      <c r="E399" s="692"/>
      <c r="F399" s="710"/>
      <c r="G399" s="575"/>
      <c r="H399" s="575"/>
      <c r="I399" s="575"/>
      <c r="J399" s="575"/>
      <c r="K399" s="575"/>
      <c r="L399" s="575"/>
      <c r="M399" s="575"/>
      <c r="N399" s="575"/>
      <c r="O399" s="575"/>
      <c r="P399" s="575"/>
      <c r="Q399" s="575"/>
      <c r="R399" s="575"/>
      <c r="S399" s="575"/>
      <c r="T399" s="575"/>
      <c r="U399" s="575"/>
      <c r="V399" s="575"/>
      <c r="W399" s="575"/>
      <c r="X399" s="575"/>
      <c r="Y399" s="575"/>
      <c r="Z399" s="575"/>
      <c r="AA399" s="575"/>
    </row>
    <row r="400">
      <c r="A400" s="575"/>
      <c r="B400" s="692"/>
      <c r="C400" s="709"/>
      <c r="D400" s="709"/>
      <c r="E400" s="692"/>
      <c r="F400" s="710"/>
      <c r="G400" s="575"/>
      <c r="H400" s="575"/>
      <c r="I400" s="575"/>
      <c r="J400" s="575"/>
      <c r="K400" s="575"/>
      <c r="L400" s="575"/>
      <c r="M400" s="575"/>
      <c r="N400" s="575"/>
      <c r="O400" s="575"/>
      <c r="P400" s="575"/>
      <c r="Q400" s="575"/>
      <c r="R400" s="575"/>
      <c r="S400" s="575"/>
      <c r="T400" s="575"/>
      <c r="U400" s="575"/>
      <c r="V400" s="575"/>
      <c r="W400" s="575"/>
      <c r="X400" s="575"/>
      <c r="Y400" s="575"/>
      <c r="Z400" s="575"/>
      <c r="AA400" s="575"/>
    </row>
    <row r="401">
      <c r="A401" s="575"/>
      <c r="B401" s="692"/>
      <c r="C401" s="709"/>
      <c r="D401" s="709"/>
      <c r="E401" s="692"/>
      <c r="F401" s="710"/>
      <c r="G401" s="575"/>
      <c r="H401" s="575"/>
      <c r="I401" s="575"/>
      <c r="J401" s="575"/>
      <c r="K401" s="575"/>
      <c r="L401" s="575"/>
      <c r="M401" s="575"/>
      <c r="N401" s="575"/>
      <c r="O401" s="575"/>
      <c r="P401" s="575"/>
      <c r="Q401" s="575"/>
      <c r="R401" s="575"/>
      <c r="S401" s="575"/>
      <c r="T401" s="575"/>
      <c r="U401" s="575"/>
      <c r="V401" s="575"/>
      <c r="W401" s="575"/>
      <c r="X401" s="575"/>
      <c r="Y401" s="575"/>
      <c r="Z401" s="575"/>
      <c r="AA401" s="575"/>
    </row>
    <row r="402">
      <c r="A402" s="575"/>
      <c r="B402" s="692"/>
      <c r="C402" s="709"/>
      <c r="D402" s="709"/>
      <c r="E402" s="692"/>
      <c r="F402" s="710"/>
      <c r="G402" s="575"/>
      <c r="H402" s="575"/>
      <c r="I402" s="575"/>
      <c r="J402" s="575"/>
      <c r="K402" s="575"/>
      <c r="L402" s="575"/>
      <c r="M402" s="575"/>
      <c r="N402" s="575"/>
      <c r="O402" s="575"/>
      <c r="P402" s="575"/>
      <c r="Q402" s="575"/>
      <c r="R402" s="575"/>
      <c r="S402" s="575"/>
      <c r="T402" s="575"/>
      <c r="U402" s="575"/>
      <c r="V402" s="575"/>
      <c r="W402" s="575"/>
      <c r="X402" s="575"/>
      <c r="Y402" s="575"/>
      <c r="Z402" s="575"/>
      <c r="AA402" s="575"/>
    </row>
    <row r="403">
      <c r="A403" s="575"/>
      <c r="B403" s="692"/>
      <c r="C403" s="709"/>
      <c r="D403" s="709"/>
      <c r="E403" s="692"/>
      <c r="F403" s="710"/>
      <c r="G403" s="575"/>
      <c r="H403" s="575"/>
      <c r="I403" s="575"/>
      <c r="J403" s="575"/>
      <c r="K403" s="575"/>
      <c r="L403" s="575"/>
      <c r="M403" s="575"/>
      <c r="N403" s="575"/>
      <c r="O403" s="575"/>
      <c r="P403" s="575"/>
      <c r="Q403" s="575"/>
      <c r="R403" s="575"/>
      <c r="S403" s="575"/>
      <c r="T403" s="575"/>
      <c r="U403" s="575"/>
      <c r="V403" s="575"/>
      <c r="W403" s="575"/>
      <c r="X403" s="575"/>
      <c r="Y403" s="575"/>
      <c r="Z403" s="575"/>
      <c r="AA403" s="575"/>
    </row>
    <row r="404">
      <c r="A404" s="575"/>
      <c r="B404" s="692"/>
      <c r="C404" s="709"/>
      <c r="D404" s="709"/>
      <c r="E404" s="692"/>
      <c r="F404" s="710"/>
      <c r="G404" s="575"/>
      <c r="H404" s="575"/>
      <c r="I404" s="575"/>
      <c r="J404" s="575"/>
      <c r="K404" s="575"/>
      <c r="L404" s="575"/>
      <c r="M404" s="575"/>
      <c r="N404" s="575"/>
      <c r="O404" s="575"/>
      <c r="P404" s="575"/>
      <c r="Q404" s="575"/>
      <c r="R404" s="575"/>
      <c r="S404" s="575"/>
      <c r="T404" s="575"/>
      <c r="U404" s="575"/>
      <c r="V404" s="575"/>
      <c r="W404" s="575"/>
      <c r="X404" s="575"/>
      <c r="Y404" s="575"/>
      <c r="Z404" s="575"/>
      <c r="AA404" s="575"/>
    </row>
    <row r="405">
      <c r="A405" s="575"/>
      <c r="B405" s="692"/>
      <c r="C405" s="709"/>
      <c r="D405" s="709"/>
      <c r="E405" s="692"/>
      <c r="F405" s="710"/>
      <c r="G405" s="575"/>
      <c r="H405" s="575"/>
      <c r="I405" s="575"/>
      <c r="J405" s="575"/>
      <c r="K405" s="575"/>
      <c r="L405" s="575"/>
      <c r="M405" s="575"/>
      <c r="N405" s="575"/>
      <c r="O405" s="575"/>
      <c r="P405" s="575"/>
      <c r="Q405" s="575"/>
      <c r="R405" s="575"/>
      <c r="S405" s="575"/>
      <c r="T405" s="575"/>
      <c r="U405" s="575"/>
      <c r="V405" s="575"/>
      <c r="W405" s="575"/>
      <c r="X405" s="575"/>
      <c r="Y405" s="575"/>
      <c r="Z405" s="575"/>
      <c r="AA405" s="575"/>
    </row>
    <row r="406">
      <c r="A406" s="575"/>
      <c r="B406" s="692"/>
      <c r="C406" s="709"/>
      <c r="D406" s="709"/>
      <c r="E406" s="692"/>
      <c r="F406" s="710"/>
      <c r="G406" s="575"/>
      <c r="H406" s="575"/>
      <c r="I406" s="575"/>
      <c r="J406" s="575"/>
      <c r="K406" s="575"/>
      <c r="L406" s="575"/>
      <c r="M406" s="575"/>
      <c r="N406" s="575"/>
      <c r="O406" s="575"/>
      <c r="P406" s="575"/>
      <c r="Q406" s="575"/>
      <c r="R406" s="575"/>
      <c r="S406" s="575"/>
      <c r="T406" s="575"/>
      <c r="U406" s="575"/>
      <c r="V406" s="575"/>
      <c r="W406" s="575"/>
      <c r="X406" s="575"/>
      <c r="Y406" s="575"/>
      <c r="Z406" s="575"/>
      <c r="AA406" s="575"/>
    </row>
    <row r="407">
      <c r="A407" s="575"/>
      <c r="B407" s="692"/>
      <c r="C407" s="709"/>
      <c r="D407" s="709"/>
      <c r="E407" s="692"/>
      <c r="F407" s="710"/>
      <c r="G407" s="575"/>
      <c r="H407" s="575"/>
      <c r="I407" s="575"/>
      <c r="J407" s="575"/>
      <c r="K407" s="575"/>
      <c r="L407" s="575"/>
      <c r="M407" s="575"/>
      <c r="N407" s="575"/>
      <c r="O407" s="575"/>
      <c r="P407" s="575"/>
      <c r="Q407" s="575"/>
      <c r="R407" s="575"/>
      <c r="S407" s="575"/>
      <c r="T407" s="575"/>
      <c r="U407" s="575"/>
      <c r="V407" s="575"/>
      <c r="W407" s="575"/>
      <c r="X407" s="575"/>
      <c r="Y407" s="575"/>
      <c r="Z407" s="575"/>
      <c r="AA407" s="575"/>
    </row>
    <row r="408">
      <c r="A408" s="575"/>
      <c r="B408" s="692"/>
      <c r="C408" s="709"/>
      <c r="D408" s="709"/>
      <c r="E408" s="692"/>
      <c r="F408" s="710"/>
      <c r="G408" s="575"/>
      <c r="H408" s="575"/>
      <c r="I408" s="575"/>
      <c r="J408" s="575"/>
      <c r="K408" s="575"/>
      <c r="L408" s="575"/>
      <c r="M408" s="575"/>
      <c r="N408" s="575"/>
      <c r="O408" s="575"/>
      <c r="P408" s="575"/>
      <c r="Q408" s="575"/>
      <c r="R408" s="575"/>
      <c r="S408" s="575"/>
      <c r="T408" s="575"/>
      <c r="U408" s="575"/>
      <c r="V408" s="575"/>
      <c r="W408" s="575"/>
      <c r="X408" s="575"/>
      <c r="Y408" s="575"/>
      <c r="Z408" s="575"/>
      <c r="AA408" s="575"/>
    </row>
    <row r="409">
      <c r="A409" s="575"/>
      <c r="B409" s="692"/>
      <c r="C409" s="709"/>
      <c r="D409" s="709"/>
      <c r="E409" s="692"/>
      <c r="F409" s="710"/>
      <c r="G409" s="575"/>
      <c r="H409" s="575"/>
      <c r="I409" s="575"/>
      <c r="J409" s="575"/>
      <c r="K409" s="575"/>
      <c r="L409" s="575"/>
      <c r="M409" s="575"/>
      <c r="N409" s="575"/>
      <c r="O409" s="575"/>
      <c r="P409" s="575"/>
      <c r="Q409" s="575"/>
      <c r="R409" s="575"/>
      <c r="S409" s="575"/>
      <c r="T409" s="575"/>
      <c r="U409" s="575"/>
      <c r="V409" s="575"/>
      <c r="W409" s="575"/>
      <c r="X409" s="575"/>
      <c r="Y409" s="575"/>
      <c r="Z409" s="575"/>
      <c r="AA409" s="575"/>
    </row>
    <row r="410">
      <c r="A410" s="575"/>
      <c r="B410" s="692"/>
      <c r="C410" s="709"/>
      <c r="D410" s="709"/>
      <c r="E410" s="692"/>
      <c r="F410" s="710"/>
      <c r="G410" s="575"/>
      <c r="H410" s="575"/>
      <c r="I410" s="575"/>
      <c r="J410" s="575"/>
      <c r="K410" s="575"/>
      <c r="L410" s="575"/>
      <c r="M410" s="575"/>
      <c r="N410" s="575"/>
      <c r="O410" s="575"/>
      <c r="P410" s="575"/>
      <c r="Q410" s="575"/>
      <c r="R410" s="575"/>
      <c r="S410" s="575"/>
      <c r="T410" s="575"/>
      <c r="U410" s="575"/>
      <c r="V410" s="575"/>
      <c r="W410" s="575"/>
      <c r="X410" s="575"/>
      <c r="Y410" s="575"/>
      <c r="Z410" s="575"/>
      <c r="AA410" s="575"/>
    </row>
    <row r="411">
      <c r="A411" s="575"/>
      <c r="B411" s="692"/>
      <c r="C411" s="709"/>
      <c r="D411" s="709"/>
      <c r="E411" s="692"/>
      <c r="F411" s="710"/>
      <c r="G411" s="575"/>
      <c r="H411" s="575"/>
      <c r="I411" s="575"/>
      <c r="J411" s="575"/>
      <c r="K411" s="575"/>
      <c r="L411" s="575"/>
      <c r="M411" s="575"/>
      <c r="N411" s="575"/>
      <c r="O411" s="575"/>
      <c r="P411" s="575"/>
      <c r="Q411" s="575"/>
      <c r="R411" s="575"/>
      <c r="S411" s="575"/>
      <c r="T411" s="575"/>
      <c r="U411" s="575"/>
      <c r="V411" s="575"/>
      <c r="W411" s="575"/>
      <c r="X411" s="575"/>
      <c r="Y411" s="575"/>
      <c r="Z411" s="575"/>
      <c r="AA411" s="575"/>
    </row>
    <row r="412">
      <c r="A412" s="575"/>
      <c r="B412" s="692"/>
      <c r="C412" s="709"/>
      <c r="D412" s="709"/>
      <c r="E412" s="692"/>
      <c r="F412" s="710"/>
      <c r="G412" s="575"/>
      <c r="H412" s="575"/>
      <c r="I412" s="575"/>
      <c r="J412" s="575"/>
      <c r="K412" s="575"/>
      <c r="L412" s="575"/>
      <c r="M412" s="575"/>
      <c r="N412" s="575"/>
      <c r="O412" s="575"/>
      <c r="P412" s="575"/>
      <c r="Q412" s="575"/>
      <c r="R412" s="575"/>
      <c r="S412" s="575"/>
      <c r="T412" s="575"/>
      <c r="U412" s="575"/>
      <c r="V412" s="575"/>
      <c r="W412" s="575"/>
      <c r="X412" s="575"/>
      <c r="Y412" s="575"/>
      <c r="Z412" s="575"/>
      <c r="AA412" s="575"/>
    </row>
    <row r="413">
      <c r="A413" s="575"/>
      <c r="B413" s="692"/>
      <c r="C413" s="709"/>
      <c r="D413" s="709"/>
      <c r="E413" s="692"/>
      <c r="F413" s="710"/>
      <c r="G413" s="575"/>
      <c r="H413" s="575"/>
      <c r="I413" s="575"/>
      <c r="J413" s="575"/>
      <c r="K413" s="575"/>
      <c r="L413" s="575"/>
      <c r="M413" s="575"/>
      <c r="N413" s="575"/>
      <c r="O413" s="575"/>
      <c r="P413" s="575"/>
      <c r="Q413" s="575"/>
      <c r="R413" s="575"/>
      <c r="S413" s="575"/>
      <c r="T413" s="575"/>
      <c r="U413" s="575"/>
      <c r="V413" s="575"/>
      <c r="W413" s="575"/>
      <c r="X413" s="575"/>
      <c r="Y413" s="575"/>
      <c r="Z413" s="575"/>
      <c r="AA413" s="575"/>
    </row>
    <row r="414">
      <c r="A414" s="575"/>
      <c r="B414" s="692"/>
      <c r="C414" s="709"/>
      <c r="D414" s="709"/>
      <c r="E414" s="692"/>
      <c r="F414" s="710"/>
      <c r="G414" s="575"/>
      <c r="H414" s="575"/>
      <c r="I414" s="575"/>
      <c r="J414" s="575"/>
      <c r="K414" s="575"/>
      <c r="L414" s="575"/>
      <c r="M414" s="575"/>
      <c r="N414" s="575"/>
      <c r="O414" s="575"/>
      <c r="P414" s="575"/>
      <c r="Q414" s="575"/>
      <c r="R414" s="575"/>
      <c r="S414" s="575"/>
      <c r="T414" s="575"/>
      <c r="U414" s="575"/>
      <c r="V414" s="575"/>
      <c r="W414" s="575"/>
      <c r="X414" s="575"/>
      <c r="Y414" s="575"/>
      <c r="Z414" s="575"/>
      <c r="AA414" s="575"/>
    </row>
    <row r="415">
      <c r="A415" s="575"/>
      <c r="B415" s="692"/>
      <c r="C415" s="709"/>
      <c r="D415" s="709"/>
      <c r="E415" s="692"/>
      <c r="F415" s="710"/>
      <c r="G415" s="575"/>
      <c r="H415" s="575"/>
      <c r="I415" s="575"/>
      <c r="J415" s="575"/>
      <c r="K415" s="575"/>
      <c r="L415" s="575"/>
      <c r="M415" s="575"/>
      <c r="N415" s="575"/>
      <c r="O415" s="575"/>
      <c r="P415" s="575"/>
      <c r="Q415" s="575"/>
      <c r="R415" s="575"/>
      <c r="S415" s="575"/>
      <c r="T415" s="575"/>
      <c r="U415" s="575"/>
      <c r="V415" s="575"/>
      <c r="W415" s="575"/>
      <c r="X415" s="575"/>
      <c r="Y415" s="575"/>
      <c r="Z415" s="575"/>
      <c r="AA415" s="575"/>
    </row>
    <row r="416">
      <c r="A416" s="575"/>
      <c r="B416" s="692"/>
      <c r="C416" s="709"/>
      <c r="D416" s="709"/>
      <c r="E416" s="692"/>
      <c r="F416" s="710"/>
      <c r="G416" s="575"/>
      <c r="H416" s="575"/>
      <c r="I416" s="575"/>
      <c r="J416" s="575"/>
      <c r="K416" s="575"/>
      <c r="L416" s="575"/>
      <c r="M416" s="575"/>
      <c r="N416" s="575"/>
      <c r="O416" s="575"/>
      <c r="P416" s="575"/>
      <c r="Q416" s="575"/>
      <c r="R416" s="575"/>
      <c r="S416" s="575"/>
      <c r="T416" s="575"/>
      <c r="U416" s="575"/>
      <c r="V416" s="575"/>
      <c r="W416" s="575"/>
      <c r="X416" s="575"/>
      <c r="Y416" s="575"/>
      <c r="Z416" s="575"/>
      <c r="AA416" s="575"/>
    </row>
    <row r="417">
      <c r="A417" s="575"/>
      <c r="B417" s="692"/>
      <c r="C417" s="709"/>
      <c r="D417" s="709"/>
      <c r="E417" s="692"/>
      <c r="F417" s="710"/>
      <c r="G417" s="575"/>
      <c r="H417" s="575"/>
      <c r="I417" s="575"/>
      <c r="J417" s="575"/>
      <c r="K417" s="575"/>
      <c r="L417" s="575"/>
      <c r="M417" s="575"/>
      <c r="N417" s="575"/>
      <c r="O417" s="575"/>
      <c r="P417" s="575"/>
      <c r="Q417" s="575"/>
      <c r="R417" s="575"/>
      <c r="S417" s="575"/>
      <c r="T417" s="575"/>
      <c r="U417" s="575"/>
      <c r="V417" s="575"/>
      <c r="W417" s="575"/>
      <c r="X417" s="575"/>
      <c r="Y417" s="575"/>
      <c r="Z417" s="575"/>
      <c r="AA417" s="575"/>
    </row>
    <row r="418">
      <c r="A418" s="575"/>
      <c r="B418" s="692"/>
      <c r="C418" s="709"/>
      <c r="D418" s="709"/>
      <c r="E418" s="692"/>
      <c r="F418" s="710"/>
      <c r="G418" s="575"/>
      <c r="H418" s="575"/>
      <c r="I418" s="575"/>
      <c r="J418" s="575"/>
      <c r="K418" s="575"/>
      <c r="L418" s="575"/>
      <c r="M418" s="575"/>
      <c r="N418" s="575"/>
      <c r="O418" s="575"/>
      <c r="P418" s="575"/>
      <c r="Q418" s="575"/>
      <c r="R418" s="575"/>
      <c r="S418" s="575"/>
      <c r="T418" s="575"/>
      <c r="U418" s="575"/>
      <c r="V418" s="575"/>
      <c r="W418" s="575"/>
      <c r="X418" s="575"/>
      <c r="Y418" s="575"/>
      <c r="Z418" s="575"/>
      <c r="AA418" s="575"/>
    </row>
    <row r="419">
      <c r="A419" s="575"/>
      <c r="B419" s="692"/>
      <c r="C419" s="709"/>
      <c r="D419" s="709"/>
      <c r="E419" s="692"/>
      <c r="F419" s="710"/>
      <c r="G419" s="575"/>
      <c r="H419" s="575"/>
      <c r="I419" s="575"/>
      <c r="J419" s="575"/>
      <c r="K419" s="575"/>
      <c r="L419" s="575"/>
      <c r="M419" s="575"/>
      <c r="N419" s="575"/>
      <c r="O419" s="575"/>
      <c r="P419" s="575"/>
      <c r="Q419" s="575"/>
      <c r="R419" s="575"/>
      <c r="S419" s="575"/>
      <c r="T419" s="575"/>
      <c r="U419" s="575"/>
      <c r="V419" s="575"/>
      <c r="W419" s="575"/>
      <c r="X419" s="575"/>
      <c r="Y419" s="575"/>
      <c r="Z419" s="575"/>
      <c r="AA419" s="575"/>
    </row>
    <row r="420">
      <c r="A420" s="575"/>
      <c r="B420" s="692"/>
      <c r="C420" s="709"/>
      <c r="D420" s="709"/>
      <c r="E420" s="692"/>
      <c r="F420" s="710"/>
      <c r="G420" s="575"/>
      <c r="H420" s="575"/>
      <c r="I420" s="575"/>
      <c r="J420" s="575"/>
      <c r="K420" s="575"/>
      <c r="L420" s="575"/>
      <c r="M420" s="575"/>
      <c r="N420" s="575"/>
      <c r="O420" s="575"/>
      <c r="P420" s="575"/>
      <c r="Q420" s="575"/>
      <c r="R420" s="575"/>
      <c r="S420" s="575"/>
      <c r="T420" s="575"/>
      <c r="U420" s="575"/>
      <c r="V420" s="575"/>
      <c r="W420" s="575"/>
      <c r="X420" s="575"/>
      <c r="Y420" s="575"/>
      <c r="Z420" s="575"/>
      <c r="AA420" s="575"/>
    </row>
    <row r="421">
      <c r="A421" s="575"/>
      <c r="B421" s="692"/>
      <c r="C421" s="709"/>
      <c r="D421" s="709"/>
      <c r="E421" s="692"/>
      <c r="F421" s="710"/>
      <c r="G421" s="575"/>
      <c r="H421" s="575"/>
      <c r="I421" s="575"/>
      <c r="J421" s="575"/>
      <c r="K421" s="575"/>
      <c r="L421" s="575"/>
      <c r="M421" s="575"/>
      <c r="N421" s="575"/>
      <c r="O421" s="575"/>
      <c r="P421" s="575"/>
      <c r="Q421" s="575"/>
      <c r="R421" s="575"/>
      <c r="S421" s="575"/>
      <c r="T421" s="575"/>
      <c r="U421" s="575"/>
      <c r="V421" s="575"/>
      <c r="W421" s="575"/>
      <c r="X421" s="575"/>
      <c r="Y421" s="575"/>
      <c r="Z421" s="575"/>
      <c r="AA421" s="575"/>
    </row>
    <row r="422">
      <c r="A422" s="575"/>
      <c r="B422" s="692"/>
      <c r="C422" s="709"/>
      <c r="D422" s="709"/>
      <c r="E422" s="692"/>
      <c r="F422" s="710"/>
      <c r="G422" s="575"/>
      <c r="H422" s="575"/>
      <c r="I422" s="575"/>
      <c r="J422" s="575"/>
      <c r="K422" s="575"/>
      <c r="L422" s="575"/>
      <c r="M422" s="575"/>
      <c r="N422" s="575"/>
      <c r="O422" s="575"/>
      <c r="P422" s="575"/>
      <c r="Q422" s="575"/>
      <c r="R422" s="575"/>
      <c r="S422" s="575"/>
      <c r="T422" s="575"/>
      <c r="U422" s="575"/>
      <c r="V422" s="575"/>
      <c r="W422" s="575"/>
      <c r="X422" s="575"/>
      <c r="Y422" s="575"/>
      <c r="Z422" s="575"/>
      <c r="AA422" s="575"/>
    </row>
    <row r="423">
      <c r="A423" s="575"/>
      <c r="B423" s="692"/>
      <c r="C423" s="709"/>
      <c r="D423" s="709"/>
      <c r="E423" s="692"/>
      <c r="F423" s="710"/>
      <c r="G423" s="575"/>
      <c r="H423" s="575"/>
      <c r="I423" s="575"/>
      <c r="J423" s="575"/>
      <c r="K423" s="575"/>
      <c r="L423" s="575"/>
      <c r="M423" s="575"/>
      <c r="N423" s="575"/>
      <c r="O423" s="575"/>
      <c r="P423" s="575"/>
      <c r="Q423" s="575"/>
      <c r="R423" s="575"/>
      <c r="S423" s="575"/>
      <c r="T423" s="575"/>
      <c r="U423" s="575"/>
      <c r="V423" s="575"/>
      <c r="W423" s="575"/>
      <c r="X423" s="575"/>
      <c r="Y423" s="575"/>
      <c r="Z423" s="575"/>
      <c r="AA423" s="575"/>
    </row>
    <row r="424">
      <c r="A424" s="575"/>
      <c r="B424" s="692"/>
      <c r="C424" s="709"/>
      <c r="D424" s="709"/>
      <c r="E424" s="692"/>
      <c r="F424" s="710"/>
      <c r="G424" s="575"/>
      <c r="H424" s="575"/>
      <c r="I424" s="575"/>
      <c r="J424" s="575"/>
      <c r="K424" s="575"/>
      <c r="L424" s="575"/>
      <c r="M424" s="575"/>
      <c r="N424" s="575"/>
      <c r="O424" s="575"/>
      <c r="P424" s="575"/>
      <c r="Q424" s="575"/>
      <c r="R424" s="575"/>
      <c r="S424" s="575"/>
      <c r="T424" s="575"/>
      <c r="U424" s="575"/>
      <c r="V424" s="575"/>
      <c r="W424" s="575"/>
      <c r="X424" s="575"/>
      <c r="Y424" s="575"/>
      <c r="Z424" s="575"/>
      <c r="AA424" s="575"/>
    </row>
    <row r="425">
      <c r="A425" s="575"/>
      <c r="B425" s="692"/>
      <c r="C425" s="709"/>
      <c r="D425" s="709"/>
      <c r="E425" s="692"/>
      <c r="F425" s="710"/>
      <c r="G425" s="575"/>
      <c r="H425" s="575"/>
      <c r="I425" s="575"/>
      <c r="J425" s="575"/>
      <c r="K425" s="575"/>
      <c r="L425" s="575"/>
      <c r="M425" s="575"/>
      <c r="N425" s="575"/>
      <c r="O425" s="575"/>
      <c r="P425" s="575"/>
      <c r="Q425" s="575"/>
      <c r="R425" s="575"/>
      <c r="S425" s="575"/>
      <c r="T425" s="575"/>
      <c r="U425" s="575"/>
      <c r="V425" s="575"/>
      <c r="W425" s="575"/>
      <c r="X425" s="575"/>
      <c r="Y425" s="575"/>
      <c r="Z425" s="575"/>
      <c r="AA425" s="575"/>
    </row>
    <row r="426">
      <c r="A426" s="575"/>
      <c r="B426" s="692"/>
      <c r="C426" s="709"/>
      <c r="D426" s="709"/>
      <c r="E426" s="692"/>
      <c r="F426" s="710"/>
      <c r="G426" s="575"/>
      <c r="H426" s="575"/>
      <c r="I426" s="575"/>
      <c r="J426" s="575"/>
      <c r="K426" s="575"/>
      <c r="L426" s="575"/>
      <c r="M426" s="575"/>
      <c r="N426" s="575"/>
      <c r="O426" s="575"/>
      <c r="P426" s="575"/>
      <c r="Q426" s="575"/>
      <c r="R426" s="575"/>
      <c r="S426" s="575"/>
      <c r="T426" s="575"/>
      <c r="U426" s="575"/>
      <c r="V426" s="575"/>
      <c r="W426" s="575"/>
      <c r="X426" s="575"/>
      <c r="Y426" s="575"/>
      <c r="Z426" s="575"/>
      <c r="AA426" s="575"/>
    </row>
    <row r="427">
      <c r="A427" s="575"/>
      <c r="B427" s="692"/>
      <c r="C427" s="709"/>
      <c r="D427" s="709"/>
      <c r="E427" s="692"/>
      <c r="F427" s="710"/>
      <c r="G427" s="575"/>
      <c r="H427" s="575"/>
      <c r="I427" s="575"/>
      <c r="J427" s="575"/>
      <c r="K427" s="575"/>
      <c r="L427" s="575"/>
      <c r="M427" s="575"/>
      <c r="N427" s="575"/>
      <c r="O427" s="575"/>
      <c r="P427" s="575"/>
      <c r="Q427" s="575"/>
      <c r="R427" s="575"/>
      <c r="S427" s="575"/>
      <c r="T427" s="575"/>
      <c r="U427" s="575"/>
      <c r="V427" s="575"/>
      <c r="W427" s="575"/>
      <c r="X427" s="575"/>
      <c r="Y427" s="575"/>
      <c r="Z427" s="575"/>
      <c r="AA427" s="575"/>
    </row>
    <row r="428">
      <c r="A428" s="575"/>
      <c r="B428" s="692"/>
      <c r="C428" s="709"/>
      <c r="D428" s="709"/>
      <c r="E428" s="692"/>
      <c r="F428" s="710"/>
      <c r="G428" s="575"/>
      <c r="H428" s="575"/>
      <c r="I428" s="575"/>
      <c r="J428" s="575"/>
      <c r="K428" s="575"/>
      <c r="L428" s="575"/>
      <c r="M428" s="575"/>
      <c r="N428" s="575"/>
      <c r="O428" s="575"/>
      <c r="P428" s="575"/>
      <c r="Q428" s="575"/>
      <c r="R428" s="575"/>
      <c r="S428" s="575"/>
      <c r="T428" s="575"/>
      <c r="U428" s="575"/>
      <c r="V428" s="575"/>
      <c r="W428" s="575"/>
      <c r="X428" s="575"/>
      <c r="Y428" s="575"/>
      <c r="Z428" s="575"/>
      <c r="AA428" s="575"/>
    </row>
    <row r="429">
      <c r="A429" s="575"/>
      <c r="B429" s="692"/>
      <c r="C429" s="709"/>
      <c r="D429" s="709"/>
      <c r="E429" s="692"/>
      <c r="F429" s="710"/>
      <c r="G429" s="575"/>
      <c r="H429" s="575"/>
      <c r="I429" s="575"/>
      <c r="J429" s="575"/>
      <c r="K429" s="575"/>
      <c r="L429" s="575"/>
      <c r="M429" s="575"/>
      <c r="N429" s="575"/>
      <c r="O429" s="575"/>
      <c r="P429" s="575"/>
      <c r="Q429" s="575"/>
      <c r="R429" s="575"/>
      <c r="S429" s="575"/>
      <c r="T429" s="575"/>
      <c r="U429" s="575"/>
      <c r="V429" s="575"/>
      <c r="W429" s="575"/>
      <c r="X429" s="575"/>
      <c r="Y429" s="575"/>
      <c r="Z429" s="575"/>
      <c r="AA429" s="575"/>
    </row>
    <row r="430">
      <c r="A430" s="575"/>
      <c r="B430" s="692"/>
      <c r="C430" s="709"/>
      <c r="D430" s="709"/>
      <c r="E430" s="692"/>
      <c r="F430" s="710"/>
      <c r="G430" s="575"/>
      <c r="H430" s="575"/>
      <c r="I430" s="575"/>
      <c r="J430" s="575"/>
      <c r="K430" s="575"/>
      <c r="L430" s="575"/>
      <c r="M430" s="575"/>
      <c r="N430" s="575"/>
      <c r="O430" s="575"/>
      <c r="P430" s="575"/>
      <c r="Q430" s="575"/>
      <c r="R430" s="575"/>
      <c r="S430" s="575"/>
      <c r="T430" s="575"/>
      <c r="U430" s="575"/>
      <c r="V430" s="575"/>
      <c r="W430" s="575"/>
      <c r="X430" s="575"/>
      <c r="Y430" s="575"/>
      <c r="Z430" s="575"/>
      <c r="AA430" s="575"/>
    </row>
    <row r="431">
      <c r="A431" s="575"/>
      <c r="B431" s="692"/>
      <c r="C431" s="709"/>
      <c r="D431" s="709"/>
      <c r="E431" s="692"/>
      <c r="F431" s="710"/>
      <c r="G431" s="575"/>
      <c r="H431" s="575"/>
      <c r="I431" s="575"/>
      <c r="J431" s="575"/>
      <c r="K431" s="575"/>
      <c r="L431" s="575"/>
      <c r="M431" s="575"/>
      <c r="N431" s="575"/>
      <c r="O431" s="575"/>
      <c r="P431" s="575"/>
      <c r="Q431" s="575"/>
      <c r="R431" s="575"/>
      <c r="S431" s="575"/>
      <c r="T431" s="575"/>
      <c r="U431" s="575"/>
      <c r="V431" s="575"/>
      <c r="W431" s="575"/>
      <c r="X431" s="575"/>
      <c r="Y431" s="575"/>
      <c r="Z431" s="575"/>
      <c r="AA431" s="575"/>
    </row>
    <row r="432">
      <c r="A432" s="575"/>
      <c r="B432" s="692"/>
      <c r="C432" s="709"/>
      <c r="D432" s="709"/>
      <c r="E432" s="692"/>
      <c r="F432" s="710"/>
      <c r="G432" s="575"/>
      <c r="H432" s="575"/>
      <c r="I432" s="575"/>
      <c r="J432" s="575"/>
      <c r="K432" s="575"/>
      <c r="L432" s="575"/>
      <c r="M432" s="575"/>
      <c r="N432" s="575"/>
      <c r="O432" s="575"/>
      <c r="P432" s="575"/>
      <c r="Q432" s="575"/>
      <c r="R432" s="575"/>
      <c r="S432" s="575"/>
      <c r="T432" s="575"/>
      <c r="U432" s="575"/>
      <c r="V432" s="575"/>
      <c r="W432" s="575"/>
      <c r="X432" s="575"/>
      <c r="Y432" s="575"/>
      <c r="Z432" s="575"/>
      <c r="AA432" s="575"/>
    </row>
    <row r="433">
      <c r="A433" s="575"/>
      <c r="B433" s="692"/>
      <c r="C433" s="709"/>
      <c r="D433" s="709"/>
      <c r="E433" s="692"/>
      <c r="F433" s="710"/>
      <c r="G433" s="575"/>
      <c r="H433" s="575"/>
      <c r="I433" s="575"/>
      <c r="J433" s="575"/>
      <c r="K433" s="575"/>
      <c r="L433" s="575"/>
      <c r="M433" s="575"/>
      <c r="N433" s="575"/>
      <c r="O433" s="575"/>
      <c r="P433" s="575"/>
      <c r="Q433" s="575"/>
      <c r="R433" s="575"/>
      <c r="S433" s="575"/>
      <c r="T433" s="575"/>
      <c r="U433" s="575"/>
      <c r="V433" s="575"/>
      <c r="W433" s="575"/>
      <c r="X433" s="575"/>
      <c r="Y433" s="575"/>
      <c r="Z433" s="575"/>
      <c r="AA433" s="575"/>
    </row>
    <row r="434">
      <c r="A434" s="575"/>
      <c r="B434" s="692"/>
      <c r="C434" s="709"/>
      <c r="D434" s="709"/>
      <c r="E434" s="692"/>
      <c r="F434" s="710"/>
      <c r="G434" s="575"/>
      <c r="H434" s="575"/>
      <c r="I434" s="575"/>
      <c r="J434" s="575"/>
      <c r="K434" s="575"/>
      <c r="L434" s="575"/>
      <c r="M434" s="575"/>
      <c r="N434" s="575"/>
      <c r="O434" s="575"/>
      <c r="P434" s="575"/>
      <c r="Q434" s="575"/>
      <c r="R434" s="575"/>
      <c r="S434" s="575"/>
      <c r="T434" s="575"/>
      <c r="U434" s="575"/>
      <c r="V434" s="575"/>
      <c r="W434" s="575"/>
      <c r="X434" s="575"/>
      <c r="Y434" s="575"/>
      <c r="Z434" s="575"/>
      <c r="AA434" s="575"/>
    </row>
    <row r="435">
      <c r="A435" s="575"/>
      <c r="B435" s="692"/>
      <c r="C435" s="709"/>
      <c r="D435" s="709"/>
      <c r="E435" s="692"/>
      <c r="F435" s="710"/>
      <c r="G435" s="575"/>
      <c r="H435" s="575"/>
      <c r="I435" s="575"/>
      <c r="J435" s="575"/>
      <c r="K435" s="575"/>
      <c r="L435" s="575"/>
      <c r="M435" s="575"/>
      <c r="N435" s="575"/>
      <c r="O435" s="575"/>
      <c r="P435" s="575"/>
      <c r="Q435" s="575"/>
      <c r="R435" s="575"/>
      <c r="S435" s="575"/>
      <c r="T435" s="575"/>
      <c r="U435" s="575"/>
      <c r="V435" s="575"/>
      <c r="W435" s="575"/>
      <c r="X435" s="575"/>
      <c r="Y435" s="575"/>
      <c r="Z435" s="575"/>
      <c r="AA435" s="575"/>
    </row>
    <row r="436">
      <c r="A436" s="575"/>
      <c r="B436" s="692"/>
      <c r="C436" s="709"/>
      <c r="D436" s="709"/>
      <c r="E436" s="692"/>
      <c r="F436" s="710"/>
      <c r="G436" s="575"/>
      <c r="H436" s="575"/>
      <c r="I436" s="575"/>
      <c r="J436" s="575"/>
      <c r="K436" s="575"/>
      <c r="L436" s="575"/>
      <c r="M436" s="575"/>
      <c r="N436" s="575"/>
      <c r="O436" s="575"/>
      <c r="P436" s="575"/>
      <c r="Q436" s="575"/>
      <c r="R436" s="575"/>
      <c r="S436" s="575"/>
      <c r="T436" s="575"/>
      <c r="U436" s="575"/>
      <c r="V436" s="575"/>
      <c r="W436" s="575"/>
      <c r="X436" s="575"/>
      <c r="Y436" s="575"/>
      <c r="Z436" s="575"/>
      <c r="AA436" s="575"/>
    </row>
    <row r="437">
      <c r="A437" s="575"/>
      <c r="B437" s="692"/>
      <c r="C437" s="709"/>
      <c r="D437" s="709"/>
      <c r="E437" s="692"/>
      <c r="F437" s="710"/>
      <c r="G437" s="575"/>
      <c r="H437" s="575"/>
      <c r="I437" s="575"/>
      <c r="J437" s="575"/>
      <c r="K437" s="575"/>
      <c r="L437" s="575"/>
      <c r="M437" s="575"/>
      <c r="N437" s="575"/>
      <c r="O437" s="575"/>
      <c r="P437" s="575"/>
      <c r="Q437" s="575"/>
      <c r="R437" s="575"/>
      <c r="S437" s="575"/>
      <c r="T437" s="575"/>
      <c r="U437" s="575"/>
      <c r="V437" s="575"/>
      <c r="W437" s="575"/>
      <c r="X437" s="575"/>
      <c r="Y437" s="575"/>
      <c r="Z437" s="575"/>
      <c r="AA437" s="575"/>
    </row>
    <row r="438">
      <c r="A438" s="575"/>
      <c r="B438" s="692"/>
      <c r="C438" s="709"/>
      <c r="D438" s="709"/>
      <c r="E438" s="692"/>
      <c r="F438" s="710"/>
      <c r="G438" s="575"/>
      <c r="H438" s="575"/>
      <c r="I438" s="575"/>
      <c r="J438" s="575"/>
      <c r="K438" s="575"/>
      <c r="L438" s="575"/>
      <c r="M438" s="575"/>
      <c r="N438" s="575"/>
      <c r="O438" s="575"/>
      <c r="P438" s="575"/>
      <c r="Q438" s="575"/>
      <c r="R438" s="575"/>
      <c r="S438" s="575"/>
      <c r="T438" s="575"/>
      <c r="U438" s="575"/>
      <c r="V438" s="575"/>
      <c r="W438" s="575"/>
      <c r="X438" s="575"/>
      <c r="Y438" s="575"/>
      <c r="Z438" s="575"/>
      <c r="AA438" s="575"/>
    </row>
    <row r="439">
      <c r="A439" s="575"/>
      <c r="B439" s="692"/>
      <c r="C439" s="709"/>
      <c r="D439" s="709"/>
      <c r="E439" s="692"/>
      <c r="F439" s="710"/>
      <c r="G439" s="575"/>
      <c r="H439" s="575"/>
      <c r="I439" s="575"/>
      <c r="J439" s="575"/>
      <c r="K439" s="575"/>
      <c r="L439" s="575"/>
      <c r="M439" s="575"/>
      <c r="N439" s="575"/>
      <c r="O439" s="575"/>
      <c r="P439" s="575"/>
      <c r="Q439" s="575"/>
      <c r="R439" s="575"/>
      <c r="S439" s="575"/>
      <c r="T439" s="575"/>
      <c r="U439" s="575"/>
      <c r="V439" s="575"/>
      <c r="W439" s="575"/>
      <c r="X439" s="575"/>
      <c r="Y439" s="575"/>
      <c r="Z439" s="575"/>
      <c r="AA439" s="575"/>
    </row>
    <row r="440">
      <c r="A440" s="575"/>
      <c r="B440" s="692"/>
      <c r="C440" s="709"/>
      <c r="D440" s="709"/>
      <c r="E440" s="692"/>
      <c r="F440" s="710"/>
      <c r="G440" s="575"/>
      <c r="H440" s="575"/>
      <c r="I440" s="575"/>
      <c r="J440" s="575"/>
      <c r="K440" s="575"/>
      <c r="L440" s="575"/>
      <c r="M440" s="575"/>
      <c r="N440" s="575"/>
      <c r="O440" s="575"/>
      <c r="P440" s="575"/>
      <c r="Q440" s="575"/>
      <c r="R440" s="575"/>
      <c r="S440" s="575"/>
      <c r="T440" s="575"/>
      <c r="U440" s="575"/>
      <c r="V440" s="575"/>
      <c r="W440" s="575"/>
      <c r="X440" s="575"/>
      <c r="Y440" s="575"/>
      <c r="Z440" s="575"/>
      <c r="AA440" s="575"/>
    </row>
    <row r="441">
      <c r="A441" s="575"/>
      <c r="B441" s="692"/>
      <c r="C441" s="709"/>
      <c r="D441" s="709"/>
      <c r="E441" s="692"/>
      <c r="F441" s="710"/>
      <c r="G441" s="575"/>
      <c r="H441" s="575"/>
      <c r="I441" s="575"/>
      <c r="J441" s="575"/>
      <c r="K441" s="575"/>
      <c r="L441" s="575"/>
      <c r="M441" s="575"/>
      <c r="N441" s="575"/>
      <c r="O441" s="575"/>
      <c r="P441" s="575"/>
      <c r="Q441" s="575"/>
      <c r="R441" s="575"/>
      <c r="S441" s="575"/>
      <c r="T441" s="575"/>
      <c r="U441" s="575"/>
      <c r="V441" s="575"/>
      <c r="W441" s="575"/>
      <c r="X441" s="575"/>
      <c r="Y441" s="575"/>
      <c r="Z441" s="575"/>
      <c r="AA441" s="575"/>
    </row>
    <row r="442">
      <c r="A442" s="575"/>
      <c r="B442" s="692"/>
      <c r="C442" s="709"/>
      <c r="D442" s="709"/>
      <c r="E442" s="692"/>
      <c r="F442" s="710"/>
      <c r="G442" s="575"/>
      <c r="H442" s="575"/>
      <c r="I442" s="575"/>
      <c r="J442" s="575"/>
      <c r="K442" s="575"/>
      <c r="L442" s="575"/>
      <c r="M442" s="575"/>
      <c r="N442" s="575"/>
      <c r="O442" s="575"/>
      <c r="P442" s="575"/>
      <c r="Q442" s="575"/>
      <c r="R442" s="575"/>
      <c r="S442" s="575"/>
      <c r="T442" s="575"/>
      <c r="U442" s="575"/>
      <c r="V442" s="575"/>
      <c r="W442" s="575"/>
      <c r="X442" s="575"/>
      <c r="Y442" s="575"/>
      <c r="Z442" s="575"/>
      <c r="AA442" s="575"/>
    </row>
    <row r="443">
      <c r="A443" s="575"/>
      <c r="B443" s="692"/>
      <c r="C443" s="709"/>
      <c r="D443" s="709"/>
      <c r="E443" s="692"/>
      <c r="F443" s="710"/>
      <c r="G443" s="575"/>
      <c r="H443" s="575"/>
      <c r="I443" s="575"/>
      <c r="J443" s="575"/>
      <c r="K443" s="575"/>
      <c r="L443" s="575"/>
      <c r="M443" s="575"/>
      <c r="N443" s="575"/>
      <c r="O443" s="575"/>
      <c r="P443" s="575"/>
      <c r="Q443" s="575"/>
      <c r="R443" s="575"/>
      <c r="S443" s="575"/>
      <c r="T443" s="575"/>
      <c r="U443" s="575"/>
      <c r="V443" s="575"/>
      <c r="W443" s="575"/>
      <c r="X443" s="575"/>
      <c r="Y443" s="575"/>
      <c r="Z443" s="575"/>
      <c r="AA443" s="575"/>
    </row>
    <row r="444">
      <c r="A444" s="575"/>
      <c r="B444" s="692"/>
      <c r="C444" s="709"/>
      <c r="D444" s="709"/>
      <c r="E444" s="692"/>
      <c r="F444" s="710"/>
      <c r="G444" s="575"/>
      <c r="H444" s="575"/>
      <c r="I444" s="575"/>
      <c r="J444" s="575"/>
      <c r="K444" s="575"/>
      <c r="L444" s="575"/>
      <c r="M444" s="575"/>
      <c r="N444" s="575"/>
      <c r="O444" s="575"/>
      <c r="P444" s="575"/>
      <c r="Q444" s="575"/>
      <c r="R444" s="575"/>
      <c r="S444" s="575"/>
      <c r="T444" s="575"/>
      <c r="U444" s="575"/>
      <c r="V444" s="575"/>
      <c r="W444" s="575"/>
      <c r="X444" s="575"/>
      <c r="Y444" s="575"/>
      <c r="Z444" s="575"/>
      <c r="AA444" s="575"/>
    </row>
    <row r="445">
      <c r="A445" s="575"/>
      <c r="B445" s="692"/>
      <c r="C445" s="709"/>
      <c r="D445" s="709"/>
      <c r="E445" s="692"/>
      <c r="F445" s="710"/>
      <c r="G445" s="575"/>
      <c r="H445" s="575"/>
      <c r="I445" s="575"/>
      <c r="J445" s="575"/>
      <c r="K445" s="575"/>
      <c r="L445" s="575"/>
      <c r="M445" s="575"/>
      <c r="N445" s="575"/>
      <c r="O445" s="575"/>
      <c r="P445" s="575"/>
      <c r="Q445" s="575"/>
      <c r="R445" s="575"/>
      <c r="S445" s="575"/>
      <c r="T445" s="575"/>
      <c r="U445" s="575"/>
      <c r="V445" s="575"/>
      <c r="W445" s="575"/>
      <c r="X445" s="575"/>
      <c r="Y445" s="575"/>
      <c r="Z445" s="575"/>
      <c r="AA445" s="575"/>
    </row>
    <row r="446">
      <c r="A446" s="575"/>
      <c r="B446" s="692"/>
      <c r="C446" s="709"/>
      <c r="D446" s="709"/>
      <c r="E446" s="692"/>
      <c r="F446" s="710"/>
      <c r="G446" s="575"/>
      <c r="H446" s="575"/>
      <c r="I446" s="575"/>
      <c r="J446" s="575"/>
      <c r="K446" s="575"/>
      <c r="L446" s="575"/>
      <c r="M446" s="575"/>
      <c r="N446" s="575"/>
      <c r="O446" s="575"/>
      <c r="P446" s="575"/>
      <c r="Q446" s="575"/>
      <c r="R446" s="575"/>
      <c r="S446" s="575"/>
      <c r="T446" s="575"/>
      <c r="U446" s="575"/>
      <c r="V446" s="575"/>
      <c r="W446" s="575"/>
      <c r="X446" s="575"/>
      <c r="Y446" s="575"/>
      <c r="Z446" s="575"/>
      <c r="AA446" s="575"/>
    </row>
    <row r="447">
      <c r="A447" s="575"/>
      <c r="B447" s="692"/>
      <c r="C447" s="709"/>
      <c r="D447" s="709"/>
      <c r="E447" s="692"/>
      <c r="F447" s="710"/>
      <c r="G447" s="575"/>
      <c r="H447" s="575"/>
      <c r="I447" s="575"/>
      <c r="J447" s="575"/>
      <c r="K447" s="575"/>
      <c r="L447" s="575"/>
      <c r="M447" s="575"/>
      <c r="N447" s="575"/>
      <c r="O447" s="575"/>
      <c r="P447" s="575"/>
      <c r="Q447" s="575"/>
      <c r="R447" s="575"/>
      <c r="S447" s="575"/>
      <c r="T447" s="575"/>
      <c r="U447" s="575"/>
      <c r="V447" s="575"/>
      <c r="W447" s="575"/>
      <c r="X447" s="575"/>
      <c r="Y447" s="575"/>
      <c r="Z447" s="575"/>
      <c r="AA447" s="575"/>
    </row>
    <row r="448">
      <c r="A448" s="575"/>
      <c r="B448" s="692"/>
      <c r="C448" s="709"/>
      <c r="D448" s="709"/>
      <c r="E448" s="692"/>
      <c r="F448" s="710"/>
      <c r="G448" s="575"/>
      <c r="H448" s="575"/>
      <c r="I448" s="575"/>
      <c r="J448" s="575"/>
      <c r="K448" s="575"/>
      <c r="L448" s="575"/>
      <c r="M448" s="575"/>
      <c r="N448" s="575"/>
      <c r="O448" s="575"/>
      <c r="P448" s="575"/>
      <c r="Q448" s="575"/>
      <c r="R448" s="575"/>
      <c r="S448" s="575"/>
      <c r="T448" s="575"/>
      <c r="U448" s="575"/>
      <c r="V448" s="575"/>
      <c r="W448" s="575"/>
      <c r="X448" s="575"/>
      <c r="Y448" s="575"/>
      <c r="Z448" s="575"/>
      <c r="AA448" s="575"/>
    </row>
    <row r="449">
      <c r="A449" s="575"/>
      <c r="B449" s="692"/>
      <c r="C449" s="709"/>
      <c r="D449" s="709"/>
      <c r="E449" s="692"/>
      <c r="F449" s="710"/>
      <c r="G449" s="575"/>
      <c r="H449" s="575"/>
      <c r="I449" s="575"/>
      <c r="J449" s="575"/>
      <c r="K449" s="575"/>
      <c r="L449" s="575"/>
      <c r="M449" s="575"/>
      <c r="N449" s="575"/>
      <c r="O449" s="575"/>
      <c r="P449" s="575"/>
      <c r="Q449" s="575"/>
      <c r="R449" s="575"/>
      <c r="S449" s="575"/>
      <c r="T449" s="575"/>
      <c r="U449" s="575"/>
      <c r="V449" s="575"/>
      <c r="W449" s="575"/>
      <c r="X449" s="575"/>
      <c r="Y449" s="575"/>
      <c r="Z449" s="575"/>
      <c r="AA449" s="575"/>
    </row>
    <row r="450">
      <c r="A450" s="575"/>
      <c r="B450" s="692"/>
      <c r="C450" s="709"/>
      <c r="D450" s="709"/>
      <c r="E450" s="692"/>
      <c r="F450" s="710"/>
      <c r="G450" s="575"/>
      <c r="H450" s="575"/>
      <c r="I450" s="575"/>
      <c r="J450" s="575"/>
      <c r="K450" s="575"/>
      <c r="L450" s="575"/>
      <c r="M450" s="575"/>
      <c r="N450" s="575"/>
      <c r="O450" s="575"/>
      <c r="P450" s="575"/>
      <c r="Q450" s="575"/>
      <c r="R450" s="575"/>
      <c r="S450" s="575"/>
      <c r="T450" s="575"/>
      <c r="U450" s="575"/>
      <c r="V450" s="575"/>
      <c r="W450" s="575"/>
      <c r="X450" s="575"/>
      <c r="Y450" s="575"/>
      <c r="Z450" s="575"/>
      <c r="AA450" s="575"/>
    </row>
    <row r="451">
      <c r="A451" s="575"/>
      <c r="B451" s="692"/>
      <c r="C451" s="709"/>
      <c r="D451" s="709"/>
      <c r="E451" s="692"/>
      <c r="F451" s="710"/>
      <c r="G451" s="575"/>
      <c r="H451" s="575"/>
      <c r="I451" s="575"/>
      <c r="J451" s="575"/>
      <c r="K451" s="575"/>
      <c r="L451" s="575"/>
      <c r="M451" s="575"/>
      <c r="N451" s="575"/>
      <c r="O451" s="575"/>
      <c r="P451" s="575"/>
      <c r="Q451" s="575"/>
      <c r="R451" s="575"/>
      <c r="S451" s="575"/>
      <c r="T451" s="575"/>
      <c r="U451" s="575"/>
      <c r="V451" s="575"/>
      <c r="W451" s="575"/>
      <c r="X451" s="575"/>
      <c r="Y451" s="575"/>
      <c r="Z451" s="575"/>
      <c r="AA451" s="575"/>
    </row>
    <row r="452">
      <c r="A452" s="575"/>
      <c r="B452" s="692"/>
      <c r="C452" s="709"/>
      <c r="D452" s="709"/>
      <c r="E452" s="692"/>
      <c r="F452" s="710"/>
      <c r="G452" s="575"/>
      <c r="H452" s="575"/>
      <c r="I452" s="575"/>
      <c r="J452" s="575"/>
      <c r="K452" s="575"/>
      <c r="L452" s="575"/>
      <c r="M452" s="575"/>
      <c r="N452" s="575"/>
      <c r="O452" s="575"/>
      <c r="P452" s="575"/>
      <c r="Q452" s="575"/>
      <c r="R452" s="575"/>
      <c r="S452" s="575"/>
      <c r="T452" s="575"/>
      <c r="U452" s="575"/>
      <c r="V452" s="575"/>
      <c r="W452" s="575"/>
      <c r="X452" s="575"/>
      <c r="Y452" s="575"/>
      <c r="Z452" s="575"/>
      <c r="AA452" s="575"/>
    </row>
    <row r="453">
      <c r="A453" s="575"/>
      <c r="B453" s="692"/>
      <c r="C453" s="709"/>
      <c r="D453" s="709"/>
      <c r="E453" s="692"/>
      <c r="F453" s="710"/>
      <c r="G453" s="575"/>
      <c r="H453" s="575"/>
      <c r="I453" s="575"/>
      <c r="J453" s="575"/>
      <c r="K453" s="575"/>
      <c r="L453" s="575"/>
      <c r="M453" s="575"/>
      <c r="N453" s="575"/>
      <c r="O453" s="575"/>
      <c r="P453" s="575"/>
      <c r="Q453" s="575"/>
      <c r="R453" s="575"/>
      <c r="S453" s="575"/>
      <c r="T453" s="575"/>
      <c r="U453" s="575"/>
      <c r="V453" s="575"/>
      <c r="W453" s="575"/>
      <c r="X453" s="575"/>
      <c r="Y453" s="575"/>
      <c r="Z453" s="575"/>
      <c r="AA453" s="575"/>
    </row>
    <row r="454">
      <c r="A454" s="575"/>
      <c r="B454" s="692"/>
      <c r="C454" s="709"/>
      <c r="D454" s="709"/>
      <c r="E454" s="692"/>
      <c r="F454" s="710"/>
      <c r="G454" s="575"/>
      <c r="H454" s="575"/>
      <c r="I454" s="575"/>
      <c r="J454" s="575"/>
      <c r="K454" s="575"/>
      <c r="L454" s="575"/>
      <c r="M454" s="575"/>
      <c r="N454" s="575"/>
      <c r="O454" s="575"/>
      <c r="P454" s="575"/>
      <c r="Q454" s="575"/>
      <c r="R454" s="575"/>
      <c r="S454" s="575"/>
      <c r="T454" s="575"/>
      <c r="U454" s="575"/>
      <c r="V454" s="575"/>
      <c r="W454" s="575"/>
      <c r="X454" s="575"/>
      <c r="Y454" s="575"/>
      <c r="Z454" s="575"/>
      <c r="AA454" s="575"/>
    </row>
    <row r="455">
      <c r="A455" s="575"/>
      <c r="B455" s="692"/>
      <c r="C455" s="709"/>
      <c r="D455" s="709"/>
      <c r="E455" s="692"/>
      <c r="F455" s="710"/>
      <c r="G455" s="575"/>
      <c r="H455" s="575"/>
      <c r="I455" s="575"/>
      <c r="J455" s="575"/>
      <c r="K455" s="575"/>
      <c r="L455" s="575"/>
      <c r="M455" s="575"/>
      <c r="N455" s="575"/>
      <c r="O455" s="575"/>
      <c r="P455" s="575"/>
      <c r="Q455" s="575"/>
      <c r="R455" s="575"/>
      <c r="S455" s="575"/>
      <c r="T455" s="575"/>
      <c r="U455" s="575"/>
      <c r="V455" s="575"/>
      <c r="W455" s="575"/>
      <c r="X455" s="575"/>
      <c r="Y455" s="575"/>
      <c r="Z455" s="575"/>
      <c r="AA455" s="575"/>
    </row>
    <row r="456">
      <c r="A456" s="575"/>
      <c r="B456" s="692"/>
      <c r="C456" s="709"/>
      <c r="D456" s="709"/>
      <c r="E456" s="692"/>
      <c r="F456" s="710"/>
      <c r="G456" s="575"/>
      <c r="H456" s="575"/>
      <c r="I456" s="575"/>
      <c r="J456" s="575"/>
      <c r="K456" s="575"/>
      <c r="L456" s="575"/>
      <c r="M456" s="575"/>
      <c r="N456" s="575"/>
      <c r="O456" s="575"/>
      <c r="P456" s="575"/>
      <c r="Q456" s="575"/>
      <c r="R456" s="575"/>
      <c r="S456" s="575"/>
      <c r="T456" s="575"/>
      <c r="U456" s="575"/>
      <c r="V456" s="575"/>
      <c r="W456" s="575"/>
      <c r="X456" s="575"/>
      <c r="Y456" s="575"/>
      <c r="Z456" s="575"/>
      <c r="AA456" s="575"/>
    </row>
    <row r="457">
      <c r="A457" s="575"/>
      <c r="B457" s="692"/>
      <c r="C457" s="709"/>
      <c r="D457" s="709"/>
      <c r="E457" s="692"/>
      <c r="F457" s="710"/>
      <c r="G457" s="575"/>
      <c r="H457" s="575"/>
      <c r="I457" s="575"/>
      <c r="J457" s="575"/>
      <c r="K457" s="575"/>
      <c r="L457" s="575"/>
      <c r="M457" s="575"/>
      <c r="N457" s="575"/>
      <c r="O457" s="575"/>
      <c r="P457" s="575"/>
      <c r="Q457" s="575"/>
      <c r="R457" s="575"/>
      <c r="S457" s="575"/>
      <c r="T457" s="575"/>
      <c r="U457" s="575"/>
      <c r="V457" s="575"/>
      <c r="W457" s="575"/>
      <c r="X457" s="575"/>
      <c r="Y457" s="575"/>
      <c r="Z457" s="575"/>
      <c r="AA457" s="575"/>
    </row>
    <row r="458">
      <c r="A458" s="575"/>
      <c r="B458" s="692"/>
      <c r="C458" s="709"/>
      <c r="D458" s="709"/>
      <c r="E458" s="692"/>
      <c r="F458" s="710"/>
      <c r="G458" s="575"/>
      <c r="H458" s="575"/>
      <c r="I458" s="575"/>
      <c r="J458" s="575"/>
      <c r="K458" s="575"/>
      <c r="L458" s="575"/>
      <c r="M458" s="575"/>
      <c r="N458" s="575"/>
      <c r="O458" s="575"/>
      <c r="P458" s="575"/>
      <c r="Q458" s="575"/>
      <c r="R458" s="575"/>
      <c r="S458" s="575"/>
      <c r="T458" s="575"/>
      <c r="U458" s="575"/>
      <c r="V458" s="575"/>
      <c r="W458" s="575"/>
      <c r="X458" s="575"/>
      <c r="Y458" s="575"/>
      <c r="Z458" s="575"/>
      <c r="AA458" s="575"/>
    </row>
    <row r="459">
      <c r="A459" s="575"/>
      <c r="B459" s="692"/>
      <c r="C459" s="709"/>
      <c r="D459" s="709"/>
      <c r="E459" s="692"/>
      <c r="F459" s="710"/>
      <c r="G459" s="575"/>
      <c r="H459" s="575"/>
      <c r="I459" s="575"/>
      <c r="J459" s="575"/>
      <c r="K459" s="575"/>
      <c r="L459" s="575"/>
      <c r="M459" s="575"/>
      <c r="N459" s="575"/>
      <c r="O459" s="575"/>
      <c r="P459" s="575"/>
      <c r="Q459" s="575"/>
      <c r="R459" s="575"/>
      <c r="S459" s="575"/>
      <c r="T459" s="575"/>
      <c r="U459" s="575"/>
      <c r="V459" s="575"/>
      <c r="W459" s="575"/>
      <c r="X459" s="575"/>
      <c r="Y459" s="575"/>
      <c r="Z459" s="575"/>
      <c r="AA459" s="575"/>
    </row>
    <row r="460">
      <c r="A460" s="575"/>
      <c r="B460" s="692"/>
      <c r="C460" s="709"/>
      <c r="D460" s="709"/>
      <c r="E460" s="692"/>
      <c r="F460" s="710"/>
      <c r="G460" s="575"/>
      <c r="H460" s="575"/>
      <c r="I460" s="575"/>
      <c r="J460" s="575"/>
      <c r="K460" s="575"/>
      <c r="L460" s="575"/>
      <c r="M460" s="575"/>
      <c r="N460" s="575"/>
      <c r="O460" s="575"/>
      <c r="P460" s="575"/>
      <c r="Q460" s="575"/>
      <c r="R460" s="575"/>
      <c r="S460" s="575"/>
      <c r="T460" s="575"/>
      <c r="U460" s="575"/>
      <c r="V460" s="575"/>
      <c r="W460" s="575"/>
      <c r="X460" s="575"/>
      <c r="Y460" s="575"/>
      <c r="Z460" s="575"/>
      <c r="AA460" s="575"/>
    </row>
    <row r="461">
      <c r="A461" s="575"/>
      <c r="B461" s="692"/>
      <c r="C461" s="709"/>
      <c r="D461" s="709"/>
      <c r="E461" s="692"/>
      <c r="F461" s="710"/>
      <c r="G461" s="575"/>
      <c r="H461" s="575"/>
      <c r="I461" s="575"/>
      <c r="J461" s="575"/>
      <c r="K461" s="575"/>
      <c r="L461" s="575"/>
      <c r="M461" s="575"/>
      <c r="N461" s="575"/>
      <c r="O461" s="575"/>
      <c r="P461" s="575"/>
      <c r="Q461" s="575"/>
      <c r="R461" s="575"/>
      <c r="S461" s="575"/>
      <c r="T461" s="575"/>
      <c r="U461" s="575"/>
      <c r="V461" s="575"/>
      <c r="W461" s="575"/>
      <c r="X461" s="575"/>
      <c r="Y461" s="575"/>
      <c r="Z461" s="575"/>
      <c r="AA461" s="575"/>
    </row>
    <row r="462">
      <c r="A462" s="575"/>
      <c r="B462" s="692"/>
      <c r="C462" s="709"/>
      <c r="D462" s="709"/>
      <c r="E462" s="692"/>
      <c r="F462" s="710"/>
      <c r="G462" s="575"/>
      <c r="H462" s="575"/>
      <c r="I462" s="575"/>
      <c r="J462" s="575"/>
      <c r="K462" s="575"/>
      <c r="L462" s="575"/>
      <c r="M462" s="575"/>
      <c r="N462" s="575"/>
      <c r="O462" s="575"/>
      <c r="P462" s="575"/>
      <c r="Q462" s="575"/>
      <c r="R462" s="575"/>
      <c r="S462" s="575"/>
      <c r="T462" s="575"/>
      <c r="U462" s="575"/>
      <c r="V462" s="575"/>
      <c r="W462" s="575"/>
      <c r="X462" s="575"/>
      <c r="Y462" s="575"/>
      <c r="Z462" s="575"/>
      <c r="AA462" s="575"/>
    </row>
    <row r="463">
      <c r="A463" s="575"/>
      <c r="B463" s="692"/>
      <c r="C463" s="709"/>
      <c r="D463" s="709"/>
      <c r="E463" s="692"/>
      <c r="F463" s="710"/>
      <c r="G463" s="575"/>
      <c r="H463" s="575"/>
      <c r="I463" s="575"/>
      <c r="J463" s="575"/>
      <c r="K463" s="575"/>
      <c r="L463" s="575"/>
      <c r="M463" s="575"/>
      <c r="N463" s="575"/>
      <c r="O463" s="575"/>
      <c r="P463" s="575"/>
      <c r="Q463" s="575"/>
      <c r="R463" s="575"/>
      <c r="S463" s="575"/>
      <c r="T463" s="575"/>
      <c r="U463" s="575"/>
      <c r="V463" s="575"/>
      <c r="W463" s="575"/>
      <c r="X463" s="575"/>
      <c r="Y463" s="575"/>
      <c r="Z463" s="575"/>
      <c r="AA463" s="575"/>
    </row>
    <row r="464">
      <c r="A464" s="575"/>
      <c r="B464" s="692"/>
      <c r="C464" s="709"/>
      <c r="D464" s="709"/>
      <c r="E464" s="692"/>
      <c r="F464" s="710"/>
      <c r="G464" s="575"/>
      <c r="H464" s="575"/>
      <c r="I464" s="575"/>
      <c r="J464" s="575"/>
      <c r="K464" s="575"/>
      <c r="L464" s="575"/>
      <c r="M464" s="575"/>
      <c r="N464" s="575"/>
      <c r="O464" s="575"/>
      <c r="P464" s="575"/>
      <c r="Q464" s="575"/>
      <c r="R464" s="575"/>
      <c r="S464" s="575"/>
      <c r="T464" s="575"/>
      <c r="U464" s="575"/>
      <c r="V464" s="575"/>
      <c r="W464" s="575"/>
      <c r="X464" s="575"/>
      <c r="Y464" s="575"/>
      <c r="Z464" s="575"/>
      <c r="AA464" s="575"/>
    </row>
    <row r="465">
      <c r="A465" s="575"/>
      <c r="B465" s="692"/>
      <c r="C465" s="709"/>
      <c r="D465" s="709"/>
      <c r="E465" s="692"/>
      <c r="F465" s="710"/>
      <c r="G465" s="575"/>
      <c r="H465" s="575"/>
      <c r="I465" s="575"/>
      <c r="J465" s="575"/>
      <c r="K465" s="575"/>
      <c r="L465" s="575"/>
      <c r="M465" s="575"/>
      <c r="N465" s="575"/>
      <c r="O465" s="575"/>
      <c r="P465" s="575"/>
      <c r="Q465" s="575"/>
      <c r="R465" s="575"/>
      <c r="S465" s="575"/>
      <c r="T465" s="575"/>
      <c r="U465" s="575"/>
      <c r="V465" s="575"/>
      <c r="W465" s="575"/>
      <c r="X465" s="575"/>
      <c r="Y465" s="575"/>
      <c r="Z465" s="575"/>
      <c r="AA465" s="575"/>
    </row>
    <row r="466">
      <c r="A466" s="575"/>
      <c r="B466" s="692"/>
      <c r="C466" s="709"/>
      <c r="D466" s="709"/>
      <c r="E466" s="692"/>
      <c r="F466" s="710"/>
      <c r="G466" s="575"/>
      <c r="H466" s="575"/>
      <c r="I466" s="575"/>
      <c r="J466" s="575"/>
      <c r="K466" s="575"/>
      <c r="L466" s="575"/>
      <c r="M466" s="575"/>
      <c r="N466" s="575"/>
      <c r="O466" s="575"/>
      <c r="P466" s="575"/>
      <c r="Q466" s="575"/>
      <c r="R466" s="575"/>
      <c r="S466" s="575"/>
      <c r="T466" s="575"/>
      <c r="U466" s="575"/>
      <c r="V466" s="575"/>
      <c r="W466" s="575"/>
      <c r="X466" s="575"/>
      <c r="Y466" s="575"/>
      <c r="Z466" s="575"/>
      <c r="AA466" s="575"/>
    </row>
    <row r="467">
      <c r="A467" s="575"/>
      <c r="B467" s="692"/>
      <c r="C467" s="709"/>
      <c r="D467" s="709"/>
      <c r="E467" s="692"/>
      <c r="F467" s="710"/>
      <c r="G467" s="575"/>
      <c r="H467" s="575"/>
      <c r="I467" s="575"/>
      <c r="J467" s="575"/>
      <c r="K467" s="575"/>
      <c r="L467" s="575"/>
      <c r="M467" s="575"/>
      <c r="N467" s="575"/>
      <c r="O467" s="575"/>
      <c r="P467" s="575"/>
      <c r="Q467" s="575"/>
      <c r="R467" s="575"/>
      <c r="S467" s="575"/>
      <c r="T467" s="575"/>
      <c r="U467" s="575"/>
      <c r="V467" s="575"/>
      <c r="W467" s="575"/>
      <c r="X467" s="575"/>
      <c r="Y467" s="575"/>
      <c r="Z467" s="575"/>
      <c r="AA467" s="575"/>
    </row>
    <row r="468">
      <c r="A468" s="575"/>
      <c r="B468" s="692"/>
      <c r="C468" s="709"/>
      <c r="D468" s="709"/>
      <c r="E468" s="692"/>
      <c r="F468" s="710"/>
      <c r="G468" s="575"/>
      <c r="H468" s="575"/>
      <c r="I468" s="575"/>
      <c r="J468" s="575"/>
      <c r="K468" s="575"/>
      <c r="L468" s="575"/>
      <c r="M468" s="575"/>
      <c r="N468" s="575"/>
      <c r="O468" s="575"/>
      <c r="P468" s="575"/>
      <c r="Q468" s="575"/>
      <c r="R468" s="575"/>
      <c r="S468" s="575"/>
      <c r="T468" s="575"/>
      <c r="U468" s="575"/>
      <c r="V468" s="575"/>
      <c r="W468" s="575"/>
      <c r="X468" s="575"/>
      <c r="Y468" s="575"/>
      <c r="Z468" s="575"/>
      <c r="AA468" s="575"/>
    </row>
    <row r="469">
      <c r="A469" s="575"/>
      <c r="B469" s="692"/>
      <c r="C469" s="709"/>
      <c r="D469" s="709"/>
      <c r="E469" s="692"/>
      <c r="F469" s="710"/>
      <c r="G469" s="575"/>
      <c r="H469" s="575"/>
      <c r="I469" s="575"/>
      <c r="J469" s="575"/>
      <c r="K469" s="575"/>
      <c r="L469" s="575"/>
      <c r="M469" s="575"/>
      <c r="N469" s="575"/>
      <c r="O469" s="575"/>
      <c r="P469" s="575"/>
      <c r="Q469" s="575"/>
      <c r="R469" s="575"/>
      <c r="S469" s="575"/>
      <c r="T469" s="575"/>
      <c r="U469" s="575"/>
      <c r="V469" s="575"/>
      <c r="W469" s="575"/>
      <c r="X469" s="575"/>
      <c r="Y469" s="575"/>
      <c r="Z469" s="575"/>
      <c r="AA469" s="575"/>
    </row>
    <row r="470">
      <c r="A470" s="575"/>
      <c r="B470" s="692"/>
      <c r="C470" s="709"/>
      <c r="D470" s="709"/>
      <c r="E470" s="692"/>
      <c r="F470" s="710"/>
      <c r="G470" s="575"/>
      <c r="H470" s="575"/>
      <c r="I470" s="575"/>
      <c r="J470" s="575"/>
      <c r="K470" s="575"/>
      <c r="L470" s="575"/>
      <c r="M470" s="575"/>
      <c r="N470" s="575"/>
      <c r="O470" s="575"/>
      <c r="P470" s="575"/>
      <c r="Q470" s="575"/>
      <c r="R470" s="575"/>
      <c r="S470" s="575"/>
      <c r="T470" s="575"/>
      <c r="U470" s="575"/>
      <c r="V470" s="575"/>
      <c r="W470" s="575"/>
      <c r="X470" s="575"/>
      <c r="Y470" s="575"/>
      <c r="Z470" s="575"/>
      <c r="AA470" s="575"/>
    </row>
    <row r="471">
      <c r="A471" s="575"/>
      <c r="B471" s="692"/>
      <c r="C471" s="709"/>
      <c r="D471" s="709"/>
      <c r="E471" s="692"/>
      <c r="F471" s="710"/>
      <c r="G471" s="575"/>
      <c r="H471" s="575"/>
      <c r="I471" s="575"/>
      <c r="J471" s="575"/>
      <c r="K471" s="575"/>
      <c r="L471" s="575"/>
      <c r="M471" s="575"/>
      <c r="N471" s="575"/>
      <c r="O471" s="575"/>
      <c r="P471" s="575"/>
      <c r="Q471" s="575"/>
      <c r="R471" s="575"/>
      <c r="S471" s="575"/>
      <c r="T471" s="575"/>
      <c r="U471" s="575"/>
      <c r="V471" s="575"/>
      <c r="W471" s="575"/>
      <c r="X471" s="575"/>
      <c r="Y471" s="575"/>
      <c r="Z471" s="575"/>
      <c r="AA471" s="575"/>
    </row>
    <row r="472">
      <c r="A472" s="575"/>
      <c r="B472" s="692"/>
      <c r="C472" s="709"/>
      <c r="D472" s="709"/>
      <c r="E472" s="692"/>
      <c r="F472" s="710"/>
      <c r="G472" s="575"/>
      <c r="H472" s="575"/>
      <c r="I472" s="575"/>
      <c r="J472" s="575"/>
      <c r="K472" s="575"/>
      <c r="L472" s="575"/>
      <c r="M472" s="575"/>
      <c r="N472" s="575"/>
      <c r="O472" s="575"/>
      <c r="P472" s="575"/>
      <c r="Q472" s="575"/>
      <c r="R472" s="575"/>
      <c r="S472" s="575"/>
      <c r="T472" s="575"/>
      <c r="U472" s="575"/>
      <c r="V472" s="575"/>
      <c r="W472" s="575"/>
      <c r="X472" s="575"/>
      <c r="Y472" s="575"/>
      <c r="Z472" s="575"/>
      <c r="AA472" s="575"/>
    </row>
    <row r="473">
      <c r="A473" s="575"/>
      <c r="B473" s="692"/>
      <c r="C473" s="709"/>
      <c r="D473" s="709"/>
      <c r="E473" s="692"/>
      <c r="F473" s="710"/>
      <c r="G473" s="575"/>
      <c r="H473" s="575"/>
      <c r="I473" s="575"/>
      <c r="J473" s="575"/>
      <c r="K473" s="575"/>
      <c r="L473" s="575"/>
      <c r="M473" s="575"/>
      <c r="N473" s="575"/>
      <c r="O473" s="575"/>
      <c r="P473" s="575"/>
      <c r="Q473" s="575"/>
      <c r="R473" s="575"/>
      <c r="S473" s="575"/>
      <c r="T473" s="575"/>
      <c r="U473" s="575"/>
      <c r="V473" s="575"/>
      <c r="W473" s="575"/>
      <c r="X473" s="575"/>
      <c r="Y473" s="575"/>
      <c r="Z473" s="575"/>
      <c r="AA473" s="575"/>
    </row>
    <row r="474">
      <c r="A474" s="575"/>
      <c r="B474" s="692"/>
      <c r="C474" s="709"/>
      <c r="D474" s="709"/>
      <c r="E474" s="692"/>
      <c r="F474" s="710"/>
      <c r="G474" s="575"/>
      <c r="H474" s="575"/>
      <c r="I474" s="575"/>
      <c r="J474" s="575"/>
      <c r="K474" s="575"/>
      <c r="L474" s="575"/>
      <c r="M474" s="575"/>
      <c r="N474" s="575"/>
      <c r="O474" s="575"/>
      <c r="P474" s="575"/>
      <c r="Q474" s="575"/>
      <c r="R474" s="575"/>
      <c r="S474" s="575"/>
      <c r="T474" s="575"/>
      <c r="U474" s="575"/>
      <c r="V474" s="575"/>
      <c r="W474" s="575"/>
      <c r="X474" s="575"/>
      <c r="Y474" s="575"/>
      <c r="Z474" s="575"/>
      <c r="AA474" s="575"/>
    </row>
    <row r="475">
      <c r="A475" s="575"/>
      <c r="B475" s="692"/>
      <c r="C475" s="709"/>
      <c r="D475" s="709"/>
      <c r="E475" s="692"/>
      <c r="F475" s="710"/>
      <c r="G475" s="575"/>
      <c r="H475" s="575"/>
      <c r="I475" s="575"/>
      <c r="J475" s="575"/>
      <c r="K475" s="575"/>
      <c r="L475" s="575"/>
      <c r="M475" s="575"/>
      <c r="N475" s="575"/>
      <c r="O475" s="575"/>
      <c r="P475" s="575"/>
      <c r="Q475" s="575"/>
      <c r="R475" s="575"/>
      <c r="S475" s="575"/>
      <c r="T475" s="575"/>
      <c r="U475" s="575"/>
      <c r="V475" s="575"/>
      <c r="W475" s="575"/>
      <c r="X475" s="575"/>
      <c r="Y475" s="575"/>
      <c r="Z475" s="575"/>
      <c r="AA475" s="575"/>
    </row>
    <row r="476">
      <c r="A476" s="575"/>
      <c r="B476" s="692"/>
      <c r="C476" s="709"/>
      <c r="D476" s="709"/>
      <c r="E476" s="692"/>
      <c r="F476" s="710"/>
      <c r="G476" s="575"/>
      <c r="H476" s="575"/>
      <c r="I476" s="575"/>
      <c r="J476" s="575"/>
      <c r="K476" s="575"/>
      <c r="L476" s="575"/>
      <c r="M476" s="575"/>
      <c r="N476" s="575"/>
      <c r="O476" s="575"/>
      <c r="P476" s="575"/>
      <c r="Q476" s="575"/>
      <c r="R476" s="575"/>
      <c r="S476" s="575"/>
      <c r="T476" s="575"/>
      <c r="U476" s="575"/>
      <c r="V476" s="575"/>
      <c r="W476" s="575"/>
      <c r="X476" s="575"/>
      <c r="Y476" s="575"/>
      <c r="Z476" s="575"/>
      <c r="AA476" s="575"/>
    </row>
    <row r="477">
      <c r="A477" s="575"/>
      <c r="B477" s="692"/>
      <c r="C477" s="709"/>
      <c r="D477" s="709"/>
      <c r="E477" s="692"/>
      <c r="F477" s="710"/>
      <c r="G477" s="575"/>
      <c r="H477" s="575"/>
      <c r="I477" s="575"/>
      <c r="J477" s="575"/>
      <c r="K477" s="575"/>
      <c r="L477" s="575"/>
      <c r="M477" s="575"/>
      <c r="N477" s="575"/>
      <c r="O477" s="575"/>
      <c r="P477" s="575"/>
      <c r="Q477" s="575"/>
      <c r="R477" s="575"/>
      <c r="S477" s="575"/>
      <c r="T477" s="575"/>
      <c r="U477" s="575"/>
      <c r="V477" s="575"/>
      <c r="W477" s="575"/>
      <c r="X477" s="575"/>
      <c r="Y477" s="575"/>
      <c r="Z477" s="575"/>
      <c r="AA477" s="575"/>
    </row>
    <row r="478">
      <c r="A478" s="575"/>
      <c r="B478" s="692"/>
      <c r="C478" s="709"/>
      <c r="D478" s="709"/>
      <c r="E478" s="692"/>
      <c r="F478" s="710"/>
      <c r="G478" s="575"/>
      <c r="H478" s="575"/>
      <c r="I478" s="575"/>
      <c r="J478" s="575"/>
      <c r="K478" s="575"/>
      <c r="L478" s="575"/>
      <c r="M478" s="575"/>
      <c r="N478" s="575"/>
      <c r="O478" s="575"/>
      <c r="P478" s="575"/>
      <c r="Q478" s="575"/>
      <c r="R478" s="575"/>
      <c r="S478" s="575"/>
      <c r="T478" s="575"/>
      <c r="U478" s="575"/>
      <c r="V478" s="575"/>
      <c r="W478" s="575"/>
      <c r="X478" s="575"/>
      <c r="Y478" s="575"/>
      <c r="Z478" s="575"/>
      <c r="AA478" s="575"/>
    </row>
    <row r="479">
      <c r="A479" s="575"/>
      <c r="B479" s="692"/>
      <c r="C479" s="709"/>
      <c r="D479" s="709"/>
      <c r="E479" s="692"/>
      <c r="F479" s="710"/>
      <c r="G479" s="575"/>
      <c r="H479" s="575"/>
      <c r="I479" s="575"/>
      <c r="J479" s="575"/>
      <c r="K479" s="575"/>
      <c r="L479" s="575"/>
      <c r="M479" s="575"/>
      <c r="N479" s="575"/>
      <c r="O479" s="575"/>
      <c r="P479" s="575"/>
      <c r="Q479" s="575"/>
      <c r="R479" s="575"/>
      <c r="S479" s="575"/>
      <c r="T479" s="575"/>
      <c r="U479" s="575"/>
      <c r="V479" s="575"/>
      <c r="W479" s="575"/>
      <c r="X479" s="575"/>
      <c r="Y479" s="575"/>
      <c r="Z479" s="575"/>
      <c r="AA479" s="575"/>
    </row>
    <row r="480">
      <c r="A480" s="575"/>
      <c r="B480" s="692"/>
      <c r="C480" s="709"/>
      <c r="D480" s="709"/>
      <c r="E480" s="692"/>
      <c r="F480" s="710"/>
      <c r="G480" s="575"/>
      <c r="H480" s="575"/>
      <c r="I480" s="575"/>
      <c r="J480" s="575"/>
      <c r="K480" s="575"/>
      <c r="L480" s="575"/>
      <c r="M480" s="575"/>
      <c r="N480" s="575"/>
      <c r="O480" s="575"/>
      <c r="P480" s="575"/>
      <c r="Q480" s="575"/>
      <c r="R480" s="575"/>
      <c r="S480" s="575"/>
      <c r="T480" s="575"/>
      <c r="U480" s="575"/>
      <c r="V480" s="575"/>
      <c r="W480" s="575"/>
      <c r="X480" s="575"/>
      <c r="Y480" s="575"/>
      <c r="Z480" s="575"/>
      <c r="AA480" s="575"/>
    </row>
    <row r="481">
      <c r="A481" s="575"/>
      <c r="B481" s="692"/>
      <c r="C481" s="709"/>
      <c r="D481" s="709"/>
      <c r="E481" s="692"/>
      <c r="F481" s="710"/>
      <c r="G481" s="575"/>
      <c r="H481" s="575"/>
      <c r="I481" s="575"/>
      <c r="J481" s="575"/>
      <c r="K481" s="575"/>
      <c r="L481" s="575"/>
      <c r="M481" s="575"/>
      <c r="N481" s="575"/>
      <c r="O481" s="575"/>
      <c r="P481" s="575"/>
      <c r="Q481" s="575"/>
      <c r="R481" s="575"/>
      <c r="S481" s="575"/>
      <c r="T481" s="575"/>
      <c r="U481" s="575"/>
      <c r="V481" s="575"/>
      <c r="W481" s="575"/>
      <c r="X481" s="575"/>
      <c r="Y481" s="575"/>
      <c r="Z481" s="575"/>
      <c r="AA481" s="575"/>
    </row>
    <row r="482">
      <c r="A482" s="575"/>
      <c r="B482" s="692"/>
      <c r="C482" s="709"/>
      <c r="D482" s="709"/>
      <c r="E482" s="692"/>
      <c r="F482" s="710"/>
      <c r="G482" s="575"/>
      <c r="H482" s="575"/>
      <c r="I482" s="575"/>
      <c r="J482" s="575"/>
      <c r="K482" s="575"/>
      <c r="L482" s="575"/>
      <c r="M482" s="575"/>
      <c r="N482" s="575"/>
      <c r="O482" s="575"/>
      <c r="P482" s="575"/>
      <c r="Q482" s="575"/>
      <c r="R482" s="575"/>
      <c r="S482" s="575"/>
      <c r="T482" s="575"/>
      <c r="U482" s="575"/>
      <c r="V482" s="575"/>
      <c r="W482" s="575"/>
      <c r="X482" s="575"/>
      <c r="Y482" s="575"/>
      <c r="Z482" s="575"/>
      <c r="AA482" s="575"/>
    </row>
    <row r="483">
      <c r="A483" s="575"/>
      <c r="B483" s="692"/>
      <c r="C483" s="709"/>
      <c r="D483" s="709"/>
      <c r="E483" s="692"/>
      <c r="F483" s="710"/>
      <c r="G483" s="575"/>
      <c r="H483" s="575"/>
      <c r="I483" s="575"/>
      <c r="J483" s="575"/>
      <c r="K483" s="575"/>
      <c r="L483" s="575"/>
      <c r="M483" s="575"/>
      <c r="N483" s="575"/>
      <c r="O483" s="575"/>
      <c r="P483" s="575"/>
      <c r="Q483" s="575"/>
      <c r="R483" s="575"/>
      <c r="S483" s="575"/>
      <c r="T483" s="575"/>
      <c r="U483" s="575"/>
      <c r="V483" s="575"/>
      <c r="W483" s="575"/>
      <c r="X483" s="575"/>
      <c r="Y483" s="575"/>
      <c r="Z483" s="575"/>
      <c r="AA483" s="575"/>
    </row>
    <row r="484">
      <c r="A484" s="575"/>
      <c r="B484" s="692"/>
      <c r="C484" s="709"/>
      <c r="D484" s="709"/>
      <c r="E484" s="692"/>
      <c r="F484" s="710"/>
      <c r="G484" s="575"/>
      <c r="H484" s="575"/>
      <c r="I484" s="575"/>
      <c r="J484" s="575"/>
      <c r="K484" s="575"/>
      <c r="L484" s="575"/>
      <c r="M484" s="575"/>
      <c r="N484" s="575"/>
      <c r="O484" s="575"/>
      <c r="P484" s="575"/>
      <c r="Q484" s="575"/>
      <c r="R484" s="575"/>
      <c r="S484" s="575"/>
      <c r="T484" s="575"/>
      <c r="U484" s="575"/>
      <c r="V484" s="575"/>
      <c r="W484" s="575"/>
      <c r="X484" s="575"/>
      <c r="Y484" s="575"/>
      <c r="Z484" s="575"/>
      <c r="AA484" s="575"/>
    </row>
    <row r="485">
      <c r="A485" s="575"/>
      <c r="B485" s="692"/>
      <c r="C485" s="709"/>
      <c r="D485" s="709"/>
      <c r="E485" s="692"/>
      <c r="F485" s="710"/>
      <c r="G485" s="575"/>
      <c r="H485" s="575"/>
      <c r="I485" s="575"/>
      <c r="J485" s="575"/>
      <c r="K485" s="575"/>
      <c r="L485" s="575"/>
      <c r="M485" s="575"/>
      <c r="N485" s="575"/>
      <c r="O485" s="575"/>
      <c r="P485" s="575"/>
      <c r="Q485" s="575"/>
      <c r="R485" s="575"/>
      <c r="S485" s="575"/>
      <c r="T485" s="575"/>
      <c r="U485" s="575"/>
      <c r="V485" s="575"/>
      <c r="W485" s="575"/>
      <c r="X485" s="575"/>
      <c r="Y485" s="575"/>
      <c r="Z485" s="575"/>
      <c r="AA485" s="575"/>
    </row>
    <row r="486">
      <c r="A486" s="575"/>
      <c r="B486" s="692"/>
      <c r="C486" s="709"/>
      <c r="D486" s="709"/>
      <c r="E486" s="692"/>
      <c r="F486" s="710"/>
      <c r="G486" s="575"/>
      <c r="H486" s="575"/>
      <c r="I486" s="575"/>
      <c r="J486" s="575"/>
      <c r="K486" s="575"/>
      <c r="L486" s="575"/>
      <c r="M486" s="575"/>
      <c r="N486" s="575"/>
      <c r="O486" s="575"/>
      <c r="P486" s="575"/>
      <c r="Q486" s="575"/>
      <c r="R486" s="575"/>
      <c r="S486" s="575"/>
      <c r="T486" s="575"/>
      <c r="U486" s="575"/>
      <c r="V486" s="575"/>
      <c r="W486" s="575"/>
      <c r="X486" s="575"/>
      <c r="Y486" s="575"/>
      <c r="Z486" s="575"/>
      <c r="AA486" s="575"/>
    </row>
    <row r="487">
      <c r="A487" s="575"/>
      <c r="B487" s="692"/>
      <c r="C487" s="709"/>
      <c r="D487" s="709"/>
      <c r="E487" s="692"/>
      <c r="F487" s="710"/>
      <c r="G487" s="575"/>
      <c r="H487" s="575"/>
      <c r="I487" s="575"/>
      <c r="J487" s="575"/>
      <c r="K487" s="575"/>
      <c r="L487" s="575"/>
      <c r="M487" s="575"/>
      <c r="N487" s="575"/>
      <c r="O487" s="575"/>
      <c r="P487" s="575"/>
      <c r="Q487" s="575"/>
      <c r="R487" s="575"/>
      <c r="S487" s="575"/>
      <c r="T487" s="575"/>
      <c r="U487" s="575"/>
      <c r="V487" s="575"/>
      <c r="W487" s="575"/>
      <c r="X487" s="575"/>
      <c r="Y487" s="575"/>
      <c r="Z487" s="575"/>
      <c r="AA487" s="575"/>
    </row>
    <row r="488">
      <c r="A488" s="575"/>
      <c r="B488" s="692"/>
      <c r="C488" s="709"/>
      <c r="D488" s="709"/>
      <c r="E488" s="692"/>
      <c r="F488" s="710"/>
      <c r="G488" s="575"/>
      <c r="H488" s="575"/>
      <c r="I488" s="575"/>
      <c r="J488" s="575"/>
      <c r="K488" s="575"/>
      <c r="L488" s="575"/>
      <c r="M488" s="575"/>
      <c r="N488" s="575"/>
      <c r="O488" s="575"/>
      <c r="P488" s="575"/>
      <c r="Q488" s="575"/>
      <c r="R488" s="575"/>
      <c r="S488" s="575"/>
      <c r="T488" s="575"/>
      <c r="U488" s="575"/>
      <c r="V488" s="575"/>
      <c r="W488" s="575"/>
      <c r="X488" s="575"/>
      <c r="Y488" s="575"/>
      <c r="Z488" s="575"/>
      <c r="AA488" s="575"/>
    </row>
    <row r="489">
      <c r="A489" s="575"/>
      <c r="B489" s="692"/>
      <c r="C489" s="709"/>
      <c r="D489" s="709"/>
      <c r="E489" s="692"/>
      <c r="F489" s="710"/>
      <c r="G489" s="575"/>
      <c r="H489" s="575"/>
      <c r="I489" s="575"/>
      <c r="J489" s="575"/>
      <c r="K489" s="575"/>
      <c r="L489" s="575"/>
      <c r="M489" s="575"/>
      <c r="N489" s="575"/>
      <c r="O489" s="575"/>
      <c r="P489" s="575"/>
      <c r="Q489" s="575"/>
      <c r="R489" s="575"/>
      <c r="S489" s="575"/>
      <c r="T489" s="575"/>
      <c r="U489" s="575"/>
      <c r="V489" s="575"/>
      <c r="W489" s="575"/>
      <c r="X489" s="575"/>
      <c r="Y489" s="575"/>
      <c r="Z489" s="575"/>
      <c r="AA489" s="575"/>
    </row>
    <row r="490">
      <c r="A490" s="575"/>
      <c r="B490" s="692"/>
      <c r="C490" s="709"/>
      <c r="D490" s="709"/>
      <c r="E490" s="692"/>
      <c r="F490" s="710"/>
      <c r="G490" s="575"/>
      <c r="H490" s="575"/>
      <c r="I490" s="575"/>
      <c r="J490" s="575"/>
      <c r="K490" s="575"/>
      <c r="L490" s="575"/>
      <c r="M490" s="575"/>
      <c r="N490" s="575"/>
      <c r="O490" s="575"/>
      <c r="P490" s="575"/>
      <c r="Q490" s="575"/>
      <c r="R490" s="575"/>
      <c r="S490" s="575"/>
      <c r="T490" s="575"/>
      <c r="U490" s="575"/>
      <c r="V490" s="575"/>
      <c r="W490" s="575"/>
      <c r="X490" s="575"/>
      <c r="Y490" s="575"/>
      <c r="Z490" s="575"/>
      <c r="AA490" s="575"/>
    </row>
    <row r="491">
      <c r="A491" s="575"/>
      <c r="B491" s="692"/>
      <c r="C491" s="709"/>
      <c r="D491" s="709"/>
      <c r="E491" s="692"/>
      <c r="F491" s="710"/>
      <c r="G491" s="575"/>
      <c r="H491" s="575"/>
      <c r="I491" s="575"/>
      <c r="J491" s="575"/>
      <c r="K491" s="575"/>
      <c r="L491" s="575"/>
      <c r="M491" s="575"/>
      <c r="N491" s="575"/>
      <c r="O491" s="575"/>
      <c r="P491" s="575"/>
      <c r="Q491" s="575"/>
      <c r="R491" s="575"/>
      <c r="S491" s="575"/>
      <c r="T491" s="575"/>
      <c r="U491" s="575"/>
      <c r="V491" s="575"/>
      <c r="W491" s="575"/>
      <c r="X491" s="575"/>
      <c r="Y491" s="575"/>
      <c r="Z491" s="575"/>
      <c r="AA491" s="575"/>
    </row>
    <row r="492">
      <c r="A492" s="575"/>
      <c r="B492" s="692"/>
      <c r="C492" s="709"/>
      <c r="D492" s="709"/>
      <c r="E492" s="692"/>
      <c r="F492" s="710"/>
      <c r="G492" s="575"/>
      <c r="H492" s="575"/>
      <c r="I492" s="575"/>
      <c r="J492" s="575"/>
      <c r="K492" s="575"/>
      <c r="L492" s="575"/>
      <c r="M492" s="575"/>
      <c r="N492" s="575"/>
      <c r="O492" s="575"/>
      <c r="P492" s="575"/>
      <c r="Q492" s="575"/>
      <c r="R492" s="575"/>
      <c r="S492" s="575"/>
      <c r="T492" s="575"/>
      <c r="U492" s="575"/>
      <c r="V492" s="575"/>
      <c r="W492" s="575"/>
      <c r="X492" s="575"/>
      <c r="Y492" s="575"/>
      <c r="Z492" s="575"/>
      <c r="AA492" s="575"/>
    </row>
    <row r="493">
      <c r="A493" s="575"/>
      <c r="B493" s="692"/>
      <c r="C493" s="709"/>
      <c r="D493" s="709"/>
      <c r="E493" s="692"/>
      <c r="F493" s="710"/>
      <c r="G493" s="575"/>
      <c r="H493" s="575"/>
      <c r="I493" s="575"/>
      <c r="J493" s="575"/>
      <c r="K493" s="575"/>
      <c r="L493" s="575"/>
      <c r="M493" s="575"/>
      <c r="N493" s="575"/>
      <c r="O493" s="575"/>
      <c r="P493" s="575"/>
      <c r="Q493" s="575"/>
      <c r="R493" s="575"/>
      <c r="S493" s="575"/>
      <c r="T493" s="575"/>
      <c r="U493" s="575"/>
      <c r="V493" s="575"/>
      <c r="W493" s="575"/>
      <c r="X493" s="575"/>
      <c r="Y493" s="575"/>
      <c r="Z493" s="575"/>
      <c r="AA493" s="575"/>
    </row>
    <row r="494">
      <c r="A494" s="575"/>
      <c r="B494" s="692"/>
      <c r="C494" s="709"/>
      <c r="D494" s="709"/>
      <c r="E494" s="692"/>
      <c r="F494" s="710"/>
      <c r="G494" s="575"/>
      <c r="H494" s="575"/>
      <c r="I494" s="575"/>
      <c r="J494" s="575"/>
      <c r="K494" s="575"/>
      <c r="L494" s="575"/>
      <c r="M494" s="575"/>
      <c r="N494" s="575"/>
      <c r="O494" s="575"/>
      <c r="P494" s="575"/>
      <c r="Q494" s="575"/>
      <c r="R494" s="575"/>
      <c r="S494" s="575"/>
      <c r="T494" s="575"/>
      <c r="U494" s="575"/>
      <c r="V494" s="575"/>
      <c r="W494" s="575"/>
      <c r="X494" s="575"/>
      <c r="Y494" s="575"/>
      <c r="Z494" s="575"/>
      <c r="AA494" s="575"/>
    </row>
    <row r="495">
      <c r="A495" s="575"/>
      <c r="B495" s="692"/>
      <c r="C495" s="709"/>
      <c r="D495" s="709"/>
      <c r="E495" s="692"/>
      <c r="F495" s="710"/>
      <c r="G495" s="575"/>
      <c r="H495" s="575"/>
      <c r="I495" s="575"/>
      <c r="J495" s="575"/>
      <c r="K495" s="575"/>
      <c r="L495" s="575"/>
      <c r="M495" s="575"/>
      <c r="N495" s="575"/>
      <c r="O495" s="575"/>
      <c r="P495" s="575"/>
      <c r="Q495" s="575"/>
      <c r="R495" s="575"/>
      <c r="S495" s="575"/>
      <c r="T495" s="575"/>
      <c r="U495" s="575"/>
      <c r="V495" s="575"/>
      <c r="W495" s="575"/>
      <c r="X495" s="575"/>
      <c r="Y495" s="575"/>
      <c r="Z495" s="575"/>
      <c r="AA495" s="575"/>
    </row>
    <row r="496">
      <c r="A496" s="575"/>
      <c r="B496" s="692"/>
      <c r="C496" s="709"/>
      <c r="D496" s="709"/>
      <c r="E496" s="692"/>
      <c r="F496" s="710"/>
      <c r="G496" s="575"/>
      <c r="H496" s="575"/>
      <c r="I496" s="575"/>
      <c r="J496" s="575"/>
      <c r="K496" s="575"/>
      <c r="L496" s="575"/>
      <c r="M496" s="575"/>
      <c r="N496" s="575"/>
      <c r="O496" s="575"/>
      <c r="P496" s="575"/>
      <c r="Q496" s="575"/>
      <c r="R496" s="575"/>
      <c r="S496" s="575"/>
      <c r="T496" s="575"/>
      <c r="U496" s="575"/>
      <c r="V496" s="575"/>
      <c r="W496" s="575"/>
      <c r="X496" s="575"/>
      <c r="Y496" s="575"/>
      <c r="Z496" s="575"/>
      <c r="AA496" s="575"/>
    </row>
    <row r="497">
      <c r="A497" s="575"/>
      <c r="B497" s="692"/>
      <c r="C497" s="709"/>
      <c r="D497" s="709"/>
      <c r="E497" s="692"/>
      <c r="F497" s="710"/>
      <c r="G497" s="575"/>
      <c r="H497" s="575"/>
      <c r="I497" s="575"/>
      <c r="J497" s="575"/>
      <c r="K497" s="575"/>
      <c r="L497" s="575"/>
      <c r="M497" s="575"/>
      <c r="N497" s="575"/>
      <c r="O497" s="575"/>
      <c r="P497" s="575"/>
      <c r="Q497" s="575"/>
      <c r="R497" s="575"/>
      <c r="S497" s="575"/>
      <c r="T497" s="575"/>
      <c r="U497" s="575"/>
      <c r="V497" s="575"/>
      <c r="W497" s="575"/>
      <c r="X497" s="575"/>
      <c r="Y497" s="575"/>
      <c r="Z497" s="575"/>
      <c r="AA497" s="575"/>
    </row>
    <row r="498">
      <c r="A498" s="575"/>
      <c r="B498" s="692"/>
      <c r="C498" s="709"/>
      <c r="D498" s="709"/>
      <c r="E498" s="692"/>
      <c r="F498" s="710"/>
      <c r="G498" s="575"/>
      <c r="H498" s="575"/>
      <c r="I498" s="575"/>
      <c r="J498" s="575"/>
      <c r="K498" s="575"/>
      <c r="L498" s="575"/>
      <c r="M498" s="575"/>
      <c r="N498" s="575"/>
      <c r="O498" s="575"/>
      <c r="P498" s="575"/>
      <c r="Q498" s="575"/>
      <c r="R498" s="575"/>
      <c r="S498" s="575"/>
      <c r="T498" s="575"/>
      <c r="U498" s="575"/>
      <c r="V498" s="575"/>
      <c r="W498" s="575"/>
      <c r="X498" s="575"/>
      <c r="Y498" s="575"/>
      <c r="Z498" s="575"/>
      <c r="AA498" s="575"/>
    </row>
    <row r="499">
      <c r="A499" s="575"/>
      <c r="B499" s="692"/>
      <c r="C499" s="709"/>
      <c r="D499" s="709"/>
      <c r="E499" s="692"/>
      <c r="F499" s="710"/>
      <c r="G499" s="575"/>
      <c r="H499" s="575"/>
      <c r="I499" s="575"/>
      <c r="J499" s="575"/>
      <c r="K499" s="575"/>
      <c r="L499" s="575"/>
      <c r="M499" s="575"/>
      <c r="N499" s="575"/>
      <c r="O499" s="575"/>
      <c r="P499" s="575"/>
      <c r="Q499" s="575"/>
      <c r="R499" s="575"/>
      <c r="S499" s="575"/>
      <c r="T499" s="575"/>
      <c r="U499" s="575"/>
      <c r="V499" s="575"/>
      <c r="W499" s="575"/>
      <c r="X499" s="575"/>
      <c r="Y499" s="575"/>
      <c r="Z499" s="575"/>
      <c r="AA499" s="575"/>
    </row>
    <row r="500">
      <c r="A500" s="575"/>
      <c r="B500" s="692"/>
      <c r="C500" s="709"/>
      <c r="D500" s="709"/>
      <c r="E500" s="692"/>
      <c r="F500" s="710"/>
      <c r="G500" s="575"/>
      <c r="H500" s="575"/>
      <c r="I500" s="575"/>
      <c r="J500" s="575"/>
      <c r="K500" s="575"/>
      <c r="L500" s="575"/>
      <c r="M500" s="575"/>
      <c r="N500" s="575"/>
      <c r="O500" s="575"/>
      <c r="P500" s="575"/>
      <c r="Q500" s="575"/>
      <c r="R500" s="575"/>
      <c r="S500" s="575"/>
      <c r="T500" s="575"/>
      <c r="U500" s="575"/>
      <c r="V500" s="575"/>
      <c r="W500" s="575"/>
      <c r="X500" s="575"/>
      <c r="Y500" s="575"/>
      <c r="Z500" s="575"/>
      <c r="AA500" s="575"/>
    </row>
    <row r="501">
      <c r="A501" s="575"/>
      <c r="B501" s="692"/>
      <c r="C501" s="709"/>
      <c r="D501" s="709"/>
      <c r="E501" s="692"/>
      <c r="F501" s="710"/>
      <c r="G501" s="575"/>
      <c r="H501" s="575"/>
      <c r="I501" s="575"/>
      <c r="J501" s="575"/>
      <c r="K501" s="575"/>
      <c r="L501" s="575"/>
      <c r="M501" s="575"/>
      <c r="N501" s="575"/>
      <c r="O501" s="575"/>
      <c r="P501" s="575"/>
      <c r="Q501" s="575"/>
      <c r="R501" s="575"/>
      <c r="S501" s="575"/>
      <c r="T501" s="575"/>
      <c r="U501" s="575"/>
      <c r="V501" s="575"/>
      <c r="W501" s="575"/>
      <c r="X501" s="575"/>
      <c r="Y501" s="575"/>
      <c r="Z501" s="575"/>
      <c r="AA501" s="575"/>
    </row>
    <row r="502">
      <c r="A502" s="575"/>
      <c r="B502" s="692"/>
      <c r="C502" s="709"/>
      <c r="D502" s="709"/>
      <c r="E502" s="692"/>
      <c r="F502" s="710"/>
      <c r="G502" s="575"/>
      <c r="H502" s="575"/>
      <c r="I502" s="575"/>
      <c r="J502" s="575"/>
      <c r="K502" s="575"/>
      <c r="L502" s="575"/>
      <c r="M502" s="575"/>
      <c r="N502" s="575"/>
      <c r="O502" s="575"/>
      <c r="P502" s="575"/>
      <c r="Q502" s="575"/>
      <c r="R502" s="575"/>
      <c r="S502" s="575"/>
      <c r="T502" s="575"/>
      <c r="U502" s="575"/>
      <c r="V502" s="575"/>
      <c r="W502" s="575"/>
      <c r="X502" s="575"/>
      <c r="Y502" s="575"/>
      <c r="Z502" s="575"/>
      <c r="AA502" s="575"/>
    </row>
    <row r="503">
      <c r="A503" s="575"/>
      <c r="B503" s="692"/>
      <c r="C503" s="709"/>
      <c r="D503" s="709"/>
      <c r="E503" s="692"/>
      <c r="F503" s="710"/>
      <c r="G503" s="575"/>
      <c r="H503" s="575"/>
      <c r="I503" s="575"/>
      <c r="J503" s="575"/>
      <c r="K503" s="575"/>
      <c r="L503" s="575"/>
      <c r="M503" s="575"/>
      <c r="N503" s="575"/>
      <c r="O503" s="575"/>
      <c r="P503" s="575"/>
      <c r="Q503" s="575"/>
      <c r="R503" s="575"/>
      <c r="S503" s="575"/>
      <c r="T503" s="575"/>
      <c r="U503" s="575"/>
      <c r="V503" s="575"/>
      <c r="W503" s="575"/>
      <c r="X503" s="575"/>
      <c r="Y503" s="575"/>
      <c r="Z503" s="575"/>
      <c r="AA503" s="575"/>
    </row>
    <row r="504">
      <c r="A504" s="575"/>
      <c r="B504" s="692"/>
      <c r="C504" s="709"/>
      <c r="D504" s="709"/>
      <c r="E504" s="692"/>
      <c r="F504" s="710"/>
      <c r="G504" s="575"/>
      <c r="H504" s="575"/>
      <c r="I504" s="575"/>
      <c r="J504" s="575"/>
      <c r="K504" s="575"/>
      <c r="L504" s="575"/>
      <c r="M504" s="575"/>
      <c r="N504" s="575"/>
      <c r="O504" s="575"/>
      <c r="P504" s="575"/>
      <c r="Q504" s="575"/>
      <c r="R504" s="575"/>
      <c r="S504" s="575"/>
      <c r="T504" s="575"/>
      <c r="U504" s="575"/>
      <c r="V504" s="575"/>
      <c r="W504" s="575"/>
      <c r="X504" s="575"/>
      <c r="Y504" s="575"/>
      <c r="Z504" s="575"/>
      <c r="AA504" s="575"/>
    </row>
    <row r="505">
      <c r="A505" s="575"/>
      <c r="B505" s="692"/>
      <c r="C505" s="709"/>
      <c r="D505" s="709"/>
      <c r="E505" s="692"/>
      <c r="F505" s="710"/>
      <c r="G505" s="575"/>
      <c r="H505" s="575"/>
      <c r="I505" s="575"/>
      <c r="J505" s="575"/>
      <c r="K505" s="575"/>
      <c r="L505" s="575"/>
      <c r="M505" s="575"/>
      <c r="N505" s="575"/>
      <c r="O505" s="575"/>
      <c r="P505" s="575"/>
      <c r="Q505" s="575"/>
      <c r="R505" s="575"/>
      <c r="S505" s="575"/>
      <c r="T505" s="575"/>
      <c r="U505" s="575"/>
      <c r="V505" s="575"/>
      <c r="W505" s="575"/>
      <c r="X505" s="575"/>
      <c r="Y505" s="575"/>
      <c r="Z505" s="575"/>
      <c r="AA505" s="575"/>
    </row>
    <row r="506">
      <c r="A506" s="575"/>
      <c r="B506" s="692"/>
      <c r="C506" s="709"/>
      <c r="D506" s="709"/>
      <c r="E506" s="692"/>
      <c r="F506" s="710"/>
      <c r="G506" s="575"/>
      <c r="H506" s="575"/>
      <c r="I506" s="575"/>
      <c r="J506" s="575"/>
      <c r="K506" s="575"/>
      <c r="L506" s="575"/>
      <c r="M506" s="575"/>
      <c r="N506" s="575"/>
      <c r="O506" s="575"/>
      <c r="P506" s="575"/>
      <c r="Q506" s="575"/>
      <c r="R506" s="575"/>
      <c r="S506" s="575"/>
      <c r="T506" s="575"/>
      <c r="U506" s="575"/>
      <c r="V506" s="575"/>
      <c r="W506" s="575"/>
      <c r="X506" s="575"/>
      <c r="Y506" s="575"/>
      <c r="Z506" s="575"/>
      <c r="AA506" s="575"/>
    </row>
    <row r="507">
      <c r="A507" s="575"/>
      <c r="B507" s="692"/>
      <c r="C507" s="709"/>
      <c r="D507" s="709"/>
      <c r="E507" s="692"/>
      <c r="F507" s="710"/>
      <c r="G507" s="575"/>
      <c r="H507" s="575"/>
      <c r="I507" s="575"/>
      <c r="J507" s="575"/>
      <c r="K507" s="575"/>
      <c r="L507" s="575"/>
      <c r="M507" s="575"/>
      <c r="N507" s="575"/>
      <c r="O507" s="575"/>
      <c r="P507" s="575"/>
      <c r="Q507" s="575"/>
      <c r="R507" s="575"/>
      <c r="S507" s="575"/>
      <c r="T507" s="575"/>
      <c r="U507" s="575"/>
      <c r="V507" s="575"/>
      <c r="W507" s="575"/>
      <c r="X507" s="575"/>
      <c r="Y507" s="575"/>
      <c r="Z507" s="575"/>
      <c r="AA507" s="575"/>
    </row>
    <row r="508">
      <c r="A508" s="575"/>
      <c r="B508" s="692"/>
      <c r="C508" s="709"/>
      <c r="D508" s="709"/>
      <c r="E508" s="692"/>
      <c r="F508" s="710"/>
      <c r="G508" s="575"/>
      <c r="H508" s="575"/>
      <c r="I508" s="575"/>
      <c r="J508" s="575"/>
      <c r="K508" s="575"/>
      <c r="L508" s="575"/>
      <c r="M508" s="575"/>
      <c r="N508" s="575"/>
      <c r="O508" s="575"/>
      <c r="P508" s="575"/>
      <c r="Q508" s="575"/>
      <c r="R508" s="575"/>
      <c r="S508" s="575"/>
      <c r="T508" s="575"/>
      <c r="U508" s="575"/>
      <c r="V508" s="575"/>
      <c r="W508" s="575"/>
      <c r="X508" s="575"/>
      <c r="Y508" s="575"/>
      <c r="Z508" s="575"/>
      <c r="AA508" s="575"/>
    </row>
    <row r="509">
      <c r="A509" s="575"/>
      <c r="B509" s="692"/>
      <c r="C509" s="709"/>
      <c r="D509" s="709"/>
      <c r="E509" s="692"/>
      <c r="F509" s="710"/>
      <c r="G509" s="575"/>
      <c r="H509" s="575"/>
      <c r="I509" s="575"/>
      <c r="J509" s="575"/>
      <c r="K509" s="575"/>
      <c r="L509" s="575"/>
      <c r="M509" s="575"/>
      <c r="N509" s="575"/>
      <c r="O509" s="575"/>
      <c r="P509" s="575"/>
      <c r="Q509" s="575"/>
      <c r="R509" s="575"/>
      <c r="S509" s="575"/>
      <c r="T509" s="575"/>
      <c r="U509" s="575"/>
      <c r="V509" s="575"/>
      <c r="W509" s="575"/>
      <c r="X509" s="575"/>
      <c r="Y509" s="575"/>
      <c r="Z509" s="575"/>
      <c r="AA509" s="575"/>
    </row>
    <row r="510">
      <c r="A510" s="575"/>
      <c r="B510" s="692"/>
      <c r="C510" s="709"/>
      <c r="D510" s="709"/>
      <c r="E510" s="692"/>
      <c r="F510" s="710"/>
      <c r="G510" s="575"/>
      <c r="H510" s="575"/>
      <c r="I510" s="575"/>
      <c r="J510" s="575"/>
      <c r="K510" s="575"/>
      <c r="L510" s="575"/>
      <c r="M510" s="575"/>
      <c r="N510" s="575"/>
      <c r="O510" s="575"/>
      <c r="P510" s="575"/>
      <c r="Q510" s="575"/>
      <c r="R510" s="575"/>
      <c r="S510" s="575"/>
      <c r="T510" s="575"/>
      <c r="U510" s="575"/>
      <c r="V510" s="575"/>
      <c r="W510" s="575"/>
      <c r="X510" s="575"/>
      <c r="Y510" s="575"/>
      <c r="Z510" s="575"/>
      <c r="AA510" s="575"/>
    </row>
    <row r="511">
      <c r="A511" s="575"/>
      <c r="B511" s="692"/>
      <c r="C511" s="709"/>
      <c r="D511" s="709"/>
      <c r="E511" s="692"/>
      <c r="F511" s="710"/>
      <c r="G511" s="575"/>
      <c r="H511" s="575"/>
      <c r="I511" s="575"/>
      <c r="J511" s="575"/>
      <c r="K511" s="575"/>
      <c r="L511" s="575"/>
      <c r="M511" s="575"/>
      <c r="N511" s="575"/>
      <c r="O511" s="575"/>
      <c r="P511" s="575"/>
      <c r="Q511" s="575"/>
      <c r="R511" s="575"/>
      <c r="S511" s="575"/>
      <c r="T511" s="575"/>
      <c r="U511" s="575"/>
      <c r="V511" s="575"/>
      <c r="W511" s="575"/>
      <c r="X511" s="575"/>
      <c r="Y511" s="575"/>
      <c r="Z511" s="575"/>
      <c r="AA511" s="575"/>
    </row>
    <row r="512">
      <c r="A512" s="575"/>
      <c r="B512" s="692"/>
      <c r="C512" s="709"/>
      <c r="D512" s="709"/>
      <c r="E512" s="692"/>
      <c r="F512" s="710"/>
      <c r="G512" s="575"/>
      <c r="H512" s="575"/>
      <c r="I512" s="575"/>
      <c r="J512" s="575"/>
      <c r="K512" s="575"/>
      <c r="L512" s="575"/>
      <c r="M512" s="575"/>
      <c r="N512" s="575"/>
      <c r="O512" s="575"/>
      <c r="P512" s="575"/>
      <c r="Q512" s="575"/>
      <c r="R512" s="575"/>
      <c r="S512" s="575"/>
      <c r="T512" s="575"/>
      <c r="U512" s="575"/>
      <c r="V512" s="575"/>
      <c r="W512" s="575"/>
      <c r="X512" s="575"/>
      <c r="Y512" s="575"/>
      <c r="Z512" s="575"/>
      <c r="AA512" s="575"/>
    </row>
    <row r="513">
      <c r="A513" s="575"/>
      <c r="B513" s="692"/>
      <c r="C513" s="709"/>
      <c r="D513" s="709"/>
      <c r="E513" s="692"/>
      <c r="F513" s="710"/>
      <c r="G513" s="575"/>
      <c r="H513" s="575"/>
      <c r="I513" s="575"/>
      <c r="J513" s="575"/>
      <c r="K513" s="575"/>
      <c r="L513" s="575"/>
      <c r="M513" s="575"/>
      <c r="N513" s="575"/>
      <c r="O513" s="575"/>
      <c r="P513" s="575"/>
      <c r="Q513" s="575"/>
      <c r="R513" s="575"/>
      <c r="S513" s="575"/>
      <c r="T513" s="575"/>
      <c r="U513" s="575"/>
      <c r="V513" s="575"/>
      <c r="W513" s="575"/>
      <c r="X513" s="575"/>
      <c r="Y513" s="575"/>
      <c r="Z513" s="575"/>
      <c r="AA513" s="575"/>
    </row>
    <row r="514">
      <c r="A514" s="575"/>
      <c r="B514" s="692"/>
      <c r="C514" s="709"/>
      <c r="D514" s="709"/>
      <c r="E514" s="692"/>
      <c r="F514" s="710"/>
      <c r="G514" s="575"/>
      <c r="H514" s="575"/>
      <c r="I514" s="575"/>
      <c r="J514" s="575"/>
      <c r="K514" s="575"/>
      <c r="L514" s="575"/>
      <c r="M514" s="575"/>
      <c r="N514" s="575"/>
      <c r="O514" s="575"/>
      <c r="P514" s="575"/>
      <c r="Q514" s="575"/>
      <c r="R514" s="575"/>
      <c r="S514" s="575"/>
      <c r="T514" s="575"/>
      <c r="U514" s="575"/>
      <c r="V514" s="575"/>
      <c r="W514" s="575"/>
      <c r="X514" s="575"/>
      <c r="Y514" s="575"/>
      <c r="Z514" s="575"/>
      <c r="AA514" s="575"/>
    </row>
    <row r="515">
      <c r="A515" s="575"/>
      <c r="B515" s="692"/>
      <c r="C515" s="709"/>
      <c r="D515" s="709"/>
      <c r="E515" s="692"/>
      <c r="F515" s="710"/>
      <c r="G515" s="575"/>
      <c r="H515" s="575"/>
      <c r="I515" s="575"/>
      <c r="J515" s="575"/>
      <c r="K515" s="575"/>
      <c r="L515" s="575"/>
      <c r="M515" s="575"/>
      <c r="N515" s="575"/>
      <c r="O515" s="575"/>
      <c r="P515" s="575"/>
      <c r="Q515" s="575"/>
      <c r="R515" s="575"/>
      <c r="S515" s="575"/>
      <c r="T515" s="575"/>
      <c r="U515" s="575"/>
      <c r="V515" s="575"/>
      <c r="W515" s="575"/>
      <c r="X515" s="575"/>
      <c r="Y515" s="575"/>
      <c r="Z515" s="575"/>
      <c r="AA515" s="575"/>
    </row>
    <row r="516">
      <c r="A516" s="575"/>
      <c r="B516" s="692"/>
      <c r="C516" s="709"/>
      <c r="D516" s="709"/>
      <c r="E516" s="692"/>
      <c r="F516" s="710"/>
      <c r="G516" s="575"/>
      <c r="H516" s="575"/>
      <c r="I516" s="575"/>
      <c r="J516" s="575"/>
      <c r="K516" s="575"/>
      <c r="L516" s="575"/>
      <c r="M516" s="575"/>
      <c r="N516" s="575"/>
      <c r="O516" s="575"/>
      <c r="P516" s="575"/>
      <c r="Q516" s="575"/>
      <c r="R516" s="575"/>
      <c r="S516" s="575"/>
      <c r="T516" s="575"/>
      <c r="U516" s="575"/>
      <c r="V516" s="575"/>
      <c r="W516" s="575"/>
      <c r="X516" s="575"/>
      <c r="Y516" s="575"/>
      <c r="Z516" s="575"/>
      <c r="AA516" s="575"/>
    </row>
    <row r="517">
      <c r="A517" s="575"/>
      <c r="B517" s="692"/>
      <c r="C517" s="709"/>
      <c r="D517" s="709"/>
      <c r="E517" s="692"/>
      <c r="F517" s="710"/>
      <c r="G517" s="575"/>
      <c r="H517" s="575"/>
      <c r="I517" s="575"/>
      <c r="J517" s="575"/>
      <c r="K517" s="575"/>
      <c r="L517" s="575"/>
      <c r="M517" s="575"/>
      <c r="N517" s="575"/>
      <c r="O517" s="575"/>
      <c r="P517" s="575"/>
      <c r="Q517" s="575"/>
      <c r="R517" s="575"/>
      <c r="S517" s="575"/>
      <c r="T517" s="575"/>
      <c r="U517" s="575"/>
      <c r="V517" s="575"/>
      <c r="W517" s="575"/>
      <c r="X517" s="575"/>
      <c r="Y517" s="575"/>
      <c r="Z517" s="575"/>
      <c r="AA517" s="575"/>
    </row>
    <row r="518">
      <c r="A518" s="575"/>
      <c r="B518" s="692"/>
      <c r="C518" s="709"/>
      <c r="D518" s="709"/>
      <c r="E518" s="692"/>
      <c r="F518" s="710"/>
      <c r="G518" s="575"/>
      <c r="H518" s="575"/>
      <c r="I518" s="575"/>
      <c r="J518" s="575"/>
      <c r="K518" s="575"/>
      <c r="L518" s="575"/>
      <c r="M518" s="575"/>
      <c r="N518" s="575"/>
      <c r="O518" s="575"/>
      <c r="P518" s="575"/>
      <c r="Q518" s="575"/>
      <c r="R518" s="575"/>
      <c r="S518" s="575"/>
      <c r="T518" s="575"/>
      <c r="U518" s="575"/>
      <c r="V518" s="575"/>
      <c r="W518" s="575"/>
      <c r="X518" s="575"/>
      <c r="Y518" s="575"/>
      <c r="Z518" s="575"/>
      <c r="AA518" s="575"/>
    </row>
    <row r="519">
      <c r="A519" s="575"/>
      <c r="B519" s="692"/>
      <c r="C519" s="709"/>
      <c r="D519" s="709"/>
      <c r="E519" s="692"/>
      <c r="F519" s="710"/>
      <c r="G519" s="575"/>
      <c r="H519" s="575"/>
      <c r="I519" s="575"/>
      <c r="J519" s="575"/>
      <c r="K519" s="575"/>
      <c r="L519" s="575"/>
      <c r="M519" s="575"/>
      <c r="N519" s="575"/>
      <c r="O519" s="575"/>
      <c r="P519" s="575"/>
      <c r="Q519" s="575"/>
      <c r="R519" s="575"/>
      <c r="S519" s="575"/>
      <c r="T519" s="575"/>
      <c r="U519" s="575"/>
      <c r="V519" s="575"/>
      <c r="W519" s="575"/>
      <c r="X519" s="575"/>
      <c r="Y519" s="575"/>
      <c r="Z519" s="575"/>
      <c r="AA519" s="575"/>
    </row>
    <row r="520">
      <c r="A520" s="575"/>
      <c r="B520" s="692"/>
      <c r="C520" s="709"/>
      <c r="D520" s="709"/>
      <c r="E520" s="692"/>
      <c r="F520" s="710"/>
      <c r="G520" s="575"/>
      <c r="H520" s="575"/>
      <c r="I520" s="575"/>
      <c r="J520" s="575"/>
      <c r="K520" s="575"/>
      <c r="L520" s="575"/>
      <c r="M520" s="575"/>
      <c r="N520" s="575"/>
      <c r="O520" s="575"/>
      <c r="P520" s="575"/>
      <c r="Q520" s="575"/>
      <c r="R520" s="575"/>
      <c r="S520" s="575"/>
      <c r="T520" s="575"/>
      <c r="U520" s="575"/>
      <c r="V520" s="575"/>
      <c r="W520" s="575"/>
      <c r="X520" s="575"/>
      <c r="Y520" s="575"/>
      <c r="Z520" s="575"/>
      <c r="AA520" s="575"/>
    </row>
    <row r="521">
      <c r="A521" s="575"/>
      <c r="B521" s="692"/>
      <c r="C521" s="709"/>
      <c r="D521" s="709"/>
      <c r="E521" s="692"/>
      <c r="F521" s="710"/>
      <c r="G521" s="575"/>
      <c r="H521" s="575"/>
      <c r="I521" s="575"/>
      <c r="J521" s="575"/>
      <c r="K521" s="575"/>
      <c r="L521" s="575"/>
      <c r="M521" s="575"/>
      <c r="N521" s="575"/>
      <c r="O521" s="575"/>
      <c r="P521" s="575"/>
      <c r="Q521" s="575"/>
      <c r="R521" s="575"/>
      <c r="S521" s="575"/>
      <c r="T521" s="575"/>
      <c r="U521" s="575"/>
      <c r="V521" s="575"/>
      <c r="W521" s="575"/>
      <c r="X521" s="575"/>
      <c r="Y521" s="575"/>
      <c r="Z521" s="575"/>
      <c r="AA521" s="575"/>
    </row>
    <row r="522">
      <c r="A522" s="575"/>
      <c r="B522" s="692"/>
      <c r="C522" s="709"/>
      <c r="D522" s="709"/>
      <c r="E522" s="692"/>
      <c r="F522" s="710"/>
      <c r="G522" s="575"/>
      <c r="H522" s="575"/>
      <c r="I522" s="575"/>
      <c r="J522" s="575"/>
      <c r="K522" s="575"/>
      <c r="L522" s="575"/>
      <c r="M522" s="575"/>
      <c r="N522" s="575"/>
      <c r="O522" s="575"/>
      <c r="P522" s="575"/>
      <c r="Q522" s="575"/>
      <c r="R522" s="575"/>
      <c r="S522" s="575"/>
      <c r="T522" s="575"/>
      <c r="U522" s="575"/>
      <c r="V522" s="575"/>
      <c r="W522" s="575"/>
      <c r="X522" s="575"/>
      <c r="Y522" s="575"/>
      <c r="Z522" s="575"/>
      <c r="AA522" s="575"/>
    </row>
    <row r="523">
      <c r="A523" s="575"/>
      <c r="B523" s="692"/>
      <c r="C523" s="709"/>
      <c r="D523" s="709"/>
      <c r="E523" s="692"/>
      <c r="F523" s="710"/>
      <c r="G523" s="575"/>
      <c r="H523" s="575"/>
      <c r="I523" s="575"/>
      <c r="J523" s="575"/>
      <c r="K523" s="575"/>
      <c r="L523" s="575"/>
      <c r="M523" s="575"/>
      <c r="N523" s="575"/>
      <c r="O523" s="575"/>
      <c r="P523" s="575"/>
      <c r="Q523" s="575"/>
      <c r="R523" s="575"/>
      <c r="S523" s="575"/>
      <c r="T523" s="575"/>
      <c r="U523" s="575"/>
      <c r="V523" s="575"/>
      <c r="W523" s="575"/>
      <c r="X523" s="575"/>
      <c r="Y523" s="575"/>
      <c r="Z523" s="575"/>
      <c r="AA523" s="575"/>
    </row>
    <row r="524">
      <c r="A524" s="575"/>
      <c r="B524" s="692"/>
      <c r="C524" s="709"/>
      <c r="D524" s="709"/>
      <c r="E524" s="692"/>
      <c r="F524" s="710"/>
      <c r="G524" s="575"/>
      <c r="H524" s="575"/>
      <c r="I524" s="575"/>
      <c r="J524" s="575"/>
      <c r="K524" s="575"/>
      <c r="L524" s="575"/>
      <c r="M524" s="575"/>
      <c r="N524" s="575"/>
      <c r="O524" s="575"/>
      <c r="P524" s="575"/>
      <c r="Q524" s="575"/>
      <c r="R524" s="575"/>
      <c r="S524" s="575"/>
      <c r="T524" s="575"/>
      <c r="U524" s="575"/>
      <c r="V524" s="575"/>
      <c r="W524" s="575"/>
      <c r="X524" s="575"/>
      <c r="Y524" s="575"/>
      <c r="Z524" s="575"/>
      <c r="AA524" s="575"/>
    </row>
    <row r="525">
      <c r="A525" s="575"/>
      <c r="B525" s="692"/>
      <c r="C525" s="709"/>
      <c r="D525" s="709"/>
      <c r="E525" s="692"/>
      <c r="F525" s="710"/>
      <c r="G525" s="575"/>
      <c r="H525" s="575"/>
      <c r="I525" s="575"/>
      <c r="J525" s="575"/>
      <c r="K525" s="575"/>
      <c r="L525" s="575"/>
      <c r="M525" s="575"/>
      <c r="N525" s="575"/>
      <c r="O525" s="575"/>
      <c r="P525" s="575"/>
      <c r="Q525" s="575"/>
      <c r="R525" s="575"/>
      <c r="S525" s="575"/>
      <c r="T525" s="575"/>
      <c r="U525" s="575"/>
      <c r="V525" s="575"/>
      <c r="W525" s="575"/>
      <c r="X525" s="575"/>
      <c r="Y525" s="575"/>
      <c r="Z525" s="575"/>
      <c r="AA525" s="575"/>
    </row>
    <row r="526">
      <c r="A526" s="575"/>
      <c r="B526" s="692"/>
      <c r="C526" s="709"/>
      <c r="D526" s="709"/>
      <c r="E526" s="692"/>
      <c r="F526" s="710"/>
      <c r="G526" s="575"/>
      <c r="H526" s="575"/>
      <c r="I526" s="575"/>
      <c r="J526" s="575"/>
      <c r="K526" s="575"/>
      <c r="L526" s="575"/>
      <c r="M526" s="575"/>
      <c r="N526" s="575"/>
      <c r="O526" s="575"/>
      <c r="P526" s="575"/>
      <c r="Q526" s="575"/>
      <c r="R526" s="575"/>
      <c r="S526" s="575"/>
      <c r="T526" s="575"/>
      <c r="U526" s="575"/>
      <c r="V526" s="575"/>
      <c r="W526" s="575"/>
      <c r="X526" s="575"/>
      <c r="Y526" s="575"/>
      <c r="Z526" s="575"/>
      <c r="AA526" s="575"/>
    </row>
    <row r="527">
      <c r="A527" s="575"/>
      <c r="B527" s="692"/>
      <c r="C527" s="709"/>
      <c r="D527" s="709"/>
      <c r="E527" s="692"/>
      <c r="F527" s="710"/>
      <c r="G527" s="575"/>
      <c r="H527" s="575"/>
      <c r="I527" s="575"/>
      <c r="J527" s="575"/>
      <c r="K527" s="575"/>
      <c r="L527" s="575"/>
      <c r="M527" s="575"/>
      <c r="N527" s="575"/>
      <c r="O527" s="575"/>
      <c r="P527" s="575"/>
      <c r="Q527" s="575"/>
      <c r="R527" s="575"/>
      <c r="S527" s="575"/>
      <c r="T527" s="575"/>
      <c r="U527" s="575"/>
      <c r="V527" s="575"/>
      <c r="W527" s="575"/>
      <c r="X527" s="575"/>
      <c r="Y527" s="575"/>
      <c r="Z527" s="575"/>
      <c r="AA527" s="575"/>
    </row>
    <row r="528">
      <c r="A528" s="575"/>
      <c r="B528" s="692"/>
      <c r="C528" s="709"/>
      <c r="D528" s="709"/>
      <c r="E528" s="692"/>
      <c r="F528" s="710"/>
      <c r="G528" s="575"/>
      <c r="H528" s="575"/>
      <c r="I528" s="575"/>
      <c r="J528" s="575"/>
      <c r="K528" s="575"/>
      <c r="L528" s="575"/>
      <c r="M528" s="575"/>
      <c r="N528" s="575"/>
      <c r="O528" s="575"/>
      <c r="P528" s="575"/>
      <c r="Q528" s="575"/>
      <c r="R528" s="575"/>
      <c r="S528" s="575"/>
      <c r="T528" s="575"/>
      <c r="U528" s="575"/>
      <c r="V528" s="575"/>
      <c r="W528" s="575"/>
      <c r="X528" s="575"/>
      <c r="Y528" s="575"/>
      <c r="Z528" s="575"/>
      <c r="AA528" s="575"/>
    </row>
    <row r="529">
      <c r="A529" s="575"/>
      <c r="B529" s="692"/>
      <c r="C529" s="709"/>
      <c r="D529" s="709"/>
      <c r="E529" s="692"/>
      <c r="F529" s="710"/>
      <c r="G529" s="575"/>
      <c r="H529" s="575"/>
      <c r="I529" s="575"/>
      <c r="J529" s="575"/>
      <c r="K529" s="575"/>
      <c r="L529" s="575"/>
      <c r="M529" s="575"/>
      <c r="N529" s="575"/>
      <c r="O529" s="575"/>
      <c r="P529" s="575"/>
      <c r="Q529" s="575"/>
      <c r="R529" s="575"/>
      <c r="S529" s="575"/>
      <c r="T529" s="575"/>
      <c r="U529" s="575"/>
      <c r="V529" s="575"/>
      <c r="W529" s="575"/>
      <c r="X529" s="575"/>
      <c r="Y529" s="575"/>
      <c r="Z529" s="575"/>
      <c r="AA529" s="575"/>
    </row>
    <row r="530">
      <c r="A530" s="575"/>
      <c r="B530" s="692"/>
      <c r="C530" s="709"/>
      <c r="D530" s="709"/>
      <c r="E530" s="692"/>
      <c r="F530" s="710"/>
      <c r="G530" s="575"/>
      <c r="H530" s="575"/>
      <c r="I530" s="575"/>
      <c r="J530" s="575"/>
      <c r="K530" s="575"/>
      <c r="L530" s="575"/>
      <c r="M530" s="575"/>
      <c r="N530" s="575"/>
      <c r="O530" s="575"/>
      <c r="P530" s="575"/>
      <c r="Q530" s="575"/>
      <c r="R530" s="575"/>
      <c r="S530" s="575"/>
      <c r="T530" s="575"/>
      <c r="U530" s="575"/>
      <c r="V530" s="575"/>
      <c r="W530" s="575"/>
      <c r="X530" s="575"/>
      <c r="Y530" s="575"/>
      <c r="Z530" s="575"/>
      <c r="AA530" s="575"/>
    </row>
    <row r="531">
      <c r="A531" s="575"/>
      <c r="B531" s="692"/>
      <c r="C531" s="709"/>
      <c r="D531" s="709"/>
      <c r="E531" s="692"/>
      <c r="F531" s="710"/>
      <c r="G531" s="575"/>
      <c r="H531" s="575"/>
      <c r="I531" s="575"/>
      <c r="J531" s="575"/>
      <c r="K531" s="575"/>
      <c r="L531" s="575"/>
      <c r="M531" s="575"/>
      <c r="N531" s="575"/>
      <c r="O531" s="575"/>
      <c r="P531" s="575"/>
      <c r="Q531" s="575"/>
      <c r="R531" s="575"/>
      <c r="S531" s="575"/>
      <c r="T531" s="575"/>
      <c r="U531" s="575"/>
      <c r="V531" s="575"/>
      <c r="W531" s="575"/>
      <c r="X531" s="575"/>
      <c r="Y531" s="575"/>
      <c r="Z531" s="575"/>
      <c r="AA531" s="575"/>
    </row>
    <row r="532">
      <c r="A532" s="575"/>
      <c r="B532" s="692"/>
      <c r="C532" s="709"/>
      <c r="D532" s="709"/>
      <c r="E532" s="692"/>
      <c r="F532" s="710"/>
      <c r="G532" s="575"/>
      <c r="H532" s="575"/>
      <c r="I532" s="575"/>
      <c r="J532" s="575"/>
      <c r="K532" s="575"/>
      <c r="L532" s="575"/>
      <c r="M532" s="575"/>
      <c r="N532" s="575"/>
      <c r="O532" s="575"/>
      <c r="P532" s="575"/>
      <c r="Q532" s="575"/>
      <c r="R532" s="575"/>
      <c r="S532" s="575"/>
      <c r="T532" s="575"/>
      <c r="U532" s="575"/>
      <c r="V532" s="575"/>
      <c r="W532" s="575"/>
      <c r="X532" s="575"/>
      <c r="Y532" s="575"/>
      <c r="Z532" s="575"/>
      <c r="AA532" s="575"/>
    </row>
    <row r="533">
      <c r="A533" s="575"/>
      <c r="B533" s="692"/>
      <c r="C533" s="709"/>
      <c r="D533" s="709"/>
      <c r="E533" s="692"/>
      <c r="F533" s="710"/>
      <c r="G533" s="575"/>
      <c r="H533" s="575"/>
      <c r="I533" s="575"/>
      <c r="J533" s="575"/>
      <c r="K533" s="575"/>
      <c r="L533" s="575"/>
      <c r="M533" s="575"/>
      <c r="N533" s="575"/>
      <c r="O533" s="575"/>
      <c r="P533" s="575"/>
      <c r="Q533" s="575"/>
      <c r="R533" s="575"/>
      <c r="S533" s="575"/>
      <c r="T533" s="575"/>
      <c r="U533" s="575"/>
      <c r="V533" s="575"/>
      <c r="W533" s="575"/>
      <c r="X533" s="575"/>
      <c r="Y533" s="575"/>
      <c r="Z533" s="575"/>
      <c r="AA533" s="575"/>
    </row>
    <row r="534">
      <c r="A534" s="575"/>
      <c r="B534" s="692"/>
      <c r="C534" s="709"/>
      <c r="D534" s="709"/>
      <c r="E534" s="692"/>
      <c r="F534" s="710"/>
      <c r="G534" s="575"/>
      <c r="H534" s="575"/>
      <c r="I534" s="575"/>
      <c r="J534" s="575"/>
      <c r="K534" s="575"/>
      <c r="L534" s="575"/>
      <c r="M534" s="575"/>
      <c r="N534" s="575"/>
      <c r="O534" s="575"/>
      <c r="P534" s="575"/>
      <c r="Q534" s="575"/>
      <c r="R534" s="575"/>
      <c r="S534" s="575"/>
      <c r="T534" s="575"/>
      <c r="U534" s="575"/>
      <c r="V534" s="575"/>
      <c r="W534" s="575"/>
      <c r="X534" s="575"/>
      <c r="Y534" s="575"/>
      <c r="Z534" s="575"/>
      <c r="AA534" s="575"/>
    </row>
    <row r="535">
      <c r="A535" s="575"/>
      <c r="B535" s="692"/>
      <c r="C535" s="709"/>
      <c r="D535" s="709"/>
      <c r="E535" s="692"/>
      <c r="F535" s="710"/>
      <c r="G535" s="575"/>
      <c r="H535" s="575"/>
      <c r="I535" s="575"/>
      <c r="J535" s="575"/>
      <c r="K535" s="575"/>
      <c r="L535" s="575"/>
      <c r="M535" s="575"/>
      <c r="N535" s="575"/>
      <c r="O535" s="575"/>
      <c r="P535" s="575"/>
      <c r="Q535" s="575"/>
      <c r="R535" s="575"/>
      <c r="S535" s="575"/>
      <c r="T535" s="575"/>
      <c r="U535" s="575"/>
      <c r="V535" s="575"/>
      <c r="W535" s="575"/>
      <c r="X535" s="575"/>
      <c r="Y535" s="575"/>
      <c r="Z535" s="575"/>
      <c r="AA535" s="575"/>
    </row>
    <row r="536">
      <c r="A536" s="575"/>
      <c r="B536" s="692"/>
      <c r="C536" s="709"/>
      <c r="D536" s="709"/>
      <c r="E536" s="692"/>
      <c r="F536" s="710"/>
      <c r="G536" s="575"/>
      <c r="H536" s="575"/>
      <c r="I536" s="575"/>
      <c r="J536" s="575"/>
      <c r="K536" s="575"/>
      <c r="L536" s="575"/>
      <c r="M536" s="575"/>
      <c r="N536" s="575"/>
      <c r="O536" s="575"/>
      <c r="P536" s="575"/>
      <c r="Q536" s="575"/>
      <c r="R536" s="575"/>
      <c r="S536" s="575"/>
      <c r="T536" s="575"/>
      <c r="U536" s="575"/>
      <c r="V536" s="575"/>
      <c r="W536" s="575"/>
      <c r="X536" s="575"/>
      <c r="Y536" s="575"/>
      <c r="Z536" s="575"/>
      <c r="AA536" s="575"/>
    </row>
    <row r="537">
      <c r="A537" s="575"/>
      <c r="B537" s="692"/>
      <c r="C537" s="709"/>
      <c r="D537" s="709"/>
      <c r="E537" s="692"/>
      <c r="F537" s="710"/>
      <c r="G537" s="575"/>
      <c r="H537" s="575"/>
      <c r="I537" s="575"/>
      <c r="J537" s="575"/>
      <c r="K537" s="575"/>
      <c r="L537" s="575"/>
      <c r="M537" s="575"/>
      <c r="N537" s="575"/>
      <c r="O537" s="575"/>
      <c r="P537" s="575"/>
      <c r="Q537" s="575"/>
      <c r="R537" s="575"/>
      <c r="S537" s="575"/>
      <c r="T537" s="575"/>
      <c r="U537" s="575"/>
      <c r="V537" s="575"/>
      <c r="W537" s="575"/>
      <c r="X537" s="575"/>
      <c r="Y537" s="575"/>
      <c r="Z537" s="575"/>
      <c r="AA537" s="575"/>
    </row>
    <row r="538">
      <c r="A538" s="575"/>
      <c r="B538" s="692"/>
      <c r="C538" s="709"/>
      <c r="D538" s="709"/>
      <c r="E538" s="692"/>
      <c r="F538" s="710"/>
      <c r="G538" s="575"/>
      <c r="H538" s="575"/>
      <c r="I538" s="575"/>
      <c r="J538" s="575"/>
      <c r="K538" s="575"/>
      <c r="L538" s="575"/>
      <c r="M538" s="575"/>
      <c r="N538" s="575"/>
      <c r="O538" s="575"/>
      <c r="P538" s="575"/>
      <c r="Q538" s="575"/>
      <c r="R538" s="575"/>
      <c r="S538" s="575"/>
      <c r="T538" s="575"/>
      <c r="U538" s="575"/>
      <c r="V538" s="575"/>
      <c r="W538" s="575"/>
      <c r="X538" s="575"/>
      <c r="Y538" s="575"/>
      <c r="Z538" s="575"/>
      <c r="AA538" s="575"/>
    </row>
    <row r="539">
      <c r="A539" s="575"/>
      <c r="B539" s="692"/>
      <c r="C539" s="709"/>
      <c r="D539" s="709"/>
      <c r="E539" s="692"/>
      <c r="F539" s="710"/>
      <c r="G539" s="575"/>
      <c r="H539" s="575"/>
      <c r="I539" s="575"/>
      <c r="J539" s="575"/>
      <c r="K539" s="575"/>
      <c r="L539" s="575"/>
      <c r="M539" s="575"/>
      <c r="N539" s="575"/>
      <c r="O539" s="575"/>
      <c r="P539" s="575"/>
      <c r="Q539" s="575"/>
      <c r="R539" s="575"/>
      <c r="S539" s="575"/>
      <c r="T539" s="575"/>
      <c r="U539" s="575"/>
      <c r="V539" s="575"/>
      <c r="W539" s="575"/>
      <c r="X539" s="575"/>
      <c r="Y539" s="575"/>
      <c r="Z539" s="575"/>
      <c r="AA539" s="575"/>
    </row>
    <row r="540">
      <c r="A540" s="575"/>
      <c r="B540" s="692"/>
      <c r="C540" s="709"/>
      <c r="D540" s="709"/>
      <c r="E540" s="692"/>
      <c r="F540" s="710"/>
      <c r="G540" s="575"/>
      <c r="H540" s="575"/>
      <c r="I540" s="575"/>
      <c r="J540" s="575"/>
      <c r="K540" s="575"/>
      <c r="L540" s="575"/>
      <c r="M540" s="575"/>
      <c r="N540" s="575"/>
      <c r="O540" s="575"/>
      <c r="P540" s="575"/>
      <c r="Q540" s="575"/>
      <c r="R540" s="575"/>
      <c r="S540" s="575"/>
      <c r="T540" s="575"/>
      <c r="U540" s="575"/>
      <c r="V540" s="575"/>
      <c r="W540" s="575"/>
      <c r="X540" s="575"/>
      <c r="Y540" s="575"/>
      <c r="Z540" s="575"/>
      <c r="AA540" s="575"/>
    </row>
    <row r="541">
      <c r="A541" s="575"/>
      <c r="B541" s="692"/>
      <c r="C541" s="709"/>
      <c r="D541" s="709"/>
      <c r="E541" s="692"/>
      <c r="F541" s="710"/>
      <c r="G541" s="575"/>
      <c r="H541" s="575"/>
      <c r="I541" s="575"/>
      <c r="J541" s="575"/>
      <c r="K541" s="575"/>
      <c r="L541" s="575"/>
      <c r="M541" s="575"/>
      <c r="N541" s="575"/>
      <c r="O541" s="575"/>
      <c r="P541" s="575"/>
      <c r="Q541" s="575"/>
      <c r="R541" s="575"/>
      <c r="S541" s="575"/>
      <c r="T541" s="575"/>
      <c r="U541" s="575"/>
      <c r="V541" s="575"/>
      <c r="W541" s="575"/>
      <c r="X541" s="575"/>
      <c r="Y541" s="575"/>
      <c r="Z541" s="575"/>
      <c r="AA541" s="575"/>
    </row>
    <row r="542">
      <c r="A542" s="575"/>
      <c r="B542" s="692"/>
      <c r="C542" s="709"/>
      <c r="D542" s="709"/>
      <c r="E542" s="692"/>
      <c r="F542" s="710"/>
      <c r="G542" s="575"/>
      <c r="H542" s="575"/>
      <c r="I542" s="575"/>
      <c r="J542" s="575"/>
      <c r="K542" s="575"/>
      <c r="L542" s="575"/>
      <c r="M542" s="575"/>
      <c r="N542" s="575"/>
      <c r="O542" s="575"/>
      <c r="P542" s="575"/>
      <c r="Q542" s="575"/>
      <c r="R542" s="575"/>
      <c r="S542" s="575"/>
      <c r="T542" s="575"/>
      <c r="U542" s="575"/>
      <c r="V542" s="575"/>
      <c r="W542" s="575"/>
      <c r="X542" s="575"/>
      <c r="Y542" s="575"/>
      <c r="Z542" s="575"/>
      <c r="AA542" s="575"/>
    </row>
    <row r="543">
      <c r="A543" s="575"/>
      <c r="B543" s="692"/>
      <c r="C543" s="709"/>
      <c r="D543" s="709"/>
      <c r="E543" s="692"/>
      <c r="F543" s="710"/>
      <c r="G543" s="575"/>
      <c r="H543" s="575"/>
      <c r="I543" s="575"/>
      <c r="J543" s="575"/>
      <c r="K543" s="575"/>
      <c r="L543" s="575"/>
      <c r="M543" s="575"/>
      <c r="N543" s="575"/>
      <c r="O543" s="575"/>
      <c r="P543" s="575"/>
      <c r="Q543" s="575"/>
      <c r="R543" s="575"/>
      <c r="S543" s="575"/>
      <c r="T543" s="575"/>
      <c r="U543" s="575"/>
      <c r="V543" s="575"/>
      <c r="W543" s="575"/>
      <c r="X543" s="575"/>
      <c r="Y543" s="575"/>
      <c r="Z543" s="575"/>
      <c r="AA543" s="575"/>
    </row>
    <row r="544">
      <c r="A544" s="575"/>
      <c r="B544" s="692"/>
      <c r="C544" s="709"/>
      <c r="D544" s="709"/>
      <c r="E544" s="692"/>
      <c r="F544" s="710"/>
      <c r="G544" s="575"/>
      <c r="H544" s="575"/>
      <c r="I544" s="575"/>
      <c r="J544" s="575"/>
      <c r="K544" s="575"/>
      <c r="L544" s="575"/>
      <c r="M544" s="575"/>
      <c r="N544" s="575"/>
      <c r="O544" s="575"/>
      <c r="P544" s="575"/>
      <c r="Q544" s="575"/>
      <c r="R544" s="575"/>
      <c r="S544" s="575"/>
      <c r="T544" s="575"/>
      <c r="U544" s="575"/>
      <c r="V544" s="575"/>
      <c r="W544" s="575"/>
      <c r="X544" s="575"/>
      <c r="Y544" s="575"/>
      <c r="Z544" s="575"/>
      <c r="AA544" s="575"/>
    </row>
    <row r="545">
      <c r="A545" s="575"/>
      <c r="B545" s="692"/>
      <c r="C545" s="709"/>
      <c r="D545" s="709"/>
      <c r="E545" s="692"/>
      <c r="F545" s="710"/>
      <c r="G545" s="575"/>
      <c r="H545" s="575"/>
      <c r="I545" s="575"/>
      <c r="J545" s="575"/>
      <c r="K545" s="575"/>
      <c r="L545" s="575"/>
      <c r="M545" s="575"/>
      <c r="N545" s="575"/>
      <c r="O545" s="575"/>
      <c r="P545" s="575"/>
      <c r="Q545" s="575"/>
      <c r="R545" s="575"/>
      <c r="S545" s="575"/>
      <c r="T545" s="575"/>
      <c r="U545" s="575"/>
      <c r="V545" s="575"/>
      <c r="W545" s="575"/>
      <c r="X545" s="575"/>
      <c r="Y545" s="575"/>
      <c r="Z545" s="575"/>
      <c r="AA545" s="575"/>
    </row>
    <row r="546">
      <c r="A546" s="575"/>
      <c r="B546" s="692"/>
      <c r="C546" s="709"/>
      <c r="D546" s="709"/>
      <c r="E546" s="692"/>
      <c r="F546" s="710"/>
      <c r="G546" s="575"/>
      <c r="H546" s="575"/>
      <c r="I546" s="575"/>
      <c r="J546" s="575"/>
      <c r="K546" s="575"/>
      <c r="L546" s="575"/>
      <c r="M546" s="575"/>
      <c r="N546" s="575"/>
      <c r="O546" s="575"/>
      <c r="P546" s="575"/>
      <c r="Q546" s="575"/>
      <c r="R546" s="575"/>
      <c r="S546" s="575"/>
      <c r="T546" s="575"/>
      <c r="U546" s="575"/>
      <c r="V546" s="575"/>
      <c r="W546" s="575"/>
      <c r="X546" s="575"/>
      <c r="Y546" s="575"/>
      <c r="Z546" s="575"/>
      <c r="AA546" s="575"/>
    </row>
    <row r="547">
      <c r="A547" s="575"/>
      <c r="B547" s="692"/>
      <c r="C547" s="709"/>
      <c r="D547" s="709"/>
      <c r="E547" s="692"/>
      <c r="F547" s="710"/>
      <c r="G547" s="575"/>
      <c r="H547" s="575"/>
      <c r="I547" s="575"/>
      <c r="J547" s="575"/>
      <c r="K547" s="575"/>
      <c r="L547" s="575"/>
      <c r="M547" s="575"/>
      <c r="N547" s="575"/>
      <c r="O547" s="575"/>
      <c r="P547" s="575"/>
      <c r="Q547" s="575"/>
      <c r="R547" s="575"/>
      <c r="S547" s="575"/>
      <c r="T547" s="575"/>
      <c r="U547" s="575"/>
      <c r="V547" s="575"/>
      <c r="W547" s="575"/>
      <c r="X547" s="575"/>
      <c r="Y547" s="575"/>
      <c r="Z547" s="575"/>
      <c r="AA547" s="575"/>
    </row>
    <row r="548">
      <c r="A548" s="575"/>
      <c r="B548" s="692"/>
      <c r="C548" s="709"/>
      <c r="D548" s="709"/>
      <c r="E548" s="692"/>
      <c r="F548" s="710"/>
      <c r="G548" s="575"/>
      <c r="H548" s="575"/>
      <c r="I548" s="575"/>
      <c r="J548" s="575"/>
      <c r="K548" s="575"/>
      <c r="L548" s="575"/>
      <c r="M548" s="575"/>
      <c r="N548" s="575"/>
      <c r="O548" s="575"/>
      <c r="P548" s="575"/>
      <c r="Q548" s="575"/>
      <c r="R548" s="575"/>
      <c r="S548" s="575"/>
      <c r="T548" s="575"/>
      <c r="U548" s="575"/>
      <c r="V548" s="575"/>
      <c r="W548" s="575"/>
      <c r="X548" s="575"/>
      <c r="Y548" s="575"/>
      <c r="Z548" s="575"/>
      <c r="AA548" s="575"/>
    </row>
    <row r="549">
      <c r="A549" s="575"/>
      <c r="B549" s="692"/>
      <c r="C549" s="709"/>
      <c r="D549" s="709"/>
      <c r="E549" s="692"/>
      <c r="F549" s="710"/>
      <c r="G549" s="575"/>
      <c r="H549" s="575"/>
      <c r="I549" s="575"/>
      <c r="J549" s="575"/>
      <c r="K549" s="575"/>
      <c r="L549" s="575"/>
      <c r="M549" s="575"/>
      <c r="N549" s="575"/>
      <c r="O549" s="575"/>
      <c r="P549" s="575"/>
      <c r="Q549" s="575"/>
      <c r="R549" s="575"/>
      <c r="S549" s="575"/>
      <c r="T549" s="575"/>
      <c r="U549" s="575"/>
      <c r="V549" s="575"/>
      <c r="W549" s="575"/>
      <c r="X549" s="575"/>
      <c r="Y549" s="575"/>
      <c r="Z549" s="575"/>
      <c r="AA549" s="575"/>
    </row>
    <row r="550">
      <c r="A550" s="575"/>
      <c r="B550" s="692"/>
      <c r="C550" s="709"/>
      <c r="D550" s="709"/>
      <c r="E550" s="692"/>
      <c r="F550" s="710"/>
      <c r="G550" s="575"/>
      <c r="H550" s="575"/>
      <c r="I550" s="575"/>
      <c r="J550" s="575"/>
      <c r="K550" s="575"/>
      <c r="L550" s="575"/>
      <c r="M550" s="575"/>
      <c r="N550" s="575"/>
      <c r="O550" s="575"/>
      <c r="P550" s="575"/>
      <c r="Q550" s="575"/>
      <c r="R550" s="575"/>
      <c r="S550" s="575"/>
      <c r="T550" s="575"/>
      <c r="U550" s="575"/>
      <c r="V550" s="575"/>
      <c r="W550" s="575"/>
      <c r="X550" s="575"/>
      <c r="Y550" s="575"/>
      <c r="Z550" s="575"/>
      <c r="AA550" s="575"/>
    </row>
    <row r="551">
      <c r="A551" s="575"/>
      <c r="B551" s="692"/>
      <c r="C551" s="709"/>
      <c r="D551" s="709"/>
      <c r="E551" s="692"/>
      <c r="F551" s="710"/>
      <c r="G551" s="575"/>
      <c r="H551" s="575"/>
      <c r="I551" s="575"/>
      <c r="J551" s="575"/>
      <c r="K551" s="575"/>
      <c r="L551" s="575"/>
      <c r="M551" s="575"/>
      <c r="N551" s="575"/>
      <c r="O551" s="575"/>
      <c r="P551" s="575"/>
      <c r="Q551" s="575"/>
      <c r="R551" s="575"/>
      <c r="S551" s="575"/>
      <c r="T551" s="575"/>
      <c r="U551" s="575"/>
      <c r="V551" s="575"/>
      <c r="W551" s="575"/>
      <c r="X551" s="575"/>
      <c r="Y551" s="575"/>
      <c r="Z551" s="575"/>
      <c r="AA551" s="575"/>
    </row>
    <row r="552">
      <c r="A552" s="575"/>
      <c r="B552" s="692"/>
      <c r="C552" s="709"/>
      <c r="D552" s="709"/>
      <c r="E552" s="692"/>
      <c r="F552" s="710"/>
      <c r="G552" s="575"/>
      <c r="H552" s="575"/>
      <c r="I552" s="575"/>
      <c r="J552" s="575"/>
      <c r="K552" s="575"/>
      <c r="L552" s="575"/>
      <c r="M552" s="575"/>
      <c r="N552" s="575"/>
      <c r="O552" s="575"/>
      <c r="P552" s="575"/>
      <c r="Q552" s="575"/>
      <c r="R552" s="575"/>
      <c r="S552" s="575"/>
      <c r="T552" s="575"/>
      <c r="U552" s="575"/>
      <c r="V552" s="575"/>
      <c r="W552" s="575"/>
      <c r="X552" s="575"/>
      <c r="Y552" s="575"/>
      <c r="Z552" s="575"/>
      <c r="AA552" s="575"/>
    </row>
    <row r="553">
      <c r="A553" s="575"/>
      <c r="B553" s="692"/>
      <c r="C553" s="709"/>
      <c r="D553" s="709"/>
      <c r="E553" s="692"/>
      <c r="F553" s="710"/>
      <c r="G553" s="575"/>
      <c r="H553" s="575"/>
      <c r="I553" s="575"/>
      <c r="J553" s="575"/>
      <c r="K553" s="575"/>
      <c r="L553" s="575"/>
      <c r="M553" s="575"/>
      <c r="N553" s="575"/>
      <c r="O553" s="575"/>
      <c r="P553" s="575"/>
      <c r="Q553" s="575"/>
      <c r="R553" s="575"/>
      <c r="S553" s="575"/>
      <c r="T553" s="575"/>
      <c r="U553" s="575"/>
      <c r="V553" s="575"/>
      <c r="W553" s="575"/>
      <c r="X553" s="575"/>
      <c r="Y553" s="575"/>
      <c r="Z553" s="575"/>
      <c r="AA553" s="575"/>
    </row>
    <row r="554">
      <c r="A554" s="575"/>
      <c r="B554" s="692"/>
      <c r="C554" s="709"/>
      <c r="D554" s="709"/>
      <c r="E554" s="692"/>
      <c r="F554" s="710"/>
      <c r="G554" s="575"/>
      <c r="H554" s="575"/>
      <c r="I554" s="575"/>
      <c r="J554" s="575"/>
      <c r="K554" s="575"/>
      <c r="L554" s="575"/>
      <c r="M554" s="575"/>
      <c r="N554" s="575"/>
      <c r="O554" s="575"/>
      <c r="P554" s="575"/>
      <c r="Q554" s="575"/>
      <c r="R554" s="575"/>
      <c r="S554" s="575"/>
      <c r="T554" s="575"/>
      <c r="U554" s="575"/>
      <c r="V554" s="575"/>
      <c r="W554" s="575"/>
      <c r="X554" s="575"/>
      <c r="Y554" s="575"/>
      <c r="Z554" s="575"/>
      <c r="AA554" s="575"/>
    </row>
    <row r="555">
      <c r="A555" s="575"/>
      <c r="B555" s="692"/>
      <c r="C555" s="709"/>
      <c r="D555" s="709"/>
      <c r="E555" s="692"/>
      <c r="F555" s="710"/>
      <c r="G555" s="575"/>
      <c r="H555" s="575"/>
      <c r="I555" s="575"/>
      <c r="J555" s="575"/>
      <c r="K555" s="575"/>
      <c r="L555" s="575"/>
      <c r="M555" s="575"/>
      <c r="N555" s="575"/>
      <c r="O555" s="575"/>
      <c r="P555" s="575"/>
      <c r="Q555" s="575"/>
      <c r="R555" s="575"/>
      <c r="S555" s="575"/>
      <c r="T555" s="575"/>
      <c r="U555" s="575"/>
      <c r="V555" s="575"/>
      <c r="W555" s="575"/>
      <c r="X555" s="575"/>
      <c r="Y555" s="575"/>
      <c r="Z555" s="575"/>
      <c r="AA555" s="575"/>
    </row>
    <row r="556">
      <c r="A556" s="575"/>
      <c r="B556" s="692"/>
      <c r="C556" s="709"/>
      <c r="D556" s="709"/>
      <c r="E556" s="692"/>
      <c r="F556" s="710"/>
      <c r="G556" s="575"/>
      <c r="H556" s="575"/>
      <c r="I556" s="575"/>
      <c r="J556" s="575"/>
      <c r="K556" s="575"/>
      <c r="L556" s="575"/>
      <c r="M556" s="575"/>
      <c r="N556" s="575"/>
      <c r="O556" s="575"/>
      <c r="P556" s="575"/>
      <c r="Q556" s="575"/>
      <c r="R556" s="575"/>
      <c r="S556" s="575"/>
      <c r="T556" s="575"/>
      <c r="U556" s="575"/>
      <c r="V556" s="575"/>
      <c r="W556" s="575"/>
      <c r="X556" s="575"/>
      <c r="Y556" s="575"/>
      <c r="Z556" s="575"/>
      <c r="AA556" s="575"/>
    </row>
    <row r="557">
      <c r="A557" s="575"/>
      <c r="B557" s="692"/>
      <c r="C557" s="709"/>
      <c r="D557" s="709"/>
      <c r="E557" s="692"/>
      <c r="F557" s="710"/>
      <c r="G557" s="575"/>
      <c r="H557" s="575"/>
      <c r="I557" s="575"/>
      <c r="J557" s="575"/>
      <c r="K557" s="575"/>
      <c r="L557" s="575"/>
      <c r="M557" s="575"/>
      <c r="N557" s="575"/>
      <c r="O557" s="575"/>
      <c r="P557" s="575"/>
      <c r="Q557" s="575"/>
      <c r="R557" s="575"/>
      <c r="S557" s="575"/>
      <c r="T557" s="575"/>
      <c r="U557" s="575"/>
      <c r="V557" s="575"/>
      <c r="W557" s="575"/>
      <c r="X557" s="575"/>
      <c r="Y557" s="575"/>
      <c r="Z557" s="575"/>
      <c r="AA557" s="575"/>
    </row>
    <row r="558">
      <c r="A558" s="575"/>
      <c r="B558" s="692"/>
      <c r="C558" s="709"/>
      <c r="D558" s="709"/>
      <c r="E558" s="692"/>
      <c r="F558" s="710"/>
      <c r="G558" s="575"/>
      <c r="H558" s="575"/>
      <c r="I558" s="575"/>
      <c r="J558" s="575"/>
      <c r="K558" s="575"/>
      <c r="L558" s="575"/>
      <c r="M558" s="575"/>
      <c r="N558" s="575"/>
      <c r="O558" s="575"/>
      <c r="P558" s="575"/>
      <c r="Q558" s="575"/>
      <c r="R558" s="575"/>
      <c r="S558" s="575"/>
      <c r="T558" s="575"/>
      <c r="U558" s="575"/>
      <c r="V558" s="575"/>
      <c r="W558" s="575"/>
      <c r="X558" s="575"/>
      <c r="Y558" s="575"/>
      <c r="Z558" s="575"/>
      <c r="AA558" s="575"/>
    </row>
    <row r="559">
      <c r="A559" s="575"/>
      <c r="B559" s="692"/>
      <c r="C559" s="709"/>
      <c r="D559" s="709"/>
      <c r="E559" s="692"/>
      <c r="F559" s="710"/>
      <c r="G559" s="575"/>
      <c r="H559" s="575"/>
      <c r="I559" s="575"/>
      <c r="J559" s="575"/>
      <c r="K559" s="575"/>
      <c r="L559" s="575"/>
      <c r="M559" s="575"/>
      <c r="N559" s="575"/>
      <c r="O559" s="575"/>
      <c r="P559" s="575"/>
      <c r="Q559" s="575"/>
      <c r="R559" s="575"/>
      <c r="S559" s="575"/>
      <c r="T559" s="575"/>
      <c r="U559" s="575"/>
      <c r="V559" s="575"/>
      <c r="W559" s="575"/>
      <c r="X559" s="575"/>
      <c r="Y559" s="575"/>
      <c r="Z559" s="575"/>
      <c r="AA559" s="575"/>
    </row>
    <row r="560">
      <c r="A560" s="575"/>
      <c r="B560" s="692"/>
      <c r="C560" s="709"/>
      <c r="D560" s="709"/>
      <c r="E560" s="692"/>
      <c r="F560" s="710"/>
      <c r="G560" s="575"/>
      <c r="H560" s="575"/>
      <c r="I560" s="575"/>
      <c r="J560" s="575"/>
      <c r="K560" s="575"/>
      <c r="L560" s="575"/>
      <c r="M560" s="575"/>
      <c r="N560" s="575"/>
      <c r="O560" s="575"/>
      <c r="P560" s="575"/>
      <c r="Q560" s="575"/>
      <c r="R560" s="575"/>
      <c r="S560" s="575"/>
      <c r="T560" s="575"/>
      <c r="U560" s="575"/>
      <c r="V560" s="575"/>
      <c r="W560" s="575"/>
      <c r="X560" s="575"/>
      <c r="Y560" s="575"/>
      <c r="Z560" s="575"/>
      <c r="AA560" s="575"/>
    </row>
    <row r="561">
      <c r="A561" s="575"/>
      <c r="B561" s="692"/>
      <c r="C561" s="709"/>
      <c r="D561" s="709"/>
      <c r="E561" s="692"/>
      <c r="F561" s="710"/>
      <c r="G561" s="575"/>
      <c r="H561" s="575"/>
      <c r="I561" s="575"/>
      <c r="J561" s="575"/>
      <c r="K561" s="575"/>
      <c r="L561" s="575"/>
      <c r="M561" s="575"/>
      <c r="N561" s="575"/>
      <c r="O561" s="575"/>
      <c r="P561" s="575"/>
      <c r="Q561" s="575"/>
      <c r="R561" s="575"/>
      <c r="S561" s="575"/>
      <c r="T561" s="575"/>
      <c r="U561" s="575"/>
      <c r="V561" s="575"/>
      <c r="W561" s="575"/>
      <c r="X561" s="575"/>
      <c r="Y561" s="575"/>
      <c r="Z561" s="575"/>
      <c r="AA561" s="575"/>
    </row>
    <row r="562">
      <c r="A562" s="575"/>
      <c r="B562" s="692"/>
      <c r="C562" s="709"/>
      <c r="D562" s="709"/>
      <c r="E562" s="692"/>
      <c r="F562" s="710"/>
      <c r="G562" s="575"/>
      <c r="H562" s="575"/>
      <c r="I562" s="575"/>
      <c r="J562" s="575"/>
      <c r="K562" s="575"/>
      <c r="L562" s="575"/>
      <c r="M562" s="575"/>
      <c r="N562" s="575"/>
      <c r="O562" s="575"/>
      <c r="P562" s="575"/>
      <c r="Q562" s="575"/>
      <c r="R562" s="575"/>
      <c r="S562" s="575"/>
      <c r="T562" s="575"/>
      <c r="U562" s="575"/>
      <c r="V562" s="575"/>
      <c r="W562" s="575"/>
      <c r="X562" s="575"/>
      <c r="Y562" s="575"/>
      <c r="Z562" s="575"/>
      <c r="AA562" s="575"/>
    </row>
    <row r="563">
      <c r="A563" s="575"/>
      <c r="B563" s="692"/>
      <c r="C563" s="709"/>
      <c r="D563" s="709"/>
      <c r="E563" s="692"/>
      <c r="F563" s="710"/>
      <c r="G563" s="575"/>
      <c r="H563" s="575"/>
      <c r="I563" s="575"/>
      <c r="J563" s="575"/>
      <c r="K563" s="575"/>
      <c r="L563" s="575"/>
      <c r="M563" s="575"/>
      <c r="N563" s="575"/>
      <c r="O563" s="575"/>
      <c r="P563" s="575"/>
      <c r="Q563" s="575"/>
      <c r="R563" s="575"/>
      <c r="S563" s="575"/>
      <c r="T563" s="575"/>
      <c r="U563" s="575"/>
      <c r="V563" s="575"/>
      <c r="W563" s="575"/>
      <c r="X563" s="575"/>
      <c r="Y563" s="575"/>
      <c r="Z563" s="575"/>
      <c r="AA563" s="575"/>
    </row>
    <row r="564">
      <c r="A564" s="575"/>
      <c r="B564" s="692"/>
      <c r="C564" s="709"/>
      <c r="D564" s="709"/>
      <c r="E564" s="692"/>
      <c r="F564" s="710"/>
      <c r="G564" s="575"/>
      <c r="H564" s="575"/>
      <c r="I564" s="575"/>
      <c r="J564" s="575"/>
      <c r="K564" s="575"/>
      <c r="L564" s="575"/>
      <c r="M564" s="575"/>
      <c r="N564" s="575"/>
      <c r="O564" s="575"/>
      <c r="P564" s="575"/>
      <c r="Q564" s="575"/>
      <c r="R564" s="575"/>
      <c r="S564" s="575"/>
      <c r="T564" s="575"/>
      <c r="U564" s="575"/>
      <c r="V564" s="575"/>
      <c r="W564" s="575"/>
      <c r="X564" s="575"/>
      <c r="Y564" s="575"/>
      <c r="Z564" s="575"/>
      <c r="AA564" s="575"/>
    </row>
    <row r="565">
      <c r="A565" s="575"/>
      <c r="B565" s="692"/>
      <c r="C565" s="709"/>
      <c r="D565" s="709"/>
      <c r="E565" s="692"/>
      <c r="F565" s="710"/>
      <c r="G565" s="575"/>
      <c r="H565" s="575"/>
      <c r="I565" s="575"/>
      <c r="J565" s="575"/>
      <c r="K565" s="575"/>
      <c r="L565" s="575"/>
      <c r="M565" s="575"/>
      <c r="N565" s="575"/>
      <c r="O565" s="575"/>
      <c r="P565" s="575"/>
      <c r="Q565" s="575"/>
      <c r="R565" s="575"/>
      <c r="S565" s="575"/>
      <c r="T565" s="575"/>
      <c r="U565" s="575"/>
      <c r="V565" s="575"/>
      <c r="W565" s="575"/>
      <c r="X565" s="575"/>
      <c r="Y565" s="575"/>
      <c r="Z565" s="575"/>
      <c r="AA565" s="575"/>
    </row>
    <row r="566">
      <c r="A566" s="575"/>
      <c r="B566" s="692"/>
      <c r="C566" s="709"/>
      <c r="D566" s="709"/>
      <c r="E566" s="692"/>
      <c r="F566" s="710"/>
      <c r="G566" s="575"/>
      <c r="H566" s="575"/>
      <c r="I566" s="575"/>
      <c r="J566" s="575"/>
      <c r="K566" s="575"/>
      <c r="L566" s="575"/>
      <c r="M566" s="575"/>
      <c r="N566" s="575"/>
      <c r="O566" s="575"/>
      <c r="P566" s="575"/>
      <c r="Q566" s="575"/>
      <c r="R566" s="575"/>
      <c r="S566" s="575"/>
      <c r="T566" s="575"/>
      <c r="U566" s="575"/>
      <c r="V566" s="575"/>
      <c r="W566" s="575"/>
      <c r="X566" s="575"/>
      <c r="Y566" s="575"/>
      <c r="Z566" s="575"/>
      <c r="AA566" s="575"/>
    </row>
    <row r="567">
      <c r="A567" s="575"/>
      <c r="B567" s="692"/>
      <c r="C567" s="709"/>
      <c r="D567" s="709"/>
      <c r="E567" s="692"/>
      <c r="F567" s="710"/>
      <c r="G567" s="575"/>
      <c r="H567" s="575"/>
      <c r="I567" s="575"/>
      <c r="J567" s="575"/>
      <c r="K567" s="575"/>
      <c r="L567" s="575"/>
      <c r="M567" s="575"/>
      <c r="N567" s="575"/>
      <c r="O567" s="575"/>
      <c r="P567" s="575"/>
      <c r="Q567" s="575"/>
      <c r="R567" s="575"/>
      <c r="S567" s="575"/>
      <c r="T567" s="575"/>
      <c r="U567" s="575"/>
      <c r="V567" s="575"/>
      <c r="W567" s="575"/>
      <c r="X567" s="575"/>
      <c r="Y567" s="575"/>
      <c r="Z567" s="575"/>
      <c r="AA567" s="575"/>
    </row>
    <row r="568">
      <c r="A568" s="575"/>
      <c r="B568" s="692"/>
      <c r="C568" s="709"/>
      <c r="D568" s="709"/>
      <c r="E568" s="692"/>
      <c r="F568" s="710"/>
      <c r="G568" s="575"/>
      <c r="H568" s="575"/>
      <c r="I568" s="575"/>
      <c r="J568" s="575"/>
      <c r="K568" s="575"/>
      <c r="L568" s="575"/>
      <c r="M568" s="575"/>
      <c r="N568" s="575"/>
      <c r="O568" s="575"/>
      <c r="P568" s="575"/>
      <c r="Q568" s="575"/>
      <c r="R568" s="575"/>
      <c r="S568" s="575"/>
      <c r="T568" s="575"/>
      <c r="U568" s="575"/>
      <c r="V568" s="575"/>
      <c r="W568" s="575"/>
      <c r="X568" s="575"/>
      <c r="Y568" s="575"/>
      <c r="Z568" s="575"/>
      <c r="AA568" s="575"/>
    </row>
    <row r="569">
      <c r="A569" s="575"/>
      <c r="B569" s="692"/>
      <c r="C569" s="709"/>
      <c r="D569" s="709"/>
      <c r="E569" s="692"/>
      <c r="F569" s="710"/>
      <c r="G569" s="575"/>
      <c r="H569" s="575"/>
      <c r="I569" s="575"/>
      <c r="J569" s="575"/>
      <c r="K569" s="575"/>
      <c r="L569" s="575"/>
      <c r="M569" s="575"/>
      <c r="N569" s="575"/>
      <c r="O569" s="575"/>
      <c r="P569" s="575"/>
      <c r="Q569" s="575"/>
      <c r="R569" s="575"/>
      <c r="S569" s="575"/>
      <c r="T569" s="575"/>
      <c r="U569" s="575"/>
      <c r="V569" s="575"/>
      <c r="W569" s="575"/>
      <c r="X569" s="575"/>
      <c r="Y569" s="575"/>
      <c r="Z569" s="575"/>
      <c r="AA569" s="575"/>
    </row>
    <row r="570">
      <c r="A570" s="575"/>
      <c r="B570" s="692"/>
      <c r="C570" s="709"/>
      <c r="D570" s="709"/>
      <c r="E570" s="692"/>
      <c r="F570" s="710"/>
      <c r="G570" s="575"/>
      <c r="H570" s="575"/>
      <c r="I570" s="575"/>
      <c r="J570" s="575"/>
      <c r="K570" s="575"/>
      <c r="L570" s="575"/>
      <c r="M570" s="575"/>
      <c r="N570" s="575"/>
      <c r="O570" s="575"/>
      <c r="P570" s="575"/>
      <c r="Q570" s="575"/>
      <c r="R570" s="575"/>
      <c r="S570" s="575"/>
      <c r="T570" s="575"/>
      <c r="U570" s="575"/>
      <c r="V570" s="575"/>
      <c r="W570" s="575"/>
      <c r="X570" s="575"/>
      <c r="Y570" s="575"/>
      <c r="Z570" s="575"/>
      <c r="AA570" s="575"/>
    </row>
    <row r="571">
      <c r="A571" s="575"/>
      <c r="B571" s="692"/>
      <c r="C571" s="709"/>
      <c r="D571" s="709"/>
      <c r="E571" s="692"/>
      <c r="F571" s="710"/>
      <c r="G571" s="575"/>
      <c r="H571" s="575"/>
      <c r="I571" s="575"/>
      <c r="J571" s="575"/>
      <c r="K571" s="575"/>
      <c r="L571" s="575"/>
      <c r="M571" s="575"/>
      <c r="N571" s="575"/>
      <c r="O571" s="575"/>
      <c r="P571" s="575"/>
      <c r="Q571" s="575"/>
      <c r="R571" s="575"/>
      <c r="S571" s="575"/>
      <c r="T571" s="575"/>
      <c r="U571" s="575"/>
      <c r="V571" s="575"/>
      <c r="W571" s="575"/>
      <c r="X571" s="575"/>
      <c r="Y571" s="575"/>
      <c r="Z571" s="575"/>
      <c r="AA571" s="575"/>
    </row>
    <row r="572">
      <c r="A572" s="575"/>
      <c r="B572" s="692"/>
      <c r="C572" s="709"/>
      <c r="D572" s="709"/>
      <c r="E572" s="692"/>
      <c r="F572" s="710"/>
      <c r="G572" s="575"/>
      <c r="H572" s="575"/>
      <c r="I572" s="575"/>
      <c r="J572" s="575"/>
      <c r="K572" s="575"/>
      <c r="L572" s="575"/>
      <c r="M572" s="575"/>
      <c r="N572" s="575"/>
      <c r="O572" s="575"/>
      <c r="P572" s="575"/>
      <c r="Q572" s="575"/>
      <c r="R572" s="575"/>
      <c r="S572" s="575"/>
      <c r="T572" s="575"/>
      <c r="U572" s="575"/>
      <c r="V572" s="575"/>
      <c r="W572" s="575"/>
      <c r="X572" s="575"/>
      <c r="Y572" s="575"/>
      <c r="Z572" s="575"/>
      <c r="AA572" s="575"/>
    </row>
    <row r="573">
      <c r="A573" s="575"/>
      <c r="B573" s="692"/>
      <c r="C573" s="709"/>
      <c r="D573" s="709"/>
      <c r="E573" s="692"/>
      <c r="F573" s="710"/>
      <c r="G573" s="575"/>
      <c r="H573" s="575"/>
      <c r="I573" s="575"/>
      <c r="J573" s="575"/>
      <c r="K573" s="575"/>
      <c r="L573" s="575"/>
      <c r="M573" s="575"/>
      <c r="N573" s="575"/>
      <c r="O573" s="575"/>
      <c r="P573" s="575"/>
      <c r="Q573" s="575"/>
      <c r="R573" s="575"/>
      <c r="S573" s="575"/>
      <c r="T573" s="575"/>
      <c r="U573" s="575"/>
      <c r="V573" s="575"/>
      <c r="W573" s="575"/>
      <c r="X573" s="575"/>
      <c r="Y573" s="575"/>
      <c r="Z573" s="575"/>
      <c r="AA573" s="575"/>
    </row>
    <row r="574">
      <c r="A574" s="575"/>
      <c r="B574" s="692"/>
      <c r="C574" s="709"/>
      <c r="D574" s="709"/>
      <c r="E574" s="692"/>
      <c r="F574" s="710"/>
      <c r="G574" s="575"/>
      <c r="H574" s="575"/>
      <c r="I574" s="575"/>
      <c r="J574" s="575"/>
      <c r="K574" s="575"/>
      <c r="L574" s="575"/>
      <c r="M574" s="575"/>
      <c r="N574" s="575"/>
      <c r="O574" s="575"/>
      <c r="P574" s="575"/>
      <c r="Q574" s="575"/>
      <c r="R574" s="575"/>
      <c r="S574" s="575"/>
      <c r="T574" s="575"/>
      <c r="U574" s="575"/>
      <c r="V574" s="575"/>
      <c r="W574" s="575"/>
      <c r="X574" s="575"/>
      <c r="Y574" s="575"/>
      <c r="Z574" s="575"/>
      <c r="AA574" s="575"/>
    </row>
    <row r="575">
      <c r="A575" s="575"/>
      <c r="B575" s="692"/>
      <c r="C575" s="709"/>
      <c r="D575" s="709"/>
      <c r="E575" s="692"/>
      <c r="F575" s="710"/>
      <c r="G575" s="575"/>
      <c r="H575" s="575"/>
      <c r="I575" s="575"/>
      <c r="J575" s="575"/>
      <c r="K575" s="575"/>
      <c r="L575" s="575"/>
      <c r="M575" s="575"/>
      <c r="N575" s="575"/>
      <c r="O575" s="575"/>
      <c r="P575" s="575"/>
      <c r="Q575" s="575"/>
      <c r="R575" s="575"/>
      <c r="S575" s="575"/>
      <c r="T575" s="575"/>
      <c r="U575" s="575"/>
      <c r="V575" s="575"/>
      <c r="W575" s="575"/>
      <c r="X575" s="575"/>
      <c r="Y575" s="575"/>
      <c r="Z575" s="575"/>
      <c r="AA575" s="575"/>
    </row>
    <row r="576">
      <c r="A576" s="575"/>
      <c r="B576" s="692"/>
      <c r="C576" s="709"/>
      <c r="D576" s="709"/>
      <c r="E576" s="692"/>
      <c r="F576" s="710"/>
      <c r="G576" s="575"/>
      <c r="H576" s="575"/>
      <c r="I576" s="575"/>
      <c r="J576" s="575"/>
      <c r="K576" s="575"/>
      <c r="L576" s="575"/>
      <c r="M576" s="575"/>
      <c r="N576" s="575"/>
      <c r="O576" s="575"/>
      <c r="P576" s="575"/>
      <c r="Q576" s="575"/>
      <c r="R576" s="575"/>
      <c r="S576" s="575"/>
      <c r="T576" s="575"/>
      <c r="U576" s="575"/>
      <c r="V576" s="575"/>
      <c r="W576" s="575"/>
      <c r="X576" s="575"/>
      <c r="Y576" s="575"/>
      <c r="Z576" s="575"/>
      <c r="AA576" s="575"/>
    </row>
    <row r="577">
      <c r="A577" s="575"/>
      <c r="B577" s="692"/>
      <c r="C577" s="709"/>
      <c r="D577" s="709"/>
      <c r="E577" s="692"/>
      <c r="F577" s="710"/>
      <c r="G577" s="575"/>
      <c r="H577" s="575"/>
      <c r="I577" s="575"/>
      <c r="J577" s="575"/>
      <c r="K577" s="575"/>
      <c r="L577" s="575"/>
      <c r="M577" s="575"/>
      <c r="N577" s="575"/>
      <c r="O577" s="575"/>
      <c r="P577" s="575"/>
      <c r="Q577" s="575"/>
      <c r="R577" s="575"/>
      <c r="S577" s="575"/>
      <c r="T577" s="575"/>
      <c r="U577" s="575"/>
      <c r="V577" s="575"/>
      <c r="W577" s="575"/>
      <c r="X577" s="575"/>
      <c r="Y577" s="575"/>
      <c r="Z577" s="575"/>
      <c r="AA577" s="575"/>
    </row>
    <row r="578">
      <c r="A578" s="575"/>
      <c r="B578" s="692"/>
      <c r="C578" s="709"/>
      <c r="D578" s="709"/>
      <c r="E578" s="692"/>
      <c r="F578" s="710"/>
      <c r="G578" s="575"/>
      <c r="H578" s="575"/>
      <c r="I578" s="575"/>
      <c r="J578" s="575"/>
      <c r="K578" s="575"/>
      <c r="L578" s="575"/>
      <c r="M578" s="575"/>
      <c r="N578" s="575"/>
      <c r="O578" s="575"/>
      <c r="P578" s="575"/>
      <c r="Q578" s="575"/>
      <c r="R578" s="575"/>
      <c r="S578" s="575"/>
      <c r="T578" s="575"/>
      <c r="U578" s="575"/>
      <c r="V578" s="575"/>
      <c r="W578" s="575"/>
      <c r="X578" s="575"/>
      <c r="Y578" s="575"/>
      <c r="Z578" s="575"/>
      <c r="AA578" s="575"/>
    </row>
    <row r="579">
      <c r="A579" s="575"/>
      <c r="B579" s="692"/>
      <c r="C579" s="709"/>
      <c r="D579" s="709"/>
      <c r="E579" s="692"/>
      <c r="F579" s="710"/>
      <c r="G579" s="575"/>
      <c r="H579" s="575"/>
      <c r="I579" s="575"/>
      <c r="J579" s="575"/>
      <c r="K579" s="575"/>
      <c r="L579" s="575"/>
      <c r="M579" s="575"/>
      <c r="N579" s="575"/>
      <c r="O579" s="575"/>
      <c r="P579" s="575"/>
      <c r="Q579" s="575"/>
      <c r="R579" s="575"/>
      <c r="S579" s="575"/>
      <c r="T579" s="575"/>
      <c r="U579" s="575"/>
      <c r="V579" s="575"/>
      <c r="W579" s="575"/>
      <c r="X579" s="575"/>
      <c r="Y579" s="575"/>
      <c r="Z579" s="575"/>
      <c r="AA579" s="575"/>
    </row>
    <row r="580">
      <c r="A580" s="575"/>
      <c r="B580" s="692"/>
      <c r="C580" s="709"/>
      <c r="D580" s="709"/>
      <c r="E580" s="692"/>
      <c r="F580" s="710"/>
      <c r="G580" s="575"/>
      <c r="H580" s="575"/>
      <c r="I580" s="575"/>
      <c r="J580" s="575"/>
      <c r="K580" s="575"/>
      <c r="L580" s="575"/>
      <c r="M580" s="575"/>
      <c r="N580" s="575"/>
      <c r="O580" s="575"/>
      <c r="P580" s="575"/>
      <c r="Q580" s="575"/>
      <c r="R580" s="575"/>
      <c r="S580" s="575"/>
      <c r="T580" s="575"/>
      <c r="U580" s="575"/>
      <c r="V580" s="575"/>
      <c r="W580" s="575"/>
      <c r="X580" s="575"/>
      <c r="Y580" s="575"/>
      <c r="Z580" s="575"/>
      <c r="AA580" s="575"/>
    </row>
    <row r="581">
      <c r="A581" s="575"/>
      <c r="B581" s="692"/>
      <c r="C581" s="709"/>
      <c r="D581" s="709"/>
      <c r="E581" s="692"/>
      <c r="F581" s="710"/>
      <c r="G581" s="575"/>
      <c r="H581" s="575"/>
      <c r="I581" s="575"/>
      <c r="J581" s="575"/>
      <c r="K581" s="575"/>
      <c r="L581" s="575"/>
      <c r="M581" s="575"/>
      <c r="N581" s="575"/>
      <c r="O581" s="575"/>
      <c r="P581" s="575"/>
      <c r="Q581" s="575"/>
      <c r="R581" s="575"/>
      <c r="S581" s="575"/>
      <c r="T581" s="575"/>
      <c r="U581" s="575"/>
      <c r="V581" s="575"/>
      <c r="W581" s="575"/>
      <c r="X581" s="575"/>
      <c r="Y581" s="575"/>
      <c r="Z581" s="575"/>
      <c r="AA581" s="575"/>
    </row>
    <row r="582">
      <c r="A582" s="575"/>
      <c r="B582" s="692"/>
      <c r="C582" s="709"/>
      <c r="D582" s="709"/>
      <c r="E582" s="692"/>
      <c r="F582" s="710"/>
      <c r="G582" s="575"/>
      <c r="H582" s="575"/>
      <c r="I582" s="575"/>
      <c r="J582" s="575"/>
      <c r="K582" s="575"/>
      <c r="L582" s="575"/>
      <c r="M582" s="575"/>
      <c r="N582" s="575"/>
      <c r="O582" s="575"/>
      <c r="P582" s="575"/>
      <c r="Q582" s="575"/>
      <c r="R582" s="575"/>
      <c r="S582" s="575"/>
      <c r="T582" s="575"/>
      <c r="U582" s="575"/>
      <c r="V582" s="575"/>
      <c r="W582" s="575"/>
      <c r="X582" s="575"/>
      <c r="Y582" s="575"/>
      <c r="Z582" s="575"/>
      <c r="AA582" s="575"/>
    </row>
    <row r="583">
      <c r="A583" s="575"/>
      <c r="B583" s="692"/>
      <c r="C583" s="709"/>
      <c r="D583" s="709"/>
      <c r="E583" s="692"/>
      <c r="F583" s="710"/>
      <c r="G583" s="575"/>
      <c r="H583" s="575"/>
      <c r="I583" s="575"/>
      <c r="J583" s="575"/>
      <c r="K583" s="575"/>
      <c r="L583" s="575"/>
      <c r="M583" s="575"/>
      <c r="N583" s="575"/>
      <c r="O583" s="575"/>
      <c r="P583" s="575"/>
      <c r="Q583" s="575"/>
      <c r="R583" s="575"/>
      <c r="S583" s="575"/>
      <c r="T583" s="575"/>
      <c r="U583" s="575"/>
      <c r="V583" s="575"/>
      <c r="W583" s="575"/>
      <c r="X583" s="575"/>
      <c r="Y583" s="575"/>
      <c r="Z583" s="575"/>
      <c r="AA583" s="575"/>
    </row>
    <row r="584">
      <c r="A584" s="575"/>
      <c r="B584" s="692"/>
      <c r="C584" s="709"/>
      <c r="D584" s="709"/>
      <c r="E584" s="692"/>
      <c r="F584" s="710"/>
      <c r="G584" s="575"/>
      <c r="H584" s="575"/>
      <c r="I584" s="575"/>
      <c r="J584" s="575"/>
      <c r="K584" s="575"/>
      <c r="L584" s="575"/>
      <c r="M584" s="575"/>
      <c r="N584" s="575"/>
      <c r="O584" s="575"/>
      <c r="P584" s="575"/>
      <c r="Q584" s="575"/>
      <c r="R584" s="575"/>
      <c r="S584" s="575"/>
      <c r="T584" s="575"/>
      <c r="U584" s="575"/>
      <c r="V584" s="575"/>
      <c r="W584" s="575"/>
      <c r="X584" s="575"/>
      <c r="Y584" s="575"/>
      <c r="Z584" s="575"/>
      <c r="AA584" s="575"/>
    </row>
    <row r="585">
      <c r="A585" s="575"/>
      <c r="B585" s="692"/>
      <c r="C585" s="709"/>
      <c r="D585" s="709"/>
      <c r="E585" s="692"/>
      <c r="F585" s="710"/>
      <c r="G585" s="575"/>
      <c r="H585" s="575"/>
      <c r="I585" s="575"/>
      <c r="J585" s="575"/>
      <c r="K585" s="575"/>
      <c r="L585" s="575"/>
      <c r="M585" s="575"/>
      <c r="N585" s="575"/>
      <c r="O585" s="575"/>
      <c r="P585" s="575"/>
      <c r="Q585" s="575"/>
      <c r="R585" s="575"/>
      <c r="S585" s="575"/>
      <c r="T585" s="575"/>
      <c r="U585" s="575"/>
      <c r="V585" s="575"/>
      <c r="W585" s="575"/>
      <c r="X585" s="575"/>
      <c r="Y585" s="575"/>
      <c r="Z585" s="575"/>
      <c r="AA585" s="575"/>
    </row>
    <row r="586">
      <c r="A586" s="575"/>
      <c r="B586" s="692"/>
      <c r="C586" s="709"/>
      <c r="D586" s="709"/>
      <c r="E586" s="692"/>
      <c r="F586" s="710"/>
      <c r="G586" s="575"/>
      <c r="H586" s="575"/>
      <c r="I586" s="575"/>
      <c r="J586" s="575"/>
      <c r="K586" s="575"/>
      <c r="L586" s="575"/>
      <c r="M586" s="575"/>
      <c r="N586" s="575"/>
      <c r="O586" s="575"/>
      <c r="P586" s="575"/>
      <c r="Q586" s="575"/>
      <c r="R586" s="575"/>
      <c r="S586" s="575"/>
      <c r="T586" s="575"/>
      <c r="U586" s="575"/>
      <c r="V586" s="575"/>
      <c r="W586" s="575"/>
      <c r="X586" s="575"/>
      <c r="Y586" s="575"/>
      <c r="Z586" s="575"/>
      <c r="AA586" s="575"/>
    </row>
    <row r="587">
      <c r="A587" s="575"/>
      <c r="B587" s="692"/>
      <c r="C587" s="709"/>
      <c r="D587" s="709"/>
      <c r="E587" s="692"/>
      <c r="F587" s="710"/>
      <c r="G587" s="575"/>
      <c r="H587" s="575"/>
      <c r="I587" s="575"/>
      <c r="J587" s="575"/>
      <c r="K587" s="575"/>
      <c r="L587" s="575"/>
      <c r="M587" s="575"/>
      <c r="N587" s="575"/>
      <c r="O587" s="575"/>
      <c r="P587" s="575"/>
      <c r="Q587" s="575"/>
      <c r="R587" s="575"/>
      <c r="S587" s="575"/>
      <c r="T587" s="575"/>
      <c r="U587" s="575"/>
      <c r="V587" s="575"/>
      <c r="W587" s="575"/>
      <c r="X587" s="575"/>
      <c r="Y587" s="575"/>
      <c r="Z587" s="575"/>
      <c r="AA587" s="575"/>
    </row>
    <row r="588">
      <c r="A588" s="575"/>
      <c r="B588" s="692"/>
      <c r="C588" s="709"/>
      <c r="D588" s="709"/>
      <c r="E588" s="692"/>
      <c r="F588" s="710"/>
      <c r="G588" s="575"/>
      <c r="H588" s="575"/>
      <c r="I588" s="575"/>
      <c r="J588" s="575"/>
      <c r="K588" s="575"/>
      <c r="L588" s="575"/>
      <c r="M588" s="575"/>
      <c r="N588" s="575"/>
      <c r="O588" s="575"/>
      <c r="P588" s="575"/>
      <c r="Q588" s="575"/>
      <c r="R588" s="575"/>
      <c r="S588" s="575"/>
      <c r="T588" s="575"/>
      <c r="U588" s="575"/>
      <c r="V588" s="575"/>
      <c r="W588" s="575"/>
      <c r="X588" s="575"/>
      <c r="Y588" s="575"/>
      <c r="Z588" s="575"/>
      <c r="AA588" s="575"/>
    </row>
    <row r="589">
      <c r="A589" s="575"/>
      <c r="B589" s="692"/>
      <c r="C589" s="709"/>
      <c r="D589" s="709"/>
      <c r="E589" s="692"/>
      <c r="F589" s="710"/>
      <c r="G589" s="575"/>
      <c r="H589" s="575"/>
      <c r="I589" s="575"/>
      <c r="J589" s="575"/>
      <c r="K589" s="575"/>
      <c r="L589" s="575"/>
      <c r="M589" s="575"/>
      <c r="N589" s="575"/>
      <c r="O589" s="575"/>
      <c r="P589" s="575"/>
      <c r="Q589" s="575"/>
      <c r="R589" s="575"/>
      <c r="S589" s="575"/>
      <c r="T589" s="575"/>
      <c r="U589" s="575"/>
      <c r="V589" s="575"/>
      <c r="W589" s="575"/>
      <c r="X589" s="575"/>
      <c r="Y589" s="575"/>
      <c r="Z589" s="575"/>
      <c r="AA589" s="575"/>
    </row>
    <row r="590">
      <c r="A590" s="575"/>
      <c r="B590" s="692"/>
      <c r="C590" s="709"/>
      <c r="D590" s="709"/>
      <c r="E590" s="692"/>
      <c r="F590" s="710"/>
      <c r="G590" s="575"/>
      <c r="H590" s="575"/>
      <c r="I590" s="575"/>
      <c r="J590" s="575"/>
      <c r="K590" s="575"/>
      <c r="L590" s="575"/>
      <c r="M590" s="575"/>
      <c r="N590" s="575"/>
      <c r="O590" s="575"/>
      <c r="P590" s="575"/>
      <c r="Q590" s="575"/>
      <c r="R590" s="575"/>
      <c r="S590" s="575"/>
      <c r="T590" s="575"/>
      <c r="U590" s="575"/>
      <c r="V590" s="575"/>
      <c r="W590" s="575"/>
      <c r="X590" s="575"/>
      <c r="Y590" s="575"/>
      <c r="Z590" s="575"/>
      <c r="AA590" s="575"/>
    </row>
    <row r="591">
      <c r="A591" s="575"/>
      <c r="B591" s="692"/>
      <c r="C591" s="709"/>
      <c r="D591" s="709"/>
      <c r="E591" s="692"/>
      <c r="F591" s="710"/>
      <c r="G591" s="575"/>
      <c r="H591" s="575"/>
      <c r="I591" s="575"/>
      <c r="J591" s="575"/>
      <c r="K591" s="575"/>
      <c r="L591" s="575"/>
      <c r="M591" s="575"/>
      <c r="N591" s="575"/>
      <c r="O591" s="575"/>
      <c r="P591" s="575"/>
      <c r="Q591" s="575"/>
      <c r="R591" s="575"/>
      <c r="S591" s="575"/>
      <c r="T591" s="575"/>
      <c r="U591" s="575"/>
      <c r="V591" s="575"/>
      <c r="W591" s="575"/>
      <c r="X591" s="575"/>
      <c r="Y591" s="575"/>
      <c r="Z591" s="575"/>
      <c r="AA591" s="575"/>
    </row>
    <row r="592">
      <c r="A592" s="575"/>
      <c r="B592" s="692"/>
      <c r="C592" s="709"/>
      <c r="D592" s="709"/>
      <c r="E592" s="692"/>
      <c r="F592" s="710"/>
      <c r="G592" s="575"/>
      <c r="H592" s="575"/>
      <c r="I592" s="575"/>
      <c r="J592" s="575"/>
      <c r="K592" s="575"/>
      <c r="L592" s="575"/>
      <c r="M592" s="575"/>
      <c r="N592" s="575"/>
      <c r="O592" s="575"/>
      <c r="P592" s="575"/>
      <c r="Q592" s="575"/>
      <c r="R592" s="575"/>
      <c r="S592" s="575"/>
      <c r="T592" s="575"/>
      <c r="U592" s="575"/>
      <c r="V592" s="575"/>
      <c r="W592" s="575"/>
      <c r="X592" s="575"/>
      <c r="Y592" s="575"/>
      <c r="Z592" s="575"/>
      <c r="AA592" s="575"/>
    </row>
    <row r="593">
      <c r="A593" s="575"/>
      <c r="B593" s="692"/>
      <c r="C593" s="709"/>
      <c r="D593" s="709"/>
      <c r="E593" s="692"/>
      <c r="F593" s="710"/>
      <c r="G593" s="575"/>
      <c r="H593" s="575"/>
      <c r="I593" s="575"/>
      <c r="J593" s="575"/>
      <c r="K593" s="575"/>
      <c r="L593" s="575"/>
      <c r="M593" s="575"/>
      <c r="N593" s="575"/>
      <c r="O593" s="575"/>
      <c r="P593" s="575"/>
      <c r="Q593" s="575"/>
      <c r="R593" s="575"/>
      <c r="S593" s="575"/>
      <c r="T593" s="575"/>
      <c r="U593" s="575"/>
      <c r="V593" s="575"/>
      <c r="W593" s="575"/>
      <c r="X593" s="575"/>
      <c r="Y593" s="575"/>
      <c r="Z593" s="575"/>
      <c r="AA593" s="575"/>
    </row>
    <row r="594">
      <c r="A594" s="575"/>
      <c r="B594" s="692"/>
      <c r="C594" s="709"/>
      <c r="D594" s="709"/>
      <c r="E594" s="692"/>
      <c r="F594" s="710"/>
      <c r="G594" s="575"/>
      <c r="H594" s="575"/>
      <c r="I594" s="575"/>
      <c r="J594" s="575"/>
      <c r="K594" s="575"/>
      <c r="L594" s="575"/>
      <c r="M594" s="575"/>
      <c r="N594" s="575"/>
      <c r="O594" s="575"/>
      <c r="P594" s="575"/>
      <c r="Q594" s="575"/>
      <c r="R594" s="575"/>
      <c r="S594" s="575"/>
      <c r="T594" s="575"/>
      <c r="U594" s="575"/>
      <c r="V594" s="575"/>
      <c r="W594" s="575"/>
      <c r="X594" s="575"/>
      <c r="Y594" s="575"/>
      <c r="Z594" s="575"/>
      <c r="AA594" s="575"/>
    </row>
    <row r="595">
      <c r="A595" s="575"/>
      <c r="B595" s="692"/>
      <c r="C595" s="709"/>
      <c r="D595" s="709"/>
      <c r="E595" s="692"/>
      <c r="F595" s="710"/>
      <c r="G595" s="575"/>
      <c r="H595" s="575"/>
      <c r="I595" s="575"/>
      <c r="J595" s="575"/>
      <c r="K595" s="575"/>
      <c r="L595" s="575"/>
      <c r="M595" s="575"/>
      <c r="N595" s="575"/>
      <c r="O595" s="575"/>
      <c r="P595" s="575"/>
      <c r="Q595" s="575"/>
      <c r="R595" s="575"/>
      <c r="S595" s="575"/>
      <c r="T595" s="575"/>
      <c r="U595" s="575"/>
      <c r="V595" s="575"/>
      <c r="W595" s="575"/>
      <c r="X595" s="575"/>
      <c r="Y595" s="575"/>
      <c r="Z595" s="575"/>
      <c r="AA595" s="575"/>
    </row>
    <row r="596">
      <c r="A596" s="575"/>
      <c r="B596" s="692"/>
      <c r="C596" s="709"/>
      <c r="D596" s="709"/>
      <c r="E596" s="692"/>
      <c r="F596" s="710"/>
      <c r="G596" s="575"/>
      <c r="H596" s="575"/>
      <c r="I596" s="575"/>
      <c r="J596" s="575"/>
      <c r="K596" s="575"/>
      <c r="L596" s="575"/>
      <c r="M596" s="575"/>
      <c r="N596" s="575"/>
      <c r="O596" s="575"/>
      <c r="P596" s="575"/>
      <c r="Q596" s="575"/>
      <c r="R596" s="575"/>
      <c r="S596" s="575"/>
      <c r="T596" s="575"/>
      <c r="U596" s="575"/>
      <c r="V596" s="575"/>
      <c r="W596" s="575"/>
      <c r="X596" s="575"/>
      <c r="Y596" s="575"/>
      <c r="Z596" s="575"/>
      <c r="AA596" s="575"/>
    </row>
    <row r="597">
      <c r="A597" s="575"/>
      <c r="B597" s="692"/>
      <c r="C597" s="709"/>
      <c r="D597" s="709"/>
      <c r="E597" s="692"/>
      <c r="F597" s="710"/>
      <c r="G597" s="575"/>
      <c r="H597" s="575"/>
      <c r="I597" s="575"/>
      <c r="J597" s="575"/>
      <c r="K597" s="575"/>
      <c r="L597" s="575"/>
      <c r="M597" s="575"/>
      <c r="N597" s="575"/>
      <c r="O597" s="575"/>
      <c r="P597" s="575"/>
      <c r="Q597" s="575"/>
      <c r="R597" s="575"/>
      <c r="S597" s="575"/>
      <c r="T597" s="575"/>
      <c r="U597" s="575"/>
      <c r="V597" s="575"/>
      <c r="W597" s="575"/>
      <c r="X597" s="575"/>
      <c r="Y597" s="575"/>
      <c r="Z597" s="575"/>
      <c r="AA597" s="575"/>
    </row>
    <row r="598">
      <c r="A598" s="575"/>
      <c r="B598" s="692"/>
      <c r="C598" s="709"/>
      <c r="D598" s="709"/>
      <c r="E598" s="692"/>
      <c r="F598" s="710"/>
      <c r="G598" s="575"/>
      <c r="H598" s="575"/>
      <c r="I598" s="575"/>
      <c r="J598" s="575"/>
      <c r="K598" s="575"/>
      <c r="L598" s="575"/>
      <c r="M598" s="575"/>
      <c r="N598" s="575"/>
      <c r="O598" s="575"/>
      <c r="P598" s="575"/>
      <c r="Q598" s="575"/>
      <c r="R598" s="575"/>
      <c r="S598" s="575"/>
      <c r="T598" s="575"/>
      <c r="U598" s="575"/>
      <c r="V598" s="575"/>
      <c r="W598" s="575"/>
      <c r="X598" s="575"/>
      <c r="Y598" s="575"/>
      <c r="Z598" s="575"/>
      <c r="AA598" s="575"/>
    </row>
    <row r="599">
      <c r="A599" s="575"/>
      <c r="B599" s="692"/>
      <c r="C599" s="709"/>
      <c r="D599" s="709"/>
      <c r="E599" s="692"/>
      <c r="F599" s="710"/>
      <c r="G599" s="575"/>
      <c r="H599" s="575"/>
      <c r="I599" s="575"/>
      <c r="J599" s="575"/>
      <c r="K599" s="575"/>
      <c r="L599" s="575"/>
      <c r="M599" s="575"/>
      <c r="N599" s="575"/>
      <c r="O599" s="575"/>
      <c r="P599" s="575"/>
      <c r="Q599" s="575"/>
      <c r="R599" s="575"/>
      <c r="S599" s="575"/>
      <c r="T599" s="575"/>
      <c r="U599" s="575"/>
      <c r="V599" s="575"/>
      <c r="W599" s="575"/>
      <c r="X599" s="575"/>
      <c r="Y599" s="575"/>
      <c r="Z599" s="575"/>
      <c r="AA599" s="575"/>
    </row>
    <row r="600">
      <c r="A600" s="575"/>
      <c r="B600" s="692"/>
      <c r="C600" s="709"/>
      <c r="D600" s="709"/>
      <c r="E600" s="692"/>
      <c r="F600" s="710"/>
      <c r="G600" s="575"/>
      <c r="H600" s="575"/>
      <c r="I600" s="575"/>
      <c r="J600" s="575"/>
      <c r="K600" s="575"/>
      <c r="L600" s="575"/>
      <c r="M600" s="575"/>
      <c r="N600" s="575"/>
      <c r="O600" s="575"/>
      <c r="P600" s="575"/>
      <c r="Q600" s="575"/>
      <c r="R600" s="575"/>
      <c r="S600" s="575"/>
      <c r="T600" s="575"/>
      <c r="U600" s="575"/>
      <c r="V600" s="575"/>
      <c r="W600" s="575"/>
      <c r="X600" s="575"/>
      <c r="Y600" s="575"/>
      <c r="Z600" s="575"/>
      <c r="AA600" s="575"/>
    </row>
    <row r="601">
      <c r="A601" s="575"/>
      <c r="B601" s="692"/>
      <c r="C601" s="709"/>
      <c r="D601" s="709"/>
      <c r="E601" s="692"/>
      <c r="F601" s="710"/>
      <c r="G601" s="575"/>
      <c r="H601" s="575"/>
      <c r="I601" s="575"/>
      <c r="J601" s="575"/>
      <c r="K601" s="575"/>
      <c r="L601" s="575"/>
      <c r="M601" s="575"/>
      <c r="N601" s="575"/>
      <c r="O601" s="575"/>
      <c r="P601" s="575"/>
      <c r="Q601" s="575"/>
      <c r="R601" s="575"/>
      <c r="S601" s="575"/>
      <c r="T601" s="575"/>
      <c r="U601" s="575"/>
      <c r="V601" s="575"/>
      <c r="W601" s="575"/>
      <c r="X601" s="575"/>
      <c r="Y601" s="575"/>
      <c r="Z601" s="575"/>
      <c r="AA601" s="575"/>
    </row>
    <row r="602">
      <c r="A602" s="575"/>
      <c r="B602" s="692"/>
      <c r="C602" s="709"/>
      <c r="D602" s="709"/>
      <c r="E602" s="692"/>
      <c r="F602" s="710"/>
      <c r="G602" s="575"/>
      <c r="H602" s="575"/>
      <c r="I602" s="575"/>
      <c r="J602" s="575"/>
      <c r="K602" s="575"/>
      <c r="L602" s="575"/>
      <c r="M602" s="575"/>
      <c r="N602" s="575"/>
      <c r="O602" s="575"/>
      <c r="P602" s="575"/>
      <c r="Q602" s="575"/>
      <c r="R602" s="575"/>
      <c r="S602" s="575"/>
      <c r="T602" s="575"/>
      <c r="U602" s="575"/>
      <c r="V602" s="575"/>
      <c r="W602" s="575"/>
      <c r="X602" s="575"/>
      <c r="Y602" s="575"/>
      <c r="Z602" s="575"/>
      <c r="AA602" s="575"/>
    </row>
    <row r="603">
      <c r="A603" s="575"/>
      <c r="B603" s="692"/>
      <c r="C603" s="709"/>
      <c r="D603" s="709"/>
      <c r="E603" s="692"/>
      <c r="F603" s="710"/>
      <c r="G603" s="575"/>
      <c r="H603" s="575"/>
      <c r="I603" s="575"/>
      <c r="J603" s="575"/>
      <c r="K603" s="575"/>
      <c r="L603" s="575"/>
      <c r="M603" s="575"/>
      <c r="N603" s="575"/>
      <c r="O603" s="575"/>
      <c r="P603" s="575"/>
      <c r="Q603" s="575"/>
      <c r="R603" s="575"/>
      <c r="S603" s="575"/>
      <c r="T603" s="575"/>
      <c r="U603" s="575"/>
      <c r="V603" s="575"/>
      <c r="W603" s="575"/>
      <c r="X603" s="575"/>
      <c r="Y603" s="575"/>
      <c r="Z603" s="575"/>
      <c r="AA603" s="575"/>
    </row>
    <row r="604">
      <c r="A604" s="575"/>
      <c r="B604" s="692"/>
      <c r="C604" s="709"/>
      <c r="D604" s="709"/>
      <c r="E604" s="692"/>
      <c r="F604" s="710"/>
      <c r="G604" s="575"/>
      <c r="H604" s="575"/>
      <c r="I604" s="575"/>
      <c r="J604" s="575"/>
      <c r="K604" s="575"/>
      <c r="L604" s="575"/>
      <c r="M604" s="575"/>
      <c r="N604" s="575"/>
      <c r="O604" s="575"/>
      <c r="P604" s="575"/>
      <c r="Q604" s="575"/>
      <c r="R604" s="575"/>
      <c r="S604" s="575"/>
      <c r="T604" s="575"/>
      <c r="U604" s="575"/>
      <c r="V604" s="575"/>
      <c r="W604" s="575"/>
      <c r="X604" s="575"/>
      <c r="Y604" s="575"/>
      <c r="Z604" s="575"/>
      <c r="AA604" s="575"/>
    </row>
    <row r="605">
      <c r="A605" s="575"/>
      <c r="B605" s="692"/>
      <c r="C605" s="709"/>
      <c r="D605" s="709"/>
      <c r="E605" s="692"/>
      <c r="F605" s="710"/>
      <c r="G605" s="575"/>
      <c r="H605" s="575"/>
      <c r="I605" s="575"/>
      <c r="J605" s="575"/>
      <c r="K605" s="575"/>
      <c r="L605" s="575"/>
      <c r="M605" s="575"/>
      <c r="N605" s="575"/>
      <c r="O605" s="575"/>
      <c r="P605" s="575"/>
      <c r="Q605" s="575"/>
      <c r="R605" s="575"/>
      <c r="S605" s="575"/>
      <c r="T605" s="575"/>
      <c r="U605" s="575"/>
      <c r="V605" s="575"/>
      <c r="W605" s="575"/>
      <c r="X605" s="575"/>
      <c r="Y605" s="575"/>
      <c r="Z605" s="575"/>
      <c r="AA605" s="575"/>
    </row>
    <row r="606">
      <c r="A606" s="575"/>
      <c r="B606" s="692"/>
      <c r="C606" s="709"/>
      <c r="D606" s="709"/>
      <c r="E606" s="692"/>
      <c r="F606" s="710"/>
      <c r="G606" s="575"/>
      <c r="H606" s="575"/>
      <c r="I606" s="575"/>
      <c r="J606" s="575"/>
      <c r="K606" s="575"/>
      <c r="L606" s="575"/>
      <c r="M606" s="575"/>
      <c r="N606" s="575"/>
      <c r="O606" s="575"/>
      <c r="P606" s="575"/>
      <c r="Q606" s="575"/>
      <c r="R606" s="575"/>
      <c r="S606" s="575"/>
      <c r="T606" s="575"/>
      <c r="U606" s="575"/>
      <c r="V606" s="575"/>
      <c r="W606" s="575"/>
      <c r="X606" s="575"/>
      <c r="Y606" s="575"/>
      <c r="Z606" s="575"/>
      <c r="AA606" s="575"/>
    </row>
    <row r="607">
      <c r="A607" s="575"/>
      <c r="B607" s="692"/>
      <c r="C607" s="709"/>
      <c r="D607" s="709"/>
      <c r="E607" s="692"/>
      <c r="F607" s="710"/>
      <c r="G607" s="575"/>
      <c r="H607" s="575"/>
      <c r="I607" s="575"/>
      <c r="J607" s="575"/>
      <c r="K607" s="575"/>
      <c r="L607" s="575"/>
      <c r="M607" s="575"/>
      <c r="N607" s="575"/>
      <c r="O607" s="575"/>
      <c r="P607" s="575"/>
      <c r="Q607" s="575"/>
      <c r="R607" s="575"/>
      <c r="S607" s="575"/>
      <c r="T607" s="575"/>
      <c r="U607" s="575"/>
      <c r="V607" s="575"/>
      <c r="W607" s="575"/>
      <c r="X607" s="575"/>
      <c r="Y607" s="575"/>
      <c r="Z607" s="575"/>
      <c r="AA607" s="575"/>
    </row>
    <row r="608">
      <c r="A608" s="575"/>
      <c r="B608" s="692"/>
      <c r="C608" s="709"/>
      <c r="D608" s="709"/>
      <c r="E608" s="692"/>
      <c r="F608" s="710"/>
      <c r="G608" s="575"/>
      <c r="H608" s="575"/>
      <c r="I608" s="575"/>
      <c r="J608" s="575"/>
      <c r="K608" s="575"/>
      <c r="L608" s="575"/>
      <c r="M608" s="575"/>
      <c r="N608" s="575"/>
      <c r="O608" s="575"/>
      <c r="P608" s="575"/>
      <c r="Q608" s="575"/>
      <c r="R608" s="575"/>
      <c r="S608" s="575"/>
      <c r="T608" s="575"/>
      <c r="U608" s="575"/>
      <c r="V608" s="575"/>
      <c r="W608" s="575"/>
      <c r="X608" s="575"/>
      <c r="Y608" s="575"/>
      <c r="Z608" s="575"/>
      <c r="AA608" s="575"/>
    </row>
    <row r="609">
      <c r="A609" s="575"/>
      <c r="B609" s="692"/>
      <c r="C609" s="709"/>
      <c r="D609" s="709"/>
      <c r="E609" s="692"/>
      <c r="F609" s="710"/>
      <c r="G609" s="575"/>
      <c r="H609" s="575"/>
      <c r="I609" s="575"/>
      <c r="J609" s="575"/>
      <c r="K609" s="575"/>
      <c r="L609" s="575"/>
      <c r="M609" s="575"/>
      <c r="N609" s="575"/>
      <c r="O609" s="575"/>
      <c r="P609" s="575"/>
      <c r="Q609" s="575"/>
      <c r="R609" s="575"/>
      <c r="S609" s="575"/>
      <c r="T609" s="575"/>
      <c r="U609" s="575"/>
      <c r="V609" s="575"/>
      <c r="W609" s="575"/>
      <c r="X609" s="575"/>
      <c r="Y609" s="575"/>
      <c r="Z609" s="575"/>
      <c r="AA609" s="575"/>
    </row>
    <row r="610">
      <c r="A610" s="575"/>
      <c r="B610" s="692"/>
      <c r="C610" s="709"/>
      <c r="D610" s="709"/>
      <c r="E610" s="692"/>
      <c r="F610" s="710"/>
      <c r="G610" s="575"/>
      <c r="H610" s="575"/>
      <c r="I610" s="575"/>
      <c r="J610" s="575"/>
      <c r="K610" s="575"/>
      <c r="L610" s="575"/>
      <c r="M610" s="575"/>
      <c r="N610" s="575"/>
      <c r="O610" s="575"/>
      <c r="P610" s="575"/>
      <c r="Q610" s="575"/>
      <c r="R610" s="575"/>
      <c r="S610" s="575"/>
      <c r="T610" s="575"/>
      <c r="U610" s="575"/>
      <c r="V610" s="575"/>
      <c r="W610" s="575"/>
      <c r="X610" s="575"/>
      <c r="Y610" s="575"/>
      <c r="Z610" s="575"/>
      <c r="AA610" s="575"/>
    </row>
    <row r="611">
      <c r="A611" s="575"/>
      <c r="B611" s="692"/>
      <c r="C611" s="709"/>
      <c r="D611" s="709"/>
      <c r="E611" s="692"/>
      <c r="F611" s="710"/>
      <c r="G611" s="575"/>
      <c r="H611" s="575"/>
      <c r="I611" s="575"/>
      <c r="J611" s="575"/>
      <c r="K611" s="575"/>
      <c r="L611" s="575"/>
      <c r="M611" s="575"/>
      <c r="N611" s="575"/>
      <c r="O611" s="575"/>
      <c r="P611" s="575"/>
      <c r="Q611" s="575"/>
      <c r="R611" s="575"/>
      <c r="S611" s="575"/>
      <c r="T611" s="575"/>
      <c r="U611" s="575"/>
      <c r="V611" s="575"/>
      <c r="W611" s="575"/>
      <c r="X611" s="575"/>
      <c r="Y611" s="575"/>
      <c r="Z611" s="575"/>
      <c r="AA611" s="575"/>
    </row>
    <row r="612">
      <c r="A612" s="575"/>
      <c r="B612" s="692"/>
      <c r="C612" s="709"/>
      <c r="D612" s="709"/>
      <c r="E612" s="692"/>
      <c r="F612" s="710"/>
      <c r="G612" s="575"/>
      <c r="H612" s="575"/>
      <c r="I612" s="575"/>
      <c r="J612" s="575"/>
      <c r="K612" s="575"/>
      <c r="L612" s="575"/>
      <c r="M612" s="575"/>
      <c r="N612" s="575"/>
      <c r="O612" s="575"/>
      <c r="P612" s="575"/>
      <c r="Q612" s="575"/>
      <c r="R612" s="575"/>
      <c r="S612" s="575"/>
      <c r="T612" s="575"/>
      <c r="U612" s="575"/>
      <c r="V612" s="575"/>
      <c r="W612" s="575"/>
      <c r="X612" s="575"/>
      <c r="Y612" s="575"/>
      <c r="Z612" s="575"/>
      <c r="AA612" s="575"/>
    </row>
    <row r="613">
      <c r="A613" s="575"/>
      <c r="B613" s="692"/>
      <c r="C613" s="709"/>
      <c r="D613" s="709"/>
      <c r="E613" s="692"/>
      <c r="F613" s="710"/>
      <c r="G613" s="575"/>
      <c r="H613" s="575"/>
      <c r="I613" s="575"/>
      <c r="J613" s="575"/>
      <c r="K613" s="575"/>
      <c r="L613" s="575"/>
      <c r="M613" s="575"/>
      <c r="N613" s="575"/>
      <c r="O613" s="575"/>
      <c r="P613" s="575"/>
      <c r="Q613" s="575"/>
      <c r="R613" s="575"/>
      <c r="S613" s="575"/>
      <c r="T613" s="575"/>
      <c r="U613" s="575"/>
      <c r="V613" s="575"/>
      <c r="W613" s="575"/>
      <c r="X613" s="575"/>
      <c r="Y613" s="575"/>
      <c r="Z613" s="575"/>
      <c r="AA613" s="575"/>
    </row>
    <row r="614">
      <c r="A614" s="575"/>
      <c r="B614" s="692"/>
      <c r="C614" s="709"/>
      <c r="D614" s="709"/>
      <c r="E614" s="692"/>
      <c r="F614" s="710"/>
      <c r="G614" s="575"/>
      <c r="H614" s="575"/>
      <c r="I614" s="575"/>
      <c r="J614" s="575"/>
      <c r="K614" s="575"/>
      <c r="L614" s="575"/>
      <c r="M614" s="575"/>
      <c r="N614" s="575"/>
      <c r="O614" s="575"/>
      <c r="P614" s="575"/>
      <c r="Q614" s="575"/>
      <c r="R614" s="575"/>
      <c r="S614" s="575"/>
      <c r="T614" s="575"/>
      <c r="U614" s="575"/>
      <c r="V614" s="575"/>
      <c r="W614" s="575"/>
      <c r="X614" s="575"/>
      <c r="Y614" s="575"/>
      <c r="Z614" s="575"/>
      <c r="AA614" s="575"/>
    </row>
    <row r="615">
      <c r="A615" s="575"/>
      <c r="B615" s="692"/>
      <c r="C615" s="709"/>
      <c r="D615" s="709"/>
      <c r="E615" s="692"/>
      <c r="F615" s="710"/>
      <c r="G615" s="575"/>
      <c r="H615" s="575"/>
      <c r="I615" s="575"/>
      <c r="J615" s="575"/>
      <c r="K615" s="575"/>
      <c r="L615" s="575"/>
      <c r="M615" s="575"/>
      <c r="N615" s="575"/>
      <c r="O615" s="575"/>
      <c r="P615" s="575"/>
      <c r="Q615" s="575"/>
      <c r="R615" s="575"/>
      <c r="S615" s="575"/>
      <c r="T615" s="575"/>
      <c r="U615" s="575"/>
      <c r="V615" s="575"/>
      <c r="W615" s="575"/>
      <c r="X615" s="575"/>
      <c r="Y615" s="575"/>
      <c r="Z615" s="575"/>
      <c r="AA615" s="575"/>
    </row>
    <row r="616">
      <c r="A616" s="575"/>
      <c r="B616" s="692"/>
      <c r="C616" s="709"/>
      <c r="D616" s="709"/>
      <c r="E616" s="692"/>
      <c r="F616" s="710"/>
      <c r="G616" s="575"/>
      <c r="H616" s="575"/>
      <c r="I616" s="575"/>
      <c r="J616" s="575"/>
      <c r="K616" s="575"/>
      <c r="L616" s="575"/>
      <c r="M616" s="575"/>
      <c r="N616" s="575"/>
      <c r="O616" s="575"/>
      <c r="P616" s="575"/>
      <c r="Q616" s="575"/>
      <c r="R616" s="575"/>
      <c r="S616" s="575"/>
      <c r="T616" s="575"/>
      <c r="U616" s="575"/>
      <c r="V616" s="575"/>
      <c r="W616" s="575"/>
      <c r="X616" s="575"/>
      <c r="Y616" s="575"/>
      <c r="Z616" s="575"/>
      <c r="AA616" s="575"/>
    </row>
    <row r="617">
      <c r="A617" s="575"/>
      <c r="B617" s="692"/>
      <c r="C617" s="709"/>
      <c r="D617" s="709"/>
      <c r="E617" s="692"/>
      <c r="F617" s="710"/>
      <c r="G617" s="575"/>
      <c r="H617" s="575"/>
      <c r="I617" s="575"/>
      <c r="J617" s="575"/>
      <c r="K617" s="575"/>
      <c r="L617" s="575"/>
      <c r="M617" s="575"/>
      <c r="N617" s="575"/>
      <c r="O617" s="575"/>
      <c r="P617" s="575"/>
      <c r="Q617" s="575"/>
      <c r="R617" s="575"/>
      <c r="S617" s="575"/>
      <c r="T617" s="575"/>
      <c r="U617" s="575"/>
      <c r="V617" s="575"/>
      <c r="W617" s="575"/>
      <c r="X617" s="575"/>
      <c r="Y617" s="575"/>
      <c r="Z617" s="575"/>
      <c r="AA617" s="575"/>
    </row>
    <row r="618">
      <c r="A618" s="575"/>
      <c r="B618" s="692"/>
      <c r="C618" s="709"/>
      <c r="D618" s="709"/>
      <c r="E618" s="692"/>
      <c r="F618" s="710"/>
      <c r="G618" s="575"/>
      <c r="H618" s="575"/>
      <c r="I618" s="575"/>
      <c r="J618" s="575"/>
      <c r="K618" s="575"/>
      <c r="L618" s="575"/>
      <c r="M618" s="575"/>
      <c r="N618" s="575"/>
      <c r="O618" s="575"/>
      <c r="P618" s="575"/>
      <c r="Q618" s="575"/>
      <c r="R618" s="575"/>
      <c r="S618" s="575"/>
      <c r="T618" s="575"/>
      <c r="U618" s="575"/>
      <c r="V618" s="575"/>
      <c r="W618" s="575"/>
      <c r="X618" s="575"/>
      <c r="Y618" s="575"/>
      <c r="Z618" s="575"/>
      <c r="AA618" s="575"/>
    </row>
    <row r="619">
      <c r="A619" s="575"/>
      <c r="B619" s="692"/>
      <c r="C619" s="709"/>
      <c r="D619" s="709"/>
      <c r="E619" s="692"/>
      <c r="F619" s="710"/>
      <c r="G619" s="575"/>
      <c r="H619" s="575"/>
      <c r="I619" s="575"/>
      <c r="J619" s="575"/>
      <c r="K619" s="575"/>
      <c r="L619" s="575"/>
      <c r="M619" s="575"/>
      <c r="N619" s="575"/>
      <c r="O619" s="575"/>
      <c r="P619" s="575"/>
      <c r="Q619" s="575"/>
      <c r="R619" s="575"/>
      <c r="S619" s="575"/>
      <c r="T619" s="575"/>
      <c r="U619" s="575"/>
      <c r="V619" s="575"/>
      <c r="W619" s="575"/>
      <c r="X619" s="575"/>
      <c r="Y619" s="575"/>
      <c r="Z619" s="575"/>
      <c r="AA619" s="575"/>
    </row>
    <row r="620">
      <c r="A620" s="575"/>
      <c r="B620" s="692"/>
      <c r="C620" s="709"/>
      <c r="D620" s="709"/>
      <c r="E620" s="692"/>
      <c r="F620" s="710"/>
      <c r="G620" s="575"/>
      <c r="H620" s="575"/>
      <c r="I620" s="575"/>
      <c r="J620" s="575"/>
      <c r="K620" s="575"/>
      <c r="L620" s="575"/>
      <c r="M620" s="575"/>
      <c r="N620" s="575"/>
      <c r="O620" s="575"/>
      <c r="P620" s="575"/>
      <c r="Q620" s="575"/>
      <c r="R620" s="575"/>
      <c r="S620" s="575"/>
      <c r="T620" s="575"/>
      <c r="U620" s="575"/>
      <c r="V620" s="575"/>
      <c r="W620" s="575"/>
      <c r="X620" s="575"/>
      <c r="Y620" s="575"/>
      <c r="Z620" s="575"/>
      <c r="AA620" s="575"/>
    </row>
    <row r="621">
      <c r="A621" s="575"/>
      <c r="B621" s="692"/>
      <c r="C621" s="709"/>
      <c r="D621" s="709"/>
      <c r="E621" s="692"/>
      <c r="F621" s="710"/>
      <c r="G621" s="575"/>
      <c r="H621" s="575"/>
      <c r="I621" s="575"/>
      <c r="J621" s="575"/>
      <c r="K621" s="575"/>
      <c r="L621" s="575"/>
      <c r="M621" s="575"/>
      <c r="N621" s="575"/>
      <c r="O621" s="575"/>
      <c r="P621" s="575"/>
      <c r="Q621" s="575"/>
      <c r="R621" s="575"/>
      <c r="S621" s="575"/>
      <c r="T621" s="575"/>
      <c r="U621" s="575"/>
      <c r="V621" s="575"/>
      <c r="W621" s="575"/>
      <c r="X621" s="575"/>
      <c r="Y621" s="575"/>
      <c r="Z621" s="575"/>
      <c r="AA621" s="575"/>
    </row>
    <row r="622">
      <c r="A622" s="575"/>
      <c r="B622" s="692"/>
      <c r="C622" s="709"/>
      <c r="D622" s="709"/>
      <c r="E622" s="692"/>
      <c r="F622" s="710"/>
      <c r="G622" s="575"/>
      <c r="H622" s="575"/>
      <c r="I622" s="575"/>
      <c r="J622" s="575"/>
      <c r="K622" s="575"/>
      <c r="L622" s="575"/>
      <c r="M622" s="575"/>
      <c r="N622" s="575"/>
      <c r="O622" s="575"/>
      <c r="P622" s="575"/>
      <c r="Q622" s="575"/>
      <c r="R622" s="575"/>
      <c r="S622" s="575"/>
      <c r="T622" s="575"/>
      <c r="U622" s="575"/>
      <c r="V622" s="575"/>
      <c r="W622" s="575"/>
      <c r="X622" s="575"/>
      <c r="Y622" s="575"/>
      <c r="Z622" s="575"/>
      <c r="AA622" s="575"/>
    </row>
    <row r="623">
      <c r="A623" s="575"/>
      <c r="B623" s="692"/>
      <c r="C623" s="709"/>
      <c r="D623" s="709"/>
      <c r="E623" s="692"/>
      <c r="F623" s="710"/>
      <c r="G623" s="575"/>
      <c r="H623" s="575"/>
      <c r="I623" s="575"/>
      <c r="J623" s="575"/>
      <c r="K623" s="575"/>
      <c r="L623" s="575"/>
      <c r="M623" s="575"/>
      <c r="N623" s="575"/>
      <c r="O623" s="575"/>
      <c r="P623" s="575"/>
      <c r="Q623" s="575"/>
      <c r="R623" s="575"/>
      <c r="S623" s="575"/>
      <c r="T623" s="575"/>
      <c r="U623" s="575"/>
      <c r="V623" s="575"/>
      <c r="W623" s="575"/>
      <c r="X623" s="575"/>
      <c r="Y623" s="575"/>
      <c r="Z623" s="575"/>
      <c r="AA623" s="575"/>
    </row>
    <row r="624">
      <c r="A624" s="575"/>
      <c r="B624" s="692"/>
      <c r="C624" s="709"/>
      <c r="D624" s="709"/>
      <c r="E624" s="692"/>
      <c r="F624" s="710"/>
      <c r="G624" s="575"/>
      <c r="H624" s="575"/>
      <c r="I624" s="575"/>
      <c r="J624" s="575"/>
      <c r="K624" s="575"/>
      <c r="L624" s="575"/>
      <c r="M624" s="575"/>
      <c r="N624" s="575"/>
      <c r="O624" s="575"/>
      <c r="P624" s="575"/>
      <c r="Q624" s="575"/>
      <c r="R624" s="575"/>
      <c r="S624" s="575"/>
      <c r="T624" s="575"/>
      <c r="U624" s="575"/>
      <c r="V624" s="575"/>
      <c r="W624" s="575"/>
      <c r="X624" s="575"/>
      <c r="Y624" s="575"/>
      <c r="Z624" s="575"/>
      <c r="AA624" s="575"/>
    </row>
    <row r="625">
      <c r="A625" s="575"/>
      <c r="B625" s="692"/>
      <c r="C625" s="709"/>
      <c r="D625" s="709"/>
      <c r="E625" s="692"/>
      <c r="F625" s="710"/>
      <c r="G625" s="575"/>
      <c r="H625" s="575"/>
      <c r="I625" s="575"/>
      <c r="J625" s="575"/>
      <c r="K625" s="575"/>
      <c r="L625" s="575"/>
      <c r="M625" s="575"/>
      <c r="N625" s="575"/>
      <c r="O625" s="575"/>
      <c r="P625" s="575"/>
      <c r="Q625" s="575"/>
      <c r="R625" s="575"/>
      <c r="S625" s="575"/>
      <c r="T625" s="575"/>
      <c r="U625" s="575"/>
      <c r="V625" s="575"/>
      <c r="W625" s="575"/>
      <c r="X625" s="575"/>
      <c r="Y625" s="575"/>
      <c r="Z625" s="575"/>
      <c r="AA625" s="575"/>
    </row>
    <row r="626">
      <c r="A626" s="575"/>
      <c r="B626" s="692"/>
      <c r="C626" s="709"/>
      <c r="D626" s="709"/>
      <c r="E626" s="692"/>
      <c r="F626" s="710"/>
      <c r="G626" s="575"/>
      <c r="H626" s="575"/>
      <c r="I626" s="575"/>
      <c r="J626" s="575"/>
      <c r="K626" s="575"/>
      <c r="L626" s="575"/>
      <c r="M626" s="575"/>
      <c r="N626" s="575"/>
      <c r="O626" s="575"/>
      <c r="P626" s="575"/>
      <c r="Q626" s="575"/>
      <c r="R626" s="575"/>
      <c r="S626" s="575"/>
      <c r="T626" s="575"/>
      <c r="U626" s="575"/>
      <c r="V626" s="575"/>
      <c r="W626" s="575"/>
      <c r="X626" s="575"/>
      <c r="Y626" s="575"/>
      <c r="Z626" s="575"/>
      <c r="AA626" s="575"/>
    </row>
    <row r="627">
      <c r="A627" s="575"/>
      <c r="B627" s="692"/>
      <c r="C627" s="709"/>
      <c r="D627" s="709"/>
      <c r="E627" s="692"/>
      <c r="F627" s="710"/>
      <c r="G627" s="575"/>
      <c r="H627" s="575"/>
      <c r="I627" s="575"/>
      <c r="J627" s="575"/>
      <c r="K627" s="575"/>
      <c r="L627" s="575"/>
      <c r="M627" s="575"/>
      <c r="N627" s="575"/>
      <c r="O627" s="575"/>
      <c r="P627" s="575"/>
      <c r="Q627" s="575"/>
      <c r="R627" s="575"/>
      <c r="S627" s="575"/>
      <c r="T627" s="575"/>
      <c r="U627" s="575"/>
      <c r="V627" s="575"/>
      <c r="W627" s="575"/>
      <c r="X627" s="575"/>
      <c r="Y627" s="575"/>
      <c r="Z627" s="575"/>
      <c r="AA627" s="575"/>
    </row>
    <row r="628">
      <c r="A628" s="575"/>
      <c r="B628" s="692"/>
      <c r="C628" s="709"/>
      <c r="D628" s="709"/>
      <c r="E628" s="692"/>
      <c r="F628" s="710"/>
      <c r="G628" s="575"/>
      <c r="H628" s="575"/>
      <c r="I628" s="575"/>
      <c r="J628" s="575"/>
      <c r="K628" s="575"/>
      <c r="L628" s="575"/>
      <c r="M628" s="575"/>
      <c r="N628" s="575"/>
      <c r="O628" s="575"/>
      <c r="P628" s="575"/>
      <c r="Q628" s="575"/>
      <c r="R628" s="575"/>
      <c r="S628" s="575"/>
      <c r="T628" s="575"/>
      <c r="U628" s="575"/>
      <c r="V628" s="575"/>
      <c r="W628" s="575"/>
      <c r="X628" s="575"/>
      <c r="Y628" s="575"/>
      <c r="Z628" s="575"/>
      <c r="AA628" s="575"/>
    </row>
    <row r="629">
      <c r="A629" s="575"/>
      <c r="B629" s="692"/>
      <c r="C629" s="709"/>
      <c r="D629" s="709"/>
      <c r="E629" s="692"/>
      <c r="F629" s="710"/>
      <c r="G629" s="575"/>
      <c r="H629" s="575"/>
      <c r="I629" s="575"/>
      <c r="J629" s="575"/>
      <c r="K629" s="575"/>
      <c r="L629" s="575"/>
      <c r="M629" s="575"/>
      <c r="N629" s="575"/>
      <c r="O629" s="575"/>
      <c r="P629" s="575"/>
      <c r="Q629" s="575"/>
      <c r="R629" s="575"/>
      <c r="S629" s="575"/>
      <c r="T629" s="575"/>
      <c r="U629" s="575"/>
      <c r="V629" s="575"/>
      <c r="W629" s="575"/>
      <c r="X629" s="575"/>
      <c r="Y629" s="575"/>
      <c r="Z629" s="575"/>
      <c r="AA629" s="575"/>
    </row>
    <row r="630">
      <c r="A630" s="575"/>
      <c r="B630" s="692"/>
      <c r="C630" s="709"/>
      <c r="D630" s="709"/>
      <c r="E630" s="692"/>
      <c r="F630" s="710"/>
      <c r="G630" s="575"/>
      <c r="H630" s="575"/>
      <c r="I630" s="575"/>
      <c r="J630" s="575"/>
      <c r="K630" s="575"/>
      <c r="L630" s="575"/>
      <c r="M630" s="575"/>
      <c r="N630" s="575"/>
      <c r="O630" s="575"/>
      <c r="P630" s="575"/>
      <c r="Q630" s="575"/>
      <c r="R630" s="575"/>
      <c r="S630" s="575"/>
      <c r="T630" s="575"/>
      <c r="U630" s="575"/>
      <c r="V630" s="575"/>
      <c r="W630" s="575"/>
      <c r="X630" s="575"/>
      <c r="Y630" s="575"/>
      <c r="Z630" s="575"/>
      <c r="AA630" s="575"/>
    </row>
    <row r="631">
      <c r="A631" s="575"/>
      <c r="B631" s="692"/>
      <c r="C631" s="709"/>
      <c r="D631" s="709"/>
      <c r="E631" s="692"/>
      <c r="F631" s="710"/>
      <c r="G631" s="575"/>
      <c r="H631" s="575"/>
      <c r="I631" s="575"/>
      <c r="J631" s="575"/>
      <c r="K631" s="575"/>
      <c r="L631" s="575"/>
      <c r="M631" s="575"/>
      <c r="N631" s="575"/>
      <c r="O631" s="575"/>
      <c r="P631" s="575"/>
      <c r="Q631" s="575"/>
      <c r="R631" s="575"/>
      <c r="S631" s="575"/>
      <c r="T631" s="575"/>
      <c r="U631" s="575"/>
      <c r="V631" s="575"/>
      <c r="W631" s="575"/>
      <c r="X631" s="575"/>
      <c r="Y631" s="575"/>
      <c r="Z631" s="575"/>
      <c r="AA631" s="575"/>
    </row>
    <row r="632">
      <c r="A632" s="575"/>
      <c r="B632" s="692"/>
      <c r="C632" s="709"/>
      <c r="D632" s="709"/>
      <c r="E632" s="692"/>
      <c r="F632" s="710"/>
      <c r="G632" s="575"/>
      <c r="H632" s="575"/>
      <c r="I632" s="575"/>
      <c r="J632" s="575"/>
      <c r="K632" s="575"/>
      <c r="L632" s="575"/>
      <c r="M632" s="575"/>
      <c r="N632" s="575"/>
      <c r="O632" s="575"/>
      <c r="P632" s="575"/>
      <c r="Q632" s="575"/>
      <c r="R632" s="575"/>
      <c r="S632" s="575"/>
      <c r="T632" s="575"/>
      <c r="U632" s="575"/>
      <c r="V632" s="575"/>
      <c r="W632" s="575"/>
      <c r="X632" s="575"/>
      <c r="Y632" s="575"/>
      <c r="Z632" s="575"/>
      <c r="AA632" s="575"/>
    </row>
    <row r="633">
      <c r="A633" s="575"/>
      <c r="B633" s="692"/>
      <c r="C633" s="709"/>
      <c r="D633" s="709"/>
      <c r="E633" s="692"/>
      <c r="F633" s="710"/>
      <c r="G633" s="575"/>
      <c r="H633" s="575"/>
      <c r="I633" s="575"/>
      <c r="J633" s="575"/>
      <c r="K633" s="575"/>
      <c r="L633" s="575"/>
      <c r="M633" s="575"/>
      <c r="N633" s="575"/>
      <c r="O633" s="575"/>
      <c r="P633" s="575"/>
      <c r="Q633" s="575"/>
      <c r="R633" s="575"/>
      <c r="S633" s="575"/>
      <c r="T633" s="575"/>
      <c r="U633" s="575"/>
      <c r="V633" s="575"/>
      <c r="W633" s="575"/>
      <c r="X633" s="575"/>
      <c r="Y633" s="575"/>
      <c r="Z633" s="575"/>
      <c r="AA633" s="575"/>
    </row>
    <row r="634">
      <c r="A634" s="575"/>
      <c r="B634" s="692"/>
      <c r="C634" s="709"/>
      <c r="D634" s="709"/>
      <c r="E634" s="692"/>
      <c r="F634" s="710"/>
      <c r="G634" s="575"/>
      <c r="H634" s="575"/>
      <c r="I634" s="575"/>
      <c r="J634" s="575"/>
      <c r="K634" s="575"/>
      <c r="L634" s="575"/>
      <c r="M634" s="575"/>
      <c r="N634" s="575"/>
      <c r="O634" s="575"/>
      <c r="P634" s="575"/>
      <c r="Q634" s="575"/>
      <c r="R634" s="575"/>
      <c r="S634" s="575"/>
      <c r="T634" s="575"/>
      <c r="U634" s="575"/>
      <c r="V634" s="575"/>
      <c r="W634" s="575"/>
      <c r="X634" s="575"/>
      <c r="Y634" s="575"/>
      <c r="Z634" s="575"/>
      <c r="AA634" s="575"/>
    </row>
    <row r="635">
      <c r="A635" s="575"/>
      <c r="B635" s="692"/>
      <c r="C635" s="709"/>
      <c r="D635" s="709"/>
      <c r="E635" s="692"/>
      <c r="F635" s="710"/>
      <c r="G635" s="575"/>
      <c r="H635" s="575"/>
      <c r="I635" s="575"/>
      <c r="J635" s="575"/>
      <c r="K635" s="575"/>
      <c r="L635" s="575"/>
      <c r="M635" s="575"/>
      <c r="N635" s="575"/>
      <c r="O635" s="575"/>
      <c r="P635" s="575"/>
      <c r="Q635" s="575"/>
      <c r="R635" s="575"/>
      <c r="S635" s="575"/>
      <c r="T635" s="575"/>
      <c r="U635" s="575"/>
      <c r="V635" s="575"/>
      <c r="W635" s="575"/>
      <c r="X635" s="575"/>
      <c r="Y635" s="575"/>
      <c r="Z635" s="575"/>
      <c r="AA635" s="575"/>
    </row>
    <row r="636">
      <c r="A636" s="575"/>
      <c r="B636" s="692"/>
      <c r="C636" s="709"/>
      <c r="D636" s="709"/>
      <c r="E636" s="692"/>
      <c r="F636" s="710"/>
      <c r="G636" s="575"/>
      <c r="H636" s="575"/>
      <c r="I636" s="575"/>
      <c r="J636" s="575"/>
      <c r="K636" s="575"/>
      <c r="L636" s="575"/>
      <c r="M636" s="575"/>
      <c r="N636" s="575"/>
      <c r="O636" s="575"/>
      <c r="P636" s="575"/>
      <c r="Q636" s="575"/>
      <c r="R636" s="575"/>
      <c r="S636" s="575"/>
      <c r="T636" s="575"/>
      <c r="U636" s="575"/>
      <c r="V636" s="575"/>
      <c r="W636" s="575"/>
      <c r="X636" s="575"/>
      <c r="Y636" s="575"/>
      <c r="Z636" s="575"/>
      <c r="AA636" s="575"/>
    </row>
    <row r="637">
      <c r="A637" s="575"/>
      <c r="B637" s="692"/>
      <c r="C637" s="709"/>
      <c r="D637" s="709"/>
      <c r="E637" s="692"/>
      <c r="F637" s="710"/>
      <c r="G637" s="575"/>
      <c r="H637" s="575"/>
      <c r="I637" s="575"/>
      <c r="J637" s="575"/>
      <c r="K637" s="575"/>
      <c r="L637" s="575"/>
      <c r="M637" s="575"/>
      <c r="N637" s="575"/>
      <c r="O637" s="575"/>
      <c r="P637" s="575"/>
      <c r="Q637" s="575"/>
      <c r="R637" s="575"/>
      <c r="S637" s="575"/>
      <c r="T637" s="575"/>
      <c r="U637" s="575"/>
      <c r="V637" s="575"/>
      <c r="W637" s="575"/>
      <c r="X637" s="575"/>
      <c r="Y637" s="575"/>
      <c r="Z637" s="575"/>
      <c r="AA637" s="575"/>
    </row>
    <row r="638">
      <c r="A638" s="575"/>
      <c r="B638" s="692"/>
      <c r="C638" s="709"/>
      <c r="D638" s="709"/>
      <c r="E638" s="692"/>
      <c r="F638" s="710"/>
      <c r="G638" s="575"/>
      <c r="H638" s="575"/>
      <c r="I638" s="575"/>
      <c r="J638" s="575"/>
      <c r="K638" s="575"/>
      <c r="L638" s="575"/>
      <c r="M638" s="575"/>
      <c r="N638" s="575"/>
      <c r="O638" s="575"/>
      <c r="P638" s="575"/>
      <c r="Q638" s="575"/>
      <c r="R638" s="575"/>
      <c r="S638" s="575"/>
      <c r="T638" s="575"/>
      <c r="U638" s="575"/>
      <c r="V638" s="575"/>
      <c r="W638" s="575"/>
      <c r="X638" s="575"/>
      <c r="Y638" s="575"/>
      <c r="Z638" s="575"/>
      <c r="AA638" s="575"/>
    </row>
    <row r="639">
      <c r="A639" s="575"/>
      <c r="B639" s="692"/>
      <c r="C639" s="709"/>
      <c r="D639" s="709"/>
      <c r="E639" s="692"/>
      <c r="F639" s="710"/>
      <c r="G639" s="575"/>
      <c r="H639" s="575"/>
      <c r="I639" s="575"/>
      <c r="J639" s="575"/>
      <c r="K639" s="575"/>
      <c r="L639" s="575"/>
      <c r="M639" s="575"/>
      <c r="N639" s="575"/>
      <c r="O639" s="575"/>
      <c r="P639" s="575"/>
      <c r="Q639" s="575"/>
      <c r="R639" s="575"/>
      <c r="S639" s="575"/>
      <c r="T639" s="575"/>
      <c r="U639" s="575"/>
      <c r="V639" s="575"/>
      <c r="W639" s="575"/>
      <c r="X639" s="575"/>
      <c r="Y639" s="575"/>
      <c r="Z639" s="575"/>
      <c r="AA639" s="575"/>
    </row>
    <row r="640">
      <c r="A640" s="575"/>
      <c r="B640" s="692"/>
      <c r="C640" s="709"/>
      <c r="D640" s="709"/>
      <c r="E640" s="692"/>
      <c r="F640" s="710"/>
      <c r="G640" s="575"/>
      <c r="H640" s="575"/>
      <c r="I640" s="575"/>
      <c r="J640" s="575"/>
      <c r="K640" s="575"/>
      <c r="L640" s="575"/>
      <c r="M640" s="575"/>
      <c r="N640" s="575"/>
      <c r="O640" s="575"/>
      <c r="P640" s="575"/>
      <c r="Q640" s="575"/>
      <c r="R640" s="575"/>
      <c r="S640" s="575"/>
      <c r="T640" s="575"/>
      <c r="U640" s="575"/>
      <c r="V640" s="575"/>
      <c r="W640" s="575"/>
      <c r="X640" s="575"/>
      <c r="Y640" s="575"/>
      <c r="Z640" s="575"/>
      <c r="AA640" s="575"/>
    </row>
    <row r="641">
      <c r="A641" s="575"/>
      <c r="B641" s="692"/>
      <c r="C641" s="709"/>
      <c r="D641" s="709"/>
      <c r="E641" s="692"/>
      <c r="F641" s="710"/>
      <c r="G641" s="575"/>
      <c r="H641" s="575"/>
      <c r="I641" s="575"/>
      <c r="J641" s="575"/>
      <c r="K641" s="575"/>
      <c r="L641" s="575"/>
      <c r="M641" s="575"/>
      <c r="N641" s="575"/>
      <c r="O641" s="575"/>
      <c r="P641" s="575"/>
      <c r="Q641" s="575"/>
      <c r="R641" s="575"/>
      <c r="S641" s="575"/>
      <c r="T641" s="575"/>
      <c r="U641" s="575"/>
      <c r="V641" s="575"/>
      <c r="W641" s="575"/>
      <c r="X641" s="575"/>
      <c r="Y641" s="575"/>
      <c r="Z641" s="575"/>
      <c r="AA641" s="575"/>
    </row>
    <row r="642">
      <c r="A642" s="575"/>
      <c r="B642" s="692"/>
      <c r="C642" s="709"/>
      <c r="D642" s="709"/>
      <c r="E642" s="692"/>
      <c r="F642" s="710"/>
      <c r="G642" s="575"/>
      <c r="H642" s="575"/>
      <c r="I642" s="575"/>
      <c r="J642" s="575"/>
      <c r="K642" s="575"/>
      <c r="L642" s="575"/>
      <c r="M642" s="575"/>
      <c r="N642" s="575"/>
      <c r="O642" s="575"/>
      <c r="P642" s="575"/>
      <c r="Q642" s="575"/>
      <c r="R642" s="575"/>
      <c r="S642" s="575"/>
      <c r="T642" s="575"/>
      <c r="U642" s="575"/>
      <c r="V642" s="575"/>
      <c r="W642" s="575"/>
      <c r="X642" s="575"/>
      <c r="Y642" s="575"/>
      <c r="Z642" s="575"/>
      <c r="AA642" s="575"/>
    </row>
    <row r="643">
      <c r="A643" s="575"/>
      <c r="B643" s="692"/>
      <c r="C643" s="709"/>
      <c r="D643" s="709"/>
      <c r="E643" s="692"/>
      <c r="F643" s="710"/>
      <c r="G643" s="575"/>
      <c r="H643" s="575"/>
      <c r="I643" s="575"/>
      <c r="J643" s="575"/>
      <c r="K643" s="575"/>
      <c r="L643" s="575"/>
      <c r="M643" s="575"/>
      <c r="N643" s="575"/>
      <c r="O643" s="575"/>
      <c r="P643" s="575"/>
      <c r="Q643" s="575"/>
      <c r="R643" s="575"/>
      <c r="S643" s="575"/>
      <c r="T643" s="575"/>
      <c r="U643" s="575"/>
      <c r="V643" s="575"/>
      <c r="W643" s="575"/>
      <c r="X643" s="575"/>
      <c r="Y643" s="575"/>
      <c r="Z643" s="575"/>
      <c r="AA643" s="575"/>
    </row>
    <row r="644">
      <c r="A644" s="575"/>
      <c r="B644" s="692"/>
      <c r="C644" s="709"/>
      <c r="D644" s="709"/>
      <c r="E644" s="692"/>
      <c r="F644" s="710"/>
      <c r="G644" s="575"/>
      <c r="H644" s="575"/>
      <c r="I644" s="575"/>
      <c r="J644" s="575"/>
      <c r="K644" s="575"/>
      <c r="L644" s="575"/>
      <c r="M644" s="575"/>
      <c r="N644" s="575"/>
      <c r="O644" s="575"/>
      <c r="P644" s="575"/>
      <c r="Q644" s="575"/>
      <c r="R644" s="575"/>
      <c r="S644" s="575"/>
      <c r="T644" s="575"/>
      <c r="U644" s="575"/>
      <c r="V644" s="575"/>
      <c r="W644" s="575"/>
      <c r="X644" s="575"/>
      <c r="Y644" s="575"/>
      <c r="Z644" s="575"/>
      <c r="AA644" s="575"/>
    </row>
    <row r="645">
      <c r="A645" s="575"/>
      <c r="B645" s="692"/>
      <c r="C645" s="709"/>
      <c r="D645" s="709"/>
      <c r="E645" s="692"/>
      <c r="F645" s="710"/>
      <c r="G645" s="575"/>
      <c r="H645" s="575"/>
      <c r="I645" s="575"/>
      <c r="J645" s="575"/>
      <c r="K645" s="575"/>
      <c r="L645" s="575"/>
      <c r="M645" s="575"/>
      <c r="N645" s="575"/>
      <c r="O645" s="575"/>
      <c r="P645" s="575"/>
      <c r="Q645" s="575"/>
      <c r="R645" s="575"/>
      <c r="S645" s="575"/>
      <c r="T645" s="575"/>
      <c r="U645" s="575"/>
      <c r="V645" s="575"/>
      <c r="W645" s="575"/>
      <c r="X645" s="575"/>
      <c r="Y645" s="575"/>
      <c r="Z645" s="575"/>
      <c r="AA645" s="575"/>
    </row>
    <row r="646">
      <c r="A646" s="575"/>
      <c r="B646" s="692"/>
      <c r="C646" s="709"/>
      <c r="D646" s="709"/>
      <c r="E646" s="692"/>
      <c r="F646" s="710"/>
      <c r="G646" s="575"/>
      <c r="H646" s="575"/>
      <c r="I646" s="575"/>
      <c r="J646" s="575"/>
      <c r="K646" s="575"/>
      <c r="L646" s="575"/>
      <c r="M646" s="575"/>
      <c r="N646" s="575"/>
      <c r="O646" s="575"/>
      <c r="P646" s="575"/>
      <c r="Q646" s="575"/>
      <c r="R646" s="575"/>
      <c r="S646" s="575"/>
      <c r="T646" s="575"/>
      <c r="U646" s="575"/>
      <c r="V646" s="575"/>
      <c r="W646" s="575"/>
      <c r="X646" s="575"/>
      <c r="Y646" s="575"/>
      <c r="Z646" s="575"/>
      <c r="AA646" s="575"/>
    </row>
    <row r="647">
      <c r="A647" s="575"/>
      <c r="B647" s="692"/>
      <c r="C647" s="709"/>
      <c r="D647" s="709"/>
      <c r="E647" s="692"/>
      <c r="F647" s="710"/>
      <c r="G647" s="575"/>
      <c r="H647" s="575"/>
      <c r="I647" s="575"/>
      <c r="J647" s="575"/>
      <c r="K647" s="575"/>
      <c r="L647" s="575"/>
      <c r="M647" s="575"/>
      <c r="N647" s="575"/>
      <c r="O647" s="575"/>
      <c r="P647" s="575"/>
      <c r="Q647" s="575"/>
      <c r="R647" s="575"/>
      <c r="S647" s="575"/>
      <c r="T647" s="575"/>
      <c r="U647" s="575"/>
      <c r="V647" s="575"/>
      <c r="W647" s="575"/>
      <c r="X647" s="575"/>
      <c r="Y647" s="575"/>
      <c r="Z647" s="575"/>
      <c r="AA647" s="575"/>
    </row>
    <row r="648">
      <c r="A648" s="575"/>
      <c r="B648" s="692"/>
      <c r="C648" s="709"/>
      <c r="D648" s="709"/>
      <c r="E648" s="692"/>
      <c r="F648" s="710"/>
      <c r="G648" s="575"/>
      <c r="H648" s="575"/>
      <c r="I648" s="575"/>
      <c r="J648" s="575"/>
      <c r="K648" s="575"/>
      <c r="L648" s="575"/>
      <c r="M648" s="575"/>
      <c r="N648" s="575"/>
      <c r="O648" s="575"/>
      <c r="P648" s="575"/>
      <c r="Q648" s="575"/>
      <c r="R648" s="575"/>
      <c r="S648" s="575"/>
      <c r="T648" s="575"/>
      <c r="U648" s="575"/>
      <c r="V648" s="575"/>
      <c r="W648" s="575"/>
      <c r="X648" s="575"/>
      <c r="Y648" s="575"/>
      <c r="Z648" s="575"/>
      <c r="AA648" s="575"/>
    </row>
    <row r="649">
      <c r="A649" s="575"/>
      <c r="B649" s="692"/>
      <c r="C649" s="709"/>
      <c r="D649" s="709"/>
      <c r="E649" s="692"/>
      <c r="F649" s="710"/>
      <c r="G649" s="575"/>
      <c r="H649" s="575"/>
      <c r="I649" s="575"/>
      <c r="J649" s="575"/>
      <c r="K649" s="575"/>
      <c r="L649" s="575"/>
      <c r="M649" s="575"/>
      <c r="N649" s="575"/>
      <c r="O649" s="575"/>
      <c r="P649" s="575"/>
      <c r="Q649" s="575"/>
      <c r="R649" s="575"/>
      <c r="S649" s="575"/>
      <c r="T649" s="575"/>
      <c r="U649" s="575"/>
      <c r="V649" s="575"/>
      <c r="W649" s="575"/>
      <c r="X649" s="575"/>
      <c r="Y649" s="575"/>
      <c r="Z649" s="575"/>
      <c r="AA649" s="575"/>
    </row>
    <row r="650">
      <c r="A650" s="575"/>
      <c r="B650" s="692"/>
      <c r="C650" s="709"/>
      <c r="D650" s="709"/>
      <c r="E650" s="692"/>
      <c r="F650" s="710"/>
      <c r="G650" s="575"/>
      <c r="H650" s="575"/>
      <c r="I650" s="575"/>
      <c r="J650" s="575"/>
      <c r="K650" s="575"/>
      <c r="L650" s="575"/>
      <c r="M650" s="575"/>
      <c r="N650" s="575"/>
      <c r="O650" s="575"/>
      <c r="P650" s="575"/>
      <c r="Q650" s="575"/>
      <c r="R650" s="575"/>
      <c r="S650" s="575"/>
      <c r="T650" s="575"/>
      <c r="U650" s="575"/>
      <c r="V650" s="575"/>
      <c r="W650" s="575"/>
      <c r="X650" s="575"/>
      <c r="Y650" s="575"/>
      <c r="Z650" s="575"/>
      <c r="AA650" s="575"/>
    </row>
    <row r="651">
      <c r="A651" s="575"/>
      <c r="B651" s="692"/>
      <c r="C651" s="709"/>
      <c r="D651" s="709"/>
      <c r="E651" s="692"/>
      <c r="F651" s="710"/>
      <c r="G651" s="575"/>
      <c r="H651" s="575"/>
      <c r="I651" s="575"/>
      <c r="J651" s="575"/>
      <c r="K651" s="575"/>
      <c r="L651" s="575"/>
      <c r="M651" s="575"/>
      <c r="N651" s="575"/>
      <c r="O651" s="575"/>
      <c r="P651" s="575"/>
      <c r="Q651" s="575"/>
      <c r="R651" s="575"/>
      <c r="S651" s="575"/>
      <c r="T651" s="575"/>
      <c r="U651" s="575"/>
      <c r="V651" s="575"/>
      <c r="W651" s="575"/>
      <c r="X651" s="575"/>
      <c r="Y651" s="575"/>
      <c r="Z651" s="575"/>
      <c r="AA651" s="575"/>
    </row>
    <row r="652">
      <c r="A652" s="575"/>
      <c r="B652" s="692"/>
      <c r="C652" s="709"/>
      <c r="D652" s="709"/>
      <c r="E652" s="692"/>
      <c r="F652" s="710"/>
      <c r="G652" s="575"/>
      <c r="H652" s="575"/>
      <c r="I652" s="575"/>
      <c r="J652" s="575"/>
      <c r="K652" s="575"/>
      <c r="L652" s="575"/>
      <c r="M652" s="575"/>
      <c r="N652" s="575"/>
      <c r="O652" s="575"/>
      <c r="P652" s="575"/>
      <c r="Q652" s="575"/>
      <c r="R652" s="575"/>
      <c r="S652" s="575"/>
      <c r="T652" s="575"/>
      <c r="U652" s="575"/>
      <c r="V652" s="575"/>
      <c r="W652" s="575"/>
      <c r="X652" s="575"/>
      <c r="Y652" s="575"/>
      <c r="Z652" s="575"/>
      <c r="AA652" s="575"/>
    </row>
    <row r="653">
      <c r="A653" s="575"/>
      <c r="B653" s="692"/>
      <c r="C653" s="709"/>
      <c r="D653" s="709"/>
      <c r="E653" s="692"/>
      <c r="F653" s="710"/>
      <c r="G653" s="575"/>
      <c r="H653" s="575"/>
      <c r="I653" s="575"/>
      <c r="J653" s="575"/>
      <c r="K653" s="575"/>
      <c r="L653" s="575"/>
      <c r="M653" s="575"/>
      <c r="N653" s="575"/>
      <c r="O653" s="575"/>
      <c r="P653" s="575"/>
      <c r="Q653" s="575"/>
      <c r="R653" s="575"/>
      <c r="S653" s="575"/>
      <c r="T653" s="575"/>
      <c r="U653" s="575"/>
      <c r="V653" s="575"/>
      <c r="W653" s="575"/>
      <c r="X653" s="575"/>
      <c r="Y653" s="575"/>
      <c r="Z653" s="575"/>
      <c r="AA653" s="575"/>
    </row>
    <row r="654">
      <c r="A654" s="575"/>
      <c r="B654" s="692"/>
      <c r="C654" s="709"/>
      <c r="D654" s="709"/>
      <c r="E654" s="692"/>
      <c r="F654" s="710"/>
      <c r="G654" s="575"/>
      <c r="H654" s="575"/>
      <c r="I654" s="575"/>
      <c r="J654" s="575"/>
      <c r="K654" s="575"/>
      <c r="L654" s="575"/>
      <c r="M654" s="575"/>
      <c r="N654" s="575"/>
      <c r="O654" s="575"/>
      <c r="P654" s="575"/>
      <c r="Q654" s="575"/>
      <c r="R654" s="575"/>
      <c r="S654" s="575"/>
      <c r="T654" s="575"/>
      <c r="U654" s="575"/>
      <c r="V654" s="575"/>
      <c r="W654" s="575"/>
      <c r="X654" s="575"/>
      <c r="Y654" s="575"/>
      <c r="Z654" s="575"/>
      <c r="AA654" s="575"/>
    </row>
    <row r="655">
      <c r="A655" s="575"/>
      <c r="B655" s="692"/>
      <c r="C655" s="709"/>
      <c r="D655" s="709"/>
      <c r="E655" s="692"/>
      <c r="F655" s="710"/>
      <c r="G655" s="575"/>
      <c r="H655" s="575"/>
      <c r="I655" s="575"/>
      <c r="J655" s="575"/>
      <c r="K655" s="575"/>
      <c r="L655" s="575"/>
      <c r="M655" s="575"/>
      <c r="N655" s="575"/>
      <c r="O655" s="575"/>
      <c r="P655" s="575"/>
      <c r="Q655" s="575"/>
      <c r="R655" s="575"/>
      <c r="S655" s="575"/>
      <c r="T655" s="575"/>
      <c r="U655" s="575"/>
      <c r="V655" s="575"/>
      <c r="W655" s="575"/>
      <c r="X655" s="575"/>
      <c r="Y655" s="575"/>
      <c r="Z655" s="575"/>
      <c r="AA655" s="575"/>
    </row>
    <row r="656">
      <c r="A656" s="575"/>
      <c r="B656" s="692"/>
      <c r="C656" s="709"/>
      <c r="D656" s="709"/>
      <c r="E656" s="692"/>
      <c r="F656" s="710"/>
      <c r="G656" s="575"/>
      <c r="H656" s="575"/>
      <c r="I656" s="575"/>
      <c r="J656" s="575"/>
      <c r="K656" s="575"/>
      <c r="L656" s="575"/>
      <c r="M656" s="575"/>
      <c r="N656" s="575"/>
      <c r="O656" s="575"/>
      <c r="P656" s="575"/>
      <c r="Q656" s="575"/>
      <c r="R656" s="575"/>
      <c r="S656" s="575"/>
      <c r="T656" s="575"/>
      <c r="U656" s="575"/>
      <c r="V656" s="575"/>
      <c r="W656" s="575"/>
      <c r="X656" s="575"/>
      <c r="Y656" s="575"/>
      <c r="Z656" s="575"/>
      <c r="AA656" s="575"/>
    </row>
    <row r="657">
      <c r="A657" s="575"/>
      <c r="B657" s="692"/>
      <c r="C657" s="709"/>
      <c r="D657" s="709"/>
      <c r="E657" s="692"/>
      <c r="F657" s="710"/>
      <c r="G657" s="575"/>
      <c r="H657" s="575"/>
      <c r="I657" s="575"/>
      <c r="J657" s="575"/>
      <c r="K657" s="575"/>
      <c r="L657" s="575"/>
      <c r="M657" s="575"/>
      <c r="N657" s="575"/>
      <c r="O657" s="575"/>
      <c r="P657" s="575"/>
      <c r="Q657" s="575"/>
      <c r="R657" s="575"/>
      <c r="S657" s="575"/>
      <c r="T657" s="575"/>
      <c r="U657" s="575"/>
      <c r="V657" s="575"/>
      <c r="W657" s="575"/>
      <c r="X657" s="575"/>
      <c r="Y657" s="575"/>
      <c r="Z657" s="575"/>
      <c r="AA657" s="575"/>
    </row>
    <row r="658">
      <c r="A658" s="575"/>
      <c r="B658" s="692"/>
      <c r="C658" s="709"/>
      <c r="D658" s="709"/>
      <c r="E658" s="692"/>
      <c r="F658" s="710"/>
      <c r="G658" s="575"/>
      <c r="H658" s="575"/>
      <c r="I658" s="575"/>
      <c r="J658" s="575"/>
      <c r="K658" s="575"/>
      <c r="L658" s="575"/>
      <c r="M658" s="575"/>
      <c r="N658" s="575"/>
      <c r="O658" s="575"/>
      <c r="P658" s="575"/>
      <c r="Q658" s="575"/>
      <c r="R658" s="575"/>
      <c r="S658" s="575"/>
      <c r="T658" s="575"/>
      <c r="U658" s="575"/>
      <c r="V658" s="575"/>
      <c r="W658" s="575"/>
      <c r="X658" s="575"/>
      <c r="Y658" s="575"/>
      <c r="Z658" s="575"/>
      <c r="AA658" s="575"/>
    </row>
    <row r="659">
      <c r="A659" s="575"/>
      <c r="B659" s="692"/>
      <c r="C659" s="709"/>
      <c r="D659" s="709"/>
      <c r="E659" s="692"/>
      <c r="F659" s="710"/>
      <c r="G659" s="575"/>
      <c r="H659" s="575"/>
      <c r="I659" s="575"/>
      <c r="J659" s="575"/>
      <c r="K659" s="575"/>
      <c r="L659" s="575"/>
      <c r="M659" s="575"/>
      <c r="N659" s="575"/>
      <c r="O659" s="575"/>
      <c r="P659" s="575"/>
      <c r="Q659" s="575"/>
      <c r="R659" s="575"/>
      <c r="S659" s="575"/>
      <c r="T659" s="575"/>
      <c r="U659" s="575"/>
      <c r="V659" s="575"/>
      <c r="W659" s="575"/>
      <c r="X659" s="575"/>
      <c r="Y659" s="575"/>
      <c r="Z659" s="575"/>
      <c r="AA659" s="575"/>
    </row>
    <row r="660">
      <c r="A660" s="575"/>
      <c r="B660" s="692"/>
      <c r="C660" s="709"/>
      <c r="D660" s="709"/>
      <c r="E660" s="692"/>
      <c r="F660" s="710"/>
      <c r="G660" s="575"/>
      <c r="H660" s="575"/>
      <c r="I660" s="575"/>
      <c r="J660" s="575"/>
      <c r="K660" s="575"/>
      <c r="L660" s="575"/>
      <c r="M660" s="575"/>
      <c r="N660" s="575"/>
      <c r="O660" s="575"/>
      <c r="P660" s="575"/>
      <c r="Q660" s="575"/>
      <c r="R660" s="575"/>
      <c r="S660" s="575"/>
      <c r="T660" s="575"/>
      <c r="U660" s="575"/>
      <c r="V660" s="575"/>
      <c r="W660" s="575"/>
      <c r="X660" s="575"/>
      <c r="Y660" s="575"/>
      <c r="Z660" s="575"/>
      <c r="AA660" s="575"/>
    </row>
    <row r="661">
      <c r="A661" s="575"/>
      <c r="B661" s="692"/>
      <c r="C661" s="709"/>
      <c r="D661" s="709"/>
      <c r="E661" s="692"/>
      <c r="F661" s="710"/>
      <c r="G661" s="575"/>
      <c r="H661" s="575"/>
      <c r="I661" s="575"/>
      <c r="J661" s="575"/>
      <c r="K661" s="575"/>
      <c r="L661" s="575"/>
      <c r="M661" s="575"/>
      <c r="N661" s="575"/>
      <c r="O661" s="575"/>
      <c r="P661" s="575"/>
      <c r="Q661" s="575"/>
      <c r="R661" s="575"/>
      <c r="S661" s="575"/>
      <c r="T661" s="575"/>
      <c r="U661" s="575"/>
      <c r="V661" s="575"/>
      <c r="W661" s="575"/>
      <c r="X661" s="575"/>
      <c r="Y661" s="575"/>
      <c r="Z661" s="575"/>
      <c r="AA661" s="575"/>
    </row>
    <row r="662">
      <c r="A662" s="575"/>
      <c r="B662" s="692"/>
      <c r="C662" s="709"/>
      <c r="D662" s="709"/>
      <c r="E662" s="692"/>
      <c r="F662" s="710"/>
      <c r="G662" s="575"/>
      <c r="H662" s="575"/>
      <c r="I662" s="575"/>
      <c r="J662" s="575"/>
      <c r="K662" s="575"/>
      <c r="L662" s="575"/>
      <c r="M662" s="575"/>
      <c r="N662" s="575"/>
      <c r="O662" s="575"/>
      <c r="P662" s="575"/>
      <c r="Q662" s="575"/>
      <c r="R662" s="575"/>
      <c r="S662" s="575"/>
      <c r="T662" s="575"/>
      <c r="U662" s="575"/>
      <c r="V662" s="575"/>
      <c r="W662" s="575"/>
      <c r="X662" s="575"/>
      <c r="Y662" s="575"/>
      <c r="Z662" s="575"/>
      <c r="AA662" s="575"/>
    </row>
    <row r="663">
      <c r="A663" s="575"/>
      <c r="B663" s="692"/>
      <c r="C663" s="709"/>
      <c r="D663" s="709"/>
      <c r="E663" s="692"/>
      <c r="F663" s="710"/>
      <c r="G663" s="575"/>
      <c r="H663" s="575"/>
      <c r="I663" s="575"/>
      <c r="J663" s="575"/>
      <c r="K663" s="575"/>
      <c r="L663" s="575"/>
      <c r="M663" s="575"/>
      <c r="N663" s="575"/>
      <c r="O663" s="575"/>
      <c r="P663" s="575"/>
      <c r="Q663" s="575"/>
      <c r="R663" s="575"/>
      <c r="S663" s="575"/>
      <c r="T663" s="575"/>
      <c r="U663" s="575"/>
      <c r="V663" s="575"/>
      <c r="W663" s="575"/>
      <c r="X663" s="575"/>
      <c r="Y663" s="575"/>
      <c r="Z663" s="575"/>
      <c r="AA663" s="575"/>
    </row>
    <row r="664">
      <c r="A664" s="575"/>
      <c r="B664" s="692"/>
      <c r="C664" s="709"/>
      <c r="D664" s="709"/>
      <c r="E664" s="692"/>
      <c r="F664" s="710"/>
      <c r="G664" s="575"/>
      <c r="H664" s="575"/>
      <c r="I664" s="575"/>
      <c r="J664" s="575"/>
      <c r="K664" s="575"/>
      <c r="L664" s="575"/>
      <c r="M664" s="575"/>
      <c r="N664" s="575"/>
      <c r="O664" s="575"/>
      <c r="P664" s="575"/>
      <c r="Q664" s="575"/>
      <c r="R664" s="575"/>
      <c r="S664" s="575"/>
      <c r="T664" s="575"/>
      <c r="U664" s="575"/>
      <c r="V664" s="575"/>
      <c r="W664" s="575"/>
      <c r="X664" s="575"/>
      <c r="Y664" s="575"/>
      <c r="Z664" s="575"/>
      <c r="AA664" s="575"/>
    </row>
    <row r="665">
      <c r="A665" s="575"/>
      <c r="B665" s="692"/>
      <c r="C665" s="709"/>
      <c r="D665" s="709"/>
      <c r="E665" s="692"/>
      <c r="F665" s="710"/>
      <c r="G665" s="575"/>
      <c r="H665" s="575"/>
      <c r="I665" s="575"/>
      <c r="J665" s="575"/>
      <c r="K665" s="575"/>
      <c r="L665" s="575"/>
      <c r="M665" s="575"/>
      <c r="N665" s="575"/>
      <c r="O665" s="575"/>
      <c r="P665" s="575"/>
      <c r="Q665" s="575"/>
      <c r="R665" s="575"/>
      <c r="S665" s="575"/>
      <c r="T665" s="575"/>
      <c r="U665" s="575"/>
      <c r="V665" s="575"/>
      <c r="W665" s="575"/>
      <c r="X665" s="575"/>
      <c r="Y665" s="575"/>
      <c r="Z665" s="575"/>
      <c r="AA665" s="575"/>
    </row>
    <row r="666">
      <c r="A666" s="575"/>
      <c r="B666" s="692"/>
      <c r="C666" s="709"/>
      <c r="D666" s="709"/>
      <c r="E666" s="692"/>
      <c r="F666" s="710"/>
      <c r="G666" s="575"/>
      <c r="H666" s="575"/>
      <c r="I666" s="575"/>
      <c r="J666" s="575"/>
      <c r="K666" s="575"/>
      <c r="L666" s="575"/>
      <c r="M666" s="575"/>
      <c r="N666" s="575"/>
      <c r="O666" s="575"/>
      <c r="P666" s="575"/>
      <c r="Q666" s="575"/>
      <c r="R666" s="575"/>
      <c r="S666" s="575"/>
      <c r="T666" s="575"/>
      <c r="U666" s="575"/>
      <c r="V666" s="575"/>
      <c r="W666" s="575"/>
      <c r="X666" s="575"/>
      <c r="Y666" s="575"/>
      <c r="Z666" s="575"/>
      <c r="AA666" s="575"/>
    </row>
    <row r="667">
      <c r="A667" s="575"/>
      <c r="B667" s="692"/>
      <c r="C667" s="709"/>
      <c r="D667" s="709"/>
      <c r="E667" s="692"/>
      <c r="F667" s="710"/>
      <c r="G667" s="575"/>
      <c r="H667" s="575"/>
      <c r="I667" s="575"/>
      <c r="J667" s="575"/>
      <c r="K667" s="575"/>
      <c r="L667" s="575"/>
      <c r="M667" s="575"/>
      <c r="N667" s="575"/>
      <c r="O667" s="575"/>
      <c r="P667" s="575"/>
      <c r="Q667" s="575"/>
      <c r="R667" s="575"/>
      <c r="S667" s="575"/>
      <c r="T667" s="575"/>
      <c r="U667" s="575"/>
      <c r="V667" s="575"/>
      <c r="W667" s="575"/>
      <c r="X667" s="575"/>
      <c r="Y667" s="575"/>
      <c r="Z667" s="575"/>
      <c r="AA667" s="575"/>
    </row>
    <row r="668">
      <c r="A668" s="575"/>
      <c r="B668" s="692"/>
      <c r="C668" s="709"/>
      <c r="D668" s="709"/>
      <c r="E668" s="692"/>
      <c r="F668" s="710"/>
      <c r="G668" s="575"/>
      <c r="H668" s="575"/>
      <c r="I668" s="575"/>
      <c r="J668" s="575"/>
      <c r="K668" s="575"/>
      <c r="L668" s="575"/>
      <c r="M668" s="575"/>
      <c r="N668" s="575"/>
      <c r="O668" s="575"/>
      <c r="P668" s="575"/>
      <c r="Q668" s="575"/>
      <c r="R668" s="575"/>
      <c r="S668" s="575"/>
      <c r="T668" s="575"/>
      <c r="U668" s="575"/>
      <c r="V668" s="575"/>
      <c r="W668" s="575"/>
      <c r="X668" s="575"/>
      <c r="Y668" s="575"/>
      <c r="Z668" s="575"/>
      <c r="AA668" s="575"/>
    </row>
    <row r="669">
      <c r="A669" s="575"/>
      <c r="B669" s="692"/>
      <c r="C669" s="709"/>
      <c r="D669" s="709"/>
      <c r="E669" s="692"/>
      <c r="F669" s="710"/>
      <c r="G669" s="575"/>
      <c r="H669" s="575"/>
      <c r="I669" s="575"/>
      <c r="J669" s="575"/>
      <c r="K669" s="575"/>
      <c r="L669" s="575"/>
      <c r="M669" s="575"/>
      <c r="N669" s="575"/>
      <c r="O669" s="575"/>
      <c r="P669" s="575"/>
      <c r="Q669" s="575"/>
      <c r="R669" s="575"/>
      <c r="S669" s="575"/>
      <c r="T669" s="575"/>
      <c r="U669" s="575"/>
      <c r="V669" s="575"/>
      <c r="W669" s="575"/>
      <c r="X669" s="575"/>
      <c r="Y669" s="575"/>
      <c r="Z669" s="575"/>
      <c r="AA669" s="575"/>
    </row>
    <row r="670">
      <c r="A670" s="575"/>
      <c r="B670" s="692"/>
      <c r="C670" s="709"/>
      <c r="D670" s="709"/>
      <c r="E670" s="692"/>
      <c r="F670" s="710"/>
      <c r="G670" s="575"/>
      <c r="H670" s="575"/>
      <c r="I670" s="575"/>
      <c r="J670" s="575"/>
      <c r="K670" s="575"/>
      <c r="L670" s="575"/>
      <c r="M670" s="575"/>
      <c r="N670" s="575"/>
      <c r="O670" s="575"/>
      <c r="P670" s="575"/>
      <c r="Q670" s="575"/>
      <c r="R670" s="575"/>
      <c r="S670" s="575"/>
      <c r="T670" s="575"/>
      <c r="U670" s="575"/>
      <c r="V670" s="575"/>
      <c r="W670" s="575"/>
      <c r="X670" s="575"/>
      <c r="Y670" s="575"/>
      <c r="Z670" s="575"/>
      <c r="AA670" s="575"/>
    </row>
    <row r="671">
      <c r="A671" s="575"/>
      <c r="B671" s="692"/>
      <c r="C671" s="709"/>
      <c r="D671" s="709"/>
      <c r="E671" s="692"/>
      <c r="F671" s="710"/>
      <c r="G671" s="575"/>
      <c r="H671" s="575"/>
      <c r="I671" s="575"/>
      <c r="J671" s="575"/>
      <c r="K671" s="575"/>
      <c r="L671" s="575"/>
      <c r="M671" s="575"/>
      <c r="N671" s="575"/>
      <c r="O671" s="575"/>
      <c r="P671" s="575"/>
      <c r="Q671" s="575"/>
      <c r="R671" s="575"/>
      <c r="S671" s="575"/>
      <c r="T671" s="575"/>
      <c r="U671" s="575"/>
      <c r="V671" s="575"/>
      <c r="W671" s="575"/>
      <c r="X671" s="575"/>
      <c r="Y671" s="575"/>
      <c r="Z671" s="575"/>
      <c r="AA671" s="575"/>
    </row>
    <row r="672">
      <c r="A672" s="575"/>
      <c r="B672" s="692"/>
      <c r="C672" s="709"/>
      <c r="D672" s="709"/>
      <c r="E672" s="692"/>
      <c r="F672" s="710"/>
      <c r="G672" s="575"/>
      <c r="H672" s="575"/>
      <c r="I672" s="575"/>
      <c r="J672" s="575"/>
      <c r="K672" s="575"/>
      <c r="L672" s="575"/>
      <c r="M672" s="575"/>
      <c r="N672" s="575"/>
      <c r="O672" s="575"/>
      <c r="P672" s="575"/>
      <c r="Q672" s="575"/>
      <c r="R672" s="575"/>
      <c r="S672" s="575"/>
      <c r="T672" s="575"/>
      <c r="U672" s="575"/>
      <c r="V672" s="575"/>
      <c r="W672" s="575"/>
      <c r="X672" s="575"/>
      <c r="Y672" s="575"/>
      <c r="Z672" s="575"/>
      <c r="AA672" s="575"/>
    </row>
    <row r="673">
      <c r="A673" s="575"/>
      <c r="B673" s="692"/>
      <c r="C673" s="709"/>
      <c r="D673" s="709"/>
      <c r="E673" s="692"/>
      <c r="F673" s="710"/>
      <c r="G673" s="575"/>
      <c r="H673" s="575"/>
      <c r="I673" s="575"/>
      <c r="J673" s="575"/>
      <c r="K673" s="575"/>
      <c r="L673" s="575"/>
      <c r="M673" s="575"/>
      <c r="N673" s="575"/>
      <c r="O673" s="575"/>
      <c r="P673" s="575"/>
      <c r="Q673" s="575"/>
      <c r="R673" s="575"/>
      <c r="S673" s="575"/>
      <c r="T673" s="575"/>
      <c r="U673" s="575"/>
      <c r="V673" s="575"/>
      <c r="W673" s="575"/>
      <c r="X673" s="575"/>
      <c r="Y673" s="575"/>
      <c r="Z673" s="575"/>
      <c r="AA673" s="575"/>
    </row>
    <row r="674">
      <c r="A674" s="575"/>
      <c r="B674" s="692"/>
      <c r="C674" s="709"/>
      <c r="D674" s="709"/>
      <c r="E674" s="692"/>
      <c r="F674" s="710"/>
      <c r="G674" s="575"/>
      <c r="H674" s="575"/>
      <c r="I674" s="575"/>
      <c r="J674" s="575"/>
      <c r="K674" s="575"/>
      <c r="L674" s="575"/>
      <c r="M674" s="575"/>
      <c r="N674" s="575"/>
      <c r="O674" s="575"/>
      <c r="P674" s="575"/>
      <c r="Q674" s="575"/>
      <c r="R674" s="575"/>
      <c r="S674" s="575"/>
      <c r="T674" s="575"/>
      <c r="U674" s="575"/>
      <c r="V674" s="575"/>
      <c r="W674" s="575"/>
      <c r="X674" s="575"/>
      <c r="Y674" s="575"/>
      <c r="Z674" s="575"/>
      <c r="AA674" s="575"/>
    </row>
    <row r="675">
      <c r="A675" s="575"/>
      <c r="B675" s="692"/>
      <c r="C675" s="709"/>
      <c r="D675" s="709"/>
      <c r="E675" s="692"/>
      <c r="F675" s="710"/>
      <c r="G675" s="575"/>
      <c r="H675" s="575"/>
      <c r="I675" s="575"/>
      <c r="J675" s="575"/>
      <c r="K675" s="575"/>
      <c r="L675" s="575"/>
      <c r="M675" s="575"/>
      <c r="N675" s="575"/>
      <c r="O675" s="575"/>
      <c r="P675" s="575"/>
      <c r="Q675" s="575"/>
      <c r="R675" s="575"/>
      <c r="S675" s="575"/>
      <c r="T675" s="575"/>
      <c r="U675" s="575"/>
      <c r="V675" s="575"/>
      <c r="W675" s="575"/>
      <c r="X675" s="575"/>
      <c r="Y675" s="575"/>
      <c r="Z675" s="575"/>
      <c r="AA675" s="575"/>
    </row>
    <row r="676">
      <c r="A676" s="575"/>
      <c r="B676" s="692"/>
      <c r="C676" s="709"/>
      <c r="D676" s="709"/>
      <c r="E676" s="692"/>
      <c r="F676" s="710"/>
      <c r="G676" s="575"/>
      <c r="H676" s="575"/>
      <c r="I676" s="575"/>
      <c r="J676" s="575"/>
      <c r="K676" s="575"/>
      <c r="L676" s="575"/>
      <c r="M676" s="575"/>
      <c r="N676" s="575"/>
      <c r="O676" s="575"/>
      <c r="P676" s="575"/>
      <c r="Q676" s="575"/>
      <c r="R676" s="575"/>
      <c r="S676" s="575"/>
      <c r="T676" s="575"/>
      <c r="U676" s="575"/>
      <c r="V676" s="575"/>
      <c r="W676" s="575"/>
      <c r="X676" s="575"/>
      <c r="Y676" s="575"/>
      <c r="Z676" s="575"/>
      <c r="AA676" s="575"/>
    </row>
    <row r="677">
      <c r="A677" s="575"/>
      <c r="B677" s="692"/>
      <c r="C677" s="709"/>
      <c r="D677" s="709"/>
      <c r="E677" s="692"/>
      <c r="F677" s="710"/>
      <c r="G677" s="575"/>
      <c r="H677" s="575"/>
      <c r="I677" s="575"/>
      <c r="J677" s="575"/>
      <c r="K677" s="575"/>
      <c r="L677" s="575"/>
      <c r="M677" s="575"/>
      <c r="N677" s="575"/>
      <c r="O677" s="575"/>
      <c r="P677" s="575"/>
      <c r="Q677" s="575"/>
      <c r="R677" s="575"/>
      <c r="S677" s="575"/>
      <c r="T677" s="575"/>
      <c r="U677" s="575"/>
      <c r="V677" s="575"/>
      <c r="W677" s="575"/>
      <c r="X677" s="575"/>
      <c r="Y677" s="575"/>
      <c r="Z677" s="575"/>
      <c r="AA677" s="575"/>
    </row>
    <row r="678">
      <c r="A678" s="575"/>
      <c r="B678" s="692"/>
      <c r="C678" s="709"/>
      <c r="D678" s="709"/>
      <c r="E678" s="692"/>
      <c r="F678" s="710"/>
      <c r="G678" s="575"/>
      <c r="H678" s="575"/>
      <c r="I678" s="575"/>
      <c r="J678" s="575"/>
      <c r="K678" s="575"/>
      <c r="L678" s="575"/>
      <c r="M678" s="575"/>
      <c r="N678" s="575"/>
      <c r="O678" s="575"/>
      <c r="P678" s="575"/>
      <c r="Q678" s="575"/>
      <c r="R678" s="575"/>
      <c r="S678" s="575"/>
      <c r="T678" s="575"/>
      <c r="U678" s="575"/>
      <c r="V678" s="575"/>
      <c r="W678" s="575"/>
      <c r="X678" s="575"/>
      <c r="Y678" s="575"/>
      <c r="Z678" s="575"/>
      <c r="AA678" s="575"/>
    </row>
    <row r="679">
      <c r="A679" s="575"/>
      <c r="B679" s="692"/>
      <c r="C679" s="709"/>
      <c r="D679" s="709"/>
      <c r="E679" s="692"/>
      <c r="F679" s="710"/>
      <c r="G679" s="575"/>
      <c r="H679" s="575"/>
      <c r="I679" s="575"/>
      <c r="J679" s="575"/>
      <c r="K679" s="575"/>
      <c r="L679" s="575"/>
      <c r="M679" s="575"/>
      <c r="N679" s="575"/>
      <c r="O679" s="575"/>
      <c r="P679" s="575"/>
      <c r="Q679" s="575"/>
      <c r="R679" s="575"/>
      <c r="S679" s="575"/>
      <c r="T679" s="575"/>
      <c r="U679" s="575"/>
      <c r="V679" s="575"/>
      <c r="W679" s="575"/>
      <c r="X679" s="575"/>
      <c r="Y679" s="575"/>
      <c r="Z679" s="575"/>
      <c r="AA679" s="575"/>
    </row>
    <row r="680">
      <c r="A680" s="575"/>
      <c r="B680" s="692"/>
      <c r="C680" s="709"/>
      <c r="D680" s="709"/>
      <c r="E680" s="692"/>
      <c r="F680" s="710"/>
      <c r="G680" s="575"/>
      <c r="H680" s="575"/>
      <c r="I680" s="575"/>
      <c r="J680" s="575"/>
      <c r="K680" s="575"/>
      <c r="L680" s="575"/>
      <c r="M680" s="575"/>
      <c r="N680" s="575"/>
      <c r="O680" s="575"/>
      <c r="P680" s="575"/>
      <c r="Q680" s="575"/>
      <c r="R680" s="575"/>
      <c r="S680" s="575"/>
      <c r="T680" s="575"/>
      <c r="U680" s="575"/>
      <c r="V680" s="575"/>
      <c r="W680" s="575"/>
      <c r="X680" s="575"/>
      <c r="Y680" s="575"/>
      <c r="Z680" s="575"/>
      <c r="AA680" s="575"/>
    </row>
    <row r="681">
      <c r="A681" s="575"/>
      <c r="B681" s="692"/>
      <c r="C681" s="709"/>
      <c r="D681" s="709"/>
      <c r="E681" s="692"/>
      <c r="F681" s="710"/>
      <c r="G681" s="575"/>
      <c r="H681" s="575"/>
      <c r="I681" s="575"/>
      <c r="J681" s="575"/>
      <c r="K681" s="575"/>
      <c r="L681" s="575"/>
      <c r="M681" s="575"/>
      <c r="N681" s="575"/>
      <c r="O681" s="575"/>
      <c r="P681" s="575"/>
      <c r="Q681" s="575"/>
      <c r="R681" s="575"/>
      <c r="S681" s="575"/>
      <c r="T681" s="575"/>
      <c r="U681" s="575"/>
      <c r="V681" s="575"/>
      <c r="W681" s="575"/>
      <c r="X681" s="575"/>
      <c r="Y681" s="575"/>
      <c r="Z681" s="575"/>
      <c r="AA681" s="575"/>
    </row>
    <row r="682">
      <c r="A682" s="575"/>
      <c r="B682" s="692"/>
      <c r="C682" s="709"/>
      <c r="D682" s="709"/>
      <c r="E682" s="692"/>
      <c r="F682" s="710"/>
      <c r="G682" s="575"/>
      <c r="H682" s="575"/>
      <c r="I682" s="575"/>
      <c r="J682" s="575"/>
      <c r="K682" s="575"/>
      <c r="L682" s="575"/>
      <c r="M682" s="575"/>
      <c r="N682" s="575"/>
      <c r="O682" s="575"/>
      <c r="P682" s="575"/>
      <c r="Q682" s="575"/>
      <c r="R682" s="575"/>
      <c r="S682" s="575"/>
      <c r="T682" s="575"/>
      <c r="U682" s="575"/>
      <c r="V682" s="575"/>
      <c r="W682" s="575"/>
      <c r="X682" s="575"/>
      <c r="Y682" s="575"/>
      <c r="Z682" s="575"/>
      <c r="AA682" s="575"/>
    </row>
    <row r="683">
      <c r="A683" s="575"/>
      <c r="B683" s="692"/>
      <c r="C683" s="709"/>
      <c r="D683" s="709"/>
      <c r="E683" s="692"/>
      <c r="F683" s="710"/>
      <c r="G683" s="575"/>
      <c r="H683" s="575"/>
      <c r="I683" s="575"/>
      <c r="J683" s="575"/>
      <c r="K683" s="575"/>
      <c r="L683" s="575"/>
      <c r="M683" s="575"/>
      <c r="N683" s="575"/>
      <c r="O683" s="575"/>
      <c r="P683" s="575"/>
      <c r="Q683" s="575"/>
      <c r="R683" s="575"/>
      <c r="S683" s="575"/>
      <c r="T683" s="575"/>
      <c r="U683" s="575"/>
      <c r="V683" s="575"/>
      <c r="W683" s="575"/>
      <c r="X683" s="575"/>
      <c r="Y683" s="575"/>
      <c r="Z683" s="575"/>
      <c r="AA683" s="575"/>
    </row>
    <row r="684">
      <c r="A684" s="575"/>
      <c r="B684" s="692"/>
      <c r="C684" s="709"/>
      <c r="D684" s="709"/>
      <c r="E684" s="692"/>
      <c r="F684" s="710"/>
      <c r="G684" s="575"/>
      <c r="H684" s="575"/>
      <c r="I684" s="575"/>
      <c r="J684" s="575"/>
      <c r="K684" s="575"/>
      <c r="L684" s="575"/>
      <c r="M684" s="575"/>
      <c r="N684" s="575"/>
      <c r="O684" s="575"/>
      <c r="P684" s="575"/>
      <c r="Q684" s="575"/>
      <c r="R684" s="575"/>
      <c r="S684" s="575"/>
      <c r="T684" s="575"/>
      <c r="U684" s="575"/>
      <c r="V684" s="575"/>
      <c r="W684" s="575"/>
      <c r="X684" s="575"/>
      <c r="Y684" s="575"/>
      <c r="Z684" s="575"/>
      <c r="AA684" s="575"/>
    </row>
    <row r="685">
      <c r="A685" s="575"/>
      <c r="B685" s="692"/>
      <c r="C685" s="709"/>
      <c r="D685" s="709"/>
      <c r="E685" s="692"/>
      <c r="F685" s="710"/>
      <c r="G685" s="575"/>
      <c r="H685" s="575"/>
      <c r="I685" s="575"/>
      <c r="J685" s="575"/>
      <c r="K685" s="575"/>
      <c r="L685" s="575"/>
      <c r="M685" s="575"/>
      <c r="N685" s="575"/>
      <c r="O685" s="575"/>
      <c r="P685" s="575"/>
      <c r="Q685" s="575"/>
      <c r="R685" s="575"/>
      <c r="S685" s="575"/>
      <c r="T685" s="575"/>
      <c r="U685" s="575"/>
      <c r="V685" s="575"/>
      <c r="W685" s="575"/>
      <c r="X685" s="575"/>
      <c r="Y685" s="575"/>
      <c r="Z685" s="575"/>
      <c r="AA685" s="575"/>
    </row>
    <row r="686">
      <c r="A686" s="575"/>
      <c r="B686" s="692"/>
      <c r="C686" s="709"/>
      <c r="D686" s="709"/>
      <c r="E686" s="692"/>
      <c r="F686" s="710"/>
      <c r="G686" s="575"/>
      <c r="H686" s="575"/>
      <c r="I686" s="575"/>
      <c r="J686" s="575"/>
      <c r="K686" s="575"/>
      <c r="L686" s="575"/>
      <c r="M686" s="575"/>
      <c r="N686" s="575"/>
      <c r="O686" s="575"/>
      <c r="P686" s="575"/>
      <c r="Q686" s="575"/>
      <c r="R686" s="575"/>
      <c r="S686" s="575"/>
      <c r="T686" s="575"/>
      <c r="U686" s="575"/>
      <c r="V686" s="575"/>
      <c r="W686" s="575"/>
      <c r="X686" s="575"/>
      <c r="Y686" s="575"/>
      <c r="Z686" s="575"/>
      <c r="AA686" s="575"/>
    </row>
    <row r="687">
      <c r="A687" s="575"/>
      <c r="B687" s="692"/>
      <c r="C687" s="709"/>
      <c r="D687" s="709"/>
      <c r="E687" s="692"/>
      <c r="F687" s="710"/>
      <c r="G687" s="575"/>
      <c r="H687" s="575"/>
      <c r="I687" s="575"/>
      <c r="J687" s="575"/>
      <c r="K687" s="575"/>
      <c r="L687" s="575"/>
      <c r="M687" s="575"/>
      <c r="N687" s="575"/>
      <c r="O687" s="575"/>
      <c r="P687" s="575"/>
      <c r="Q687" s="575"/>
      <c r="R687" s="575"/>
      <c r="S687" s="575"/>
      <c r="T687" s="575"/>
      <c r="U687" s="575"/>
      <c r="V687" s="575"/>
      <c r="W687" s="575"/>
      <c r="X687" s="575"/>
      <c r="Y687" s="575"/>
      <c r="Z687" s="575"/>
      <c r="AA687" s="575"/>
    </row>
    <row r="688">
      <c r="A688" s="575"/>
      <c r="B688" s="692"/>
      <c r="C688" s="709"/>
      <c r="D688" s="709"/>
      <c r="E688" s="692"/>
      <c r="F688" s="710"/>
      <c r="G688" s="575"/>
      <c r="H688" s="575"/>
      <c r="I688" s="575"/>
      <c r="J688" s="575"/>
      <c r="K688" s="575"/>
      <c r="L688" s="575"/>
      <c r="M688" s="575"/>
      <c r="N688" s="575"/>
      <c r="O688" s="575"/>
      <c r="P688" s="575"/>
      <c r="Q688" s="575"/>
      <c r="R688" s="575"/>
      <c r="S688" s="575"/>
      <c r="T688" s="575"/>
      <c r="U688" s="575"/>
      <c r="V688" s="575"/>
      <c r="W688" s="575"/>
      <c r="X688" s="575"/>
      <c r="Y688" s="575"/>
      <c r="Z688" s="575"/>
      <c r="AA688" s="575"/>
    </row>
    <row r="689">
      <c r="A689" s="575"/>
      <c r="B689" s="692"/>
      <c r="C689" s="709"/>
      <c r="D689" s="709"/>
      <c r="E689" s="692"/>
      <c r="F689" s="710"/>
      <c r="G689" s="575"/>
      <c r="H689" s="575"/>
      <c r="I689" s="575"/>
      <c r="J689" s="575"/>
      <c r="K689" s="575"/>
      <c r="L689" s="575"/>
      <c r="M689" s="575"/>
      <c r="N689" s="575"/>
      <c r="O689" s="575"/>
      <c r="P689" s="575"/>
      <c r="Q689" s="575"/>
      <c r="R689" s="575"/>
      <c r="S689" s="575"/>
      <c r="T689" s="575"/>
      <c r="U689" s="575"/>
      <c r="V689" s="575"/>
      <c r="W689" s="575"/>
      <c r="X689" s="575"/>
      <c r="Y689" s="575"/>
      <c r="Z689" s="575"/>
      <c r="AA689" s="575"/>
    </row>
    <row r="690">
      <c r="A690" s="575"/>
      <c r="B690" s="692"/>
      <c r="C690" s="709"/>
      <c r="D690" s="709"/>
      <c r="E690" s="692"/>
      <c r="F690" s="710"/>
      <c r="G690" s="575"/>
      <c r="H690" s="575"/>
      <c r="I690" s="575"/>
      <c r="J690" s="575"/>
      <c r="K690" s="575"/>
      <c r="L690" s="575"/>
      <c r="M690" s="575"/>
      <c r="N690" s="575"/>
      <c r="O690" s="575"/>
      <c r="P690" s="575"/>
      <c r="Q690" s="575"/>
      <c r="R690" s="575"/>
      <c r="S690" s="575"/>
      <c r="T690" s="575"/>
      <c r="U690" s="575"/>
      <c r="V690" s="575"/>
      <c r="W690" s="575"/>
      <c r="X690" s="575"/>
      <c r="Y690" s="575"/>
      <c r="Z690" s="575"/>
      <c r="AA690" s="575"/>
    </row>
    <row r="691">
      <c r="A691" s="575"/>
      <c r="B691" s="692"/>
      <c r="C691" s="709"/>
      <c r="D691" s="709"/>
      <c r="E691" s="692"/>
      <c r="F691" s="710"/>
      <c r="G691" s="575"/>
      <c r="H691" s="575"/>
      <c r="I691" s="575"/>
      <c r="J691" s="575"/>
      <c r="K691" s="575"/>
      <c r="L691" s="575"/>
      <c r="M691" s="575"/>
      <c r="N691" s="575"/>
      <c r="O691" s="575"/>
      <c r="P691" s="575"/>
      <c r="Q691" s="575"/>
      <c r="R691" s="575"/>
      <c r="S691" s="575"/>
      <c r="T691" s="575"/>
      <c r="U691" s="575"/>
      <c r="V691" s="575"/>
      <c r="W691" s="575"/>
      <c r="X691" s="575"/>
      <c r="Y691" s="575"/>
      <c r="Z691" s="575"/>
      <c r="AA691" s="575"/>
    </row>
    <row r="692">
      <c r="A692" s="575"/>
      <c r="B692" s="692"/>
      <c r="C692" s="709"/>
      <c r="D692" s="709"/>
      <c r="E692" s="692"/>
      <c r="F692" s="710"/>
      <c r="G692" s="575"/>
      <c r="H692" s="575"/>
      <c r="I692" s="575"/>
      <c r="J692" s="575"/>
      <c r="K692" s="575"/>
      <c r="L692" s="575"/>
      <c r="M692" s="575"/>
      <c r="N692" s="575"/>
      <c r="O692" s="575"/>
      <c r="P692" s="575"/>
      <c r="Q692" s="575"/>
      <c r="R692" s="575"/>
      <c r="S692" s="575"/>
      <c r="T692" s="575"/>
      <c r="U692" s="575"/>
      <c r="V692" s="575"/>
      <c r="W692" s="575"/>
      <c r="X692" s="575"/>
      <c r="Y692" s="575"/>
      <c r="Z692" s="575"/>
      <c r="AA692" s="575"/>
    </row>
    <row r="693">
      <c r="A693" s="575"/>
      <c r="B693" s="692"/>
      <c r="C693" s="709"/>
      <c r="D693" s="709"/>
      <c r="E693" s="692"/>
      <c r="F693" s="710"/>
      <c r="G693" s="575"/>
      <c r="H693" s="575"/>
      <c r="I693" s="575"/>
      <c r="J693" s="575"/>
      <c r="K693" s="575"/>
      <c r="L693" s="575"/>
      <c r="M693" s="575"/>
      <c r="N693" s="575"/>
      <c r="O693" s="575"/>
      <c r="P693" s="575"/>
      <c r="Q693" s="575"/>
      <c r="R693" s="575"/>
      <c r="S693" s="575"/>
      <c r="T693" s="575"/>
      <c r="U693" s="575"/>
      <c r="V693" s="575"/>
      <c r="W693" s="575"/>
      <c r="X693" s="575"/>
      <c r="Y693" s="575"/>
      <c r="Z693" s="575"/>
      <c r="AA693" s="575"/>
    </row>
    <row r="694">
      <c r="A694" s="575"/>
      <c r="B694" s="692"/>
      <c r="C694" s="709"/>
      <c r="D694" s="709"/>
      <c r="E694" s="692"/>
      <c r="F694" s="710"/>
      <c r="G694" s="575"/>
      <c r="H694" s="575"/>
      <c r="I694" s="575"/>
      <c r="J694" s="575"/>
      <c r="K694" s="575"/>
      <c r="L694" s="575"/>
      <c r="M694" s="575"/>
      <c r="N694" s="575"/>
      <c r="O694" s="575"/>
      <c r="P694" s="575"/>
      <c r="Q694" s="575"/>
      <c r="R694" s="575"/>
      <c r="S694" s="575"/>
      <c r="T694" s="575"/>
      <c r="U694" s="575"/>
      <c r="V694" s="575"/>
      <c r="W694" s="575"/>
      <c r="X694" s="575"/>
      <c r="Y694" s="575"/>
      <c r="Z694" s="575"/>
      <c r="AA694" s="575"/>
    </row>
    <row r="695">
      <c r="A695" s="575"/>
      <c r="B695" s="692"/>
      <c r="C695" s="709"/>
      <c r="D695" s="709"/>
      <c r="E695" s="692"/>
      <c r="F695" s="710"/>
      <c r="G695" s="575"/>
      <c r="H695" s="575"/>
      <c r="I695" s="575"/>
      <c r="J695" s="575"/>
      <c r="K695" s="575"/>
      <c r="L695" s="575"/>
      <c r="M695" s="575"/>
      <c r="N695" s="575"/>
      <c r="O695" s="575"/>
      <c r="P695" s="575"/>
      <c r="Q695" s="575"/>
      <c r="R695" s="575"/>
      <c r="S695" s="575"/>
      <c r="T695" s="575"/>
      <c r="U695" s="575"/>
      <c r="V695" s="575"/>
      <c r="W695" s="575"/>
      <c r="X695" s="575"/>
      <c r="Y695" s="575"/>
      <c r="Z695" s="575"/>
      <c r="AA695" s="575"/>
    </row>
    <row r="696">
      <c r="A696" s="575"/>
      <c r="B696" s="692"/>
      <c r="C696" s="709"/>
      <c r="D696" s="709"/>
      <c r="E696" s="692"/>
      <c r="F696" s="710"/>
      <c r="G696" s="575"/>
      <c r="H696" s="575"/>
      <c r="I696" s="575"/>
      <c r="J696" s="575"/>
      <c r="K696" s="575"/>
      <c r="L696" s="575"/>
      <c r="M696" s="575"/>
      <c r="N696" s="575"/>
      <c r="O696" s="575"/>
      <c r="P696" s="575"/>
      <c r="Q696" s="575"/>
      <c r="R696" s="575"/>
      <c r="S696" s="575"/>
      <c r="T696" s="575"/>
      <c r="U696" s="575"/>
      <c r="V696" s="575"/>
      <c r="W696" s="575"/>
      <c r="X696" s="575"/>
      <c r="Y696" s="575"/>
      <c r="Z696" s="575"/>
      <c r="AA696" s="575"/>
    </row>
    <row r="697">
      <c r="A697" s="575"/>
      <c r="B697" s="692"/>
      <c r="C697" s="709"/>
      <c r="D697" s="709"/>
      <c r="E697" s="692"/>
      <c r="F697" s="710"/>
      <c r="G697" s="575"/>
      <c r="H697" s="575"/>
      <c r="I697" s="575"/>
      <c r="J697" s="575"/>
      <c r="K697" s="575"/>
      <c r="L697" s="575"/>
      <c r="M697" s="575"/>
      <c r="N697" s="575"/>
      <c r="O697" s="575"/>
      <c r="P697" s="575"/>
      <c r="Q697" s="575"/>
      <c r="R697" s="575"/>
      <c r="S697" s="575"/>
      <c r="T697" s="575"/>
      <c r="U697" s="575"/>
      <c r="V697" s="575"/>
      <c r="W697" s="575"/>
      <c r="X697" s="575"/>
      <c r="Y697" s="575"/>
      <c r="Z697" s="575"/>
      <c r="AA697" s="575"/>
    </row>
    <row r="698">
      <c r="A698" s="575"/>
      <c r="B698" s="692"/>
      <c r="C698" s="709"/>
      <c r="D698" s="709"/>
      <c r="E698" s="692"/>
      <c r="F698" s="710"/>
      <c r="G698" s="575"/>
      <c r="H698" s="575"/>
      <c r="I698" s="575"/>
      <c r="J698" s="575"/>
      <c r="K698" s="575"/>
      <c r="L698" s="575"/>
      <c r="M698" s="575"/>
      <c r="N698" s="575"/>
      <c r="O698" s="575"/>
      <c r="P698" s="575"/>
      <c r="Q698" s="575"/>
      <c r="R698" s="575"/>
      <c r="S698" s="575"/>
      <c r="T698" s="575"/>
      <c r="U698" s="575"/>
      <c r="V698" s="575"/>
      <c r="W698" s="575"/>
      <c r="X698" s="575"/>
      <c r="Y698" s="575"/>
      <c r="Z698" s="575"/>
      <c r="AA698" s="575"/>
    </row>
    <row r="699">
      <c r="A699" s="575"/>
      <c r="B699" s="692"/>
      <c r="C699" s="709"/>
      <c r="D699" s="709"/>
      <c r="E699" s="692"/>
      <c r="F699" s="710"/>
      <c r="G699" s="575"/>
      <c r="H699" s="575"/>
      <c r="I699" s="575"/>
      <c r="J699" s="575"/>
      <c r="K699" s="575"/>
      <c r="L699" s="575"/>
      <c r="M699" s="575"/>
      <c r="N699" s="575"/>
      <c r="O699" s="575"/>
      <c r="P699" s="575"/>
      <c r="Q699" s="575"/>
      <c r="R699" s="575"/>
      <c r="S699" s="575"/>
      <c r="T699" s="575"/>
      <c r="U699" s="575"/>
      <c r="V699" s="575"/>
      <c r="W699" s="575"/>
      <c r="X699" s="575"/>
      <c r="Y699" s="575"/>
      <c r="Z699" s="575"/>
      <c r="AA699" s="575"/>
    </row>
    <row r="700">
      <c r="A700" s="575"/>
      <c r="B700" s="692"/>
      <c r="C700" s="709"/>
      <c r="D700" s="709"/>
      <c r="E700" s="692"/>
      <c r="F700" s="710"/>
      <c r="G700" s="575"/>
      <c r="H700" s="575"/>
      <c r="I700" s="575"/>
      <c r="J700" s="575"/>
      <c r="K700" s="575"/>
      <c r="L700" s="575"/>
      <c r="M700" s="575"/>
      <c r="N700" s="575"/>
      <c r="O700" s="575"/>
      <c r="P700" s="575"/>
      <c r="Q700" s="575"/>
      <c r="R700" s="575"/>
      <c r="S700" s="575"/>
      <c r="T700" s="575"/>
      <c r="U700" s="575"/>
      <c r="V700" s="575"/>
      <c r="W700" s="575"/>
      <c r="X700" s="575"/>
      <c r="Y700" s="575"/>
      <c r="Z700" s="575"/>
      <c r="AA700" s="575"/>
    </row>
    <row r="701">
      <c r="A701" s="575"/>
      <c r="B701" s="692"/>
      <c r="C701" s="709"/>
      <c r="D701" s="709"/>
      <c r="E701" s="692"/>
      <c r="F701" s="710"/>
      <c r="G701" s="575"/>
      <c r="H701" s="575"/>
      <c r="I701" s="575"/>
      <c r="J701" s="575"/>
      <c r="K701" s="575"/>
      <c r="L701" s="575"/>
      <c r="M701" s="575"/>
      <c r="N701" s="575"/>
      <c r="O701" s="575"/>
      <c r="P701" s="575"/>
      <c r="Q701" s="575"/>
      <c r="R701" s="575"/>
      <c r="S701" s="575"/>
      <c r="T701" s="575"/>
      <c r="U701" s="575"/>
      <c r="V701" s="575"/>
      <c r="W701" s="575"/>
      <c r="X701" s="575"/>
      <c r="Y701" s="575"/>
      <c r="Z701" s="575"/>
      <c r="AA701" s="575"/>
    </row>
    <row r="702">
      <c r="A702" s="575"/>
      <c r="B702" s="692"/>
      <c r="C702" s="709"/>
      <c r="D702" s="709"/>
      <c r="E702" s="692"/>
      <c r="F702" s="710"/>
      <c r="G702" s="575"/>
      <c r="H702" s="575"/>
      <c r="I702" s="575"/>
      <c r="J702" s="575"/>
      <c r="K702" s="575"/>
      <c r="L702" s="575"/>
      <c r="M702" s="575"/>
      <c r="N702" s="575"/>
      <c r="O702" s="575"/>
      <c r="P702" s="575"/>
      <c r="Q702" s="575"/>
      <c r="R702" s="575"/>
      <c r="S702" s="575"/>
      <c r="T702" s="575"/>
      <c r="U702" s="575"/>
      <c r="V702" s="575"/>
      <c r="W702" s="575"/>
      <c r="X702" s="575"/>
      <c r="Y702" s="575"/>
      <c r="Z702" s="575"/>
      <c r="AA702" s="575"/>
    </row>
    <row r="703">
      <c r="A703" s="575"/>
      <c r="B703" s="692"/>
      <c r="C703" s="709"/>
      <c r="D703" s="709"/>
      <c r="E703" s="692"/>
      <c r="F703" s="710"/>
      <c r="G703" s="575"/>
      <c r="H703" s="575"/>
      <c r="I703" s="575"/>
      <c r="J703" s="575"/>
      <c r="K703" s="575"/>
      <c r="L703" s="575"/>
      <c r="M703" s="575"/>
      <c r="N703" s="575"/>
      <c r="O703" s="575"/>
      <c r="P703" s="575"/>
      <c r="Q703" s="575"/>
      <c r="R703" s="575"/>
      <c r="S703" s="575"/>
      <c r="T703" s="575"/>
      <c r="U703" s="575"/>
      <c r="V703" s="575"/>
      <c r="W703" s="575"/>
      <c r="X703" s="575"/>
      <c r="Y703" s="575"/>
      <c r="Z703" s="575"/>
      <c r="AA703" s="575"/>
    </row>
    <row r="704">
      <c r="A704" s="575"/>
      <c r="B704" s="692"/>
      <c r="C704" s="709"/>
      <c r="D704" s="709"/>
      <c r="E704" s="692"/>
      <c r="F704" s="710"/>
      <c r="G704" s="575"/>
      <c r="H704" s="575"/>
      <c r="I704" s="575"/>
      <c r="J704" s="575"/>
      <c r="K704" s="575"/>
      <c r="L704" s="575"/>
      <c r="M704" s="575"/>
      <c r="N704" s="575"/>
      <c r="O704" s="575"/>
      <c r="P704" s="575"/>
      <c r="Q704" s="575"/>
      <c r="R704" s="575"/>
      <c r="S704" s="575"/>
      <c r="T704" s="575"/>
      <c r="U704" s="575"/>
      <c r="V704" s="575"/>
      <c r="W704" s="575"/>
      <c r="X704" s="575"/>
      <c r="Y704" s="575"/>
      <c r="Z704" s="575"/>
      <c r="AA704" s="575"/>
    </row>
    <row r="705">
      <c r="A705" s="575"/>
      <c r="B705" s="692"/>
      <c r="C705" s="709"/>
      <c r="D705" s="709"/>
      <c r="E705" s="692"/>
      <c r="F705" s="710"/>
      <c r="G705" s="575"/>
      <c r="H705" s="575"/>
      <c r="I705" s="575"/>
      <c r="J705" s="575"/>
      <c r="K705" s="575"/>
      <c r="L705" s="575"/>
      <c r="M705" s="575"/>
      <c r="N705" s="575"/>
      <c r="O705" s="575"/>
      <c r="P705" s="575"/>
      <c r="Q705" s="575"/>
      <c r="R705" s="575"/>
      <c r="S705" s="575"/>
      <c r="T705" s="575"/>
      <c r="U705" s="575"/>
      <c r="V705" s="575"/>
      <c r="W705" s="575"/>
      <c r="X705" s="575"/>
      <c r="Y705" s="575"/>
      <c r="Z705" s="575"/>
      <c r="AA705" s="575"/>
    </row>
    <row r="706">
      <c r="A706" s="575"/>
      <c r="B706" s="692"/>
      <c r="C706" s="709"/>
      <c r="D706" s="709"/>
      <c r="E706" s="692"/>
      <c r="F706" s="710"/>
      <c r="G706" s="575"/>
      <c r="H706" s="575"/>
      <c r="I706" s="575"/>
      <c r="J706" s="575"/>
      <c r="K706" s="575"/>
      <c r="L706" s="575"/>
      <c r="M706" s="575"/>
      <c r="N706" s="575"/>
      <c r="O706" s="575"/>
      <c r="P706" s="575"/>
      <c r="Q706" s="575"/>
      <c r="R706" s="575"/>
      <c r="S706" s="575"/>
      <c r="T706" s="575"/>
      <c r="U706" s="575"/>
      <c r="V706" s="575"/>
      <c r="W706" s="575"/>
      <c r="X706" s="575"/>
      <c r="Y706" s="575"/>
      <c r="Z706" s="575"/>
      <c r="AA706" s="575"/>
    </row>
    <row r="707">
      <c r="A707" s="575"/>
      <c r="B707" s="692"/>
      <c r="C707" s="709"/>
      <c r="D707" s="709"/>
      <c r="E707" s="692"/>
      <c r="F707" s="710"/>
      <c r="G707" s="575"/>
      <c r="H707" s="575"/>
      <c r="I707" s="575"/>
      <c r="J707" s="575"/>
      <c r="K707" s="575"/>
      <c r="L707" s="575"/>
      <c r="M707" s="575"/>
      <c r="N707" s="575"/>
      <c r="O707" s="575"/>
      <c r="P707" s="575"/>
      <c r="Q707" s="575"/>
      <c r="R707" s="575"/>
      <c r="S707" s="575"/>
      <c r="T707" s="575"/>
      <c r="U707" s="575"/>
      <c r="V707" s="575"/>
      <c r="W707" s="575"/>
      <c r="X707" s="575"/>
      <c r="Y707" s="575"/>
      <c r="Z707" s="575"/>
      <c r="AA707" s="575"/>
    </row>
    <row r="708">
      <c r="A708" s="575"/>
      <c r="B708" s="692"/>
      <c r="C708" s="709"/>
      <c r="D708" s="709"/>
      <c r="E708" s="692"/>
      <c r="F708" s="710"/>
      <c r="G708" s="575"/>
      <c r="H708" s="575"/>
      <c r="I708" s="575"/>
      <c r="J708" s="575"/>
      <c r="K708" s="575"/>
      <c r="L708" s="575"/>
      <c r="M708" s="575"/>
      <c r="N708" s="575"/>
      <c r="O708" s="575"/>
      <c r="P708" s="575"/>
      <c r="Q708" s="575"/>
      <c r="R708" s="575"/>
      <c r="S708" s="575"/>
      <c r="T708" s="575"/>
      <c r="U708" s="575"/>
      <c r="V708" s="575"/>
      <c r="W708" s="575"/>
      <c r="X708" s="575"/>
      <c r="Y708" s="575"/>
      <c r="Z708" s="575"/>
      <c r="AA708" s="575"/>
    </row>
    <row r="709">
      <c r="A709" s="575"/>
      <c r="B709" s="692"/>
      <c r="C709" s="709"/>
      <c r="D709" s="709"/>
      <c r="E709" s="692"/>
      <c r="F709" s="710"/>
      <c r="G709" s="575"/>
      <c r="H709" s="575"/>
      <c r="I709" s="575"/>
      <c r="J709" s="575"/>
      <c r="K709" s="575"/>
      <c r="L709" s="575"/>
      <c r="M709" s="575"/>
      <c r="N709" s="575"/>
      <c r="O709" s="575"/>
      <c r="P709" s="575"/>
      <c r="Q709" s="575"/>
      <c r="R709" s="575"/>
      <c r="S709" s="575"/>
      <c r="T709" s="575"/>
      <c r="U709" s="575"/>
      <c r="V709" s="575"/>
      <c r="W709" s="575"/>
      <c r="X709" s="575"/>
      <c r="Y709" s="575"/>
      <c r="Z709" s="575"/>
      <c r="AA709" s="575"/>
    </row>
    <row r="710">
      <c r="A710" s="575"/>
      <c r="B710" s="692"/>
      <c r="C710" s="709"/>
      <c r="D710" s="709"/>
      <c r="E710" s="692"/>
      <c r="F710" s="710"/>
      <c r="G710" s="575"/>
      <c r="H710" s="575"/>
      <c r="I710" s="575"/>
      <c r="J710" s="575"/>
      <c r="K710" s="575"/>
      <c r="L710" s="575"/>
      <c r="M710" s="575"/>
      <c r="N710" s="575"/>
      <c r="O710" s="575"/>
      <c r="P710" s="575"/>
      <c r="Q710" s="575"/>
      <c r="R710" s="575"/>
      <c r="S710" s="575"/>
      <c r="T710" s="575"/>
      <c r="U710" s="575"/>
      <c r="V710" s="575"/>
      <c r="W710" s="575"/>
      <c r="X710" s="575"/>
      <c r="Y710" s="575"/>
      <c r="Z710" s="575"/>
      <c r="AA710" s="575"/>
    </row>
    <row r="711">
      <c r="A711" s="575"/>
      <c r="B711" s="692"/>
      <c r="C711" s="709"/>
      <c r="D711" s="709"/>
      <c r="E711" s="692"/>
      <c r="F711" s="710"/>
      <c r="G711" s="575"/>
      <c r="H711" s="575"/>
      <c r="I711" s="575"/>
      <c r="J711" s="575"/>
      <c r="K711" s="575"/>
      <c r="L711" s="575"/>
      <c r="M711" s="575"/>
      <c r="N711" s="575"/>
      <c r="O711" s="575"/>
      <c r="P711" s="575"/>
      <c r="Q711" s="575"/>
      <c r="R711" s="575"/>
      <c r="S711" s="575"/>
      <c r="T711" s="575"/>
      <c r="U711" s="575"/>
      <c r="V711" s="575"/>
      <c r="W711" s="575"/>
      <c r="X711" s="575"/>
      <c r="Y711" s="575"/>
      <c r="Z711" s="575"/>
      <c r="AA711" s="575"/>
    </row>
    <row r="712">
      <c r="A712" s="575"/>
      <c r="B712" s="692"/>
      <c r="C712" s="709"/>
      <c r="D712" s="709"/>
      <c r="E712" s="692"/>
      <c r="F712" s="710"/>
      <c r="G712" s="575"/>
      <c r="H712" s="575"/>
      <c r="I712" s="575"/>
      <c r="J712" s="575"/>
      <c r="K712" s="575"/>
      <c r="L712" s="575"/>
      <c r="M712" s="575"/>
      <c r="N712" s="575"/>
      <c r="O712" s="575"/>
      <c r="P712" s="575"/>
      <c r="Q712" s="575"/>
      <c r="R712" s="575"/>
      <c r="S712" s="575"/>
      <c r="T712" s="575"/>
      <c r="U712" s="575"/>
      <c r="V712" s="575"/>
      <c r="W712" s="575"/>
      <c r="X712" s="575"/>
      <c r="Y712" s="575"/>
      <c r="Z712" s="575"/>
      <c r="AA712" s="575"/>
    </row>
    <row r="713">
      <c r="A713" s="575"/>
      <c r="B713" s="692"/>
      <c r="C713" s="709"/>
      <c r="D713" s="709"/>
      <c r="E713" s="692"/>
      <c r="F713" s="710"/>
      <c r="G713" s="575"/>
      <c r="H713" s="575"/>
      <c r="I713" s="575"/>
      <c r="J713" s="575"/>
      <c r="K713" s="575"/>
      <c r="L713" s="575"/>
      <c r="M713" s="575"/>
      <c r="N713" s="575"/>
      <c r="O713" s="575"/>
      <c r="P713" s="575"/>
      <c r="Q713" s="575"/>
      <c r="R713" s="575"/>
      <c r="S713" s="575"/>
      <c r="T713" s="575"/>
      <c r="U713" s="575"/>
      <c r="V713" s="575"/>
      <c r="W713" s="575"/>
      <c r="X713" s="575"/>
      <c r="Y713" s="575"/>
      <c r="Z713" s="575"/>
      <c r="AA713" s="575"/>
    </row>
    <row r="714">
      <c r="A714" s="575"/>
      <c r="B714" s="692"/>
      <c r="C714" s="709"/>
      <c r="D714" s="709"/>
      <c r="E714" s="692"/>
      <c r="F714" s="710"/>
      <c r="G714" s="575"/>
      <c r="H714" s="575"/>
      <c r="I714" s="575"/>
      <c r="J714" s="575"/>
      <c r="K714" s="575"/>
      <c r="L714" s="575"/>
      <c r="M714" s="575"/>
      <c r="N714" s="575"/>
      <c r="O714" s="575"/>
      <c r="P714" s="575"/>
      <c r="Q714" s="575"/>
      <c r="R714" s="575"/>
      <c r="S714" s="575"/>
      <c r="T714" s="575"/>
      <c r="U714" s="575"/>
      <c r="V714" s="575"/>
      <c r="W714" s="575"/>
      <c r="X714" s="575"/>
      <c r="Y714" s="575"/>
      <c r="Z714" s="575"/>
      <c r="AA714" s="575"/>
    </row>
    <row r="715">
      <c r="A715" s="575"/>
      <c r="B715" s="692"/>
      <c r="C715" s="709"/>
      <c r="D715" s="709"/>
      <c r="E715" s="692"/>
      <c r="F715" s="710"/>
      <c r="G715" s="575"/>
      <c r="H715" s="575"/>
      <c r="I715" s="575"/>
      <c r="J715" s="575"/>
      <c r="K715" s="575"/>
      <c r="L715" s="575"/>
      <c r="M715" s="575"/>
      <c r="N715" s="575"/>
      <c r="O715" s="575"/>
      <c r="P715" s="575"/>
      <c r="Q715" s="575"/>
      <c r="R715" s="575"/>
      <c r="S715" s="575"/>
      <c r="T715" s="575"/>
      <c r="U715" s="575"/>
      <c r="V715" s="575"/>
      <c r="W715" s="575"/>
      <c r="X715" s="575"/>
      <c r="Y715" s="575"/>
      <c r="Z715" s="575"/>
      <c r="AA715" s="575"/>
    </row>
    <row r="716">
      <c r="A716" s="575"/>
      <c r="B716" s="692"/>
      <c r="C716" s="709"/>
      <c r="D716" s="709"/>
      <c r="E716" s="692"/>
      <c r="F716" s="710"/>
      <c r="G716" s="575"/>
      <c r="H716" s="575"/>
      <c r="I716" s="575"/>
      <c r="J716" s="575"/>
      <c r="K716" s="575"/>
      <c r="L716" s="575"/>
      <c r="M716" s="575"/>
      <c r="N716" s="575"/>
      <c r="O716" s="575"/>
      <c r="P716" s="575"/>
      <c r="Q716" s="575"/>
      <c r="R716" s="575"/>
      <c r="S716" s="575"/>
      <c r="T716" s="575"/>
      <c r="U716" s="575"/>
      <c r="V716" s="575"/>
      <c r="W716" s="575"/>
      <c r="X716" s="575"/>
      <c r="Y716" s="575"/>
      <c r="Z716" s="575"/>
      <c r="AA716" s="575"/>
    </row>
    <row r="717">
      <c r="A717" s="575"/>
      <c r="B717" s="692"/>
      <c r="C717" s="709"/>
      <c r="D717" s="709"/>
      <c r="E717" s="692"/>
      <c r="F717" s="710"/>
      <c r="G717" s="575"/>
      <c r="H717" s="575"/>
      <c r="I717" s="575"/>
      <c r="J717" s="575"/>
      <c r="K717" s="575"/>
      <c r="L717" s="575"/>
      <c r="M717" s="575"/>
      <c r="N717" s="575"/>
      <c r="O717" s="575"/>
      <c r="P717" s="575"/>
      <c r="Q717" s="575"/>
      <c r="R717" s="575"/>
      <c r="S717" s="575"/>
      <c r="T717" s="575"/>
      <c r="U717" s="575"/>
      <c r="V717" s="575"/>
      <c r="W717" s="575"/>
      <c r="X717" s="575"/>
      <c r="Y717" s="575"/>
      <c r="Z717" s="575"/>
      <c r="AA717" s="575"/>
    </row>
    <row r="718">
      <c r="A718" s="575"/>
      <c r="B718" s="692"/>
      <c r="C718" s="709"/>
      <c r="D718" s="709"/>
      <c r="E718" s="692"/>
      <c r="F718" s="710"/>
      <c r="G718" s="575"/>
      <c r="H718" s="575"/>
      <c r="I718" s="575"/>
      <c r="J718" s="575"/>
      <c r="K718" s="575"/>
      <c r="L718" s="575"/>
      <c r="M718" s="575"/>
      <c r="N718" s="575"/>
      <c r="O718" s="575"/>
      <c r="P718" s="575"/>
      <c r="Q718" s="575"/>
      <c r="R718" s="575"/>
      <c r="S718" s="575"/>
      <c r="T718" s="575"/>
      <c r="U718" s="575"/>
      <c r="V718" s="575"/>
      <c r="W718" s="575"/>
      <c r="X718" s="575"/>
      <c r="Y718" s="575"/>
      <c r="Z718" s="575"/>
      <c r="AA718" s="575"/>
    </row>
    <row r="719">
      <c r="A719" s="575"/>
      <c r="B719" s="692"/>
      <c r="C719" s="709"/>
      <c r="D719" s="709"/>
      <c r="E719" s="692"/>
      <c r="F719" s="710"/>
      <c r="G719" s="575"/>
      <c r="H719" s="575"/>
      <c r="I719" s="575"/>
      <c r="J719" s="575"/>
      <c r="K719" s="575"/>
      <c r="L719" s="575"/>
      <c r="M719" s="575"/>
      <c r="N719" s="575"/>
      <c r="O719" s="575"/>
      <c r="P719" s="575"/>
      <c r="Q719" s="575"/>
      <c r="R719" s="575"/>
      <c r="S719" s="575"/>
      <c r="T719" s="575"/>
      <c r="U719" s="575"/>
      <c r="V719" s="575"/>
      <c r="W719" s="575"/>
      <c r="X719" s="575"/>
      <c r="Y719" s="575"/>
      <c r="Z719" s="575"/>
      <c r="AA719" s="575"/>
    </row>
    <row r="720">
      <c r="A720" s="575"/>
      <c r="B720" s="692"/>
      <c r="C720" s="709"/>
      <c r="D720" s="709"/>
      <c r="E720" s="692"/>
      <c r="F720" s="710"/>
      <c r="G720" s="575"/>
      <c r="H720" s="575"/>
      <c r="I720" s="575"/>
      <c r="J720" s="575"/>
      <c r="K720" s="575"/>
      <c r="L720" s="575"/>
      <c r="M720" s="575"/>
      <c r="N720" s="575"/>
      <c r="O720" s="575"/>
      <c r="P720" s="575"/>
      <c r="Q720" s="575"/>
      <c r="R720" s="575"/>
      <c r="S720" s="575"/>
      <c r="T720" s="575"/>
      <c r="U720" s="575"/>
      <c r="V720" s="575"/>
      <c r="W720" s="575"/>
      <c r="X720" s="575"/>
      <c r="Y720" s="575"/>
      <c r="Z720" s="575"/>
      <c r="AA720" s="575"/>
    </row>
    <row r="721">
      <c r="A721" s="575"/>
      <c r="B721" s="692"/>
      <c r="C721" s="709"/>
      <c r="D721" s="709"/>
      <c r="E721" s="692"/>
      <c r="F721" s="710"/>
      <c r="G721" s="575"/>
      <c r="H721" s="575"/>
      <c r="I721" s="575"/>
      <c r="J721" s="575"/>
      <c r="K721" s="575"/>
      <c r="L721" s="575"/>
      <c r="M721" s="575"/>
      <c r="N721" s="575"/>
      <c r="O721" s="575"/>
      <c r="P721" s="575"/>
      <c r="Q721" s="575"/>
      <c r="R721" s="575"/>
      <c r="S721" s="575"/>
      <c r="T721" s="575"/>
      <c r="U721" s="575"/>
      <c r="V721" s="575"/>
      <c r="W721" s="575"/>
      <c r="X721" s="575"/>
      <c r="Y721" s="575"/>
      <c r="Z721" s="575"/>
      <c r="AA721" s="575"/>
    </row>
    <row r="722">
      <c r="A722" s="575"/>
      <c r="B722" s="692"/>
      <c r="C722" s="709"/>
      <c r="D722" s="709"/>
      <c r="E722" s="692"/>
      <c r="F722" s="710"/>
      <c r="G722" s="575"/>
      <c r="H722" s="575"/>
      <c r="I722" s="575"/>
      <c r="J722" s="575"/>
      <c r="K722" s="575"/>
      <c r="L722" s="575"/>
      <c r="M722" s="575"/>
      <c r="N722" s="575"/>
      <c r="O722" s="575"/>
      <c r="P722" s="575"/>
      <c r="Q722" s="575"/>
      <c r="R722" s="575"/>
      <c r="S722" s="575"/>
      <c r="T722" s="575"/>
      <c r="U722" s="575"/>
      <c r="V722" s="575"/>
      <c r="W722" s="575"/>
      <c r="X722" s="575"/>
      <c r="Y722" s="575"/>
      <c r="Z722" s="575"/>
      <c r="AA722" s="575"/>
    </row>
    <row r="723">
      <c r="A723" s="575"/>
      <c r="B723" s="692"/>
      <c r="C723" s="709"/>
      <c r="D723" s="709"/>
      <c r="E723" s="692"/>
      <c r="F723" s="710"/>
      <c r="G723" s="575"/>
      <c r="H723" s="575"/>
      <c r="I723" s="575"/>
      <c r="J723" s="575"/>
      <c r="K723" s="575"/>
      <c r="L723" s="575"/>
      <c r="M723" s="575"/>
      <c r="N723" s="575"/>
      <c r="O723" s="575"/>
      <c r="P723" s="575"/>
      <c r="Q723" s="575"/>
      <c r="R723" s="575"/>
      <c r="S723" s="575"/>
      <c r="T723" s="575"/>
      <c r="U723" s="575"/>
      <c r="V723" s="575"/>
      <c r="W723" s="575"/>
      <c r="X723" s="575"/>
      <c r="Y723" s="575"/>
      <c r="Z723" s="575"/>
      <c r="AA723" s="575"/>
    </row>
    <row r="724">
      <c r="A724" s="575"/>
      <c r="B724" s="692"/>
      <c r="C724" s="709"/>
      <c r="D724" s="709"/>
      <c r="E724" s="692"/>
      <c r="F724" s="710"/>
      <c r="G724" s="575"/>
      <c r="H724" s="575"/>
      <c r="I724" s="575"/>
      <c r="J724" s="575"/>
      <c r="K724" s="575"/>
      <c r="L724" s="575"/>
      <c r="M724" s="575"/>
      <c r="N724" s="575"/>
      <c r="O724" s="575"/>
      <c r="P724" s="575"/>
      <c r="Q724" s="575"/>
      <c r="R724" s="575"/>
      <c r="S724" s="575"/>
      <c r="T724" s="575"/>
      <c r="U724" s="575"/>
      <c r="V724" s="575"/>
      <c r="W724" s="575"/>
      <c r="X724" s="575"/>
      <c r="Y724" s="575"/>
      <c r="Z724" s="575"/>
      <c r="AA724" s="575"/>
    </row>
    <row r="725">
      <c r="A725" s="575"/>
      <c r="B725" s="692"/>
      <c r="C725" s="709"/>
      <c r="D725" s="709"/>
      <c r="E725" s="692"/>
      <c r="F725" s="710"/>
      <c r="G725" s="575"/>
      <c r="H725" s="575"/>
      <c r="I725" s="575"/>
      <c r="J725" s="575"/>
      <c r="K725" s="575"/>
      <c r="L725" s="575"/>
      <c r="M725" s="575"/>
      <c r="N725" s="575"/>
      <c r="O725" s="575"/>
      <c r="P725" s="575"/>
      <c r="Q725" s="575"/>
      <c r="R725" s="575"/>
      <c r="S725" s="575"/>
      <c r="T725" s="575"/>
      <c r="U725" s="575"/>
      <c r="V725" s="575"/>
      <c r="W725" s="575"/>
      <c r="X725" s="575"/>
      <c r="Y725" s="575"/>
      <c r="Z725" s="575"/>
      <c r="AA725" s="575"/>
    </row>
    <row r="726">
      <c r="A726" s="575"/>
      <c r="B726" s="692"/>
      <c r="C726" s="709"/>
      <c r="D726" s="709"/>
      <c r="E726" s="692"/>
      <c r="F726" s="710"/>
      <c r="G726" s="575"/>
      <c r="H726" s="575"/>
      <c r="I726" s="575"/>
      <c r="J726" s="575"/>
      <c r="K726" s="575"/>
      <c r="L726" s="575"/>
      <c r="M726" s="575"/>
      <c r="N726" s="575"/>
      <c r="O726" s="575"/>
      <c r="P726" s="575"/>
      <c r="Q726" s="575"/>
      <c r="R726" s="575"/>
      <c r="S726" s="575"/>
      <c r="T726" s="575"/>
      <c r="U726" s="575"/>
      <c r="V726" s="575"/>
      <c r="W726" s="575"/>
      <c r="X726" s="575"/>
      <c r="Y726" s="575"/>
      <c r="Z726" s="575"/>
      <c r="AA726" s="575"/>
    </row>
    <row r="727">
      <c r="A727" s="575"/>
      <c r="B727" s="692"/>
      <c r="C727" s="709"/>
      <c r="D727" s="709"/>
      <c r="E727" s="692"/>
      <c r="F727" s="710"/>
      <c r="G727" s="575"/>
      <c r="H727" s="575"/>
      <c r="I727" s="575"/>
      <c r="J727" s="575"/>
      <c r="K727" s="575"/>
      <c r="L727" s="575"/>
      <c r="M727" s="575"/>
      <c r="N727" s="575"/>
      <c r="O727" s="575"/>
      <c r="P727" s="575"/>
      <c r="Q727" s="575"/>
      <c r="R727" s="575"/>
      <c r="S727" s="575"/>
      <c r="T727" s="575"/>
      <c r="U727" s="575"/>
      <c r="V727" s="575"/>
      <c r="W727" s="575"/>
      <c r="X727" s="575"/>
      <c r="Y727" s="575"/>
      <c r="Z727" s="575"/>
      <c r="AA727" s="575"/>
    </row>
    <row r="728">
      <c r="A728" s="575"/>
      <c r="B728" s="692"/>
      <c r="C728" s="709"/>
      <c r="D728" s="709"/>
      <c r="E728" s="692"/>
      <c r="F728" s="710"/>
      <c r="G728" s="575"/>
      <c r="H728" s="575"/>
      <c r="I728" s="575"/>
      <c r="J728" s="575"/>
      <c r="K728" s="575"/>
      <c r="L728" s="575"/>
      <c r="M728" s="575"/>
      <c r="N728" s="575"/>
      <c r="O728" s="575"/>
      <c r="P728" s="575"/>
      <c r="Q728" s="575"/>
      <c r="R728" s="575"/>
      <c r="S728" s="575"/>
      <c r="T728" s="575"/>
      <c r="U728" s="575"/>
      <c r="V728" s="575"/>
      <c r="W728" s="575"/>
      <c r="X728" s="575"/>
      <c r="Y728" s="575"/>
      <c r="Z728" s="575"/>
      <c r="AA728" s="575"/>
    </row>
    <row r="729">
      <c r="A729" s="575"/>
      <c r="B729" s="692"/>
      <c r="C729" s="709"/>
      <c r="D729" s="709"/>
      <c r="E729" s="692"/>
      <c r="F729" s="710"/>
      <c r="G729" s="575"/>
      <c r="H729" s="575"/>
      <c r="I729" s="575"/>
      <c r="J729" s="575"/>
      <c r="K729" s="575"/>
      <c r="L729" s="575"/>
      <c r="M729" s="575"/>
      <c r="N729" s="575"/>
      <c r="O729" s="575"/>
      <c r="P729" s="575"/>
      <c r="Q729" s="575"/>
      <c r="R729" s="575"/>
      <c r="S729" s="575"/>
      <c r="T729" s="575"/>
      <c r="U729" s="575"/>
      <c r="V729" s="575"/>
      <c r="W729" s="575"/>
      <c r="X729" s="575"/>
      <c r="Y729" s="575"/>
      <c r="Z729" s="575"/>
      <c r="AA729" s="575"/>
    </row>
    <row r="730">
      <c r="A730" s="575"/>
      <c r="B730" s="692"/>
      <c r="C730" s="709"/>
      <c r="D730" s="709"/>
      <c r="E730" s="692"/>
      <c r="F730" s="710"/>
      <c r="G730" s="575"/>
      <c r="H730" s="575"/>
      <c r="I730" s="575"/>
      <c r="J730" s="575"/>
      <c r="K730" s="575"/>
      <c r="L730" s="575"/>
      <c r="M730" s="575"/>
      <c r="N730" s="575"/>
      <c r="O730" s="575"/>
      <c r="P730" s="575"/>
      <c r="Q730" s="575"/>
      <c r="R730" s="575"/>
      <c r="S730" s="575"/>
      <c r="T730" s="575"/>
      <c r="U730" s="575"/>
      <c r="V730" s="575"/>
      <c r="W730" s="575"/>
      <c r="X730" s="575"/>
      <c r="Y730" s="575"/>
      <c r="Z730" s="575"/>
      <c r="AA730" s="575"/>
    </row>
    <row r="731">
      <c r="A731" s="575"/>
      <c r="B731" s="692"/>
      <c r="C731" s="709"/>
      <c r="D731" s="709"/>
      <c r="E731" s="692"/>
      <c r="F731" s="710"/>
      <c r="G731" s="575"/>
      <c r="H731" s="575"/>
      <c r="I731" s="575"/>
      <c r="J731" s="575"/>
      <c r="K731" s="575"/>
      <c r="L731" s="575"/>
      <c r="M731" s="575"/>
      <c r="N731" s="575"/>
      <c r="O731" s="575"/>
      <c r="P731" s="575"/>
      <c r="Q731" s="575"/>
      <c r="R731" s="575"/>
      <c r="S731" s="575"/>
      <c r="T731" s="575"/>
      <c r="U731" s="575"/>
      <c r="V731" s="575"/>
      <c r="W731" s="575"/>
      <c r="X731" s="575"/>
      <c r="Y731" s="575"/>
      <c r="Z731" s="575"/>
      <c r="AA731" s="575"/>
    </row>
    <row r="732">
      <c r="A732" s="575"/>
      <c r="B732" s="692"/>
      <c r="C732" s="709"/>
      <c r="D732" s="709"/>
      <c r="E732" s="692"/>
      <c r="F732" s="710"/>
      <c r="G732" s="575"/>
      <c r="H732" s="575"/>
      <c r="I732" s="575"/>
      <c r="J732" s="575"/>
      <c r="K732" s="575"/>
      <c r="L732" s="575"/>
      <c r="M732" s="575"/>
      <c r="N732" s="575"/>
      <c r="O732" s="575"/>
      <c r="P732" s="575"/>
      <c r="Q732" s="575"/>
      <c r="R732" s="575"/>
      <c r="S732" s="575"/>
      <c r="T732" s="575"/>
      <c r="U732" s="575"/>
      <c r="V732" s="575"/>
      <c r="W732" s="575"/>
      <c r="X732" s="575"/>
      <c r="Y732" s="575"/>
      <c r="Z732" s="575"/>
      <c r="AA732" s="575"/>
    </row>
    <row r="733">
      <c r="A733" s="575"/>
      <c r="B733" s="692"/>
      <c r="C733" s="709"/>
      <c r="D733" s="709"/>
      <c r="E733" s="692"/>
      <c r="F733" s="710"/>
      <c r="G733" s="575"/>
      <c r="H733" s="575"/>
      <c r="I733" s="575"/>
      <c r="J733" s="575"/>
      <c r="K733" s="575"/>
      <c r="L733" s="575"/>
      <c r="M733" s="575"/>
      <c r="N733" s="575"/>
      <c r="O733" s="575"/>
      <c r="P733" s="575"/>
      <c r="Q733" s="575"/>
      <c r="R733" s="575"/>
      <c r="S733" s="575"/>
      <c r="T733" s="575"/>
      <c r="U733" s="575"/>
      <c r="V733" s="575"/>
      <c r="W733" s="575"/>
      <c r="X733" s="575"/>
      <c r="Y733" s="575"/>
      <c r="Z733" s="575"/>
      <c r="AA733" s="575"/>
    </row>
    <row r="734">
      <c r="A734" s="575"/>
      <c r="B734" s="692"/>
      <c r="C734" s="709"/>
      <c r="D734" s="709"/>
      <c r="E734" s="692"/>
      <c r="F734" s="710"/>
      <c r="G734" s="575"/>
      <c r="H734" s="575"/>
      <c r="I734" s="575"/>
      <c r="J734" s="575"/>
      <c r="K734" s="575"/>
      <c r="L734" s="575"/>
      <c r="M734" s="575"/>
      <c r="N734" s="575"/>
      <c r="O734" s="575"/>
      <c r="P734" s="575"/>
      <c r="Q734" s="575"/>
      <c r="R734" s="575"/>
      <c r="S734" s="575"/>
      <c r="T734" s="575"/>
      <c r="U734" s="575"/>
      <c r="V734" s="575"/>
      <c r="W734" s="575"/>
      <c r="X734" s="575"/>
      <c r="Y734" s="575"/>
      <c r="Z734" s="575"/>
      <c r="AA734" s="575"/>
    </row>
    <row r="735">
      <c r="A735" s="575"/>
      <c r="B735" s="692"/>
      <c r="C735" s="709"/>
      <c r="D735" s="709"/>
      <c r="E735" s="692"/>
      <c r="F735" s="710"/>
      <c r="G735" s="575"/>
      <c r="H735" s="575"/>
      <c r="I735" s="575"/>
      <c r="J735" s="575"/>
      <c r="K735" s="575"/>
      <c r="L735" s="575"/>
      <c r="M735" s="575"/>
      <c r="N735" s="575"/>
      <c r="O735" s="575"/>
      <c r="P735" s="575"/>
      <c r="Q735" s="575"/>
      <c r="R735" s="575"/>
      <c r="S735" s="575"/>
      <c r="T735" s="575"/>
      <c r="U735" s="575"/>
      <c r="V735" s="575"/>
      <c r="W735" s="575"/>
      <c r="X735" s="575"/>
      <c r="Y735" s="575"/>
      <c r="Z735" s="575"/>
      <c r="AA735" s="575"/>
    </row>
    <row r="736">
      <c r="A736" s="575"/>
      <c r="B736" s="692"/>
      <c r="C736" s="709"/>
      <c r="D736" s="709"/>
      <c r="E736" s="692"/>
      <c r="F736" s="710"/>
      <c r="G736" s="575"/>
      <c r="H736" s="575"/>
      <c r="I736" s="575"/>
      <c r="J736" s="575"/>
      <c r="K736" s="575"/>
      <c r="L736" s="575"/>
      <c r="M736" s="575"/>
      <c r="N736" s="575"/>
      <c r="O736" s="575"/>
      <c r="P736" s="575"/>
      <c r="Q736" s="575"/>
      <c r="R736" s="575"/>
      <c r="S736" s="575"/>
      <c r="T736" s="575"/>
      <c r="U736" s="575"/>
      <c r="V736" s="575"/>
      <c r="W736" s="575"/>
      <c r="X736" s="575"/>
      <c r="Y736" s="575"/>
      <c r="Z736" s="575"/>
      <c r="AA736" s="575"/>
    </row>
    <row r="737">
      <c r="A737" s="575"/>
      <c r="B737" s="692"/>
      <c r="C737" s="709"/>
      <c r="D737" s="709"/>
      <c r="E737" s="692"/>
      <c r="F737" s="710"/>
      <c r="G737" s="575"/>
      <c r="H737" s="575"/>
      <c r="I737" s="575"/>
      <c r="J737" s="575"/>
      <c r="K737" s="575"/>
      <c r="L737" s="575"/>
      <c r="M737" s="575"/>
      <c r="N737" s="575"/>
      <c r="O737" s="575"/>
      <c r="P737" s="575"/>
      <c r="Q737" s="575"/>
      <c r="R737" s="575"/>
      <c r="S737" s="575"/>
      <c r="T737" s="575"/>
      <c r="U737" s="575"/>
      <c r="V737" s="575"/>
      <c r="W737" s="575"/>
      <c r="X737" s="575"/>
      <c r="Y737" s="575"/>
      <c r="Z737" s="575"/>
      <c r="AA737" s="575"/>
    </row>
    <row r="738">
      <c r="A738" s="575"/>
      <c r="B738" s="692"/>
      <c r="C738" s="709"/>
      <c r="D738" s="709"/>
      <c r="E738" s="692"/>
      <c r="F738" s="710"/>
      <c r="G738" s="575"/>
      <c r="H738" s="575"/>
      <c r="I738" s="575"/>
      <c r="J738" s="575"/>
      <c r="K738" s="575"/>
      <c r="L738" s="575"/>
      <c r="M738" s="575"/>
      <c r="N738" s="575"/>
      <c r="O738" s="575"/>
      <c r="P738" s="575"/>
      <c r="Q738" s="575"/>
      <c r="R738" s="575"/>
      <c r="S738" s="575"/>
      <c r="T738" s="575"/>
      <c r="U738" s="575"/>
      <c r="V738" s="575"/>
      <c r="W738" s="575"/>
      <c r="X738" s="575"/>
      <c r="Y738" s="575"/>
      <c r="Z738" s="575"/>
      <c r="AA738" s="575"/>
    </row>
    <row r="739">
      <c r="A739" s="575"/>
      <c r="B739" s="692"/>
      <c r="C739" s="709"/>
      <c r="D739" s="709"/>
      <c r="E739" s="692"/>
      <c r="F739" s="710"/>
      <c r="G739" s="575"/>
      <c r="H739" s="575"/>
      <c r="I739" s="575"/>
      <c r="J739" s="575"/>
      <c r="K739" s="575"/>
      <c r="L739" s="575"/>
      <c r="M739" s="575"/>
      <c r="N739" s="575"/>
      <c r="O739" s="575"/>
      <c r="P739" s="575"/>
      <c r="Q739" s="575"/>
      <c r="R739" s="575"/>
      <c r="S739" s="575"/>
      <c r="T739" s="575"/>
      <c r="U739" s="575"/>
      <c r="V739" s="575"/>
      <c r="W739" s="575"/>
      <c r="X739" s="575"/>
      <c r="Y739" s="575"/>
      <c r="Z739" s="575"/>
      <c r="AA739" s="575"/>
    </row>
    <row r="740">
      <c r="A740" s="575"/>
      <c r="B740" s="692"/>
      <c r="C740" s="709"/>
      <c r="D740" s="709"/>
      <c r="E740" s="692"/>
      <c r="F740" s="710"/>
      <c r="G740" s="575"/>
      <c r="H740" s="575"/>
      <c r="I740" s="575"/>
      <c r="J740" s="575"/>
      <c r="K740" s="575"/>
      <c r="L740" s="575"/>
      <c r="M740" s="575"/>
      <c r="N740" s="575"/>
      <c r="O740" s="575"/>
      <c r="P740" s="575"/>
      <c r="Q740" s="575"/>
      <c r="R740" s="575"/>
      <c r="S740" s="575"/>
      <c r="T740" s="575"/>
      <c r="U740" s="575"/>
      <c r="V740" s="575"/>
      <c r="W740" s="575"/>
      <c r="X740" s="575"/>
      <c r="Y740" s="575"/>
      <c r="Z740" s="575"/>
      <c r="AA740" s="575"/>
    </row>
    <row r="741">
      <c r="A741" s="575"/>
      <c r="B741" s="692"/>
      <c r="C741" s="709"/>
      <c r="D741" s="709"/>
      <c r="E741" s="692"/>
      <c r="F741" s="710"/>
      <c r="G741" s="575"/>
      <c r="H741" s="575"/>
      <c r="I741" s="575"/>
      <c r="J741" s="575"/>
      <c r="K741" s="575"/>
      <c r="L741" s="575"/>
      <c r="M741" s="575"/>
      <c r="N741" s="575"/>
      <c r="O741" s="575"/>
      <c r="P741" s="575"/>
      <c r="Q741" s="575"/>
      <c r="R741" s="575"/>
      <c r="S741" s="575"/>
      <c r="T741" s="575"/>
      <c r="U741" s="575"/>
      <c r="V741" s="575"/>
      <c r="W741" s="575"/>
      <c r="X741" s="575"/>
      <c r="Y741" s="575"/>
      <c r="Z741" s="575"/>
      <c r="AA741" s="575"/>
    </row>
    <row r="742">
      <c r="A742" s="575"/>
      <c r="B742" s="692"/>
      <c r="C742" s="709"/>
      <c r="D742" s="709"/>
      <c r="E742" s="692"/>
      <c r="F742" s="710"/>
      <c r="G742" s="575"/>
      <c r="H742" s="575"/>
      <c r="I742" s="575"/>
      <c r="J742" s="575"/>
      <c r="K742" s="575"/>
      <c r="L742" s="575"/>
      <c r="M742" s="575"/>
      <c r="N742" s="575"/>
      <c r="O742" s="575"/>
      <c r="P742" s="575"/>
      <c r="Q742" s="575"/>
      <c r="R742" s="575"/>
      <c r="S742" s="575"/>
      <c r="T742" s="575"/>
      <c r="U742" s="575"/>
      <c r="V742" s="575"/>
      <c r="W742" s="575"/>
      <c r="X742" s="575"/>
      <c r="Y742" s="575"/>
      <c r="Z742" s="575"/>
      <c r="AA742" s="575"/>
    </row>
    <row r="743">
      <c r="A743" s="575"/>
      <c r="B743" s="692"/>
      <c r="C743" s="709"/>
      <c r="D743" s="709"/>
      <c r="E743" s="692"/>
      <c r="F743" s="710"/>
      <c r="G743" s="575"/>
      <c r="H743" s="575"/>
      <c r="I743" s="575"/>
      <c r="J743" s="575"/>
      <c r="K743" s="575"/>
      <c r="L743" s="575"/>
      <c r="M743" s="575"/>
      <c r="N743" s="575"/>
      <c r="O743" s="575"/>
      <c r="P743" s="575"/>
      <c r="Q743" s="575"/>
      <c r="R743" s="575"/>
      <c r="S743" s="575"/>
      <c r="T743" s="575"/>
      <c r="U743" s="575"/>
      <c r="V743" s="575"/>
      <c r="W743" s="575"/>
      <c r="X743" s="575"/>
      <c r="Y743" s="575"/>
      <c r="Z743" s="575"/>
      <c r="AA743" s="575"/>
    </row>
    <row r="744">
      <c r="A744" s="575"/>
      <c r="B744" s="692"/>
      <c r="C744" s="709"/>
      <c r="D744" s="709"/>
      <c r="E744" s="692"/>
      <c r="F744" s="710"/>
      <c r="G744" s="575"/>
      <c r="H744" s="575"/>
      <c r="I744" s="575"/>
      <c r="J744" s="575"/>
      <c r="K744" s="575"/>
      <c r="L744" s="575"/>
      <c r="M744" s="575"/>
      <c r="N744" s="575"/>
      <c r="O744" s="575"/>
      <c r="P744" s="575"/>
      <c r="Q744" s="575"/>
      <c r="R744" s="575"/>
      <c r="S744" s="575"/>
      <c r="T744" s="575"/>
      <c r="U744" s="575"/>
      <c r="V744" s="575"/>
      <c r="W744" s="575"/>
      <c r="X744" s="575"/>
      <c r="Y744" s="575"/>
      <c r="Z744" s="575"/>
      <c r="AA744" s="575"/>
    </row>
    <row r="745">
      <c r="A745" s="575"/>
      <c r="B745" s="692"/>
      <c r="C745" s="709"/>
      <c r="D745" s="709"/>
      <c r="E745" s="692"/>
      <c r="F745" s="710"/>
      <c r="G745" s="575"/>
      <c r="H745" s="575"/>
      <c r="I745" s="575"/>
      <c r="J745" s="575"/>
      <c r="K745" s="575"/>
      <c r="L745" s="575"/>
      <c r="M745" s="575"/>
      <c r="N745" s="575"/>
      <c r="O745" s="575"/>
      <c r="P745" s="575"/>
      <c r="Q745" s="575"/>
      <c r="R745" s="575"/>
      <c r="S745" s="575"/>
      <c r="T745" s="575"/>
      <c r="U745" s="575"/>
      <c r="V745" s="575"/>
      <c r="W745" s="575"/>
      <c r="X745" s="575"/>
      <c r="Y745" s="575"/>
      <c r="Z745" s="575"/>
      <c r="AA745" s="575"/>
    </row>
    <row r="746">
      <c r="A746" s="575"/>
      <c r="B746" s="692"/>
      <c r="C746" s="709"/>
      <c r="D746" s="709"/>
      <c r="E746" s="692"/>
      <c r="F746" s="710"/>
      <c r="G746" s="575"/>
      <c r="H746" s="575"/>
      <c r="I746" s="575"/>
      <c r="J746" s="575"/>
      <c r="K746" s="575"/>
      <c r="L746" s="575"/>
      <c r="M746" s="575"/>
      <c r="N746" s="575"/>
      <c r="O746" s="575"/>
      <c r="P746" s="575"/>
      <c r="Q746" s="575"/>
      <c r="R746" s="575"/>
      <c r="S746" s="575"/>
      <c r="T746" s="575"/>
      <c r="U746" s="575"/>
      <c r="V746" s="575"/>
      <c r="W746" s="575"/>
      <c r="X746" s="575"/>
      <c r="Y746" s="575"/>
      <c r="Z746" s="575"/>
      <c r="AA746" s="575"/>
    </row>
    <row r="747">
      <c r="A747" s="575"/>
      <c r="B747" s="692"/>
      <c r="C747" s="709"/>
      <c r="D747" s="709"/>
      <c r="E747" s="692"/>
      <c r="F747" s="710"/>
      <c r="G747" s="575"/>
      <c r="H747" s="575"/>
      <c r="I747" s="575"/>
      <c r="J747" s="575"/>
      <c r="K747" s="575"/>
      <c r="L747" s="575"/>
      <c r="M747" s="575"/>
      <c r="N747" s="575"/>
      <c r="O747" s="575"/>
      <c r="P747" s="575"/>
      <c r="Q747" s="575"/>
      <c r="R747" s="575"/>
      <c r="S747" s="575"/>
      <c r="T747" s="575"/>
      <c r="U747" s="575"/>
      <c r="V747" s="575"/>
      <c r="W747" s="575"/>
      <c r="X747" s="575"/>
      <c r="Y747" s="575"/>
      <c r="Z747" s="575"/>
      <c r="AA747" s="575"/>
    </row>
    <row r="748">
      <c r="A748" s="575"/>
      <c r="B748" s="692"/>
      <c r="C748" s="709"/>
      <c r="D748" s="709"/>
      <c r="E748" s="692"/>
      <c r="F748" s="710"/>
      <c r="G748" s="575"/>
      <c r="H748" s="575"/>
      <c r="I748" s="575"/>
      <c r="J748" s="575"/>
      <c r="K748" s="575"/>
      <c r="L748" s="575"/>
      <c r="M748" s="575"/>
      <c r="N748" s="575"/>
      <c r="O748" s="575"/>
      <c r="P748" s="575"/>
      <c r="Q748" s="575"/>
      <c r="R748" s="575"/>
      <c r="S748" s="575"/>
      <c r="T748" s="575"/>
      <c r="U748" s="575"/>
      <c r="V748" s="575"/>
      <c r="W748" s="575"/>
      <c r="X748" s="575"/>
      <c r="Y748" s="575"/>
      <c r="Z748" s="575"/>
      <c r="AA748" s="575"/>
    </row>
    <row r="749">
      <c r="A749" s="575"/>
      <c r="B749" s="692"/>
      <c r="C749" s="709"/>
      <c r="D749" s="709"/>
      <c r="E749" s="692"/>
      <c r="F749" s="710"/>
      <c r="G749" s="575"/>
      <c r="H749" s="575"/>
      <c r="I749" s="575"/>
      <c r="J749" s="575"/>
      <c r="K749" s="575"/>
      <c r="L749" s="575"/>
      <c r="M749" s="575"/>
      <c r="N749" s="575"/>
      <c r="O749" s="575"/>
      <c r="P749" s="575"/>
      <c r="Q749" s="575"/>
      <c r="R749" s="575"/>
      <c r="S749" s="575"/>
      <c r="T749" s="575"/>
      <c r="U749" s="575"/>
      <c r="V749" s="575"/>
      <c r="W749" s="575"/>
      <c r="X749" s="575"/>
      <c r="Y749" s="575"/>
      <c r="Z749" s="575"/>
      <c r="AA749" s="575"/>
    </row>
    <row r="750">
      <c r="A750" s="575"/>
      <c r="B750" s="692"/>
      <c r="C750" s="709"/>
      <c r="D750" s="709"/>
      <c r="E750" s="692"/>
      <c r="F750" s="710"/>
      <c r="G750" s="575"/>
      <c r="H750" s="575"/>
      <c r="I750" s="575"/>
      <c r="J750" s="575"/>
      <c r="K750" s="575"/>
      <c r="L750" s="575"/>
      <c r="M750" s="575"/>
      <c r="N750" s="575"/>
      <c r="O750" s="575"/>
      <c r="P750" s="575"/>
      <c r="Q750" s="575"/>
      <c r="R750" s="575"/>
      <c r="S750" s="575"/>
      <c r="T750" s="575"/>
      <c r="U750" s="575"/>
      <c r="V750" s="575"/>
      <c r="W750" s="575"/>
      <c r="X750" s="575"/>
      <c r="Y750" s="575"/>
      <c r="Z750" s="575"/>
      <c r="AA750" s="575"/>
    </row>
    <row r="751">
      <c r="A751" s="575"/>
      <c r="B751" s="692"/>
      <c r="C751" s="709"/>
      <c r="D751" s="709"/>
      <c r="E751" s="692"/>
      <c r="F751" s="710"/>
      <c r="G751" s="575"/>
      <c r="H751" s="575"/>
      <c r="I751" s="575"/>
      <c r="J751" s="575"/>
      <c r="K751" s="575"/>
      <c r="L751" s="575"/>
      <c r="M751" s="575"/>
      <c r="N751" s="575"/>
      <c r="O751" s="575"/>
      <c r="P751" s="575"/>
      <c r="Q751" s="575"/>
      <c r="R751" s="575"/>
      <c r="S751" s="575"/>
      <c r="T751" s="575"/>
      <c r="U751" s="575"/>
      <c r="V751" s="575"/>
      <c r="W751" s="575"/>
      <c r="X751" s="575"/>
      <c r="Y751" s="575"/>
      <c r="Z751" s="575"/>
      <c r="AA751" s="575"/>
    </row>
    <row r="752">
      <c r="A752" s="575"/>
      <c r="B752" s="692"/>
      <c r="C752" s="709"/>
      <c r="D752" s="709"/>
      <c r="E752" s="692"/>
      <c r="F752" s="710"/>
      <c r="G752" s="575"/>
      <c r="H752" s="575"/>
      <c r="I752" s="575"/>
      <c r="J752" s="575"/>
      <c r="K752" s="575"/>
      <c r="L752" s="575"/>
      <c r="M752" s="575"/>
      <c r="N752" s="575"/>
      <c r="O752" s="575"/>
      <c r="P752" s="575"/>
      <c r="Q752" s="575"/>
      <c r="R752" s="575"/>
      <c r="S752" s="575"/>
      <c r="T752" s="575"/>
      <c r="U752" s="575"/>
      <c r="V752" s="575"/>
      <c r="W752" s="575"/>
      <c r="X752" s="575"/>
      <c r="Y752" s="575"/>
      <c r="Z752" s="575"/>
      <c r="AA752" s="575"/>
    </row>
    <row r="753">
      <c r="A753" s="575"/>
      <c r="B753" s="692"/>
      <c r="C753" s="709"/>
      <c r="D753" s="709"/>
      <c r="E753" s="692"/>
      <c r="F753" s="710"/>
      <c r="G753" s="575"/>
      <c r="H753" s="575"/>
      <c r="I753" s="575"/>
      <c r="J753" s="575"/>
      <c r="K753" s="575"/>
      <c r="L753" s="575"/>
      <c r="M753" s="575"/>
      <c r="N753" s="575"/>
      <c r="O753" s="575"/>
      <c r="P753" s="575"/>
      <c r="Q753" s="575"/>
      <c r="R753" s="575"/>
      <c r="S753" s="575"/>
      <c r="T753" s="575"/>
      <c r="U753" s="575"/>
      <c r="V753" s="575"/>
      <c r="W753" s="575"/>
      <c r="X753" s="575"/>
      <c r="Y753" s="575"/>
      <c r="Z753" s="575"/>
      <c r="AA753" s="575"/>
    </row>
    <row r="754">
      <c r="A754" s="575"/>
      <c r="B754" s="692"/>
      <c r="C754" s="709"/>
      <c r="D754" s="709"/>
      <c r="E754" s="692"/>
      <c r="F754" s="710"/>
      <c r="G754" s="575"/>
      <c r="H754" s="575"/>
      <c r="I754" s="575"/>
      <c r="J754" s="575"/>
      <c r="K754" s="575"/>
      <c r="L754" s="575"/>
      <c r="M754" s="575"/>
      <c r="N754" s="575"/>
      <c r="O754" s="575"/>
      <c r="P754" s="575"/>
      <c r="Q754" s="575"/>
      <c r="R754" s="575"/>
      <c r="S754" s="575"/>
      <c r="T754" s="575"/>
      <c r="U754" s="575"/>
      <c r="V754" s="575"/>
      <c r="W754" s="575"/>
      <c r="X754" s="575"/>
      <c r="Y754" s="575"/>
      <c r="Z754" s="575"/>
      <c r="AA754" s="575"/>
    </row>
    <row r="755">
      <c r="A755" s="575"/>
      <c r="B755" s="692"/>
      <c r="C755" s="709"/>
      <c r="D755" s="709"/>
      <c r="E755" s="692"/>
      <c r="F755" s="710"/>
      <c r="G755" s="575"/>
      <c r="H755" s="575"/>
      <c r="I755" s="575"/>
      <c r="J755" s="575"/>
      <c r="K755" s="575"/>
      <c r="L755" s="575"/>
      <c r="M755" s="575"/>
      <c r="N755" s="575"/>
      <c r="O755" s="575"/>
      <c r="P755" s="575"/>
      <c r="Q755" s="575"/>
      <c r="R755" s="575"/>
      <c r="S755" s="575"/>
      <c r="T755" s="575"/>
      <c r="U755" s="575"/>
      <c r="V755" s="575"/>
      <c r="W755" s="575"/>
      <c r="X755" s="575"/>
      <c r="Y755" s="575"/>
      <c r="Z755" s="575"/>
      <c r="AA755" s="575"/>
    </row>
    <row r="756">
      <c r="A756" s="575"/>
      <c r="B756" s="692"/>
      <c r="C756" s="709"/>
      <c r="D756" s="709"/>
      <c r="E756" s="692"/>
      <c r="F756" s="710"/>
      <c r="G756" s="575"/>
      <c r="H756" s="575"/>
      <c r="I756" s="575"/>
      <c r="J756" s="575"/>
      <c r="K756" s="575"/>
      <c r="L756" s="575"/>
      <c r="M756" s="575"/>
      <c r="N756" s="575"/>
      <c r="O756" s="575"/>
      <c r="P756" s="575"/>
      <c r="Q756" s="575"/>
      <c r="R756" s="575"/>
      <c r="S756" s="575"/>
      <c r="T756" s="575"/>
      <c r="U756" s="575"/>
      <c r="V756" s="575"/>
      <c r="W756" s="575"/>
      <c r="X756" s="575"/>
      <c r="Y756" s="575"/>
      <c r="Z756" s="575"/>
      <c r="AA756" s="575"/>
    </row>
    <row r="757">
      <c r="A757" s="575"/>
      <c r="B757" s="692"/>
      <c r="C757" s="709"/>
      <c r="D757" s="709"/>
      <c r="E757" s="692"/>
      <c r="F757" s="710"/>
      <c r="G757" s="575"/>
      <c r="H757" s="575"/>
      <c r="I757" s="575"/>
      <c r="J757" s="575"/>
      <c r="K757" s="575"/>
      <c r="L757" s="575"/>
      <c r="M757" s="575"/>
      <c r="N757" s="575"/>
      <c r="O757" s="575"/>
      <c r="P757" s="575"/>
      <c r="Q757" s="575"/>
      <c r="R757" s="575"/>
      <c r="S757" s="575"/>
      <c r="T757" s="575"/>
      <c r="U757" s="575"/>
      <c r="V757" s="575"/>
      <c r="W757" s="575"/>
      <c r="X757" s="575"/>
      <c r="Y757" s="575"/>
      <c r="Z757" s="575"/>
      <c r="AA757" s="575"/>
    </row>
    <row r="758">
      <c r="A758" s="575"/>
      <c r="B758" s="692"/>
      <c r="C758" s="709"/>
      <c r="D758" s="709"/>
      <c r="E758" s="692"/>
      <c r="F758" s="710"/>
      <c r="G758" s="575"/>
      <c r="H758" s="575"/>
      <c r="I758" s="575"/>
      <c r="J758" s="575"/>
      <c r="K758" s="575"/>
      <c r="L758" s="575"/>
      <c r="M758" s="575"/>
      <c r="N758" s="575"/>
      <c r="O758" s="575"/>
      <c r="P758" s="575"/>
      <c r="Q758" s="575"/>
      <c r="R758" s="575"/>
      <c r="S758" s="575"/>
      <c r="T758" s="575"/>
      <c r="U758" s="575"/>
      <c r="V758" s="575"/>
      <c r="W758" s="575"/>
      <c r="X758" s="575"/>
      <c r="Y758" s="575"/>
      <c r="Z758" s="575"/>
      <c r="AA758" s="575"/>
    </row>
    <row r="759">
      <c r="A759" s="575"/>
      <c r="B759" s="692"/>
      <c r="C759" s="709"/>
      <c r="D759" s="709"/>
      <c r="E759" s="692"/>
      <c r="F759" s="710"/>
      <c r="G759" s="575"/>
      <c r="H759" s="575"/>
      <c r="I759" s="575"/>
      <c r="J759" s="575"/>
      <c r="K759" s="575"/>
      <c r="L759" s="575"/>
      <c r="M759" s="575"/>
      <c r="N759" s="575"/>
      <c r="O759" s="575"/>
      <c r="P759" s="575"/>
      <c r="Q759" s="575"/>
      <c r="R759" s="575"/>
      <c r="S759" s="575"/>
      <c r="T759" s="575"/>
      <c r="U759" s="575"/>
      <c r="V759" s="575"/>
      <c r="W759" s="575"/>
      <c r="X759" s="575"/>
      <c r="Y759" s="575"/>
      <c r="Z759" s="575"/>
      <c r="AA759" s="575"/>
    </row>
    <row r="760">
      <c r="A760" s="575"/>
      <c r="B760" s="692"/>
      <c r="C760" s="709"/>
      <c r="D760" s="709"/>
      <c r="E760" s="692"/>
      <c r="F760" s="710"/>
      <c r="G760" s="575"/>
      <c r="H760" s="575"/>
      <c r="I760" s="575"/>
      <c r="J760" s="575"/>
      <c r="K760" s="575"/>
      <c r="L760" s="575"/>
      <c r="M760" s="575"/>
      <c r="N760" s="575"/>
      <c r="O760" s="575"/>
      <c r="P760" s="575"/>
      <c r="Q760" s="575"/>
      <c r="R760" s="575"/>
      <c r="S760" s="575"/>
      <c r="T760" s="575"/>
      <c r="U760" s="575"/>
      <c r="V760" s="575"/>
      <c r="W760" s="575"/>
      <c r="X760" s="575"/>
      <c r="Y760" s="575"/>
      <c r="Z760" s="575"/>
      <c r="AA760" s="575"/>
    </row>
    <row r="761">
      <c r="A761" s="575"/>
      <c r="B761" s="692"/>
      <c r="C761" s="709"/>
      <c r="D761" s="709"/>
      <c r="E761" s="692"/>
      <c r="F761" s="710"/>
      <c r="G761" s="575"/>
      <c r="H761" s="575"/>
      <c r="I761" s="575"/>
      <c r="J761" s="575"/>
      <c r="K761" s="575"/>
      <c r="L761" s="575"/>
      <c r="M761" s="575"/>
      <c r="N761" s="575"/>
      <c r="O761" s="575"/>
      <c r="P761" s="575"/>
      <c r="Q761" s="575"/>
      <c r="R761" s="575"/>
      <c r="S761" s="575"/>
      <c r="T761" s="575"/>
      <c r="U761" s="575"/>
      <c r="V761" s="575"/>
      <c r="W761" s="575"/>
      <c r="X761" s="575"/>
      <c r="Y761" s="575"/>
      <c r="Z761" s="575"/>
      <c r="AA761" s="575"/>
    </row>
    <row r="762">
      <c r="A762" s="575"/>
      <c r="B762" s="692"/>
      <c r="C762" s="709"/>
      <c r="D762" s="709"/>
      <c r="E762" s="692"/>
      <c r="F762" s="710"/>
      <c r="G762" s="575"/>
      <c r="H762" s="575"/>
      <c r="I762" s="575"/>
      <c r="J762" s="575"/>
      <c r="K762" s="575"/>
      <c r="L762" s="575"/>
      <c r="M762" s="575"/>
      <c r="N762" s="575"/>
      <c r="O762" s="575"/>
      <c r="P762" s="575"/>
      <c r="Q762" s="575"/>
      <c r="R762" s="575"/>
      <c r="S762" s="575"/>
      <c r="T762" s="575"/>
      <c r="U762" s="575"/>
      <c r="V762" s="575"/>
      <c r="W762" s="575"/>
      <c r="X762" s="575"/>
      <c r="Y762" s="575"/>
      <c r="Z762" s="575"/>
      <c r="AA762" s="575"/>
    </row>
    <row r="763">
      <c r="A763" s="575"/>
      <c r="B763" s="692"/>
      <c r="C763" s="709"/>
      <c r="D763" s="709"/>
      <c r="E763" s="692"/>
      <c r="F763" s="710"/>
      <c r="G763" s="575"/>
      <c r="H763" s="575"/>
      <c r="I763" s="575"/>
      <c r="J763" s="575"/>
      <c r="K763" s="575"/>
      <c r="L763" s="575"/>
      <c r="M763" s="575"/>
      <c r="N763" s="575"/>
      <c r="O763" s="575"/>
      <c r="P763" s="575"/>
      <c r="Q763" s="575"/>
      <c r="R763" s="575"/>
      <c r="S763" s="575"/>
      <c r="T763" s="575"/>
      <c r="U763" s="575"/>
      <c r="V763" s="575"/>
      <c r="W763" s="575"/>
      <c r="X763" s="575"/>
      <c r="Y763" s="575"/>
      <c r="Z763" s="575"/>
      <c r="AA763" s="575"/>
    </row>
    <row r="764">
      <c r="A764" s="575"/>
      <c r="B764" s="692"/>
      <c r="C764" s="709"/>
      <c r="D764" s="709"/>
      <c r="E764" s="692"/>
      <c r="F764" s="710"/>
      <c r="G764" s="575"/>
      <c r="H764" s="575"/>
      <c r="I764" s="575"/>
      <c r="J764" s="575"/>
      <c r="K764" s="575"/>
      <c r="L764" s="575"/>
      <c r="M764" s="575"/>
      <c r="N764" s="575"/>
      <c r="O764" s="575"/>
      <c r="P764" s="575"/>
      <c r="Q764" s="575"/>
      <c r="R764" s="575"/>
      <c r="S764" s="575"/>
      <c r="T764" s="575"/>
      <c r="U764" s="575"/>
      <c r="V764" s="575"/>
      <c r="W764" s="575"/>
      <c r="X764" s="575"/>
      <c r="Y764" s="575"/>
      <c r="Z764" s="575"/>
      <c r="AA764" s="575"/>
    </row>
    <row r="765">
      <c r="A765" s="575"/>
      <c r="B765" s="692"/>
      <c r="C765" s="709"/>
      <c r="D765" s="709"/>
      <c r="E765" s="692"/>
      <c r="F765" s="710"/>
      <c r="G765" s="575"/>
      <c r="H765" s="575"/>
      <c r="I765" s="575"/>
      <c r="J765" s="575"/>
      <c r="K765" s="575"/>
      <c r="L765" s="575"/>
      <c r="M765" s="575"/>
      <c r="N765" s="575"/>
      <c r="O765" s="575"/>
      <c r="P765" s="575"/>
      <c r="Q765" s="575"/>
      <c r="R765" s="575"/>
      <c r="S765" s="575"/>
      <c r="T765" s="575"/>
      <c r="U765" s="575"/>
      <c r="V765" s="575"/>
      <c r="W765" s="575"/>
      <c r="X765" s="575"/>
      <c r="Y765" s="575"/>
      <c r="Z765" s="575"/>
      <c r="AA765" s="575"/>
    </row>
    <row r="766">
      <c r="A766" s="575"/>
      <c r="B766" s="692"/>
      <c r="C766" s="709"/>
      <c r="D766" s="709"/>
      <c r="E766" s="692"/>
      <c r="F766" s="710"/>
      <c r="G766" s="575"/>
      <c r="H766" s="575"/>
      <c r="I766" s="575"/>
      <c r="J766" s="575"/>
      <c r="K766" s="575"/>
      <c r="L766" s="575"/>
      <c r="M766" s="575"/>
      <c r="N766" s="575"/>
      <c r="O766" s="575"/>
      <c r="P766" s="575"/>
      <c r="Q766" s="575"/>
      <c r="R766" s="575"/>
      <c r="S766" s="575"/>
      <c r="T766" s="575"/>
      <c r="U766" s="575"/>
      <c r="V766" s="575"/>
      <c r="W766" s="575"/>
      <c r="X766" s="575"/>
      <c r="Y766" s="575"/>
      <c r="Z766" s="575"/>
      <c r="AA766" s="575"/>
    </row>
    <row r="767">
      <c r="A767" s="575"/>
      <c r="B767" s="692"/>
      <c r="C767" s="709"/>
      <c r="D767" s="709"/>
      <c r="E767" s="692"/>
      <c r="F767" s="710"/>
      <c r="G767" s="575"/>
      <c r="H767" s="575"/>
      <c r="I767" s="575"/>
      <c r="J767" s="575"/>
      <c r="K767" s="575"/>
      <c r="L767" s="575"/>
      <c r="M767" s="575"/>
      <c r="N767" s="575"/>
      <c r="O767" s="575"/>
      <c r="P767" s="575"/>
      <c r="Q767" s="575"/>
      <c r="R767" s="575"/>
      <c r="S767" s="575"/>
      <c r="T767" s="575"/>
      <c r="U767" s="575"/>
      <c r="V767" s="575"/>
      <c r="W767" s="575"/>
      <c r="X767" s="575"/>
      <c r="Y767" s="575"/>
      <c r="Z767" s="575"/>
      <c r="AA767" s="575"/>
    </row>
    <row r="768">
      <c r="A768" s="575"/>
      <c r="B768" s="692"/>
      <c r="C768" s="709"/>
      <c r="D768" s="709"/>
      <c r="E768" s="692"/>
      <c r="F768" s="710"/>
      <c r="G768" s="575"/>
      <c r="H768" s="575"/>
      <c r="I768" s="575"/>
      <c r="J768" s="575"/>
      <c r="K768" s="575"/>
      <c r="L768" s="575"/>
      <c r="M768" s="575"/>
      <c r="N768" s="575"/>
      <c r="O768" s="575"/>
      <c r="P768" s="575"/>
      <c r="Q768" s="575"/>
      <c r="R768" s="575"/>
      <c r="S768" s="575"/>
      <c r="T768" s="575"/>
      <c r="U768" s="575"/>
      <c r="V768" s="575"/>
      <c r="W768" s="575"/>
      <c r="X768" s="575"/>
      <c r="Y768" s="575"/>
      <c r="Z768" s="575"/>
      <c r="AA768" s="575"/>
    </row>
    <row r="769">
      <c r="A769" s="575"/>
      <c r="B769" s="692"/>
      <c r="C769" s="709"/>
      <c r="D769" s="709"/>
      <c r="E769" s="692"/>
      <c r="F769" s="710"/>
      <c r="G769" s="575"/>
      <c r="H769" s="575"/>
      <c r="I769" s="575"/>
      <c r="J769" s="575"/>
      <c r="K769" s="575"/>
      <c r="L769" s="575"/>
      <c r="M769" s="575"/>
      <c r="N769" s="575"/>
      <c r="O769" s="575"/>
      <c r="P769" s="575"/>
      <c r="Q769" s="575"/>
      <c r="R769" s="575"/>
      <c r="S769" s="575"/>
      <c r="T769" s="575"/>
      <c r="U769" s="575"/>
      <c r="V769" s="575"/>
      <c r="W769" s="575"/>
      <c r="X769" s="575"/>
      <c r="Y769" s="575"/>
      <c r="Z769" s="575"/>
      <c r="AA769" s="575"/>
    </row>
    <row r="770">
      <c r="A770" s="575"/>
      <c r="B770" s="692"/>
      <c r="C770" s="709"/>
      <c r="D770" s="709"/>
      <c r="E770" s="692"/>
      <c r="F770" s="710"/>
      <c r="G770" s="575"/>
      <c r="H770" s="575"/>
      <c r="I770" s="575"/>
      <c r="J770" s="575"/>
      <c r="K770" s="575"/>
      <c r="L770" s="575"/>
      <c r="M770" s="575"/>
      <c r="N770" s="575"/>
      <c r="O770" s="575"/>
      <c r="P770" s="575"/>
      <c r="Q770" s="575"/>
      <c r="R770" s="575"/>
      <c r="S770" s="575"/>
      <c r="T770" s="575"/>
      <c r="U770" s="575"/>
      <c r="V770" s="575"/>
      <c r="W770" s="575"/>
      <c r="X770" s="575"/>
      <c r="Y770" s="575"/>
      <c r="Z770" s="575"/>
      <c r="AA770" s="575"/>
    </row>
    <row r="771">
      <c r="A771" s="575"/>
      <c r="B771" s="692"/>
      <c r="C771" s="709"/>
      <c r="D771" s="709"/>
      <c r="E771" s="692"/>
      <c r="F771" s="710"/>
      <c r="G771" s="575"/>
      <c r="H771" s="575"/>
      <c r="I771" s="575"/>
      <c r="J771" s="575"/>
      <c r="K771" s="575"/>
      <c r="L771" s="575"/>
      <c r="M771" s="575"/>
      <c r="N771" s="575"/>
      <c r="O771" s="575"/>
      <c r="P771" s="575"/>
      <c r="Q771" s="575"/>
      <c r="R771" s="575"/>
      <c r="S771" s="575"/>
      <c r="T771" s="575"/>
      <c r="U771" s="575"/>
      <c r="V771" s="575"/>
      <c r="W771" s="575"/>
      <c r="X771" s="575"/>
      <c r="Y771" s="575"/>
      <c r="Z771" s="575"/>
      <c r="AA771" s="575"/>
    </row>
    <row r="772">
      <c r="A772" s="575"/>
      <c r="B772" s="692"/>
      <c r="C772" s="709"/>
      <c r="D772" s="709"/>
      <c r="E772" s="692"/>
      <c r="F772" s="710"/>
      <c r="G772" s="575"/>
      <c r="H772" s="575"/>
      <c r="I772" s="575"/>
      <c r="J772" s="575"/>
      <c r="K772" s="575"/>
      <c r="L772" s="575"/>
      <c r="M772" s="575"/>
      <c r="N772" s="575"/>
      <c r="O772" s="575"/>
      <c r="P772" s="575"/>
      <c r="Q772" s="575"/>
      <c r="R772" s="575"/>
      <c r="S772" s="575"/>
      <c r="T772" s="575"/>
      <c r="U772" s="575"/>
      <c r="V772" s="575"/>
      <c r="W772" s="575"/>
      <c r="X772" s="575"/>
      <c r="Y772" s="575"/>
      <c r="Z772" s="575"/>
      <c r="AA772" s="575"/>
    </row>
    <row r="773">
      <c r="A773" s="575"/>
      <c r="B773" s="692"/>
      <c r="C773" s="709"/>
      <c r="D773" s="709"/>
      <c r="E773" s="692"/>
      <c r="F773" s="710"/>
      <c r="G773" s="575"/>
      <c r="H773" s="575"/>
      <c r="I773" s="575"/>
      <c r="J773" s="575"/>
      <c r="K773" s="575"/>
      <c r="L773" s="575"/>
      <c r="M773" s="575"/>
      <c r="N773" s="575"/>
      <c r="O773" s="575"/>
      <c r="P773" s="575"/>
      <c r="Q773" s="575"/>
      <c r="R773" s="575"/>
      <c r="S773" s="575"/>
      <c r="T773" s="575"/>
      <c r="U773" s="575"/>
      <c r="V773" s="575"/>
      <c r="W773" s="575"/>
      <c r="X773" s="575"/>
      <c r="Y773" s="575"/>
      <c r="Z773" s="575"/>
      <c r="AA773" s="575"/>
    </row>
    <row r="774">
      <c r="A774" s="575"/>
      <c r="B774" s="692"/>
      <c r="C774" s="709"/>
      <c r="D774" s="709"/>
      <c r="E774" s="692"/>
      <c r="F774" s="710"/>
      <c r="G774" s="575"/>
      <c r="H774" s="575"/>
      <c r="I774" s="575"/>
      <c r="J774" s="575"/>
      <c r="K774" s="575"/>
      <c r="L774" s="575"/>
      <c r="M774" s="575"/>
      <c r="N774" s="575"/>
      <c r="O774" s="575"/>
      <c r="P774" s="575"/>
      <c r="Q774" s="575"/>
      <c r="R774" s="575"/>
      <c r="S774" s="575"/>
      <c r="T774" s="575"/>
      <c r="U774" s="575"/>
      <c r="V774" s="575"/>
      <c r="W774" s="575"/>
      <c r="X774" s="575"/>
      <c r="Y774" s="575"/>
      <c r="Z774" s="575"/>
      <c r="AA774" s="575"/>
    </row>
    <row r="775">
      <c r="A775" s="575"/>
      <c r="B775" s="692"/>
      <c r="C775" s="709"/>
      <c r="D775" s="709"/>
      <c r="E775" s="692"/>
      <c r="F775" s="710"/>
      <c r="G775" s="575"/>
      <c r="H775" s="575"/>
      <c r="I775" s="575"/>
      <c r="J775" s="575"/>
      <c r="K775" s="575"/>
      <c r="L775" s="575"/>
      <c r="M775" s="575"/>
      <c r="N775" s="575"/>
      <c r="O775" s="575"/>
      <c r="P775" s="575"/>
      <c r="Q775" s="575"/>
      <c r="R775" s="575"/>
      <c r="S775" s="575"/>
      <c r="T775" s="575"/>
      <c r="U775" s="575"/>
      <c r="V775" s="575"/>
      <c r="W775" s="575"/>
      <c r="X775" s="575"/>
      <c r="Y775" s="575"/>
      <c r="Z775" s="575"/>
      <c r="AA775" s="575"/>
    </row>
    <row r="776">
      <c r="A776" s="575"/>
      <c r="B776" s="692"/>
      <c r="C776" s="709"/>
      <c r="D776" s="709"/>
      <c r="E776" s="692"/>
      <c r="F776" s="710"/>
      <c r="G776" s="575"/>
      <c r="H776" s="575"/>
      <c r="I776" s="575"/>
      <c r="J776" s="575"/>
      <c r="K776" s="575"/>
      <c r="L776" s="575"/>
      <c r="M776" s="575"/>
      <c r="N776" s="575"/>
      <c r="O776" s="575"/>
      <c r="P776" s="575"/>
      <c r="Q776" s="575"/>
      <c r="R776" s="575"/>
      <c r="S776" s="575"/>
      <c r="T776" s="575"/>
      <c r="U776" s="575"/>
      <c r="V776" s="575"/>
      <c r="W776" s="575"/>
      <c r="X776" s="575"/>
      <c r="Y776" s="575"/>
      <c r="Z776" s="575"/>
      <c r="AA776" s="575"/>
    </row>
    <row r="777">
      <c r="A777" s="575"/>
      <c r="B777" s="692"/>
      <c r="C777" s="709"/>
      <c r="D777" s="709"/>
      <c r="E777" s="692"/>
      <c r="F777" s="710"/>
      <c r="G777" s="575"/>
      <c r="H777" s="575"/>
      <c r="I777" s="575"/>
      <c r="J777" s="575"/>
      <c r="K777" s="575"/>
      <c r="L777" s="575"/>
      <c r="M777" s="575"/>
      <c r="N777" s="575"/>
      <c r="O777" s="575"/>
      <c r="P777" s="575"/>
      <c r="Q777" s="575"/>
      <c r="R777" s="575"/>
      <c r="S777" s="575"/>
      <c r="T777" s="575"/>
      <c r="U777" s="575"/>
      <c r="V777" s="575"/>
      <c r="W777" s="575"/>
      <c r="X777" s="575"/>
      <c r="Y777" s="575"/>
      <c r="Z777" s="575"/>
      <c r="AA777" s="575"/>
    </row>
    <row r="778">
      <c r="A778" s="575"/>
      <c r="B778" s="692"/>
      <c r="C778" s="709"/>
      <c r="D778" s="709"/>
      <c r="E778" s="692"/>
      <c r="F778" s="710"/>
      <c r="G778" s="575"/>
      <c r="H778" s="575"/>
      <c r="I778" s="575"/>
      <c r="J778" s="575"/>
      <c r="K778" s="575"/>
      <c r="L778" s="575"/>
      <c r="M778" s="575"/>
      <c r="N778" s="575"/>
      <c r="O778" s="575"/>
      <c r="P778" s="575"/>
      <c r="Q778" s="575"/>
      <c r="R778" s="575"/>
      <c r="S778" s="575"/>
      <c r="T778" s="575"/>
      <c r="U778" s="575"/>
      <c r="V778" s="575"/>
      <c r="W778" s="575"/>
      <c r="X778" s="575"/>
      <c r="Y778" s="575"/>
      <c r="Z778" s="575"/>
      <c r="AA778" s="575"/>
    </row>
    <row r="779">
      <c r="A779" s="575"/>
      <c r="B779" s="692"/>
      <c r="C779" s="709"/>
      <c r="D779" s="709"/>
      <c r="E779" s="692"/>
      <c r="F779" s="710"/>
      <c r="G779" s="575"/>
      <c r="H779" s="575"/>
      <c r="I779" s="575"/>
      <c r="J779" s="575"/>
      <c r="K779" s="575"/>
      <c r="L779" s="575"/>
      <c r="M779" s="575"/>
      <c r="N779" s="575"/>
      <c r="O779" s="575"/>
      <c r="P779" s="575"/>
      <c r="Q779" s="575"/>
      <c r="R779" s="575"/>
      <c r="S779" s="575"/>
      <c r="T779" s="575"/>
      <c r="U779" s="575"/>
      <c r="V779" s="575"/>
      <c r="W779" s="575"/>
      <c r="X779" s="575"/>
      <c r="Y779" s="575"/>
      <c r="Z779" s="575"/>
      <c r="AA779" s="575"/>
    </row>
    <row r="780">
      <c r="A780" s="575"/>
      <c r="B780" s="692"/>
      <c r="C780" s="709"/>
      <c r="D780" s="709"/>
      <c r="E780" s="692"/>
      <c r="F780" s="710"/>
      <c r="G780" s="575"/>
      <c r="H780" s="575"/>
      <c r="I780" s="575"/>
      <c r="J780" s="575"/>
      <c r="K780" s="575"/>
      <c r="L780" s="575"/>
      <c r="M780" s="575"/>
      <c r="N780" s="575"/>
      <c r="O780" s="575"/>
      <c r="P780" s="575"/>
      <c r="Q780" s="575"/>
      <c r="R780" s="575"/>
      <c r="S780" s="575"/>
      <c r="T780" s="575"/>
      <c r="U780" s="575"/>
      <c r="V780" s="575"/>
      <c r="W780" s="575"/>
      <c r="X780" s="575"/>
      <c r="Y780" s="575"/>
      <c r="Z780" s="575"/>
      <c r="AA780" s="575"/>
    </row>
    <row r="781">
      <c r="A781" s="575"/>
      <c r="B781" s="692"/>
      <c r="C781" s="709"/>
      <c r="D781" s="709"/>
      <c r="E781" s="692"/>
      <c r="F781" s="710"/>
      <c r="G781" s="575"/>
      <c r="H781" s="575"/>
      <c r="I781" s="575"/>
      <c r="J781" s="575"/>
      <c r="K781" s="575"/>
      <c r="L781" s="575"/>
      <c r="M781" s="575"/>
      <c r="N781" s="575"/>
      <c r="O781" s="575"/>
      <c r="P781" s="575"/>
      <c r="Q781" s="575"/>
      <c r="R781" s="575"/>
      <c r="S781" s="575"/>
      <c r="T781" s="575"/>
      <c r="U781" s="575"/>
      <c r="V781" s="575"/>
      <c r="W781" s="575"/>
      <c r="X781" s="575"/>
      <c r="Y781" s="575"/>
      <c r="Z781" s="575"/>
      <c r="AA781" s="575"/>
    </row>
    <row r="782">
      <c r="A782" s="575"/>
      <c r="B782" s="692"/>
      <c r="C782" s="709"/>
      <c r="D782" s="709"/>
      <c r="E782" s="692"/>
      <c r="F782" s="710"/>
      <c r="G782" s="575"/>
      <c r="H782" s="575"/>
      <c r="I782" s="575"/>
      <c r="J782" s="575"/>
      <c r="K782" s="575"/>
      <c r="L782" s="575"/>
      <c r="M782" s="575"/>
      <c r="N782" s="575"/>
      <c r="O782" s="575"/>
      <c r="P782" s="575"/>
      <c r="Q782" s="575"/>
      <c r="R782" s="575"/>
      <c r="S782" s="575"/>
      <c r="T782" s="575"/>
      <c r="U782" s="575"/>
      <c r="V782" s="575"/>
      <c r="W782" s="575"/>
      <c r="X782" s="575"/>
      <c r="Y782" s="575"/>
      <c r="Z782" s="575"/>
      <c r="AA782" s="575"/>
    </row>
    <row r="783">
      <c r="A783" s="575"/>
      <c r="B783" s="692"/>
      <c r="C783" s="709"/>
      <c r="D783" s="709"/>
      <c r="E783" s="692"/>
      <c r="F783" s="710"/>
      <c r="G783" s="575"/>
      <c r="H783" s="575"/>
      <c r="I783" s="575"/>
      <c r="J783" s="575"/>
      <c r="K783" s="575"/>
      <c r="L783" s="575"/>
      <c r="M783" s="575"/>
      <c r="N783" s="575"/>
      <c r="O783" s="575"/>
      <c r="P783" s="575"/>
      <c r="Q783" s="575"/>
      <c r="R783" s="575"/>
      <c r="S783" s="575"/>
      <c r="T783" s="575"/>
      <c r="U783" s="575"/>
      <c r="V783" s="575"/>
      <c r="W783" s="575"/>
      <c r="X783" s="575"/>
      <c r="Y783" s="575"/>
      <c r="Z783" s="575"/>
      <c r="AA783" s="575"/>
    </row>
    <row r="784">
      <c r="A784" s="575"/>
      <c r="B784" s="692"/>
      <c r="C784" s="709"/>
      <c r="D784" s="709"/>
      <c r="E784" s="692"/>
      <c r="F784" s="710"/>
      <c r="G784" s="575"/>
      <c r="H784" s="575"/>
      <c r="I784" s="575"/>
      <c r="J784" s="575"/>
      <c r="K784" s="575"/>
      <c r="L784" s="575"/>
      <c r="M784" s="575"/>
      <c r="N784" s="575"/>
      <c r="O784" s="575"/>
      <c r="P784" s="575"/>
      <c r="Q784" s="575"/>
      <c r="R784" s="575"/>
      <c r="S784" s="575"/>
      <c r="T784" s="575"/>
      <c r="U784" s="575"/>
      <c r="V784" s="575"/>
      <c r="W784" s="575"/>
      <c r="X784" s="575"/>
      <c r="Y784" s="575"/>
      <c r="Z784" s="575"/>
      <c r="AA784" s="575"/>
    </row>
    <row r="785">
      <c r="A785" s="575"/>
      <c r="B785" s="692"/>
      <c r="C785" s="709"/>
      <c r="D785" s="709"/>
      <c r="E785" s="692"/>
      <c r="F785" s="710"/>
      <c r="G785" s="575"/>
      <c r="H785" s="575"/>
      <c r="I785" s="575"/>
      <c r="J785" s="575"/>
      <c r="K785" s="575"/>
      <c r="L785" s="575"/>
      <c r="M785" s="575"/>
      <c r="N785" s="575"/>
      <c r="O785" s="575"/>
      <c r="P785" s="575"/>
      <c r="Q785" s="575"/>
      <c r="R785" s="575"/>
      <c r="S785" s="575"/>
      <c r="T785" s="575"/>
      <c r="U785" s="575"/>
      <c r="V785" s="575"/>
      <c r="W785" s="575"/>
      <c r="X785" s="575"/>
      <c r="Y785" s="575"/>
      <c r="Z785" s="575"/>
      <c r="AA785" s="575"/>
    </row>
    <row r="786">
      <c r="A786" s="575"/>
      <c r="B786" s="692"/>
      <c r="C786" s="709"/>
      <c r="D786" s="709"/>
      <c r="E786" s="692"/>
      <c r="F786" s="710"/>
      <c r="G786" s="575"/>
      <c r="H786" s="575"/>
      <c r="I786" s="575"/>
      <c r="J786" s="575"/>
      <c r="K786" s="575"/>
      <c r="L786" s="575"/>
      <c r="M786" s="575"/>
      <c r="N786" s="575"/>
      <c r="O786" s="575"/>
      <c r="P786" s="575"/>
      <c r="Q786" s="575"/>
      <c r="R786" s="575"/>
      <c r="S786" s="575"/>
      <c r="T786" s="575"/>
      <c r="U786" s="575"/>
      <c r="V786" s="575"/>
      <c r="W786" s="575"/>
      <c r="X786" s="575"/>
      <c r="Y786" s="575"/>
      <c r="Z786" s="575"/>
      <c r="AA786" s="575"/>
    </row>
    <row r="787">
      <c r="A787" s="575"/>
      <c r="B787" s="692"/>
      <c r="C787" s="709"/>
      <c r="D787" s="709"/>
      <c r="E787" s="692"/>
      <c r="F787" s="710"/>
      <c r="G787" s="575"/>
      <c r="H787" s="575"/>
      <c r="I787" s="575"/>
      <c r="J787" s="575"/>
      <c r="K787" s="575"/>
      <c r="L787" s="575"/>
      <c r="M787" s="575"/>
      <c r="N787" s="575"/>
      <c r="O787" s="575"/>
      <c r="P787" s="575"/>
      <c r="Q787" s="575"/>
      <c r="R787" s="575"/>
      <c r="S787" s="575"/>
      <c r="T787" s="575"/>
      <c r="U787" s="575"/>
      <c r="V787" s="575"/>
      <c r="W787" s="575"/>
      <c r="X787" s="575"/>
      <c r="Y787" s="575"/>
      <c r="Z787" s="575"/>
      <c r="AA787" s="575"/>
    </row>
    <row r="788">
      <c r="A788" s="575"/>
      <c r="B788" s="692"/>
      <c r="C788" s="709"/>
      <c r="D788" s="709"/>
      <c r="E788" s="692"/>
      <c r="F788" s="710"/>
      <c r="G788" s="575"/>
      <c r="H788" s="575"/>
      <c r="I788" s="575"/>
      <c r="J788" s="575"/>
      <c r="K788" s="575"/>
      <c r="L788" s="575"/>
      <c r="M788" s="575"/>
      <c r="N788" s="575"/>
      <c r="O788" s="575"/>
      <c r="P788" s="575"/>
      <c r="Q788" s="575"/>
      <c r="R788" s="575"/>
      <c r="S788" s="575"/>
      <c r="T788" s="575"/>
      <c r="U788" s="575"/>
      <c r="V788" s="575"/>
      <c r="W788" s="575"/>
      <c r="X788" s="575"/>
      <c r="Y788" s="575"/>
      <c r="Z788" s="575"/>
      <c r="AA788" s="575"/>
    </row>
    <row r="789">
      <c r="A789" s="575"/>
      <c r="B789" s="692"/>
      <c r="C789" s="709"/>
      <c r="D789" s="709"/>
      <c r="E789" s="692"/>
      <c r="F789" s="710"/>
      <c r="G789" s="575"/>
      <c r="H789" s="575"/>
      <c r="I789" s="575"/>
      <c r="J789" s="575"/>
      <c r="K789" s="575"/>
      <c r="L789" s="575"/>
      <c r="M789" s="575"/>
      <c r="N789" s="575"/>
      <c r="O789" s="575"/>
      <c r="P789" s="575"/>
      <c r="Q789" s="575"/>
      <c r="R789" s="575"/>
      <c r="S789" s="575"/>
      <c r="T789" s="575"/>
      <c r="U789" s="575"/>
      <c r="V789" s="575"/>
      <c r="W789" s="575"/>
      <c r="X789" s="575"/>
      <c r="Y789" s="575"/>
      <c r="Z789" s="575"/>
      <c r="AA789" s="575"/>
    </row>
    <row r="790">
      <c r="A790" s="575"/>
      <c r="B790" s="692"/>
      <c r="C790" s="709"/>
      <c r="D790" s="709"/>
      <c r="E790" s="692"/>
      <c r="F790" s="710"/>
      <c r="G790" s="575"/>
      <c r="H790" s="575"/>
      <c r="I790" s="575"/>
      <c r="J790" s="575"/>
      <c r="K790" s="575"/>
      <c r="L790" s="575"/>
      <c r="M790" s="575"/>
      <c r="N790" s="575"/>
      <c r="O790" s="575"/>
      <c r="P790" s="575"/>
      <c r="Q790" s="575"/>
      <c r="R790" s="575"/>
      <c r="S790" s="575"/>
      <c r="T790" s="575"/>
      <c r="U790" s="575"/>
      <c r="V790" s="575"/>
      <c r="W790" s="575"/>
      <c r="X790" s="575"/>
      <c r="Y790" s="575"/>
      <c r="Z790" s="575"/>
      <c r="AA790" s="575"/>
    </row>
    <row r="791">
      <c r="A791" s="575"/>
      <c r="B791" s="692"/>
      <c r="C791" s="709"/>
      <c r="D791" s="709"/>
      <c r="E791" s="692"/>
      <c r="F791" s="710"/>
      <c r="G791" s="575"/>
      <c r="H791" s="575"/>
      <c r="I791" s="575"/>
      <c r="J791" s="575"/>
      <c r="K791" s="575"/>
      <c r="L791" s="575"/>
      <c r="M791" s="575"/>
      <c r="N791" s="575"/>
      <c r="O791" s="575"/>
      <c r="P791" s="575"/>
      <c r="Q791" s="575"/>
      <c r="R791" s="575"/>
      <c r="S791" s="575"/>
      <c r="T791" s="575"/>
      <c r="U791" s="575"/>
      <c r="V791" s="575"/>
      <c r="W791" s="575"/>
      <c r="X791" s="575"/>
      <c r="Y791" s="575"/>
      <c r="Z791" s="575"/>
      <c r="AA791" s="575"/>
    </row>
    <row r="792">
      <c r="A792" s="575"/>
      <c r="B792" s="692"/>
      <c r="C792" s="709"/>
      <c r="D792" s="709"/>
      <c r="E792" s="692"/>
      <c r="F792" s="710"/>
      <c r="G792" s="575"/>
      <c r="H792" s="575"/>
      <c r="I792" s="575"/>
      <c r="J792" s="575"/>
      <c r="K792" s="575"/>
      <c r="L792" s="575"/>
      <c r="M792" s="575"/>
      <c r="N792" s="575"/>
      <c r="O792" s="575"/>
      <c r="P792" s="575"/>
      <c r="Q792" s="575"/>
      <c r="R792" s="575"/>
      <c r="S792" s="575"/>
      <c r="T792" s="575"/>
      <c r="U792" s="575"/>
      <c r="V792" s="575"/>
      <c r="W792" s="575"/>
      <c r="X792" s="575"/>
      <c r="Y792" s="575"/>
      <c r="Z792" s="575"/>
      <c r="AA792" s="575"/>
    </row>
    <row r="793">
      <c r="A793" s="575"/>
      <c r="B793" s="692"/>
      <c r="C793" s="709"/>
      <c r="D793" s="709"/>
      <c r="E793" s="692"/>
      <c r="F793" s="710"/>
      <c r="G793" s="575"/>
      <c r="H793" s="575"/>
      <c r="I793" s="575"/>
      <c r="J793" s="575"/>
      <c r="K793" s="575"/>
      <c r="L793" s="575"/>
      <c r="M793" s="575"/>
      <c r="N793" s="575"/>
      <c r="O793" s="575"/>
      <c r="P793" s="575"/>
      <c r="Q793" s="575"/>
      <c r="R793" s="575"/>
      <c r="S793" s="575"/>
      <c r="T793" s="575"/>
      <c r="U793" s="575"/>
      <c r="V793" s="575"/>
      <c r="W793" s="575"/>
      <c r="X793" s="575"/>
      <c r="Y793" s="575"/>
      <c r="Z793" s="575"/>
      <c r="AA793" s="575"/>
    </row>
    <row r="794">
      <c r="A794" s="575"/>
      <c r="B794" s="692"/>
      <c r="C794" s="709"/>
      <c r="D794" s="709"/>
      <c r="E794" s="692"/>
      <c r="F794" s="710"/>
      <c r="G794" s="575"/>
      <c r="H794" s="575"/>
      <c r="I794" s="575"/>
      <c r="J794" s="575"/>
      <c r="K794" s="575"/>
      <c r="L794" s="575"/>
      <c r="M794" s="575"/>
      <c r="N794" s="575"/>
      <c r="O794" s="575"/>
      <c r="P794" s="575"/>
      <c r="Q794" s="575"/>
      <c r="R794" s="575"/>
      <c r="S794" s="575"/>
      <c r="T794" s="575"/>
      <c r="U794" s="575"/>
      <c r="V794" s="575"/>
      <c r="W794" s="575"/>
      <c r="X794" s="575"/>
      <c r="Y794" s="575"/>
      <c r="Z794" s="575"/>
      <c r="AA794" s="575"/>
    </row>
    <row r="795">
      <c r="A795" s="575"/>
      <c r="B795" s="692"/>
      <c r="C795" s="709"/>
      <c r="D795" s="709"/>
      <c r="E795" s="692"/>
      <c r="F795" s="710"/>
      <c r="G795" s="575"/>
      <c r="H795" s="575"/>
      <c r="I795" s="575"/>
      <c r="J795" s="575"/>
      <c r="K795" s="575"/>
      <c r="L795" s="575"/>
      <c r="M795" s="575"/>
      <c r="N795" s="575"/>
      <c r="O795" s="575"/>
      <c r="P795" s="575"/>
      <c r="Q795" s="575"/>
      <c r="R795" s="575"/>
      <c r="S795" s="575"/>
      <c r="T795" s="575"/>
      <c r="U795" s="575"/>
      <c r="V795" s="575"/>
      <c r="W795" s="575"/>
      <c r="X795" s="575"/>
      <c r="Y795" s="575"/>
      <c r="Z795" s="575"/>
      <c r="AA795" s="575"/>
    </row>
    <row r="796">
      <c r="A796" s="575"/>
      <c r="B796" s="692"/>
      <c r="C796" s="709"/>
      <c r="D796" s="709"/>
      <c r="E796" s="692"/>
      <c r="F796" s="710"/>
      <c r="G796" s="575"/>
      <c r="H796" s="575"/>
      <c r="I796" s="575"/>
      <c r="J796" s="575"/>
      <c r="K796" s="575"/>
      <c r="L796" s="575"/>
      <c r="M796" s="575"/>
      <c r="N796" s="575"/>
      <c r="O796" s="575"/>
      <c r="P796" s="575"/>
      <c r="Q796" s="575"/>
      <c r="R796" s="575"/>
      <c r="S796" s="575"/>
      <c r="T796" s="575"/>
      <c r="U796" s="575"/>
      <c r="V796" s="575"/>
      <c r="W796" s="575"/>
      <c r="X796" s="575"/>
      <c r="Y796" s="575"/>
      <c r="Z796" s="575"/>
      <c r="AA796" s="575"/>
    </row>
    <row r="797">
      <c r="A797" s="575"/>
      <c r="B797" s="692"/>
      <c r="C797" s="709"/>
      <c r="D797" s="709"/>
      <c r="E797" s="692"/>
      <c r="F797" s="710"/>
      <c r="G797" s="575"/>
      <c r="H797" s="575"/>
      <c r="I797" s="575"/>
      <c r="J797" s="575"/>
      <c r="K797" s="575"/>
      <c r="L797" s="575"/>
      <c r="M797" s="575"/>
      <c r="N797" s="575"/>
      <c r="O797" s="575"/>
      <c r="P797" s="575"/>
      <c r="Q797" s="575"/>
      <c r="R797" s="575"/>
      <c r="S797" s="575"/>
      <c r="T797" s="575"/>
      <c r="U797" s="575"/>
      <c r="V797" s="575"/>
      <c r="W797" s="575"/>
      <c r="X797" s="575"/>
      <c r="Y797" s="575"/>
      <c r="Z797" s="575"/>
      <c r="AA797" s="575"/>
    </row>
    <row r="798">
      <c r="A798" s="575"/>
      <c r="B798" s="692"/>
      <c r="C798" s="709"/>
      <c r="D798" s="709"/>
      <c r="E798" s="692"/>
      <c r="F798" s="710"/>
      <c r="G798" s="575"/>
      <c r="H798" s="575"/>
      <c r="I798" s="575"/>
      <c r="J798" s="575"/>
      <c r="K798" s="575"/>
      <c r="L798" s="575"/>
      <c r="M798" s="575"/>
      <c r="N798" s="575"/>
      <c r="O798" s="575"/>
      <c r="P798" s="575"/>
      <c r="Q798" s="575"/>
      <c r="R798" s="575"/>
      <c r="S798" s="575"/>
      <c r="T798" s="575"/>
      <c r="U798" s="575"/>
      <c r="V798" s="575"/>
      <c r="W798" s="575"/>
      <c r="X798" s="575"/>
      <c r="Y798" s="575"/>
      <c r="Z798" s="575"/>
      <c r="AA798" s="575"/>
    </row>
    <row r="799">
      <c r="A799" s="575"/>
      <c r="B799" s="692"/>
      <c r="C799" s="709"/>
      <c r="D799" s="709"/>
      <c r="E799" s="692"/>
      <c r="F799" s="710"/>
      <c r="G799" s="575"/>
      <c r="H799" s="575"/>
      <c r="I799" s="575"/>
      <c r="J799" s="575"/>
      <c r="K799" s="575"/>
      <c r="L799" s="575"/>
      <c r="M799" s="575"/>
      <c r="N799" s="575"/>
      <c r="O799" s="575"/>
      <c r="P799" s="575"/>
      <c r="Q799" s="575"/>
      <c r="R799" s="575"/>
      <c r="S799" s="575"/>
      <c r="T799" s="575"/>
      <c r="U799" s="575"/>
      <c r="V799" s="575"/>
      <c r="W799" s="575"/>
      <c r="X799" s="575"/>
      <c r="Y799" s="575"/>
      <c r="Z799" s="575"/>
      <c r="AA799" s="575"/>
    </row>
    <row r="800">
      <c r="A800" s="575"/>
      <c r="B800" s="692"/>
      <c r="C800" s="709"/>
      <c r="D800" s="709"/>
      <c r="E800" s="692"/>
      <c r="F800" s="710"/>
      <c r="G800" s="575"/>
      <c r="H800" s="575"/>
      <c r="I800" s="575"/>
      <c r="J800" s="575"/>
      <c r="K800" s="575"/>
      <c r="L800" s="575"/>
      <c r="M800" s="575"/>
      <c r="N800" s="575"/>
      <c r="O800" s="575"/>
      <c r="P800" s="575"/>
      <c r="Q800" s="575"/>
      <c r="R800" s="575"/>
      <c r="S800" s="575"/>
      <c r="T800" s="575"/>
      <c r="U800" s="575"/>
      <c r="V800" s="575"/>
      <c r="W800" s="575"/>
      <c r="X800" s="575"/>
      <c r="Y800" s="575"/>
      <c r="Z800" s="575"/>
      <c r="AA800" s="575"/>
    </row>
    <row r="801">
      <c r="A801" s="575"/>
      <c r="B801" s="692"/>
      <c r="C801" s="709"/>
      <c r="D801" s="709"/>
      <c r="E801" s="692"/>
      <c r="F801" s="710"/>
      <c r="G801" s="575"/>
      <c r="H801" s="575"/>
      <c r="I801" s="575"/>
      <c r="J801" s="575"/>
      <c r="K801" s="575"/>
      <c r="L801" s="575"/>
      <c r="M801" s="575"/>
      <c r="N801" s="575"/>
      <c r="O801" s="575"/>
      <c r="P801" s="575"/>
      <c r="Q801" s="575"/>
      <c r="R801" s="575"/>
      <c r="S801" s="575"/>
      <c r="T801" s="575"/>
      <c r="U801" s="575"/>
      <c r="V801" s="575"/>
      <c r="W801" s="575"/>
      <c r="X801" s="575"/>
      <c r="Y801" s="575"/>
      <c r="Z801" s="575"/>
      <c r="AA801" s="575"/>
    </row>
    <row r="802">
      <c r="A802" s="575"/>
      <c r="B802" s="692"/>
      <c r="C802" s="709"/>
      <c r="D802" s="709"/>
      <c r="E802" s="692"/>
      <c r="F802" s="710"/>
      <c r="G802" s="575"/>
      <c r="H802" s="575"/>
      <c r="I802" s="575"/>
      <c r="J802" s="575"/>
      <c r="K802" s="575"/>
      <c r="L802" s="575"/>
      <c r="M802" s="575"/>
      <c r="N802" s="575"/>
      <c r="O802" s="575"/>
      <c r="P802" s="575"/>
      <c r="Q802" s="575"/>
      <c r="R802" s="575"/>
      <c r="S802" s="575"/>
      <c r="T802" s="575"/>
      <c r="U802" s="575"/>
      <c r="V802" s="575"/>
      <c r="W802" s="575"/>
      <c r="X802" s="575"/>
      <c r="Y802" s="575"/>
      <c r="Z802" s="575"/>
      <c r="AA802" s="575"/>
    </row>
    <row r="803">
      <c r="A803" s="575"/>
      <c r="B803" s="692"/>
      <c r="C803" s="709"/>
      <c r="D803" s="709"/>
      <c r="E803" s="692"/>
      <c r="F803" s="710"/>
      <c r="G803" s="575"/>
      <c r="H803" s="575"/>
      <c r="I803" s="575"/>
      <c r="J803" s="575"/>
      <c r="K803" s="575"/>
      <c r="L803" s="575"/>
      <c r="M803" s="575"/>
      <c r="N803" s="575"/>
      <c r="O803" s="575"/>
      <c r="P803" s="575"/>
      <c r="Q803" s="575"/>
      <c r="R803" s="575"/>
      <c r="S803" s="575"/>
      <c r="T803" s="575"/>
      <c r="U803" s="575"/>
      <c r="V803" s="575"/>
      <c r="W803" s="575"/>
      <c r="X803" s="575"/>
      <c r="Y803" s="575"/>
      <c r="Z803" s="575"/>
      <c r="AA803" s="575"/>
    </row>
    <row r="804">
      <c r="A804" s="575"/>
      <c r="B804" s="692"/>
      <c r="C804" s="709"/>
      <c r="D804" s="709"/>
      <c r="E804" s="692"/>
      <c r="F804" s="710"/>
      <c r="G804" s="575"/>
      <c r="H804" s="575"/>
      <c r="I804" s="575"/>
      <c r="J804" s="575"/>
      <c r="K804" s="575"/>
      <c r="L804" s="575"/>
      <c r="M804" s="575"/>
      <c r="N804" s="575"/>
      <c r="O804" s="575"/>
      <c r="P804" s="575"/>
      <c r="Q804" s="575"/>
      <c r="R804" s="575"/>
      <c r="S804" s="575"/>
      <c r="T804" s="575"/>
      <c r="U804" s="575"/>
      <c r="V804" s="575"/>
      <c r="W804" s="575"/>
      <c r="X804" s="575"/>
      <c r="Y804" s="575"/>
      <c r="Z804" s="575"/>
      <c r="AA804" s="575"/>
    </row>
    <row r="805">
      <c r="A805" s="575"/>
      <c r="B805" s="692"/>
      <c r="C805" s="709"/>
      <c r="D805" s="709"/>
      <c r="E805" s="692"/>
      <c r="F805" s="710"/>
      <c r="G805" s="575"/>
      <c r="H805" s="575"/>
      <c r="I805" s="575"/>
      <c r="J805" s="575"/>
      <c r="K805" s="575"/>
      <c r="L805" s="575"/>
      <c r="M805" s="575"/>
      <c r="N805" s="575"/>
      <c r="O805" s="575"/>
      <c r="P805" s="575"/>
      <c r="Q805" s="575"/>
      <c r="R805" s="575"/>
      <c r="S805" s="575"/>
      <c r="T805" s="575"/>
      <c r="U805" s="575"/>
      <c r="V805" s="575"/>
      <c r="W805" s="575"/>
      <c r="X805" s="575"/>
      <c r="Y805" s="575"/>
      <c r="Z805" s="575"/>
      <c r="AA805" s="575"/>
    </row>
    <row r="806">
      <c r="A806" s="575"/>
      <c r="B806" s="692"/>
      <c r="C806" s="709"/>
      <c r="D806" s="709"/>
      <c r="E806" s="692"/>
      <c r="F806" s="710"/>
      <c r="G806" s="575"/>
      <c r="H806" s="575"/>
      <c r="I806" s="575"/>
      <c r="J806" s="575"/>
      <c r="K806" s="575"/>
      <c r="L806" s="575"/>
      <c r="M806" s="575"/>
      <c r="N806" s="575"/>
      <c r="O806" s="575"/>
      <c r="P806" s="575"/>
      <c r="Q806" s="575"/>
      <c r="R806" s="575"/>
      <c r="S806" s="575"/>
      <c r="T806" s="575"/>
      <c r="U806" s="575"/>
      <c r="V806" s="575"/>
      <c r="W806" s="575"/>
      <c r="X806" s="575"/>
      <c r="Y806" s="575"/>
      <c r="Z806" s="575"/>
      <c r="AA806" s="575"/>
    </row>
    <row r="807">
      <c r="A807" s="575"/>
      <c r="B807" s="692"/>
      <c r="C807" s="709"/>
      <c r="D807" s="709"/>
      <c r="E807" s="692"/>
      <c r="F807" s="710"/>
      <c r="G807" s="575"/>
      <c r="H807" s="575"/>
      <c r="I807" s="575"/>
      <c r="J807" s="575"/>
      <c r="K807" s="575"/>
      <c r="L807" s="575"/>
      <c r="M807" s="575"/>
      <c r="N807" s="575"/>
      <c r="O807" s="575"/>
      <c r="P807" s="575"/>
      <c r="Q807" s="575"/>
      <c r="R807" s="575"/>
      <c r="S807" s="575"/>
      <c r="T807" s="575"/>
      <c r="U807" s="575"/>
      <c r="V807" s="575"/>
      <c r="W807" s="575"/>
      <c r="X807" s="575"/>
      <c r="Y807" s="575"/>
      <c r="Z807" s="575"/>
      <c r="AA807" s="575"/>
    </row>
    <row r="808">
      <c r="A808" s="575"/>
      <c r="B808" s="692"/>
      <c r="C808" s="709"/>
      <c r="D808" s="709"/>
      <c r="E808" s="692"/>
      <c r="F808" s="710"/>
      <c r="G808" s="575"/>
      <c r="H808" s="575"/>
      <c r="I808" s="575"/>
      <c r="J808" s="575"/>
      <c r="K808" s="575"/>
      <c r="L808" s="575"/>
      <c r="M808" s="575"/>
      <c r="N808" s="575"/>
      <c r="O808" s="575"/>
      <c r="P808" s="575"/>
      <c r="Q808" s="575"/>
      <c r="R808" s="575"/>
      <c r="S808" s="575"/>
      <c r="T808" s="575"/>
      <c r="U808" s="575"/>
      <c r="V808" s="575"/>
      <c r="W808" s="575"/>
      <c r="X808" s="575"/>
      <c r="Y808" s="575"/>
      <c r="Z808" s="575"/>
      <c r="AA808" s="575"/>
    </row>
    <row r="809">
      <c r="A809" s="575"/>
      <c r="B809" s="692"/>
      <c r="C809" s="709"/>
      <c r="D809" s="709"/>
      <c r="E809" s="692"/>
      <c r="F809" s="710"/>
      <c r="G809" s="575"/>
      <c r="H809" s="575"/>
      <c r="I809" s="575"/>
      <c r="J809" s="575"/>
      <c r="K809" s="575"/>
      <c r="L809" s="575"/>
      <c r="M809" s="575"/>
      <c r="N809" s="575"/>
      <c r="O809" s="575"/>
      <c r="P809" s="575"/>
      <c r="Q809" s="575"/>
      <c r="R809" s="575"/>
      <c r="S809" s="575"/>
      <c r="T809" s="575"/>
      <c r="U809" s="575"/>
      <c r="V809" s="575"/>
      <c r="W809" s="575"/>
      <c r="X809" s="575"/>
      <c r="Y809" s="575"/>
      <c r="Z809" s="575"/>
      <c r="AA809" s="575"/>
    </row>
    <row r="810">
      <c r="A810" s="575"/>
      <c r="B810" s="692"/>
      <c r="C810" s="709"/>
      <c r="D810" s="709"/>
      <c r="E810" s="692"/>
      <c r="F810" s="710"/>
      <c r="G810" s="575"/>
      <c r="H810" s="575"/>
      <c r="I810" s="575"/>
      <c r="J810" s="575"/>
      <c r="K810" s="575"/>
      <c r="L810" s="575"/>
      <c r="M810" s="575"/>
      <c r="N810" s="575"/>
      <c r="O810" s="575"/>
      <c r="P810" s="575"/>
      <c r="Q810" s="575"/>
      <c r="R810" s="575"/>
      <c r="S810" s="575"/>
      <c r="T810" s="575"/>
      <c r="U810" s="575"/>
      <c r="V810" s="575"/>
      <c r="W810" s="575"/>
      <c r="X810" s="575"/>
      <c r="Y810" s="575"/>
      <c r="Z810" s="575"/>
      <c r="AA810" s="575"/>
    </row>
    <row r="811">
      <c r="A811" s="575"/>
      <c r="B811" s="692"/>
      <c r="C811" s="709"/>
      <c r="D811" s="709"/>
      <c r="E811" s="692"/>
      <c r="F811" s="710"/>
      <c r="G811" s="575"/>
      <c r="H811" s="575"/>
      <c r="I811" s="575"/>
      <c r="J811" s="575"/>
      <c r="K811" s="575"/>
      <c r="L811" s="575"/>
      <c r="M811" s="575"/>
      <c r="N811" s="575"/>
      <c r="O811" s="575"/>
      <c r="P811" s="575"/>
      <c r="Q811" s="575"/>
      <c r="R811" s="575"/>
      <c r="S811" s="575"/>
      <c r="T811" s="575"/>
      <c r="U811" s="575"/>
      <c r="V811" s="575"/>
      <c r="W811" s="575"/>
      <c r="X811" s="575"/>
      <c r="Y811" s="575"/>
      <c r="Z811" s="575"/>
      <c r="AA811" s="575"/>
    </row>
    <row r="812">
      <c r="A812" s="575"/>
      <c r="B812" s="692"/>
      <c r="C812" s="709"/>
      <c r="D812" s="709"/>
      <c r="E812" s="692"/>
      <c r="F812" s="710"/>
      <c r="G812" s="575"/>
      <c r="H812" s="575"/>
      <c r="I812" s="575"/>
      <c r="J812" s="575"/>
      <c r="K812" s="575"/>
      <c r="L812" s="575"/>
      <c r="M812" s="575"/>
      <c r="N812" s="575"/>
      <c r="O812" s="575"/>
      <c r="P812" s="575"/>
      <c r="Q812" s="575"/>
      <c r="R812" s="575"/>
      <c r="S812" s="575"/>
      <c r="T812" s="575"/>
      <c r="U812" s="575"/>
      <c r="V812" s="575"/>
      <c r="W812" s="575"/>
      <c r="X812" s="575"/>
      <c r="Y812" s="575"/>
      <c r="Z812" s="575"/>
      <c r="AA812" s="575"/>
    </row>
    <row r="813">
      <c r="A813" s="575"/>
      <c r="B813" s="692"/>
      <c r="C813" s="709"/>
      <c r="D813" s="709"/>
      <c r="E813" s="692"/>
      <c r="F813" s="710"/>
      <c r="G813" s="575"/>
      <c r="H813" s="575"/>
      <c r="I813" s="575"/>
      <c r="J813" s="575"/>
      <c r="K813" s="575"/>
      <c r="L813" s="575"/>
      <c r="M813" s="575"/>
      <c r="N813" s="575"/>
      <c r="O813" s="575"/>
      <c r="P813" s="575"/>
      <c r="Q813" s="575"/>
      <c r="R813" s="575"/>
      <c r="S813" s="575"/>
      <c r="T813" s="575"/>
      <c r="U813" s="575"/>
      <c r="V813" s="575"/>
      <c r="W813" s="575"/>
      <c r="X813" s="575"/>
      <c r="Y813" s="575"/>
      <c r="Z813" s="575"/>
      <c r="AA813" s="575"/>
    </row>
    <row r="814">
      <c r="A814" s="575"/>
      <c r="B814" s="692"/>
      <c r="C814" s="709"/>
      <c r="D814" s="709"/>
      <c r="E814" s="692"/>
      <c r="F814" s="710"/>
      <c r="G814" s="575"/>
      <c r="H814" s="575"/>
      <c r="I814" s="575"/>
      <c r="J814" s="575"/>
      <c r="K814" s="575"/>
      <c r="L814" s="575"/>
      <c r="M814" s="575"/>
      <c r="N814" s="575"/>
      <c r="O814" s="575"/>
      <c r="P814" s="575"/>
      <c r="Q814" s="575"/>
      <c r="R814" s="575"/>
      <c r="S814" s="575"/>
      <c r="T814" s="575"/>
      <c r="U814" s="575"/>
      <c r="V814" s="575"/>
      <c r="W814" s="575"/>
      <c r="X814" s="575"/>
      <c r="Y814" s="575"/>
      <c r="Z814" s="575"/>
      <c r="AA814" s="575"/>
    </row>
    <row r="815">
      <c r="A815" s="575"/>
      <c r="B815" s="692"/>
      <c r="C815" s="709"/>
      <c r="D815" s="709"/>
      <c r="E815" s="692"/>
      <c r="F815" s="710"/>
      <c r="G815" s="575"/>
      <c r="H815" s="575"/>
      <c r="I815" s="575"/>
      <c r="J815" s="575"/>
      <c r="K815" s="575"/>
      <c r="L815" s="575"/>
      <c r="M815" s="575"/>
      <c r="N815" s="575"/>
      <c r="O815" s="575"/>
      <c r="P815" s="575"/>
      <c r="Q815" s="575"/>
      <c r="R815" s="575"/>
      <c r="S815" s="575"/>
      <c r="T815" s="575"/>
      <c r="U815" s="575"/>
      <c r="V815" s="575"/>
      <c r="W815" s="575"/>
      <c r="X815" s="575"/>
      <c r="Y815" s="575"/>
      <c r="Z815" s="575"/>
      <c r="AA815" s="575"/>
    </row>
    <row r="816">
      <c r="A816" s="575"/>
      <c r="B816" s="692"/>
      <c r="C816" s="709"/>
      <c r="D816" s="709"/>
      <c r="E816" s="692"/>
      <c r="F816" s="710"/>
      <c r="G816" s="575"/>
      <c r="H816" s="575"/>
      <c r="I816" s="575"/>
      <c r="J816" s="575"/>
      <c r="K816" s="575"/>
      <c r="L816" s="575"/>
      <c r="M816" s="575"/>
      <c r="N816" s="575"/>
      <c r="O816" s="575"/>
      <c r="P816" s="575"/>
      <c r="Q816" s="575"/>
      <c r="R816" s="575"/>
      <c r="S816" s="575"/>
      <c r="T816" s="575"/>
      <c r="U816" s="575"/>
      <c r="V816" s="575"/>
      <c r="W816" s="575"/>
      <c r="X816" s="575"/>
      <c r="Y816" s="575"/>
      <c r="Z816" s="575"/>
      <c r="AA816" s="575"/>
    </row>
    <row r="817">
      <c r="A817" s="575"/>
      <c r="B817" s="692"/>
      <c r="C817" s="709"/>
      <c r="D817" s="709"/>
      <c r="E817" s="692"/>
      <c r="F817" s="710"/>
      <c r="G817" s="575"/>
      <c r="H817" s="575"/>
      <c r="I817" s="575"/>
      <c r="J817" s="575"/>
      <c r="K817" s="575"/>
      <c r="L817" s="575"/>
      <c r="M817" s="575"/>
      <c r="N817" s="575"/>
      <c r="O817" s="575"/>
      <c r="P817" s="575"/>
      <c r="Q817" s="575"/>
      <c r="R817" s="575"/>
      <c r="S817" s="575"/>
      <c r="T817" s="575"/>
      <c r="U817" s="575"/>
      <c r="V817" s="575"/>
      <c r="W817" s="575"/>
      <c r="X817" s="575"/>
      <c r="Y817" s="575"/>
      <c r="Z817" s="575"/>
      <c r="AA817" s="575"/>
    </row>
    <row r="818">
      <c r="A818" s="575"/>
      <c r="B818" s="692"/>
      <c r="C818" s="709"/>
      <c r="D818" s="709"/>
      <c r="E818" s="692"/>
      <c r="F818" s="710"/>
      <c r="G818" s="575"/>
      <c r="H818" s="575"/>
      <c r="I818" s="575"/>
      <c r="J818" s="575"/>
      <c r="K818" s="575"/>
      <c r="L818" s="575"/>
      <c r="M818" s="575"/>
      <c r="N818" s="575"/>
      <c r="O818" s="575"/>
      <c r="P818" s="575"/>
      <c r="Q818" s="575"/>
      <c r="R818" s="575"/>
      <c r="S818" s="575"/>
      <c r="T818" s="575"/>
      <c r="U818" s="575"/>
      <c r="V818" s="575"/>
      <c r="W818" s="575"/>
      <c r="X818" s="575"/>
      <c r="Y818" s="575"/>
      <c r="Z818" s="575"/>
      <c r="AA818" s="575"/>
    </row>
    <row r="819">
      <c r="A819" s="575"/>
      <c r="B819" s="692"/>
      <c r="C819" s="709"/>
      <c r="D819" s="709"/>
      <c r="E819" s="692"/>
      <c r="F819" s="710"/>
      <c r="G819" s="575"/>
      <c r="H819" s="575"/>
      <c r="I819" s="575"/>
      <c r="J819" s="575"/>
      <c r="K819" s="575"/>
      <c r="L819" s="575"/>
      <c r="M819" s="575"/>
      <c r="N819" s="575"/>
      <c r="O819" s="575"/>
      <c r="P819" s="575"/>
      <c r="Q819" s="575"/>
      <c r="R819" s="575"/>
      <c r="S819" s="575"/>
      <c r="T819" s="575"/>
      <c r="U819" s="575"/>
      <c r="V819" s="575"/>
      <c r="W819" s="575"/>
      <c r="X819" s="575"/>
      <c r="Y819" s="575"/>
      <c r="Z819" s="575"/>
      <c r="AA819" s="575"/>
    </row>
    <row r="820">
      <c r="A820" s="575"/>
      <c r="B820" s="692"/>
      <c r="C820" s="709"/>
      <c r="D820" s="709"/>
      <c r="E820" s="692"/>
      <c r="F820" s="710"/>
      <c r="G820" s="575"/>
      <c r="H820" s="575"/>
      <c r="I820" s="575"/>
      <c r="J820" s="575"/>
      <c r="K820" s="575"/>
      <c r="L820" s="575"/>
      <c r="M820" s="575"/>
      <c r="N820" s="575"/>
      <c r="O820" s="575"/>
      <c r="P820" s="575"/>
      <c r="Q820" s="575"/>
      <c r="R820" s="575"/>
      <c r="S820" s="575"/>
      <c r="T820" s="575"/>
      <c r="U820" s="575"/>
      <c r="V820" s="575"/>
      <c r="W820" s="575"/>
      <c r="X820" s="575"/>
      <c r="Y820" s="575"/>
      <c r="Z820" s="575"/>
      <c r="AA820" s="575"/>
    </row>
    <row r="821">
      <c r="A821" s="575"/>
      <c r="B821" s="692"/>
      <c r="C821" s="709"/>
      <c r="D821" s="709"/>
      <c r="E821" s="692"/>
      <c r="F821" s="710"/>
      <c r="G821" s="575"/>
      <c r="H821" s="575"/>
      <c r="I821" s="575"/>
      <c r="J821" s="575"/>
      <c r="K821" s="575"/>
      <c r="L821" s="575"/>
      <c r="M821" s="575"/>
      <c r="N821" s="575"/>
      <c r="O821" s="575"/>
      <c r="P821" s="575"/>
      <c r="Q821" s="575"/>
      <c r="R821" s="575"/>
      <c r="S821" s="575"/>
      <c r="T821" s="575"/>
      <c r="U821" s="575"/>
      <c r="V821" s="575"/>
      <c r="W821" s="575"/>
      <c r="X821" s="575"/>
      <c r="Y821" s="575"/>
      <c r="Z821" s="575"/>
      <c r="AA821" s="575"/>
    </row>
    <row r="822">
      <c r="A822" s="575"/>
      <c r="B822" s="692"/>
      <c r="C822" s="709"/>
      <c r="D822" s="709"/>
      <c r="E822" s="692"/>
      <c r="F822" s="710"/>
      <c r="G822" s="575"/>
      <c r="H822" s="575"/>
      <c r="I822" s="575"/>
      <c r="J822" s="575"/>
      <c r="K822" s="575"/>
      <c r="L822" s="575"/>
      <c r="M822" s="575"/>
      <c r="N822" s="575"/>
      <c r="O822" s="575"/>
      <c r="P822" s="575"/>
      <c r="Q822" s="575"/>
      <c r="R822" s="575"/>
      <c r="S822" s="575"/>
      <c r="T822" s="575"/>
      <c r="U822" s="575"/>
      <c r="V822" s="575"/>
      <c r="W822" s="575"/>
      <c r="X822" s="575"/>
      <c r="Y822" s="575"/>
      <c r="Z822" s="575"/>
      <c r="AA822" s="575"/>
    </row>
    <row r="823">
      <c r="A823" s="575"/>
      <c r="B823" s="692"/>
      <c r="C823" s="709"/>
      <c r="D823" s="709"/>
      <c r="E823" s="692"/>
      <c r="F823" s="710"/>
      <c r="G823" s="575"/>
      <c r="H823" s="575"/>
      <c r="I823" s="575"/>
      <c r="J823" s="575"/>
      <c r="K823" s="575"/>
      <c r="L823" s="575"/>
      <c r="M823" s="575"/>
      <c r="N823" s="575"/>
      <c r="O823" s="575"/>
      <c r="P823" s="575"/>
      <c r="Q823" s="575"/>
      <c r="R823" s="575"/>
      <c r="S823" s="575"/>
      <c r="T823" s="575"/>
      <c r="U823" s="575"/>
      <c r="V823" s="575"/>
      <c r="W823" s="575"/>
      <c r="X823" s="575"/>
      <c r="Y823" s="575"/>
      <c r="Z823" s="575"/>
      <c r="AA823" s="575"/>
    </row>
    <row r="824">
      <c r="A824" s="575"/>
      <c r="B824" s="692"/>
      <c r="C824" s="709"/>
      <c r="D824" s="709"/>
      <c r="E824" s="692"/>
      <c r="F824" s="710"/>
      <c r="G824" s="575"/>
      <c r="H824" s="575"/>
      <c r="I824" s="575"/>
      <c r="J824" s="575"/>
      <c r="K824" s="575"/>
      <c r="L824" s="575"/>
      <c r="M824" s="575"/>
      <c r="N824" s="575"/>
      <c r="O824" s="575"/>
      <c r="P824" s="575"/>
      <c r="Q824" s="575"/>
      <c r="R824" s="575"/>
      <c r="S824" s="575"/>
      <c r="T824" s="575"/>
      <c r="U824" s="575"/>
      <c r="V824" s="575"/>
      <c r="W824" s="575"/>
      <c r="X824" s="575"/>
      <c r="Y824" s="575"/>
      <c r="Z824" s="575"/>
      <c r="AA824" s="575"/>
    </row>
    <row r="825">
      <c r="A825" s="575"/>
      <c r="B825" s="692"/>
      <c r="C825" s="709"/>
      <c r="D825" s="709"/>
      <c r="E825" s="692"/>
      <c r="F825" s="710"/>
      <c r="G825" s="575"/>
      <c r="H825" s="575"/>
      <c r="I825" s="575"/>
      <c r="J825" s="575"/>
      <c r="K825" s="575"/>
      <c r="L825" s="575"/>
      <c r="M825" s="575"/>
      <c r="N825" s="575"/>
      <c r="O825" s="575"/>
      <c r="P825" s="575"/>
      <c r="Q825" s="575"/>
      <c r="R825" s="575"/>
      <c r="S825" s="575"/>
      <c r="T825" s="575"/>
      <c r="U825" s="575"/>
      <c r="V825" s="575"/>
      <c r="W825" s="575"/>
      <c r="X825" s="575"/>
      <c r="Y825" s="575"/>
      <c r="Z825" s="575"/>
      <c r="AA825" s="575"/>
    </row>
    <row r="826">
      <c r="A826" s="575"/>
      <c r="B826" s="692"/>
      <c r="C826" s="709"/>
      <c r="D826" s="709"/>
      <c r="E826" s="692"/>
      <c r="F826" s="710"/>
      <c r="G826" s="575"/>
      <c r="H826" s="575"/>
      <c r="I826" s="575"/>
      <c r="J826" s="575"/>
      <c r="K826" s="575"/>
      <c r="L826" s="575"/>
      <c r="M826" s="575"/>
      <c r="N826" s="575"/>
      <c r="O826" s="575"/>
      <c r="P826" s="575"/>
      <c r="Q826" s="575"/>
      <c r="R826" s="575"/>
      <c r="S826" s="575"/>
      <c r="T826" s="575"/>
      <c r="U826" s="575"/>
      <c r="V826" s="575"/>
      <c r="W826" s="575"/>
      <c r="X826" s="575"/>
      <c r="Y826" s="575"/>
      <c r="Z826" s="575"/>
      <c r="AA826" s="575"/>
    </row>
    <row r="827">
      <c r="A827" s="575"/>
      <c r="B827" s="692"/>
      <c r="C827" s="709"/>
      <c r="D827" s="709"/>
      <c r="E827" s="692"/>
      <c r="F827" s="710"/>
      <c r="G827" s="575"/>
      <c r="H827" s="575"/>
      <c r="I827" s="575"/>
      <c r="J827" s="575"/>
      <c r="K827" s="575"/>
      <c r="L827" s="575"/>
      <c r="M827" s="575"/>
      <c r="N827" s="575"/>
      <c r="O827" s="575"/>
      <c r="P827" s="575"/>
      <c r="Q827" s="575"/>
      <c r="R827" s="575"/>
      <c r="S827" s="575"/>
      <c r="T827" s="575"/>
      <c r="U827" s="575"/>
      <c r="V827" s="575"/>
      <c r="W827" s="575"/>
      <c r="X827" s="575"/>
      <c r="Y827" s="575"/>
      <c r="Z827" s="575"/>
      <c r="AA827" s="575"/>
    </row>
    <row r="828">
      <c r="A828" s="575"/>
      <c r="B828" s="692"/>
      <c r="C828" s="709"/>
      <c r="D828" s="709"/>
      <c r="E828" s="692"/>
      <c r="F828" s="710"/>
      <c r="G828" s="575"/>
      <c r="H828" s="575"/>
      <c r="I828" s="575"/>
      <c r="J828" s="575"/>
      <c r="K828" s="575"/>
      <c r="L828" s="575"/>
      <c r="M828" s="575"/>
      <c r="N828" s="575"/>
      <c r="O828" s="575"/>
      <c r="P828" s="575"/>
      <c r="Q828" s="575"/>
      <c r="R828" s="575"/>
      <c r="S828" s="575"/>
      <c r="T828" s="575"/>
      <c r="U828" s="575"/>
      <c r="V828" s="575"/>
      <c r="W828" s="575"/>
      <c r="X828" s="575"/>
      <c r="Y828" s="575"/>
      <c r="Z828" s="575"/>
      <c r="AA828" s="575"/>
    </row>
    <row r="829">
      <c r="A829" s="575"/>
      <c r="B829" s="692"/>
      <c r="C829" s="709"/>
      <c r="D829" s="709"/>
      <c r="E829" s="692"/>
      <c r="F829" s="710"/>
      <c r="G829" s="575"/>
      <c r="H829" s="575"/>
      <c r="I829" s="575"/>
      <c r="J829" s="575"/>
      <c r="K829" s="575"/>
      <c r="L829" s="575"/>
      <c r="M829" s="575"/>
      <c r="N829" s="575"/>
      <c r="O829" s="575"/>
      <c r="P829" s="575"/>
      <c r="Q829" s="575"/>
      <c r="R829" s="575"/>
      <c r="S829" s="575"/>
      <c r="T829" s="575"/>
      <c r="U829" s="575"/>
      <c r="V829" s="575"/>
      <c r="W829" s="575"/>
      <c r="X829" s="575"/>
      <c r="Y829" s="575"/>
      <c r="Z829" s="575"/>
      <c r="AA829" s="575"/>
    </row>
    <row r="830">
      <c r="A830" s="575"/>
      <c r="B830" s="692"/>
      <c r="C830" s="709"/>
      <c r="D830" s="709"/>
      <c r="E830" s="692"/>
      <c r="F830" s="710"/>
      <c r="G830" s="575"/>
      <c r="H830" s="575"/>
      <c r="I830" s="575"/>
      <c r="J830" s="575"/>
      <c r="K830" s="575"/>
      <c r="L830" s="575"/>
      <c r="M830" s="575"/>
      <c r="N830" s="575"/>
      <c r="O830" s="575"/>
      <c r="P830" s="575"/>
      <c r="Q830" s="575"/>
      <c r="R830" s="575"/>
      <c r="S830" s="575"/>
      <c r="T830" s="575"/>
      <c r="U830" s="575"/>
      <c r="V830" s="575"/>
      <c r="W830" s="575"/>
      <c r="X830" s="575"/>
      <c r="Y830" s="575"/>
      <c r="Z830" s="575"/>
      <c r="AA830" s="575"/>
    </row>
    <row r="831">
      <c r="A831" s="575"/>
      <c r="B831" s="692"/>
      <c r="C831" s="709"/>
      <c r="D831" s="709"/>
      <c r="E831" s="692"/>
      <c r="F831" s="710"/>
      <c r="G831" s="575"/>
      <c r="H831" s="575"/>
      <c r="I831" s="575"/>
      <c r="J831" s="575"/>
      <c r="K831" s="575"/>
      <c r="L831" s="575"/>
      <c r="M831" s="575"/>
      <c r="N831" s="575"/>
      <c r="O831" s="575"/>
      <c r="P831" s="575"/>
      <c r="Q831" s="575"/>
      <c r="R831" s="575"/>
      <c r="S831" s="575"/>
      <c r="T831" s="575"/>
      <c r="U831" s="575"/>
      <c r="V831" s="575"/>
      <c r="W831" s="575"/>
      <c r="X831" s="575"/>
      <c r="Y831" s="575"/>
      <c r="Z831" s="575"/>
      <c r="AA831" s="575"/>
    </row>
    <row r="832">
      <c r="A832" s="575"/>
      <c r="B832" s="692"/>
      <c r="C832" s="709"/>
      <c r="D832" s="709"/>
      <c r="E832" s="692"/>
      <c r="F832" s="710"/>
      <c r="G832" s="575"/>
      <c r="H832" s="575"/>
      <c r="I832" s="575"/>
      <c r="J832" s="575"/>
      <c r="K832" s="575"/>
      <c r="L832" s="575"/>
      <c r="M832" s="575"/>
      <c r="N832" s="575"/>
      <c r="O832" s="575"/>
      <c r="P832" s="575"/>
      <c r="Q832" s="575"/>
      <c r="R832" s="575"/>
      <c r="S832" s="575"/>
      <c r="T832" s="575"/>
      <c r="U832" s="575"/>
      <c r="V832" s="575"/>
      <c r="W832" s="575"/>
      <c r="X832" s="575"/>
      <c r="Y832" s="575"/>
      <c r="Z832" s="575"/>
      <c r="AA832" s="575"/>
    </row>
    <row r="833">
      <c r="A833" s="575"/>
      <c r="B833" s="692"/>
      <c r="C833" s="709"/>
      <c r="D833" s="709"/>
      <c r="E833" s="692"/>
      <c r="F833" s="710"/>
      <c r="G833" s="575"/>
      <c r="H833" s="575"/>
      <c r="I833" s="575"/>
      <c r="J833" s="575"/>
      <c r="K833" s="575"/>
      <c r="L833" s="575"/>
      <c r="M833" s="575"/>
      <c r="N833" s="575"/>
      <c r="O833" s="575"/>
      <c r="P833" s="575"/>
      <c r="Q833" s="575"/>
      <c r="R833" s="575"/>
      <c r="S833" s="575"/>
      <c r="T833" s="575"/>
      <c r="U833" s="575"/>
      <c r="V833" s="575"/>
      <c r="W833" s="575"/>
      <c r="X833" s="575"/>
      <c r="Y833" s="575"/>
      <c r="Z833" s="575"/>
      <c r="AA833" s="575"/>
    </row>
    <row r="834">
      <c r="A834" s="575"/>
      <c r="B834" s="692"/>
      <c r="C834" s="709"/>
      <c r="D834" s="709"/>
      <c r="E834" s="692"/>
      <c r="F834" s="710"/>
      <c r="G834" s="575"/>
      <c r="H834" s="575"/>
      <c r="I834" s="575"/>
      <c r="J834" s="575"/>
      <c r="K834" s="575"/>
      <c r="L834" s="575"/>
      <c r="M834" s="575"/>
      <c r="N834" s="575"/>
      <c r="O834" s="575"/>
      <c r="P834" s="575"/>
      <c r="Q834" s="575"/>
      <c r="R834" s="575"/>
      <c r="S834" s="575"/>
      <c r="T834" s="575"/>
      <c r="U834" s="575"/>
      <c r="V834" s="575"/>
      <c r="W834" s="575"/>
      <c r="X834" s="575"/>
      <c r="Y834" s="575"/>
      <c r="Z834" s="575"/>
      <c r="AA834" s="575"/>
    </row>
    <row r="835">
      <c r="A835" s="575"/>
      <c r="B835" s="692"/>
      <c r="C835" s="709"/>
      <c r="D835" s="709"/>
      <c r="E835" s="692"/>
      <c r="F835" s="710"/>
      <c r="G835" s="575"/>
      <c r="H835" s="575"/>
      <c r="I835" s="575"/>
      <c r="J835" s="575"/>
      <c r="K835" s="575"/>
      <c r="L835" s="575"/>
      <c r="M835" s="575"/>
      <c r="N835" s="575"/>
      <c r="O835" s="575"/>
      <c r="P835" s="575"/>
      <c r="Q835" s="575"/>
      <c r="R835" s="575"/>
      <c r="S835" s="575"/>
      <c r="T835" s="575"/>
      <c r="U835" s="575"/>
      <c r="V835" s="575"/>
      <c r="W835" s="575"/>
      <c r="X835" s="575"/>
      <c r="Y835" s="575"/>
      <c r="Z835" s="575"/>
      <c r="AA835" s="575"/>
    </row>
    <row r="836">
      <c r="A836" s="575"/>
      <c r="B836" s="692"/>
      <c r="C836" s="709"/>
      <c r="D836" s="709"/>
      <c r="E836" s="692"/>
      <c r="F836" s="710"/>
      <c r="G836" s="575"/>
      <c r="H836" s="575"/>
      <c r="I836" s="575"/>
      <c r="J836" s="575"/>
      <c r="K836" s="575"/>
      <c r="L836" s="575"/>
      <c r="M836" s="575"/>
      <c r="N836" s="575"/>
      <c r="O836" s="575"/>
      <c r="P836" s="575"/>
      <c r="Q836" s="575"/>
      <c r="R836" s="575"/>
      <c r="S836" s="575"/>
      <c r="T836" s="575"/>
      <c r="U836" s="575"/>
      <c r="V836" s="575"/>
      <c r="W836" s="575"/>
      <c r="X836" s="575"/>
      <c r="Y836" s="575"/>
      <c r="Z836" s="575"/>
      <c r="AA836" s="575"/>
    </row>
    <row r="837">
      <c r="A837" s="575"/>
      <c r="B837" s="692"/>
      <c r="C837" s="709"/>
      <c r="D837" s="709"/>
      <c r="E837" s="692"/>
      <c r="F837" s="710"/>
      <c r="G837" s="575"/>
      <c r="H837" s="575"/>
      <c r="I837" s="575"/>
      <c r="J837" s="575"/>
      <c r="K837" s="575"/>
      <c r="L837" s="575"/>
      <c r="M837" s="575"/>
      <c r="N837" s="575"/>
      <c r="O837" s="575"/>
      <c r="P837" s="575"/>
      <c r="Q837" s="575"/>
      <c r="R837" s="575"/>
      <c r="S837" s="575"/>
      <c r="T837" s="575"/>
      <c r="U837" s="575"/>
      <c r="V837" s="575"/>
      <c r="W837" s="575"/>
      <c r="X837" s="575"/>
      <c r="Y837" s="575"/>
      <c r="Z837" s="575"/>
      <c r="AA837" s="575"/>
    </row>
    <row r="838">
      <c r="A838" s="575"/>
      <c r="B838" s="692"/>
      <c r="C838" s="709"/>
      <c r="D838" s="709"/>
      <c r="E838" s="692"/>
      <c r="F838" s="710"/>
      <c r="G838" s="575"/>
      <c r="H838" s="575"/>
      <c r="I838" s="575"/>
      <c r="J838" s="575"/>
      <c r="K838" s="575"/>
      <c r="L838" s="575"/>
      <c r="M838" s="575"/>
      <c r="N838" s="575"/>
      <c r="O838" s="575"/>
      <c r="P838" s="575"/>
      <c r="Q838" s="575"/>
      <c r="R838" s="575"/>
      <c r="S838" s="575"/>
      <c r="T838" s="575"/>
      <c r="U838" s="575"/>
      <c r="V838" s="575"/>
      <c r="W838" s="575"/>
      <c r="X838" s="575"/>
      <c r="Y838" s="575"/>
      <c r="Z838" s="575"/>
      <c r="AA838" s="575"/>
    </row>
    <row r="839">
      <c r="A839" s="575"/>
      <c r="B839" s="692"/>
      <c r="C839" s="709"/>
      <c r="D839" s="709"/>
      <c r="E839" s="692"/>
      <c r="F839" s="710"/>
      <c r="G839" s="575"/>
      <c r="H839" s="575"/>
      <c r="I839" s="575"/>
      <c r="J839" s="575"/>
      <c r="K839" s="575"/>
      <c r="L839" s="575"/>
      <c r="M839" s="575"/>
      <c r="N839" s="575"/>
      <c r="O839" s="575"/>
      <c r="P839" s="575"/>
      <c r="Q839" s="575"/>
      <c r="R839" s="575"/>
      <c r="S839" s="575"/>
      <c r="T839" s="575"/>
      <c r="U839" s="575"/>
      <c r="V839" s="575"/>
      <c r="W839" s="575"/>
      <c r="X839" s="575"/>
      <c r="Y839" s="575"/>
      <c r="Z839" s="575"/>
      <c r="AA839" s="575"/>
    </row>
    <row r="840">
      <c r="A840" s="575"/>
      <c r="B840" s="692"/>
      <c r="C840" s="709"/>
      <c r="D840" s="709"/>
      <c r="E840" s="692"/>
      <c r="F840" s="710"/>
      <c r="G840" s="575"/>
      <c r="H840" s="575"/>
      <c r="I840" s="575"/>
      <c r="J840" s="575"/>
      <c r="K840" s="575"/>
      <c r="L840" s="575"/>
      <c r="M840" s="575"/>
      <c r="N840" s="575"/>
      <c r="O840" s="575"/>
      <c r="P840" s="575"/>
      <c r="Q840" s="575"/>
      <c r="R840" s="575"/>
      <c r="S840" s="575"/>
      <c r="T840" s="575"/>
      <c r="U840" s="575"/>
      <c r="V840" s="575"/>
      <c r="W840" s="575"/>
      <c r="X840" s="575"/>
      <c r="Y840" s="575"/>
      <c r="Z840" s="575"/>
      <c r="AA840" s="575"/>
    </row>
    <row r="841">
      <c r="A841" s="575"/>
      <c r="B841" s="692"/>
      <c r="C841" s="709"/>
      <c r="D841" s="709"/>
      <c r="E841" s="692"/>
      <c r="F841" s="710"/>
      <c r="G841" s="575"/>
      <c r="H841" s="575"/>
      <c r="I841" s="575"/>
      <c r="J841" s="575"/>
      <c r="K841" s="575"/>
      <c r="L841" s="575"/>
      <c r="M841" s="575"/>
      <c r="N841" s="575"/>
      <c r="O841" s="575"/>
      <c r="P841" s="575"/>
      <c r="Q841" s="575"/>
      <c r="R841" s="575"/>
      <c r="S841" s="575"/>
      <c r="T841" s="575"/>
      <c r="U841" s="575"/>
      <c r="V841" s="575"/>
      <c r="W841" s="575"/>
      <c r="X841" s="575"/>
      <c r="Y841" s="575"/>
      <c r="Z841" s="575"/>
      <c r="AA841" s="575"/>
    </row>
    <row r="842">
      <c r="A842" s="575"/>
      <c r="B842" s="692"/>
      <c r="C842" s="709"/>
      <c r="D842" s="709"/>
      <c r="E842" s="692"/>
      <c r="F842" s="710"/>
      <c r="G842" s="575"/>
      <c r="H842" s="575"/>
      <c r="I842" s="575"/>
      <c r="J842" s="575"/>
      <c r="K842" s="575"/>
      <c r="L842" s="575"/>
      <c r="M842" s="575"/>
      <c r="N842" s="575"/>
      <c r="O842" s="575"/>
      <c r="P842" s="575"/>
      <c r="Q842" s="575"/>
      <c r="R842" s="575"/>
      <c r="S842" s="575"/>
      <c r="T842" s="575"/>
      <c r="U842" s="575"/>
      <c r="V842" s="575"/>
      <c r="W842" s="575"/>
      <c r="X842" s="575"/>
      <c r="Y842" s="575"/>
      <c r="Z842" s="575"/>
      <c r="AA842" s="575"/>
    </row>
    <row r="843">
      <c r="A843" s="575"/>
      <c r="B843" s="692"/>
      <c r="C843" s="709"/>
      <c r="D843" s="709"/>
      <c r="E843" s="692"/>
      <c r="F843" s="710"/>
      <c r="G843" s="575"/>
      <c r="H843" s="575"/>
      <c r="I843" s="575"/>
      <c r="J843" s="575"/>
      <c r="K843" s="575"/>
      <c r="L843" s="575"/>
      <c r="M843" s="575"/>
      <c r="N843" s="575"/>
      <c r="O843" s="575"/>
      <c r="P843" s="575"/>
      <c r="Q843" s="575"/>
      <c r="R843" s="575"/>
      <c r="S843" s="575"/>
      <c r="T843" s="575"/>
      <c r="U843" s="575"/>
      <c r="V843" s="575"/>
      <c r="W843" s="575"/>
      <c r="X843" s="575"/>
      <c r="Y843" s="575"/>
      <c r="Z843" s="575"/>
      <c r="AA843" s="575"/>
    </row>
    <row r="844">
      <c r="A844" s="575"/>
      <c r="B844" s="692"/>
      <c r="C844" s="709"/>
      <c r="D844" s="709"/>
      <c r="E844" s="692"/>
      <c r="F844" s="710"/>
      <c r="G844" s="575"/>
      <c r="H844" s="575"/>
      <c r="I844" s="575"/>
      <c r="J844" s="575"/>
      <c r="K844" s="575"/>
      <c r="L844" s="575"/>
      <c r="M844" s="575"/>
      <c r="N844" s="575"/>
      <c r="O844" s="575"/>
      <c r="P844" s="575"/>
      <c r="Q844" s="575"/>
      <c r="R844" s="575"/>
      <c r="S844" s="575"/>
      <c r="T844" s="575"/>
      <c r="U844" s="575"/>
      <c r="V844" s="575"/>
      <c r="W844" s="575"/>
      <c r="X844" s="575"/>
      <c r="Y844" s="575"/>
      <c r="Z844" s="575"/>
      <c r="AA844" s="575"/>
    </row>
    <row r="845">
      <c r="A845" s="575"/>
      <c r="B845" s="692"/>
      <c r="C845" s="709"/>
      <c r="D845" s="709"/>
      <c r="E845" s="692"/>
      <c r="F845" s="710"/>
      <c r="G845" s="575"/>
      <c r="H845" s="575"/>
      <c r="I845" s="575"/>
      <c r="J845" s="575"/>
      <c r="K845" s="575"/>
      <c r="L845" s="575"/>
      <c r="M845" s="575"/>
      <c r="N845" s="575"/>
      <c r="O845" s="575"/>
      <c r="P845" s="575"/>
      <c r="Q845" s="575"/>
      <c r="R845" s="575"/>
      <c r="S845" s="575"/>
      <c r="T845" s="575"/>
      <c r="U845" s="575"/>
      <c r="V845" s="575"/>
      <c r="W845" s="575"/>
      <c r="X845" s="575"/>
      <c r="Y845" s="575"/>
      <c r="Z845" s="575"/>
      <c r="AA845" s="575"/>
    </row>
    <row r="846">
      <c r="A846" s="575"/>
      <c r="B846" s="692"/>
      <c r="C846" s="709"/>
      <c r="D846" s="709"/>
      <c r="E846" s="692"/>
      <c r="F846" s="710"/>
      <c r="G846" s="575"/>
      <c r="H846" s="575"/>
      <c r="I846" s="575"/>
      <c r="J846" s="575"/>
      <c r="K846" s="575"/>
      <c r="L846" s="575"/>
      <c r="M846" s="575"/>
      <c r="N846" s="575"/>
      <c r="O846" s="575"/>
      <c r="P846" s="575"/>
      <c r="Q846" s="575"/>
      <c r="R846" s="575"/>
      <c r="S846" s="575"/>
      <c r="T846" s="575"/>
      <c r="U846" s="575"/>
      <c r="V846" s="575"/>
      <c r="W846" s="575"/>
      <c r="X846" s="575"/>
      <c r="Y846" s="575"/>
      <c r="Z846" s="575"/>
      <c r="AA846" s="575"/>
    </row>
    <row r="847">
      <c r="A847" s="575"/>
      <c r="B847" s="692"/>
      <c r="C847" s="709"/>
      <c r="D847" s="709"/>
      <c r="E847" s="692"/>
      <c r="F847" s="710"/>
      <c r="G847" s="575"/>
      <c r="H847" s="575"/>
      <c r="I847" s="575"/>
      <c r="J847" s="575"/>
      <c r="K847" s="575"/>
      <c r="L847" s="575"/>
      <c r="M847" s="575"/>
      <c r="N847" s="575"/>
      <c r="O847" s="575"/>
      <c r="P847" s="575"/>
      <c r="Q847" s="575"/>
      <c r="R847" s="575"/>
      <c r="S847" s="575"/>
      <c r="T847" s="575"/>
      <c r="U847" s="575"/>
      <c r="V847" s="575"/>
      <c r="W847" s="575"/>
      <c r="X847" s="575"/>
      <c r="Y847" s="575"/>
      <c r="Z847" s="575"/>
      <c r="AA847" s="575"/>
    </row>
    <row r="848">
      <c r="A848" s="575"/>
      <c r="B848" s="692"/>
      <c r="C848" s="709"/>
      <c r="D848" s="709"/>
      <c r="E848" s="692"/>
      <c r="F848" s="710"/>
      <c r="G848" s="575"/>
      <c r="H848" s="575"/>
      <c r="I848" s="575"/>
      <c r="J848" s="575"/>
      <c r="K848" s="575"/>
      <c r="L848" s="575"/>
      <c r="M848" s="575"/>
      <c r="N848" s="575"/>
      <c r="O848" s="575"/>
      <c r="P848" s="575"/>
      <c r="Q848" s="575"/>
      <c r="R848" s="575"/>
      <c r="S848" s="575"/>
      <c r="T848" s="575"/>
      <c r="U848" s="575"/>
      <c r="V848" s="575"/>
      <c r="W848" s="575"/>
      <c r="X848" s="575"/>
      <c r="Y848" s="575"/>
      <c r="Z848" s="575"/>
      <c r="AA848" s="575"/>
    </row>
    <row r="849">
      <c r="A849" s="575"/>
      <c r="B849" s="692"/>
      <c r="C849" s="709"/>
      <c r="D849" s="709"/>
      <c r="E849" s="692"/>
      <c r="F849" s="710"/>
      <c r="G849" s="575"/>
      <c r="H849" s="575"/>
      <c r="I849" s="575"/>
      <c r="J849" s="575"/>
      <c r="K849" s="575"/>
      <c r="L849" s="575"/>
      <c r="M849" s="575"/>
      <c r="N849" s="575"/>
      <c r="O849" s="575"/>
      <c r="P849" s="575"/>
      <c r="Q849" s="575"/>
      <c r="R849" s="575"/>
      <c r="S849" s="575"/>
      <c r="T849" s="575"/>
      <c r="U849" s="575"/>
      <c r="V849" s="575"/>
      <c r="W849" s="575"/>
      <c r="X849" s="575"/>
      <c r="Y849" s="575"/>
      <c r="Z849" s="575"/>
      <c r="AA849" s="575"/>
    </row>
    <row r="850">
      <c r="A850" s="575"/>
      <c r="B850" s="692"/>
      <c r="C850" s="709"/>
      <c r="D850" s="709"/>
      <c r="E850" s="692"/>
      <c r="F850" s="710"/>
      <c r="G850" s="575"/>
      <c r="H850" s="575"/>
      <c r="I850" s="575"/>
      <c r="J850" s="575"/>
      <c r="K850" s="575"/>
      <c r="L850" s="575"/>
      <c r="M850" s="575"/>
      <c r="N850" s="575"/>
      <c r="O850" s="575"/>
      <c r="P850" s="575"/>
      <c r="Q850" s="575"/>
      <c r="R850" s="575"/>
      <c r="S850" s="575"/>
      <c r="T850" s="575"/>
      <c r="U850" s="575"/>
      <c r="V850" s="575"/>
      <c r="W850" s="575"/>
      <c r="X850" s="575"/>
      <c r="Y850" s="575"/>
      <c r="Z850" s="575"/>
      <c r="AA850" s="575"/>
    </row>
    <row r="851">
      <c r="A851" s="575"/>
      <c r="B851" s="692"/>
      <c r="C851" s="709"/>
      <c r="D851" s="709"/>
      <c r="E851" s="692"/>
      <c r="F851" s="710"/>
      <c r="G851" s="575"/>
      <c r="H851" s="575"/>
      <c r="I851" s="575"/>
      <c r="J851" s="575"/>
      <c r="K851" s="575"/>
      <c r="L851" s="575"/>
      <c r="M851" s="575"/>
      <c r="N851" s="575"/>
      <c r="O851" s="575"/>
      <c r="P851" s="575"/>
      <c r="Q851" s="575"/>
      <c r="R851" s="575"/>
      <c r="S851" s="575"/>
      <c r="T851" s="575"/>
      <c r="U851" s="575"/>
      <c r="V851" s="575"/>
      <c r="W851" s="575"/>
      <c r="X851" s="575"/>
      <c r="Y851" s="575"/>
      <c r="Z851" s="575"/>
      <c r="AA851" s="575"/>
    </row>
    <row r="852">
      <c r="A852" s="575"/>
      <c r="B852" s="692"/>
      <c r="C852" s="709"/>
      <c r="D852" s="709"/>
      <c r="E852" s="692"/>
      <c r="F852" s="710"/>
      <c r="G852" s="575"/>
      <c r="H852" s="575"/>
      <c r="I852" s="575"/>
      <c r="J852" s="575"/>
      <c r="K852" s="575"/>
      <c r="L852" s="575"/>
      <c r="M852" s="575"/>
      <c r="N852" s="575"/>
      <c r="O852" s="575"/>
      <c r="P852" s="575"/>
      <c r="Q852" s="575"/>
      <c r="R852" s="575"/>
      <c r="S852" s="575"/>
      <c r="T852" s="575"/>
      <c r="U852" s="575"/>
      <c r="V852" s="575"/>
      <c r="W852" s="575"/>
      <c r="X852" s="575"/>
      <c r="Y852" s="575"/>
      <c r="Z852" s="575"/>
      <c r="AA852" s="575"/>
    </row>
    <row r="853">
      <c r="A853" s="575"/>
      <c r="B853" s="692"/>
      <c r="C853" s="709"/>
      <c r="D853" s="709"/>
      <c r="E853" s="692"/>
      <c r="F853" s="710"/>
      <c r="G853" s="575"/>
      <c r="H853" s="575"/>
      <c r="I853" s="575"/>
      <c r="J853" s="575"/>
      <c r="K853" s="575"/>
      <c r="L853" s="575"/>
      <c r="M853" s="575"/>
      <c r="N853" s="575"/>
      <c r="O853" s="575"/>
      <c r="P853" s="575"/>
      <c r="Q853" s="575"/>
      <c r="R853" s="575"/>
      <c r="S853" s="575"/>
      <c r="T853" s="575"/>
      <c r="U853" s="575"/>
      <c r="V853" s="575"/>
      <c r="W853" s="575"/>
      <c r="X853" s="575"/>
      <c r="Y853" s="575"/>
      <c r="Z853" s="575"/>
      <c r="AA853" s="575"/>
    </row>
    <row r="854">
      <c r="A854" s="575"/>
      <c r="B854" s="692"/>
      <c r="C854" s="709"/>
      <c r="D854" s="709"/>
      <c r="E854" s="692"/>
      <c r="F854" s="710"/>
      <c r="G854" s="575"/>
      <c r="H854" s="575"/>
      <c r="I854" s="575"/>
      <c r="J854" s="575"/>
      <c r="K854" s="575"/>
      <c r="L854" s="575"/>
      <c r="M854" s="575"/>
      <c r="N854" s="575"/>
      <c r="O854" s="575"/>
      <c r="P854" s="575"/>
      <c r="Q854" s="575"/>
      <c r="R854" s="575"/>
      <c r="S854" s="575"/>
      <c r="T854" s="575"/>
      <c r="U854" s="575"/>
      <c r="V854" s="575"/>
      <c r="W854" s="575"/>
      <c r="X854" s="575"/>
      <c r="Y854" s="575"/>
      <c r="Z854" s="575"/>
      <c r="AA854" s="575"/>
    </row>
    <row r="855">
      <c r="A855" s="575"/>
      <c r="B855" s="692"/>
      <c r="C855" s="709"/>
      <c r="D855" s="709"/>
      <c r="E855" s="692"/>
      <c r="F855" s="710"/>
      <c r="G855" s="575"/>
      <c r="H855" s="575"/>
      <c r="I855" s="575"/>
      <c r="J855" s="575"/>
      <c r="K855" s="575"/>
      <c r="L855" s="575"/>
      <c r="M855" s="575"/>
      <c r="N855" s="575"/>
      <c r="O855" s="575"/>
      <c r="P855" s="575"/>
      <c r="Q855" s="575"/>
      <c r="R855" s="575"/>
      <c r="S855" s="575"/>
      <c r="T855" s="575"/>
      <c r="U855" s="575"/>
      <c r="V855" s="575"/>
      <c r="W855" s="575"/>
      <c r="X855" s="575"/>
      <c r="Y855" s="575"/>
      <c r="Z855" s="575"/>
      <c r="AA855" s="575"/>
    </row>
    <row r="856">
      <c r="A856" s="575"/>
      <c r="B856" s="692"/>
      <c r="C856" s="709"/>
      <c r="D856" s="709"/>
      <c r="E856" s="692"/>
      <c r="F856" s="710"/>
      <c r="G856" s="575"/>
      <c r="H856" s="575"/>
      <c r="I856" s="575"/>
      <c r="J856" s="575"/>
      <c r="K856" s="575"/>
      <c r="L856" s="575"/>
      <c r="M856" s="575"/>
      <c r="N856" s="575"/>
      <c r="O856" s="575"/>
      <c r="P856" s="575"/>
      <c r="Q856" s="575"/>
      <c r="R856" s="575"/>
      <c r="S856" s="575"/>
      <c r="T856" s="575"/>
      <c r="U856" s="575"/>
      <c r="V856" s="575"/>
      <c r="W856" s="575"/>
      <c r="X856" s="575"/>
      <c r="Y856" s="575"/>
      <c r="Z856" s="575"/>
      <c r="AA856" s="575"/>
    </row>
    <row r="857">
      <c r="A857" s="575"/>
      <c r="B857" s="692"/>
      <c r="C857" s="709"/>
      <c r="D857" s="709"/>
      <c r="E857" s="692"/>
      <c r="F857" s="710"/>
      <c r="G857" s="575"/>
      <c r="H857" s="575"/>
      <c r="I857" s="575"/>
      <c r="J857" s="575"/>
      <c r="K857" s="575"/>
      <c r="L857" s="575"/>
      <c r="M857" s="575"/>
      <c r="N857" s="575"/>
      <c r="O857" s="575"/>
      <c r="P857" s="575"/>
      <c r="Q857" s="575"/>
      <c r="R857" s="575"/>
      <c r="S857" s="575"/>
      <c r="T857" s="575"/>
      <c r="U857" s="575"/>
      <c r="V857" s="575"/>
      <c r="W857" s="575"/>
      <c r="X857" s="575"/>
      <c r="Y857" s="575"/>
      <c r="Z857" s="575"/>
      <c r="AA857" s="575"/>
    </row>
    <row r="858">
      <c r="A858" s="575"/>
      <c r="B858" s="692"/>
      <c r="C858" s="709"/>
      <c r="D858" s="709"/>
      <c r="E858" s="692"/>
      <c r="F858" s="710"/>
      <c r="G858" s="575"/>
      <c r="H858" s="575"/>
      <c r="I858" s="575"/>
      <c r="J858" s="575"/>
      <c r="K858" s="575"/>
      <c r="L858" s="575"/>
      <c r="M858" s="575"/>
      <c r="N858" s="575"/>
      <c r="O858" s="575"/>
      <c r="P858" s="575"/>
      <c r="Q858" s="575"/>
      <c r="R858" s="575"/>
      <c r="S858" s="575"/>
      <c r="T858" s="575"/>
      <c r="U858" s="575"/>
      <c r="V858" s="575"/>
      <c r="W858" s="575"/>
      <c r="X858" s="575"/>
      <c r="Y858" s="575"/>
      <c r="Z858" s="575"/>
      <c r="AA858" s="575"/>
    </row>
    <row r="859">
      <c r="A859" s="575"/>
      <c r="B859" s="692"/>
      <c r="C859" s="709"/>
      <c r="D859" s="709"/>
      <c r="E859" s="692"/>
      <c r="F859" s="710"/>
      <c r="G859" s="575"/>
      <c r="H859" s="575"/>
      <c r="I859" s="575"/>
      <c r="J859" s="575"/>
      <c r="K859" s="575"/>
      <c r="L859" s="575"/>
      <c r="M859" s="575"/>
      <c r="N859" s="575"/>
      <c r="O859" s="575"/>
      <c r="P859" s="575"/>
      <c r="Q859" s="575"/>
      <c r="R859" s="575"/>
      <c r="S859" s="575"/>
      <c r="T859" s="575"/>
      <c r="U859" s="575"/>
      <c r="V859" s="575"/>
      <c r="W859" s="575"/>
      <c r="X859" s="575"/>
      <c r="Y859" s="575"/>
      <c r="Z859" s="575"/>
      <c r="AA859" s="575"/>
    </row>
    <row r="860">
      <c r="A860" s="575"/>
      <c r="B860" s="692"/>
      <c r="C860" s="709"/>
      <c r="D860" s="709"/>
      <c r="E860" s="692"/>
      <c r="F860" s="710"/>
      <c r="G860" s="575"/>
      <c r="H860" s="575"/>
      <c r="I860" s="575"/>
      <c r="J860" s="575"/>
      <c r="K860" s="575"/>
      <c r="L860" s="575"/>
      <c r="M860" s="575"/>
      <c r="N860" s="575"/>
      <c r="O860" s="575"/>
      <c r="P860" s="575"/>
      <c r="Q860" s="575"/>
      <c r="R860" s="575"/>
      <c r="S860" s="575"/>
      <c r="T860" s="575"/>
      <c r="U860" s="575"/>
      <c r="V860" s="575"/>
      <c r="W860" s="575"/>
      <c r="X860" s="575"/>
      <c r="Y860" s="575"/>
      <c r="Z860" s="575"/>
      <c r="AA860" s="575"/>
    </row>
    <row r="861">
      <c r="A861" s="575"/>
      <c r="B861" s="692"/>
      <c r="C861" s="709"/>
      <c r="D861" s="709"/>
      <c r="E861" s="692"/>
      <c r="F861" s="710"/>
      <c r="G861" s="575"/>
      <c r="H861" s="575"/>
      <c r="I861" s="575"/>
      <c r="J861" s="575"/>
      <c r="K861" s="575"/>
      <c r="L861" s="575"/>
      <c r="M861" s="575"/>
      <c r="N861" s="575"/>
      <c r="O861" s="575"/>
      <c r="P861" s="575"/>
      <c r="Q861" s="575"/>
      <c r="R861" s="575"/>
      <c r="S861" s="575"/>
      <c r="T861" s="575"/>
      <c r="U861" s="575"/>
      <c r="V861" s="575"/>
      <c r="W861" s="575"/>
      <c r="X861" s="575"/>
      <c r="Y861" s="575"/>
      <c r="Z861" s="575"/>
      <c r="AA861" s="575"/>
    </row>
    <row r="862">
      <c r="A862" s="575"/>
      <c r="B862" s="692"/>
      <c r="C862" s="709"/>
      <c r="D862" s="709"/>
      <c r="E862" s="692"/>
      <c r="F862" s="710"/>
      <c r="G862" s="575"/>
      <c r="H862" s="575"/>
      <c r="I862" s="575"/>
      <c r="J862" s="575"/>
      <c r="K862" s="575"/>
      <c r="L862" s="575"/>
      <c r="M862" s="575"/>
      <c r="N862" s="575"/>
      <c r="O862" s="575"/>
      <c r="P862" s="575"/>
      <c r="Q862" s="575"/>
      <c r="R862" s="575"/>
      <c r="S862" s="575"/>
      <c r="T862" s="575"/>
      <c r="U862" s="575"/>
      <c r="V862" s="575"/>
      <c r="W862" s="575"/>
      <c r="X862" s="575"/>
      <c r="Y862" s="575"/>
      <c r="Z862" s="575"/>
      <c r="AA862" s="575"/>
    </row>
    <row r="863">
      <c r="A863" s="575"/>
      <c r="B863" s="692"/>
      <c r="C863" s="709"/>
      <c r="D863" s="709"/>
      <c r="E863" s="692"/>
      <c r="F863" s="710"/>
      <c r="G863" s="575"/>
      <c r="H863" s="575"/>
      <c r="I863" s="575"/>
      <c r="J863" s="575"/>
      <c r="K863" s="575"/>
      <c r="L863" s="575"/>
      <c r="M863" s="575"/>
      <c r="N863" s="575"/>
      <c r="O863" s="575"/>
      <c r="P863" s="575"/>
      <c r="Q863" s="575"/>
      <c r="R863" s="575"/>
      <c r="S863" s="575"/>
      <c r="T863" s="575"/>
      <c r="U863" s="575"/>
      <c r="V863" s="575"/>
      <c r="W863" s="575"/>
      <c r="X863" s="575"/>
      <c r="Y863" s="575"/>
      <c r="Z863" s="575"/>
      <c r="AA863" s="575"/>
    </row>
    <row r="864">
      <c r="A864" s="575"/>
      <c r="B864" s="692"/>
      <c r="C864" s="709"/>
      <c r="D864" s="709"/>
      <c r="E864" s="692"/>
      <c r="F864" s="710"/>
      <c r="G864" s="575"/>
      <c r="H864" s="575"/>
      <c r="I864" s="575"/>
      <c r="J864" s="575"/>
      <c r="K864" s="575"/>
      <c r="L864" s="575"/>
      <c r="M864" s="575"/>
      <c r="N864" s="575"/>
      <c r="O864" s="575"/>
      <c r="P864" s="575"/>
      <c r="Q864" s="575"/>
      <c r="R864" s="575"/>
      <c r="S864" s="575"/>
      <c r="T864" s="575"/>
      <c r="U864" s="575"/>
      <c r="V864" s="575"/>
      <c r="W864" s="575"/>
      <c r="X864" s="575"/>
      <c r="Y864" s="575"/>
      <c r="Z864" s="575"/>
      <c r="AA864" s="575"/>
    </row>
    <row r="865">
      <c r="A865" s="575"/>
      <c r="B865" s="692"/>
      <c r="C865" s="709"/>
      <c r="D865" s="709"/>
      <c r="E865" s="692"/>
      <c r="F865" s="710"/>
      <c r="G865" s="575"/>
      <c r="H865" s="575"/>
      <c r="I865" s="575"/>
      <c r="J865" s="575"/>
      <c r="K865" s="575"/>
      <c r="L865" s="575"/>
      <c r="M865" s="575"/>
      <c r="N865" s="575"/>
      <c r="O865" s="575"/>
      <c r="P865" s="575"/>
      <c r="Q865" s="575"/>
      <c r="R865" s="575"/>
      <c r="S865" s="575"/>
      <c r="T865" s="575"/>
      <c r="U865" s="575"/>
      <c r="V865" s="575"/>
      <c r="W865" s="575"/>
      <c r="X865" s="575"/>
      <c r="Y865" s="575"/>
      <c r="Z865" s="575"/>
      <c r="AA865" s="575"/>
    </row>
    <row r="866">
      <c r="A866" s="575"/>
      <c r="B866" s="692"/>
      <c r="C866" s="709"/>
      <c r="D866" s="709"/>
      <c r="E866" s="692"/>
      <c r="F866" s="710"/>
      <c r="G866" s="575"/>
      <c r="H866" s="575"/>
      <c r="I866" s="575"/>
      <c r="J866" s="575"/>
      <c r="K866" s="575"/>
      <c r="L866" s="575"/>
      <c r="M866" s="575"/>
      <c r="N866" s="575"/>
      <c r="O866" s="575"/>
      <c r="P866" s="575"/>
      <c r="Q866" s="575"/>
      <c r="R866" s="575"/>
      <c r="S866" s="575"/>
      <c r="T866" s="575"/>
      <c r="U866" s="575"/>
      <c r="V866" s="575"/>
      <c r="W866" s="575"/>
      <c r="X866" s="575"/>
      <c r="Y866" s="575"/>
      <c r="Z866" s="575"/>
      <c r="AA866" s="575"/>
    </row>
    <row r="867">
      <c r="A867" s="575"/>
      <c r="B867" s="692"/>
      <c r="C867" s="709"/>
      <c r="D867" s="709"/>
      <c r="E867" s="692"/>
      <c r="F867" s="710"/>
      <c r="G867" s="575"/>
      <c r="H867" s="575"/>
      <c r="I867" s="575"/>
      <c r="J867" s="575"/>
      <c r="K867" s="575"/>
      <c r="L867" s="575"/>
      <c r="M867" s="575"/>
      <c r="N867" s="575"/>
      <c r="O867" s="575"/>
      <c r="P867" s="575"/>
      <c r="Q867" s="575"/>
      <c r="R867" s="575"/>
      <c r="S867" s="575"/>
      <c r="T867" s="575"/>
      <c r="U867" s="575"/>
      <c r="V867" s="575"/>
      <c r="W867" s="575"/>
      <c r="X867" s="575"/>
      <c r="Y867" s="575"/>
      <c r="Z867" s="575"/>
      <c r="AA867" s="575"/>
    </row>
    <row r="868">
      <c r="A868" s="575"/>
      <c r="B868" s="692"/>
      <c r="C868" s="709"/>
      <c r="D868" s="709"/>
      <c r="E868" s="692"/>
      <c r="F868" s="710"/>
      <c r="G868" s="575"/>
      <c r="H868" s="575"/>
      <c r="I868" s="575"/>
      <c r="J868" s="575"/>
      <c r="K868" s="575"/>
      <c r="L868" s="575"/>
      <c r="M868" s="575"/>
      <c r="N868" s="575"/>
      <c r="O868" s="575"/>
      <c r="P868" s="575"/>
      <c r="Q868" s="575"/>
      <c r="R868" s="575"/>
      <c r="S868" s="575"/>
      <c r="T868" s="575"/>
      <c r="U868" s="575"/>
      <c r="V868" s="575"/>
      <c r="W868" s="575"/>
      <c r="X868" s="575"/>
      <c r="Y868" s="575"/>
      <c r="Z868" s="575"/>
      <c r="AA868" s="575"/>
    </row>
    <row r="869">
      <c r="A869" s="575"/>
      <c r="B869" s="692"/>
      <c r="C869" s="709"/>
      <c r="D869" s="709"/>
      <c r="E869" s="692"/>
      <c r="F869" s="710"/>
      <c r="G869" s="575"/>
      <c r="H869" s="575"/>
      <c r="I869" s="575"/>
      <c r="J869" s="575"/>
      <c r="K869" s="575"/>
      <c r="L869" s="575"/>
      <c r="M869" s="575"/>
      <c r="N869" s="575"/>
      <c r="O869" s="575"/>
      <c r="P869" s="575"/>
      <c r="Q869" s="575"/>
      <c r="R869" s="575"/>
      <c r="S869" s="575"/>
      <c r="T869" s="575"/>
      <c r="U869" s="575"/>
      <c r="V869" s="575"/>
      <c r="W869" s="575"/>
      <c r="X869" s="575"/>
      <c r="Y869" s="575"/>
      <c r="Z869" s="575"/>
      <c r="AA869" s="575"/>
    </row>
    <row r="870">
      <c r="A870" s="575"/>
      <c r="B870" s="692"/>
      <c r="C870" s="709"/>
      <c r="D870" s="709"/>
      <c r="E870" s="692"/>
      <c r="F870" s="710"/>
      <c r="G870" s="575"/>
      <c r="H870" s="575"/>
      <c r="I870" s="575"/>
      <c r="J870" s="575"/>
      <c r="K870" s="575"/>
      <c r="L870" s="575"/>
      <c r="M870" s="575"/>
      <c r="N870" s="575"/>
      <c r="O870" s="575"/>
      <c r="P870" s="575"/>
      <c r="Q870" s="575"/>
      <c r="R870" s="575"/>
      <c r="S870" s="575"/>
      <c r="T870" s="575"/>
      <c r="U870" s="575"/>
      <c r="V870" s="575"/>
      <c r="W870" s="575"/>
      <c r="X870" s="575"/>
      <c r="Y870" s="575"/>
      <c r="Z870" s="575"/>
      <c r="AA870" s="575"/>
    </row>
    <row r="871">
      <c r="A871" s="575"/>
      <c r="B871" s="692"/>
      <c r="C871" s="709"/>
      <c r="D871" s="709"/>
      <c r="E871" s="692"/>
      <c r="F871" s="710"/>
      <c r="G871" s="575"/>
      <c r="H871" s="575"/>
      <c r="I871" s="575"/>
      <c r="J871" s="575"/>
      <c r="K871" s="575"/>
      <c r="L871" s="575"/>
      <c r="M871" s="575"/>
      <c r="N871" s="575"/>
      <c r="O871" s="575"/>
      <c r="P871" s="575"/>
      <c r="Q871" s="575"/>
      <c r="R871" s="575"/>
      <c r="S871" s="575"/>
      <c r="T871" s="575"/>
      <c r="U871" s="575"/>
      <c r="V871" s="575"/>
      <c r="W871" s="575"/>
      <c r="X871" s="575"/>
      <c r="Y871" s="575"/>
      <c r="Z871" s="575"/>
      <c r="AA871" s="575"/>
    </row>
    <row r="872">
      <c r="A872" s="575"/>
      <c r="B872" s="692"/>
      <c r="C872" s="709"/>
      <c r="D872" s="709"/>
      <c r="E872" s="692"/>
      <c r="F872" s="710"/>
      <c r="G872" s="575"/>
      <c r="H872" s="575"/>
      <c r="I872" s="575"/>
      <c r="J872" s="575"/>
      <c r="K872" s="575"/>
      <c r="L872" s="575"/>
      <c r="M872" s="575"/>
      <c r="N872" s="575"/>
      <c r="O872" s="575"/>
      <c r="P872" s="575"/>
      <c r="Q872" s="575"/>
      <c r="R872" s="575"/>
      <c r="S872" s="575"/>
      <c r="T872" s="575"/>
      <c r="U872" s="575"/>
      <c r="V872" s="575"/>
      <c r="W872" s="575"/>
      <c r="X872" s="575"/>
      <c r="Y872" s="575"/>
      <c r="Z872" s="575"/>
      <c r="AA872" s="575"/>
    </row>
    <row r="873">
      <c r="A873" s="575"/>
      <c r="B873" s="692"/>
      <c r="C873" s="709"/>
      <c r="D873" s="709"/>
      <c r="E873" s="692"/>
      <c r="F873" s="710"/>
      <c r="G873" s="575"/>
      <c r="H873" s="575"/>
      <c r="I873" s="575"/>
      <c r="J873" s="575"/>
      <c r="K873" s="575"/>
      <c r="L873" s="575"/>
      <c r="M873" s="575"/>
      <c r="N873" s="575"/>
      <c r="O873" s="575"/>
      <c r="P873" s="575"/>
      <c r="Q873" s="575"/>
      <c r="R873" s="575"/>
      <c r="S873" s="575"/>
      <c r="T873" s="575"/>
      <c r="U873" s="575"/>
      <c r="V873" s="575"/>
      <c r="W873" s="575"/>
      <c r="X873" s="575"/>
      <c r="Y873" s="575"/>
      <c r="Z873" s="575"/>
      <c r="AA873" s="575"/>
    </row>
    <row r="874">
      <c r="A874" s="575"/>
      <c r="B874" s="692"/>
      <c r="C874" s="709"/>
      <c r="D874" s="709"/>
      <c r="E874" s="692"/>
      <c r="F874" s="710"/>
      <c r="G874" s="575"/>
      <c r="H874" s="575"/>
      <c r="I874" s="575"/>
      <c r="J874" s="575"/>
      <c r="K874" s="575"/>
      <c r="L874" s="575"/>
      <c r="M874" s="575"/>
      <c r="N874" s="575"/>
      <c r="O874" s="575"/>
      <c r="P874" s="575"/>
      <c r="Q874" s="575"/>
      <c r="R874" s="575"/>
      <c r="S874" s="575"/>
      <c r="T874" s="575"/>
      <c r="U874" s="575"/>
      <c r="V874" s="575"/>
      <c r="W874" s="575"/>
      <c r="X874" s="575"/>
      <c r="Y874" s="575"/>
      <c r="Z874" s="575"/>
      <c r="AA874" s="575"/>
    </row>
    <row r="875">
      <c r="A875" s="575"/>
      <c r="B875" s="692"/>
      <c r="C875" s="709"/>
      <c r="D875" s="709"/>
      <c r="E875" s="692"/>
      <c r="F875" s="710"/>
      <c r="G875" s="575"/>
      <c r="H875" s="575"/>
      <c r="I875" s="575"/>
      <c r="J875" s="575"/>
      <c r="K875" s="575"/>
      <c r="L875" s="575"/>
      <c r="M875" s="575"/>
      <c r="N875" s="575"/>
      <c r="O875" s="575"/>
      <c r="P875" s="575"/>
      <c r="Q875" s="575"/>
      <c r="R875" s="575"/>
      <c r="S875" s="575"/>
      <c r="T875" s="575"/>
      <c r="U875" s="575"/>
      <c r="V875" s="575"/>
      <c r="W875" s="575"/>
      <c r="X875" s="575"/>
      <c r="Y875" s="575"/>
      <c r="Z875" s="575"/>
      <c r="AA875" s="575"/>
    </row>
    <row r="876">
      <c r="A876" s="575"/>
      <c r="B876" s="692"/>
      <c r="C876" s="709"/>
      <c r="D876" s="709"/>
      <c r="E876" s="692"/>
      <c r="F876" s="710"/>
      <c r="G876" s="575"/>
      <c r="H876" s="575"/>
      <c r="I876" s="575"/>
      <c r="J876" s="575"/>
      <c r="K876" s="575"/>
      <c r="L876" s="575"/>
      <c r="M876" s="575"/>
      <c r="N876" s="575"/>
      <c r="O876" s="575"/>
      <c r="P876" s="575"/>
      <c r="Q876" s="575"/>
      <c r="R876" s="575"/>
      <c r="S876" s="575"/>
      <c r="T876" s="575"/>
      <c r="U876" s="575"/>
      <c r="V876" s="575"/>
      <c r="W876" s="575"/>
      <c r="X876" s="575"/>
      <c r="Y876" s="575"/>
      <c r="Z876" s="575"/>
      <c r="AA876" s="575"/>
    </row>
    <row r="877">
      <c r="A877" s="575"/>
      <c r="B877" s="692"/>
      <c r="C877" s="709"/>
      <c r="D877" s="709"/>
      <c r="E877" s="692"/>
      <c r="F877" s="710"/>
      <c r="G877" s="575"/>
      <c r="H877" s="575"/>
      <c r="I877" s="575"/>
      <c r="J877" s="575"/>
      <c r="K877" s="575"/>
      <c r="L877" s="575"/>
      <c r="M877" s="575"/>
      <c r="N877" s="575"/>
      <c r="O877" s="575"/>
      <c r="P877" s="575"/>
      <c r="Q877" s="575"/>
      <c r="R877" s="575"/>
      <c r="S877" s="575"/>
      <c r="T877" s="575"/>
      <c r="U877" s="575"/>
      <c r="V877" s="575"/>
      <c r="W877" s="575"/>
      <c r="X877" s="575"/>
      <c r="Y877" s="575"/>
      <c r="Z877" s="575"/>
      <c r="AA877" s="575"/>
    </row>
    <row r="878">
      <c r="A878" s="575"/>
      <c r="B878" s="692"/>
      <c r="C878" s="709"/>
      <c r="D878" s="709"/>
      <c r="E878" s="692"/>
      <c r="F878" s="710"/>
      <c r="G878" s="575"/>
      <c r="H878" s="575"/>
      <c r="I878" s="575"/>
      <c r="J878" s="575"/>
      <c r="K878" s="575"/>
      <c r="L878" s="575"/>
      <c r="M878" s="575"/>
      <c r="N878" s="575"/>
      <c r="O878" s="575"/>
      <c r="P878" s="575"/>
      <c r="Q878" s="575"/>
      <c r="R878" s="575"/>
      <c r="S878" s="575"/>
      <c r="T878" s="575"/>
      <c r="U878" s="575"/>
      <c r="V878" s="575"/>
      <c r="W878" s="575"/>
      <c r="X878" s="575"/>
      <c r="Y878" s="575"/>
      <c r="Z878" s="575"/>
      <c r="AA878" s="575"/>
    </row>
    <row r="879">
      <c r="A879" s="575"/>
      <c r="B879" s="692"/>
      <c r="C879" s="709"/>
      <c r="D879" s="709"/>
      <c r="E879" s="692"/>
      <c r="F879" s="710"/>
      <c r="G879" s="575"/>
      <c r="H879" s="575"/>
      <c r="I879" s="575"/>
      <c r="J879" s="575"/>
      <c r="K879" s="575"/>
      <c r="L879" s="575"/>
      <c r="M879" s="575"/>
      <c r="N879" s="575"/>
      <c r="O879" s="575"/>
      <c r="P879" s="575"/>
      <c r="Q879" s="575"/>
      <c r="R879" s="575"/>
      <c r="S879" s="575"/>
      <c r="T879" s="575"/>
      <c r="U879" s="575"/>
      <c r="V879" s="575"/>
      <c r="W879" s="575"/>
      <c r="X879" s="575"/>
      <c r="Y879" s="575"/>
      <c r="Z879" s="575"/>
      <c r="AA879" s="575"/>
    </row>
    <row r="880">
      <c r="A880" s="575"/>
      <c r="B880" s="692"/>
      <c r="C880" s="709"/>
      <c r="D880" s="709"/>
      <c r="E880" s="692"/>
      <c r="F880" s="710"/>
      <c r="G880" s="575"/>
      <c r="H880" s="575"/>
      <c r="I880" s="575"/>
      <c r="J880" s="575"/>
      <c r="K880" s="575"/>
      <c r="L880" s="575"/>
      <c r="M880" s="575"/>
      <c r="N880" s="575"/>
      <c r="O880" s="575"/>
      <c r="P880" s="575"/>
      <c r="Q880" s="575"/>
      <c r="R880" s="575"/>
      <c r="S880" s="575"/>
      <c r="T880" s="575"/>
      <c r="U880" s="575"/>
      <c r="V880" s="575"/>
      <c r="W880" s="575"/>
      <c r="X880" s="575"/>
      <c r="Y880" s="575"/>
      <c r="Z880" s="575"/>
      <c r="AA880" s="575"/>
    </row>
    <row r="881">
      <c r="A881" s="575"/>
      <c r="B881" s="692"/>
      <c r="C881" s="709"/>
      <c r="D881" s="709"/>
      <c r="E881" s="692"/>
      <c r="F881" s="710"/>
      <c r="G881" s="575"/>
      <c r="H881" s="575"/>
      <c r="I881" s="575"/>
      <c r="J881" s="575"/>
      <c r="K881" s="575"/>
      <c r="L881" s="575"/>
      <c r="M881" s="575"/>
      <c r="N881" s="575"/>
      <c r="O881" s="575"/>
      <c r="P881" s="575"/>
      <c r="Q881" s="575"/>
      <c r="R881" s="575"/>
      <c r="S881" s="575"/>
      <c r="T881" s="575"/>
      <c r="U881" s="575"/>
      <c r="V881" s="575"/>
      <c r="W881" s="575"/>
      <c r="X881" s="575"/>
      <c r="Y881" s="575"/>
      <c r="Z881" s="575"/>
      <c r="AA881" s="575"/>
    </row>
    <row r="882">
      <c r="A882" s="575"/>
      <c r="B882" s="692"/>
      <c r="C882" s="709"/>
      <c r="D882" s="709"/>
      <c r="E882" s="692"/>
      <c r="F882" s="710"/>
      <c r="G882" s="575"/>
      <c r="H882" s="575"/>
      <c r="I882" s="575"/>
      <c r="J882" s="575"/>
      <c r="K882" s="575"/>
      <c r="L882" s="575"/>
      <c r="M882" s="575"/>
      <c r="N882" s="575"/>
      <c r="O882" s="575"/>
      <c r="P882" s="575"/>
      <c r="Q882" s="575"/>
      <c r="R882" s="575"/>
      <c r="S882" s="575"/>
      <c r="T882" s="575"/>
      <c r="U882" s="575"/>
      <c r="V882" s="575"/>
      <c r="W882" s="575"/>
      <c r="X882" s="575"/>
      <c r="Y882" s="575"/>
      <c r="Z882" s="575"/>
      <c r="AA882" s="575"/>
    </row>
    <row r="883">
      <c r="A883" s="575"/>
      <c r="B883" s="692"/>
      <c r="C883" s="709"/>
      <c r="D883" s="709"/>
      <c r="E883" s="692"/>
      <c r="F883" s="710"/>
      <c r="G883" s="575"/>
      <c r="H883" s="575"/>
      <c r="I883" s="575"/>
      <c r="J883" s="575"/>
      <c r="K883" s="575"/>
      <c r="L883" s="575"/>
      <c r="M883" s="575"/>
      <c r="N883" s="575"/>
      <c r="O883" s="575"/>
      <c r="P883" s="575"/>
      <c r="Q883" s="575"/>
      <c r="R883" s="575"/>
      <c r="S883" s="575"/>
      <c r="T883" s="575"/>
      <c r="U883" s="575"/>
      <c r="V883" s="575"/>
      <c r="W883" s="575"/>
      <c r="X883" s="575"/>
      <c r="Y883" s="575"/>
      <c r="Z883" s="575"/>
      <c r="AA883" s="575"/>
    </row>
    <row r="884">
      <c r="A884" s="575"/>
      <c r="B884" s="692"/>
      <c r="C884" s="709"/>
      <c r="D884" s="709"/>
      <c r="E884" s="692"/>
      <c r="F884" s="710"/>
      <c r="G884" s="575"/>
      <c r="H884" s="575"/>
      <c r="I884" s="575"/>
      <c r="J884" s="575"/>
      <c r="K884" s="575"/>
      <c r="L884" s="575"/>
      <c r="M884" s="575"/>
      <c r="N884" s="575"/>
      <c r="O884" s="575"/>
      <c r="P884" s="575"/>
      <c r="Q884" s="575"/>
      <c r="R884" s="575"/>
      <c r="S884" s="575"/>
      <c r="T884" s="575"/>
      <c r="U884" s="575"/>
      <c r="V884" s="575"/>
      <c r="W884" s="575"/>
      <c r="X884" s="575"/>
      <c r="Y884" s="575"/>
      <c r="Z884" s="575"/>
      <c r="AA884" s="575"/>
    </row>
    <row r="885">
      <c r="A885" s="575"/>
      <c r="B885" s="692"/>
      <c r="C885" s="709"/>
      <c r="D885" s="709"/>
      <c r="E885" s="692"/>
      <c r="F885" s="710"/>
      <c r="G885" s="575"/>
      <c r="H885" s="575"/>
      <c r="I885" s="575"/>
      <c r="J885" s="575"/>
      <c r="K885" s="575"/>
      <c r="L885" s="575"/>
      <c r="M885" s="575"/>
      <c r="N885" s="575"/>
      <c r="O885" s="575"/>
      <c r="P885" s="575"/>
      <c r="Q885" s="575"/>
      <c r="R885" s="575"/>
      <c r="S885" s="575"/>
      <c r="T885" s="575"/>
      <c r="U885" s="575"/>
      <c r="V885" s="575"/>
      <c r="W885" s="575"/>
      <c r="X885" s="575"/>
      <c r="Y885" s="575"/>
      <c r="Z885" s="575"/>
      <c r="AA885" s="575"/>
    </row>
    <row r="886">
      <c r="A886" s="575"/>
      <c r="B886" s="692"/>
      <c r="C886" s="709"/>
      <c r="D886" s="709"/>
      <c r="E886" s="692"/>
      <c r="F886" s="710"/>
      <c r="G886" s="575"/>
      <c r="H886" s="575"/>
      <c r="I886" s="575"/>
      <c r="J886" s="575"/>
      <c r="K886" s="575"/>
      <c r="L886" s="575"/>
      <c r="M886" s="575"/>
      <c r="N886" s="575"/>
      <c r="O886" s="575"/>
      <c r="P886" s="575"/>
      <c r="Q886" s="575"/>
      <c r="R886" s="575"/>
      <c r="S886" s="575"/>
      <c r="T886" s="575"/>
      <c r="U886" s="575"/>
      <c r="V886" s="575"/>
      <c r="W886" s="575"/>
      <c r="X886" s="575"/>
      <c r="Y886" s="575"/>
      <c r="Z886" s="575"/>
      <c r="AA886" s="575"/>
    </row>
    <row r="887">
      <c r="A887" s="575"/>
      <c r="B887" s="692"/>
      <c r="C887" s="709"/>
      <c r="D887" s="709"/>
      <c r="E887" s="692"/>
      <c r="F887" s="710"/>
      <c r="G887" s="575"/>
      <c r="H887" s="575"/>
      <c r="I887" s="575"/>
      <c r="J887" s="575"/>
      <c r="K887" s="575"/>
      <c r="L887" s="575"/>
      <c r="M887" s="575"/>
      <c r="N887" s="575"/>
      <c r="O887" s="575"/>
      <c r="P887" s="575"/>
      <c r="Q887" s="575"/>
      <c r="R887" s="575"/>
      <c r="S887" s="575"/>
      <c r="T887" s="575"/>
      <c r="U887" s="575"/>
      <c r="V887" s="575"/>
      <c r="W887" s="575"/>
      <c r="X887" s="575"/>
      <c r="Y887" s="575"/>
      <c r="Z887" s="575"/>
      <c r="AA887" s="575"/>
    </row>
    <row r="888">
      <c r="A888" s="575"/>
      <c r="B888" s="692"/>
      <c r="C888" s="709"/>
      <c r="D888" s="709"/>
      <c r="E888" s="692"/>
      <c r="F888" s="710"/>
      <c r="G888" s="575"/>
      <c r="H888" s="575"/>
      <c r="I888" s="575"/>
      <c r="J888" s="575"/>
      <c r="K888" s="575"/>
      <c r="L888" s="575"/>
      <c r="M888" s="575"/>
      <c r="N888" s="575"/>
      <c r="O888" s="575"/>
      <c r="P888" s="575"/>
      <c r="Q888" s="575"/>
      <c r="R888" s="575"/>
      <c r="S888" s="575"/>
      <c r="T888" s="575"/>
      <c r="U888" s="575"/>
      <c r="V888" s="575"/>
      <c r="W888" s="575"/>
      <c r="X888" s="575"/>
      <c r="Y888" s="575"/>
      <c r="Z888" s="575"/>
      <c r="AA888" s="575"/>
    </row>
    <row r="889">
      <c r="A889" s="575"/>
      <c r="B889" s="692"/>
      <c r="C889" s="709"/>
      <c r="D889" s="709"/>
      <c r="E889" s="692"/>
      <c r="F889" s="710"/>
      <c r="G889" s="575"/>
      <c r="H889" s="575"/>
      <c r="I889" s="575"/>
      <c r="J889" s="575"/>
      <c r="K889" s="575"/>
      <c r="L889" s="575"/>
      <c r="M889" s="575"/>
      <c r="N889" s="575"/>
      <c r="O889" s="575"/>
      <c r="P889" s="575"/>
      <c r="Q889" s="575"/>
      <c r="R889" s="575"/>
      <c r="S889" s="575"/>
      <c r="T889" s="575"/>
      <c r="U889" s="575"/>
      <c r="V889" s="575"/>
      <c r="W889" s="575"/>
      <c r="X889" s="575"/>
      <c r="Y889" s="575"/>
      <c r="Z889" s="575"/>
      <c r="AA889" s="575"/>
    </row>
    <row r="890">
      <c r="A890" s="575"/>
      <c r="B890" s="692"/>
      <c r="C890" s="709"/>
      <c r="D890" s="709"/>
      <c r="E890" s="692"/>
      <c r="F890" s="710"/>
      <c r="G890" s="575"/>
      <c r="H890" s="575"/>
      <c r="I890" s="575"/>
      <c r="J890" s="575"/>
      <c r="K890" s="575"/>
      <c r="L890" s="575"/>
      <c r="M890" s="575"/>
      <c r="N890" s="575"/>
      <c r="O890" s="575"/>
      <c r="P890" s="575"/>
      <c r="Q890" s="575"/>
      <c r="R890" s="575"/>
      <c r="S890" s="575"/>
      <c r="T890" s="575"/>
      <c r="U890" s="575"/>
      <c r="V890" s="575"/>
      <c r="W890" s="575"/>
      <c r="X890" s="575"/>
      <c r="Y890" s="575"/>
      <c r="Z890" s="575"/>
      <c r="AA890" s="575"/>
    </row>
    <row r="891">
      <c r="A891" s="575"/>
      <c r="B891" s="692"/>
      <c r="C891" s="709"/>
      <c r="D891" s="709"/>
      <c r="E891" s="692"/>
      <c r="F891" s="710"/>
      <c r="G891" s="575"/>
      <c r="H891" s="575"/>
      <c r="I891" s="575"/>
      <c r="J891" s="575"/>
      <c r="K891" s="575"/>
      <c r="L891" s="575"/>
      <c r="M891" s="575"/>
      <c r="N891" s="575"/>
      <c r="O891" s="575"/>
      <c r="P891" s="575"/>
      <c r="Q891" s="575"/>
      <c r="R891" s="575"/>
      <c r="S891" s="575"/>
      <c r="T891" s="575"/>
      <c r="U891" s="575"/>
      <c r="V891" s="575"/>
      <c r="W891" s="575"/>
      <c r="X891" s="575"/>
      <c r="Y891" s="575"/>
      <c r="Z891" s="575"/>
      <c r="AA891" s="575"/>
    </row>
    <row r="892">
      <c r="A892" s="575"/>
      <c r="B892" s="692"/>
      <c r="C892" s="709"/>
      <c r="D892" s="709"/>
      <c r="E892" s="692"/>
      <c r="F892" s="710"/>
      <c r="G892" s="575"/>
      <c r="H892" s="575"/>
      <c r="I892" s="575"/>
      <c r="J892" s="575"/>
      <c r="K892" s="575"/>
      <c r="L892" s="575"/>
      <c r="M892" s="575"/>
      <c r="N892" s="575"/>
      <c r="O892" s="575"/>
      <c r="P892" s="575"/>
      <c r="Q892" s="575"/>
      <c r="R892" s="575"/>
      <c r="S892" s="575"/>
      <c r="T892" s="575"/>
      <c r="U892" s="575"/>
      <c r="V892" s="575"/>
      <c r="W892" s="575"/>
      <c r="X892" s="575"/>
      <c r="Y892" s="575"/>
      <c r="Z892" s="575"/>
      <c r="AA892" s="575"/>
    </row>
    <row r="893">
      <c r="A893" s="575"/>
      <c r="B893" s="692"/>
      <c r="C893" s="709"/>
      <c r="D893" s="709"/>
      <c r="E893" s="692"/>
      <c r="F893" s="710"/>
      <c r="G893" s="575"/>
      <c r="H893" s="575"/>
      <c r="I893" s="575"/>
      <c r="J893" s="575"/>
      <c r="K893" s="575"/>
      <c r="L893" s="575"/>
      <c r="M893" s="575"/>
      <c r="N893" s="575"/>
      <c r="O893" s="575"/>
      <c r="P893" s="575"/>
      <c r="Q893" s="575"/>
      <c r="R893" s="575"/>
      <c r="S893" s="575"/>
      <c r="T893" s="575"/>
      <c r="U893" s="575"/>
      <c r="V893" s="575"/>
      <c r="W893" s="575"/>
      <c r="X893" s="575"/>
      <c r="Y893" s="575"/>
      <c r="Z893" s="575"/>
      <c r="AA893" s="575"/>
    </row>
    <row r="894">
      <c r="A894" s="575"/>
      <c r="B894" s="692"/>
      <c r="C894" s="709"/>
      <c r="D894" s="709"/>
      <c r="E894" s="692"/>
      <c r="F894" s="710"/>
      <c r="G894" s="575"/>
      <c r="H894" s="575"/>
      <c r="I894" s="575"/>
      <c r="J894" s="575"/>
      <c r="K894" s="575"/>
      <c r="L894" s="575"/>
      <c r="M894" s="575"/>
      <c r="N894" s="575"/>
      <c r="O894" s="575"/>
      <c r="P894" s="575"/>
      <c r="Q894" s="575"/>
      <c r="R894" s="575"/>
      <c r="S894" s="575"/>
      <c r="T894" s="575"/>
      <c r="U894" s="575"/>
      <c r="V894" s="575"/>
      <c r="W894" s="575"/>
      <c r="X894" s="575"/>
      <c r="Y894" s="575"/>
      <c r="Z894" s="575"/>
      <c r="AA894" s="575"/>
    </row>
    <row r="895">
      <c r="A895" s="575"/>
      <c r="B895" s="692"/>
      <c r="C895" s="709"/>
      <c r="D895" s="709"/>
      <c r="E895" s="692"/>
      <c r="F895" s="710"/>
      <c r="G895" s="575"/>
      <c r="H895" s="575"/>
      <c r="I895" s="575"/>
      <c r="J895" s="575"/>
      <c r="K895" s="575"/>
      <c r="L895" s="575"/>
      <c r="M895" s="575"/>
      <c r="N895" s="575"/>
      <c r="O895" s="575"/>
      <c r="P895" s="575"/>
      <c r="Q895" s="575"/>
      <c r="R895" s="575"/>
      <c r="S895" s="575"/>
      <c r="T895" s="575"/>
      <c r="U895" s="575"/>
      <c r="V895" s="575"/>
      <c r="W895" s="575"/>
      <c r="X895" s="575"/>
      <c r="Y895" s="575"/>
      <c r="Z895" s="575"/>
      <c r="AA895" s="575"/>
    </row>
    <row r="896">
      <c r="A896" s="575"/>
      <c r="B896" s="692"/>
      <c r="C896" s="709"/>
      <c r="D896" s="709"/>
      <c r="E896" s="692"/>
      <c r="F896" s="710"/>
      <c r="G896" s="575"/>
      <c r="H896" s="575"/>
      <c r="I896" s="575"/>
      <c r="J896" s="575"/>
      <c r="K896" s="575"/>
      <c r="L896" s="575"/>
      <c r="M896" s="575"/>
      <c r="N896" s="575"/>
      <c r="O896" s="575"/>
      <c r="P896" s="575"/>
      <c r="Q896" s="575"/>
      <c r="R896" s="575"/>
      <c r="S896" s="575"/>
      <c r="T896" s="575"/>
      <c r="U896" s="575"/>
      <c r="V896" s="575"/>
      <c r="W896" s="575"/>
      <c r="X896" s="575"/>
      <c r="Y896" s="575"/>
      <c r="Z896" s="575"/>
      <c r="AA896" s="575"/>
    </row>
    <row r="897">
      <c r="A897" s="575"/>
      <c r="B897" s="692"/>
      <c r="C897" s="709"/>
      <c r="D897" s="709"/>
      <c r="E897" s="692"/>
      <c r="F897" s="710"/>
      <c r="G897" s="575"/>
      <c r="H897" s="575"/>
      <c r="I897" s="575"/>
      <c r="J897" s="575"/>
      <c r="K897" s="575"/>
      <c r="L897" s="575"/>
      <c r="M897" s="575"/>
      <c r="N897" s="575"/>
      <c r="O897" s="575"/>
      <c r="P897" s="575"/>
      <c r="Q897" s="575"/>
      <c r="R897" s="575"/>
      <c r="S897" s="575"/>
      <c r="T897" s="575"/>
      <c r="U897" s="575"/>
      <c r="V897" s="575"/>
      <c r="W897" s="575"/>
      <c r="X897" s="575"/>
      <c r="Y897" s="575"/>
      <c r="Z897" s="575"/>
      <c r="AA897" s="575"/>
    </row>
    <row r="898">
      <c r="A898" s="575"/>
      <c r="B898" s="692"/>
      <c r="C898" s="709"/>
      <c r="D898" s="709"/>
      <c r="E898" s="692"/>
      <c r="F898" s="710"/>
      <c r="G898" s="575"/>
      <c r="H898" s="575"/>
      <c r="I898" s="575"/>
      <c r="J898" s="575"/>
      <c r="K898" s="575"/>
      <c r="L898" s="575"/>
      <c r="M898" s="575"/>
      <c r="N898" s="575"/>
      <c r="O898" s="575"/>
      <c r="P898" s="575"/>
      <c r="Q898" s="575"/>
      <c r="R898" s="575"/>
      <c r="S898" s="575"/>
      <c r="T898" s="575"/>
      <c r="U898" s="575"/>
      <c r="V898" s="575"/>
      <c r="W898" s="575"/>
      <c r="X898" s="575"/>
      <c r="Y898" s="575"/>
      <c r="Z898" s="575"/>
      <c r="AA898" s="575"/>
    </row>
    <row r="899">
      <c r="A899" s="575"/>
      <c r="B899" s="692"/>
      <c r="C899" s="709"/>
      <c r="D899" s="709"/>
      <c r="E899" s="692"/>
      <c r="F899" s="710"/>
      <c r="G899" s="575"/>
      <c r="H899" s="575"/>
      <c r="I899" s="575"/>
      <c r="J899" s="575"/>
      <c r="K899" s="575"/>
      <c r="L899" s="575"/>
      <c r="M899" s="575"/>
      <c r="N899" s="575"/>
      <c r="O899" s="575"/>
      <c r="P899" s="575"/>
      <c r="Q899" s="575"/>
      <c r="R899" s="575"/>
      <c r="S899" s="575"/>
      <c r="T899" s="575"/>
      <c r="U899" s="575"/>
      <c r="V899" s="575"/>
      <c r="W899" s="575"/>
      <c r="X899" s="575"/>
      <c r="Y899" s="575"/>
      <c r="Z899" s="575"/>
      <c r="AA899" s="575"/>
    </row>
    <row r="900">
      <c r="A900" s="575"/>
      <c r="B900" s="692"/>
      <c r="C900" s="709"/>
      <c r="D900" s="709"/>
      <c r="E900" s="692"/>
      <c r="F900" s="710"/>
      <c r="G900" s="575"/>
      <c r="H900" s="575"/>
      <c r="I900" s="575"/>
      <c r="J900" s="575"/>
      <c r="K900" s="575"/>
      <c r="L900" s="575"/>
      <c r="M900" s="575"/>
      <c r="N900" s="575"/>
      <c r="O900" s="575"/>
      <c r="P900" s="575"/>
      <c r="Q900" s="575"/>
      <c r="R900" s="575"/>
      <c r="S900" s="575"/>
      <c r="T900" s="575"/>
      <c r="U900" s="575"/>
      <c r="V900" s="575"/>
      <c r="W900" s="575"/>
      <c r="X900" s="575"/>
      <c r="Y900" s="575"/>
      <c r="Z900" s="575"/>
      <c r="AA900" s="575"/>
    </row>
    <row r="901">
      <c r="A901" s="575"/>
      <c r="B901" s="692"/>
      <c r="C901" s="709"/>
      <c r="D901" s="709"/>
      <c r="E901" s="692"/>
      <c r="F901" s="710"/>
      <c r="G901" s="575"/>
      <c r="H901" s="575"/>
      <c r="I901" s="575"/>
      <c r="J901" s="575"/>
      <c r="K901" s="575"/>
      <c r="L901" s="575"/>
      <c r="M901" s="575"/>
      <c r="N901" s="575"/>
      <c r="O901" s="575"/>
      <c r="P901" s="575"/>
      <c r="Q901" s="575"/>
      <c r="R901" s="575"/>
      <c r="S901" s="575"/>
      <c r="T901" s="575"/>
      <c r="U901" s="575"/>
      <c r="V901" s="575"/>
      <c r="W901" s="575"/>
      <c r="X901" s="575"/>
      <c r="Y901" s="575"/>
      <c r="Z901" s="575"/>
      <c r="AA901" s="575"/>
    </row>
    <row r="902">
      <c r="A902" s="575"/>
      <c r="B902" s="692"/>
      <c r="C902" s="709"/>
      <c r="D902" s="709"/>
      <c r="E902" s="692"/>
      <c r="F902" s="710"/>
      <c r="G902" s="575"/>
      <c r="H902" s="575"/>
      <c r="I902" s="575"/>
      <c r="J902" s="575"/>
      <c r="K902" s="575"/>
      <c r="L902" s="575"/>
      <c r="M902" s="575"/>
      <c r="N902" s="575"/>
      <c r="O902" s="575"/>
      <c r="P902" s="575"/>
      <c r="Q902" s="575"/>
      <c r="R902" s="575"/>
      <c r="S902" s="575"/>
      <c r="T902" s="575"/>
      <c r="U902" s="575"/>
      <c r="V902" s="575"/>
      <c r="W902" s="575"/>
      <c r="X902" s="575"/>
      <c r="Y902" s="575"/>
      <c r="Z902" s="575"/>
      <c r="AA902" s="575"/>
    </row>
    <row r="903">
      <c r="A903" s="575"/>
      <c r="B903" s="692"/>
      <c r="C903" s="709"/>
      <c r="D903" s="709"/>
      <c r="E903" s="692"/>
      <c r="F903" s="710"/>
      <c r="G903" s="575"/>
      <c r="H903" s="575"/>
      <c r="I903" s="575"/>
      <c r="J903" s="575"/>
      <c r="K903" s="575"/>
      <c r="L903" s="575"/>
      <c r="M903" s="575"/>
      <c r="N903" s="575"/>
      <c r="O903" s="575"/>
      <c r="P903" s="575"/>
      <c r="Q903" s="575"/>
      <c r="R903" s="575"/>
      <c r="S903" s="575"/>
      <c r="T903" s="575"/>
      <c r="U903" s="575"/>
      <c r="V903" s="575"/>
      <c r="W903" s="575"/>
      <c r="X903" s="575"/>
      <c r="Y903" s="575"/>
      <c r="Z903" s="575"/>
      <c r="AA903" s="575"/>
    </row>
    <row r="904">
      <c r="A904" s="575"/>
      <c r="B904" s="692"/>
      <c r="C904" s="709"/>
      <c r="D904" s="709"/>
      <c r="E904" s="692"/>
      <c r="F904" s="710"/>
      <c r="G904" s="575"/>
      <c r="H904" s="575"/>
      <c r="I904" s="575"/>
      <c r="J904" s="575"/>
      <c r="K904" s="575"/>
      <c r="L904" s="575"/>
      <c r="M904" s="575"/>
      <c r="N904" s="575"/>
      <c r="O904" s="575"/>
      <c r="P904" s="575"/>
      <c r="Q904" s="575"/>
      <c r="R904" s="575"/>
      <c r="S904" s="575"/>
      <c r="T904" s="575"/>
      <c r="U904" s="575"/>
      <c r="V904" s="575"/>
      <c r="W904" s="575"/>
      <c r="X904" s="575"/>
      <c r="Y904" s="575"/>
      <c r="Z904" s="575"/>
      <c r="AA904" s="575"/>
    </row>
    <row r="905">
      <c r="A905" s="575"/>
      <c r="B905" s="692"/>
      <c r="C905" s="709"/>
      <c r="D905" s="709"/>
      <c r="E905" s="692"/>
      <c r="F905" s="710"/>
      <c r="G905" s="575"/>
      <c r="H905" s="575"/>
      <c r="I905" s="575"/>
      <c r="J905" s="575"/>
      <c r="K905" s="575"/>
      <c r="L905" s="575"/>
      <c r="M905" s="575"/>
      <c r="N905" s="575"/>
      <c r="O905" s="575"/>
      <c r="P905" s="575"/>
      <c r="Q905" s="575"/>
      <c r="R905" s="575"/>
      <c r="S905" s="575"/>
      <c r="T905" s="575"/>
      <c r="U905" s="575"/>
      <c r="V905" s="575"/>
      <c r="W905" s="575"/>
      <c r="X905" s="575"/>
      <c r="Y905" s="575"/>
      <c r="Z905" s="575"/>
      <c r="AA905" s="575"/>
    </row>
    <row r="906">
      <c r="A906" s="575"/>
      <c r="B906" s="692"/>
      <c r="C906" s="709"/>
      <c r="D906" s="709"/>
      <c r="E906" s="692"/>
      <c r="F906" s="710"/>
      <c r="G906" s="575"/>
      <c r="H906" s="575"/>
      <c r="I906" s="575"/>
      <c r="J906" s="575"/>
      <c r="K906" s="575"/>
      <c r="L906" s="575"/>
      <c r="M906" s="575"/>
      <c r="N906" s="575"/>
      <c r="O906" s="575"/>
      <c r="P906" s="575"/>
      <c r="Q906" s="575"/>
      <c r="R906" s="575"/>
      <c r="S906" s="575"/>
      <c r="T906" s="575"/>
      <c r="U906" s="575"/>
      <c r="V906" s="575"/>
      <c r="W906" s="575"/>
      <c r="X906" s="575"/>
      <c r="Y906" s="575"/>
      <c r="Z906" s="575"/>
      <c r="AA906" s="575"/>
    </row>
    <row r="907">
      <c r="A907" s="575"/>
      <c r="B907" s="692"/>
      <c r="C907" s="709"/>
      <c r="D907" s="709"/>
      <c r="E907" s="692"/>
      <c r="F907" s="710"/>
      <c r="G907" s="575"/>
      <c r="H907" s="575"/>
      <c r="I907" s="575"/>
      <c r="J907" s="575"/>
      <c r="K907" s="575"/>
      <c r="L907" s="575"/>
      <c r="M907" s="575"/>
      <c r="N907" s="575"/>
      <c r="O907" s="575"/>
      <c r="P907" s="575"/>
      <c r="Q907" s="575"/>
      <c r="R907" s="575"/>
      <c r="S907" s="575"/>
      <c r="T907" s="575"/>
      <c r="U907" s="575"/>
      <c r="V907" s="575"/>
      <c r="W907" s="575"/>
      <c r="X907" s="575"/>
      <c r="Y907" s="575"/>
      <c r="Z907" s="575"/>
      <c r="AA907" s="575"/>
    </row>
    <row r="908">
      <c r="A908" s="575"/>
      <c r="B908" s="692"/>
      <c r="C908" s="709"/>
      <c r="D908" s="709"/>
      <c r="E908" s="692"/>
      <c r="F908" s="710"/>
      <c r="G908" s="575"/>
      <c r="H908" s="575"/>
      <c r="I908" s="575"/>
      <c r="J908" s="575"/>
      <c r="K908" s="575"/>
      <c r="L908" s="575"/>
      <c r="M908" s="575"/>
      <c r="N908" s="575"/>
      <c r="O908" s="575"/>
      <c r="P908" s="575"/>
      <c r="Q908" s="575"/>
      <c r="R908" s="575"/>
      <c r="S908" s="575"/>
      <c r="T908" s="575"/>
      <c r="U908" s="575"/>
      <c r="V908" s="575"/>
      <c r="W908" s="575"/>
      <c r="X908" s="575"/>
      <c r="Y908" s="575"/>
      <c r="Z908" s="575"/>
      <c r="AA908" s="575"/>
    </row>
    <row r="909">
      <c r="A909" s="575"/>
      <c r="B909" s="692"/>
      <c r="C909" s="709"/>
      <c r="D909" s="709"/>
      <c r="E909" s="692"/>
      <c r="F909" s="710"/>
      <c r="G909" s="575"/>
      <c r="H909" s="575"/>
      <c r="I909" s="575"/>
      <c r="J909" s="575"/>
      <c r="K909" s="575"/>
      <c r="L909" s="575"/>
      <c r="M909" s="575"/>
      <c r="N909" s="575"/>
      <c r="O909" s="575"/>
      <c r="P909" s="575"/>
      <c r="Q909" s="575"/>
      <c r="R909" s="575"/>
      <c r="S909" s="575"/>
      <c r="T909" s="575"/>
      <c r="U909" s="575"/>
      <c r="V909" s="575"/>
      <c r="W909" s="575"/>
      <c r="X909" s="575"/>
      <c r="Y909" s="575"/>
      <c r="Z909" s="575"/>
      <c r="AA909" s="575"/>
    </row>
    <row r="910">
      <c r="A910" s="575"/>
      <c r="B910" s="692"/>
      <c r="C910" s="709"/>
      <c r="D910" s="709"/>
      <c r="E910" s="692"/>
      <c r="F910" s="710"/>
      <c r="G910" s="575"/>
      <c r="H910" s="575"/>
      <c r="I910" s="575"/>
      <c r="J910" s="575"/>
      <c r="K910" s="575"/>
      <c r="L910" s="575"/>
      <c r="M910" s="575"/>
      <c r="N910" s="575"/>
      <c r="O910" s="575"/>
      <c r="P910" s="575"/>
      <c r="Q910" s="575"/>
      <c r="R910" s="575"/>
      <c r="S910" s="575"/>
      <c r="T910" s="575"/>
      <c r="U910" s="575"/>
      <c r="V910" s="575"/>
      <c r="W910" s="575"/>
      <c r="X910" s="575"/>
      <c r="Y910" s="575"/>
      <c r="Z910" s="575"/>
      <c r="AA910" s="575"/>
    </row>
    <row r="911">
      <c r="A911" s="575"/>
      <c r="B911" s="692"/>
      <c r="C911" s="709"/>
      <c r="D911" s="709"/>
      <c r="E911" s="692"/>
      <c r="F911" s="710"/>
      <c r="G911" s="575"/>
      <c r="H911" s="575"/>
      <c r="I911" s="575"/>
      <c r="J911" s="575"/>
      <c r="K911" s="575"/>
      <c r="L911" s="575"/>
      <c r="M911" s="575"/>
      <c r="N911" s="575"/>
      <c r="O911" s="575"/>
      <c r="P911" s="575"/>
      <c r="Q911" s="575"/>
      <c r="R911" s="575"/>
      <c r="S911" s="575"/>
      <c r="T911" s="575"/>
      <c r="U911" s="575"/>
      <c r="V911" s="575"/>
      <c r="W911" s="575"/>
      <c r="X911" s="575"/>
      <c r="Y911" s="575"/>
      <c r="Z911" s="575"/>
      <c r="AA911" s="575"/>
    </row>
    <row r="912">
      <c r="A912" s="575"/>
      <c r="B912" s="692"/>
      <c r="C912" s="709"/>
      <c r="D912" s="709"/>
      <c r="E912" s="692"/>
      <c r="F912" s="710"/>
      <c r="G912" s="575"/>
      <c r="H912" s="575"/>
      <c r="I912" s="575"/>
      <c r="J912" s="575"/>
      <c r="K912" s="575"/>
      <c r="L912" s="575"/>
      <c r="M912" s="575"/>
      <c r="N912" s="575"/>
      <c r="O912" s="575"/>
      <c r="P912" s="575"/>
      <c r="Q912" s="575"/>
      <c r="R912" s="575"/>
      <c r="S912" s="575"/>
      <c r="T912" s="575"/>
      <c r="U912" s="575"/>
      <c r="V912" s="575"/>
      <c r="W912" s="575"/>
      <c r="X912" s="575"/>
      <c r="Y912" s="575"/>
      <c r="Z912" s="575"/>
      <c r="AA912" s="575"/>
    </row>
    <row r="913">
      <c r="A913" s="575"/>
      <c r="B913" s="692"/>
      <c r="C913" s="709"/>
      <c r="D913" s="709"/>
      <c r="E913" s="692"/>
      <c r="F913" s="710"/>
      <c r="G913" s="575"/>
      <c r="H913" s="575"/>
      <c r="I913" s="575"/>
      <c r="J913" s="575"/>
      <c r="K913" s="575"/>
      <c r="L913" s="575"/>
      <c r="M913" s="575"/>
      <c r="N913" s="575"/>
      <c r="O913" s="575"/>
      <c r="P913" s="575"/>
      <c r="Q913" s="575"/>
      <c r="R913" s="575"/>
      <c r="S913" s="575"/>
      <c r="T913" s="575"/>
      <c r="U913" s="575"/>
      <c r="V913" s="575"/>
      <c r="W913" s="575"/>
      <c r="X913" s="575"/>
      <c r="Y913" s="575"/>
      <c r="Z913" s="575"/>
      <c r="AA913" s="575"/>
    </row>
    <row r="914">
      <c r="A914" s="575"/>
      <c r="B914" s="692"/>
      <c r="C914" s="709"/>
      <c r="D914" s="709"/>
      <c r="E914" s="692"/>
      <c r="F914" s="710"/>
      <c r="G914" s="575"/>
      <c r="H914" s="575"/>
      <c r="I914" s="575"/>
      <c r="J914" s="575"/>
      <c r="K914" s="575"/>
      <c r="L914" s="575"/>
      <c r="M914" s="575"/>
      <c r="N914" s="575"/>
      <c r="O914" s="575"/>
      <c r="P914" s="575"/>
      <c r="Q914" s="575"/>
      <c r="R914" s="575"/>
      <c r="S914" s="575"/>
      <c r="T914" s="575"/>
      <c r="U914" s="575"/>
      <c r="V914" s="575"/>
      <c r="W914" s="575"/>
      <c r="X914" s="575"/>
      <c r="Y914" s="575"/>
      <c r="Z914" s="575"/>
      <c r="AA914" s="575"/>
    </row>
    <row r="915">
      <c r="A915" s="575"/>
      <c r="B915" s="692"/>
      <c r="C915" s="709"/>
      <c r="D915" s="709"/>
      <c r="E915" s="692"/>
      <c r="F915" s="710"/>
      <c r="G915" s="575"/>
      <c r="H915" s="575"/>
      <c r="I915" s="575"/>
      <c r="J915" s="575"/>
      <c r="K915" s="575"/>
      <c r="L915" s="575"/>
      <c r="M915" s="575"/>
      <c r="N915" s="575"/>
      <c r="O915" s="575"/>
      <c r="P915" s="575"/>
      <c r="Q915" s="575"/>
      <c r="R915" s="575"/>
      <c r="S915" s="575"/>
      <c r="T915" s="575"/>
      <c r="U915" s="575"/>
      <c r="V915" s="575"/>
      <c r="W915" s="575"/>
      <c r="X915" s="575"/>
      <c r="Y915" s="575"/>
      <c r="Z915" s="575"/>
      <c r="AA915" s="575"/>
    </row>
    <row r="916">
      <c r="A916" s="575"/>
      <c r="B916" s="692"/>
      <c r="C916" s="709"/>
      <c r="D916" s="709"/>
      <c r="E916" s="692"/>
      <c r="F916" s="710"/>
      <c r="G916" s="575"/>
      <c r="H916" s="575"/>
      <c r="I916" s="575"/>
      <c r="J916" s="575"/>
      <c r="K916" s="575"/>
      <c r="L916" s="575"/>
      <c r="M916" s="575"/>
      <c r="N916" s="575"/>
      <c r="O916" s="575"/>
      <c r="P916" s="575"/>
      <c r="Q916" s="575"/>
      <c r="R916" s="575"/>
      <c r="S916" s="575"/>
      <c r="T916" s="575"/>
      <c r="U916" s="575"/>
      <c r="V916" s="575"/>
      <c r="W916" s="575"/>
      <c r="X916" s="575"/>
      <c r="Y916" s="575"/>
      <c r="Z916" s="575"/>
      <c r="AA916" s="575"/>
    </row>
    <row r="917">
      <c r="A917" s="575"/>
      <c r="B917" s="692"/>
      <c r="C917" s="709"/>
      <c r="D917" s="709"/>
      <c r="E917" s="692"/>
      <c r="F917" s="710"/>
      <c r="G917" s="575"/>
      <c r="H917" s="575"/>
      <c r="I917" s="575"/>
      <c r="J917" s="575"/>
      <c r="K917" s="575"/>
      <c r="L917" s="575"/>
      <c r="M917" s="575"/>
      <c r="N917" s="575"/>
      <c r="O917" s="575"/>
      <c r="P917" s="575"/>
      <c r="Q917" s="575"/>
      <c r="R917" s="575"/>
      <c r="S917" s="575"/>
      <c r="T917" s="575"/>
      <c r="U917" s="575"/>
      <c r="V917" s="575"/>
      <c r="W917" s="575"/>
      <c r="X917" s="575"/>
      <c r="Y917" s="575"/>
      <c r="Z917" s="575"/>
      <c r="AA917" s="575"/>
    </row>
    <row r="918">
      <c r="A918" s="575"/>
      <c r="B918" s="692"/>
      <c r="C918" s="709"/>
      <c r="D918" s="709"/>
      <c r="E918" s="692"/>
      <c r="F918" s="710"/>
      <c r="G918" s="575"/>
      <c r="H918" s="575"/>
      <c r="I918" s="575"/>
      <c r="J918" s="575"/>
      <c r="K918" s="575"/>
      <c r="L918" s="575"/>
      <c r="M918" s="575"/>
      <c r="N918" s="575"/>
      <c r="O918" s="575"/>
      <c r="P918" s="575"/>
      <c r="Q918" s="575"/>
      <c r="R918" s="575"/>
      <c r="S918" s="575"/>
      <c r="T918" s="575"/>
      <c r="U918" s="575"/>
      <c r="V918" s="575"/>
      <c r="W918" s="575"/>
      <c r="X918" s="575"/>
      <c r="Y918" s="575"/>
      <c r="Z918" s="575"/>
      <c r="AA918" s="575"/>
    </row>
    <row r="919">
      <c r="A919" s="575"/>
      <c r="B919" s="692"/>
      <c r="C919" s="709"/>
      <c r="D919" s="709"/>
      <c r="E919" s="692"/>
      <c r="F919" s="710"/>
      <c r="G919" s="575"/>
      <c r="H919" s="575"/>
      <c r="I919" s="575"/>
      <c r="J919" s="575"/>
      <c r="K919" s="575"/>
      <c r="L919" s="575"/>
      <c r="M919" s="575"/>
      <c r="N919" s="575"/>
      <c r="O919" s="575"/>
      <c r="P919" s="575"/>
      <c r="Q919" s="575"/>
      <c r="R919" s="575"/>
      <c r="S919" s="575"/>
      <c r="T919" s="575"/>
      <c r="U919" s="575"/>
      <c r="V919" s="575"/>
      <c r="W919" s="575"/>
      <c r="X919" s="575"/>
      <c r="Y919" s="575"/>
      <c r="Z919" s="575"/>
      <c r="AA919" s="575"/>
    </row>
    <row r="920">
      <c r="A920" s="575"/>
      <c r="B920" s="692"/>
      <c r="C920" s="709"/>
      <c r="D920" s="709"/>
      <c r="E920" s="692"/>
      <c r="F920" s="710"/>
      <c r="G920" s="575"/>
      <c r="H920" s="575"/>
      <c r="I920" s="575"/>
      <c r="J920" s="575"/>
      <c r="K920" s="575"/>
      <c r="L920" s="575"/>
      <c r="M920" s="575"/>
      <c r="N920" s="575"/>
      <c r="O920" s="575"/>
      <c r="P920" s="575"/>
      <c r="Q920" s="575"/>
      <c r="R920" s="575"/>
      <c r="S920" s="575"/>
      <c r="T920" s="575"/>
      <c r="U920" s="575"/>
      <c r="V920" s="575"/>
      <c r="W920" s="575"/>
      <c r="X920" s="575"/>
      <c r="Y920" s="575"/>
      <c r="Z920" s="575"/>
      <c r="AA920" s="575"/>
    </row>
    <row r="921">
      <c r="A921" s="575"/>
      <c r="B921" s="692"/>
      <c r="C921" s="709"/>
      <c r="D921" s="709"/>
      <c r="E921" s="692"/>
      <c r="F921" s="710"/>
      <c r="G921" s="575"/>
      <c r="H921" s="575"/>
      <c r="I921" s="575"/>
      <c r="J921" s="575"/>
      <c r="K921" s="575"/>
      <c r="L921" s="575"/>
      <c r="M921" s="575"/>
      <c r="N921" s="575"/>
      <c r="O921" s="575"/>
      <c r="P921" s="575"/>
      <c r="Q921" s="575"/>
      <c r="R921" s="575"/>
      <c r="S921" s="575"/>
      <c r="T921" s="575"/>
      <c r="U921" s="575"/>
      <c r="V921" s="575"/>
      <c r="W921" s="575"/>
      <c r="X921" s="575"/>
      <c r="Y921" s="575"/>
      <c r="Z921" s="575"/>
      <c r="AA921" s="575"/>
    </row>
    <row r="922">
      <c r="A922" s="575"/>
      <c r="B922" s="692"/>
      <c r="C922" s="709"/>
      <c r="D922" s="709"/>
      <c r="E922" s="692"/>
      <c r="F922" s="710"/>
      <c r="G922" s="575"/>
      <c r="H922" s="575"/>
      <c r="I922" s="575"/>
      <c r="J922" s="575"/>
      <c r="K922" s="575"/>
      <c r="L922" s="575"/>
      <c r="M922" s="575"/>
      <c r="N922" s="575"/>
      <c r="O922" s="575"/>
      <c r="P922" s="575"/>
      <c r="Q922" s="575"/>
      <c r="R922" s="575"/>
      <c r="S922" s="575"/>
      <c r="T922" s="575"/>
      <c r="U922" s="575"/>
      <c r="V922" s="575"/>
      <c r="W922" s="575"/>
      <c r="X922" s="575"/>
      <c r="Y922" s="575"/>
      <c r="Z922" s="575"/>
      <c r="AA922" s="575"/>
    </row>
    <row r="923">
      <c r="A923" s="575"/>
      <c r="B923" s="692"/>
      <c r="C923" s="709"/>
      <c r="D923" s="709"/>
      <c r="E923" s="692"/>
      <c r="F923" s="710"/>
      <c r="G923" s="575"/>
      <c r="H923" s="575"/>
      <c r="I923" s="575"/>
      <c r="J923" s="575"/>
      <c r="K923" s="575"/>
      <c r="L923" s="575"/>
      <c r="M923" s="575"/>
      <c r="N923" s="575"/>
      <c r="O923" s="575"/>
      <c r="P923" s="575"/>
      <c r="Q923" s="575"/>
      <c r="R923" s="575"/>
      <c r="S923" s="575"/>
      <c r="T923" s="575"/>
      <c r="U923" s="575"/>
      <c r="V923" s="575"/>
      <c r="W923" s="575"/>
      <c r="X923" s="575"/>
      <c r="Y923" s="575"/>
      <c r="Z923" s="575"/>
      <c r="AA923" s="575"/>
    </row>
    <row r="924">
      <c r="A924" s="575"/>
      <c r="B924" s="692"/>
      <c r="C924" s="709"/>
      <c r="D924" s="709"/>
      <c r="E924" s="692"/>
      <c r="F924" s="710"/>
      <c r="G924" s="575"/>
      <c r="H924" s="575"/>
      <c r="I924" s="575"/>
      <c r="J924" s="575"/>
      <c r="K924" s="575"/>
      <c r="L924" s="575"/>
      <c r="M924" s="575"/>
      <c r="N924" s="575"/>
      <c r="O924" s="575"/>
      <c r="P924" s="575"/>
      <c r="Q924" s="575"/>
      <c r="R924" s="575"/>
      <c r="S924" s="575"/>
      <c r="T924" s="575"/>
      <c r="U924" s="575"/>
      <c r="V924" s="575"/>
      <c r="W924" s="575"/>
      <c r="X924" s="575"/>
      <c r="Y924" s="575"/>
      <c r="Z924" s="575"/>
      <c r="AA924" s="575"/>
    </row>
    <row r="925">
      <c r="A925" s="575"/>
      <c r="B925" s="692"/>
      <c r="C925" s="709"/>
      <c r="D925" s="709"/>
      <c r="E925" s="692"/>
      <c r="F925" s="710"/>
      <c r="G925" s="575"/>
      <c r="H925" s="575"/>
      <c r="I925" s="575"/>
      <c r="J925" s="575"/>
      <c r="K925" s="575"/>
      <c r="L925" s="575"/>
      <c r="M925" s="575"/>
      <c r="N925" s="575"/>
      <c r="O925" s="575"/>
      <c r="P925" s="575"/>
      <c r="Q925" s="575"/>
      <c r="R925" s="575"/>
      <c r="S925" s="575"/>
      <c r="T925" s="575"/>
      <c r="U925" s="575"/>
      <c r="V925" s="575"/>
      <c r="W925" s="575"/>
      <c r="X925" s="575"/>
      <c r="Y925" s="575"/>
      <c r="Z925" s="575"/>
      <c r="AA925" s="575"/>
    </row>
    <row r="926">
      <c r="A926" s="575"/>
      <c r="B926" s="692"/>
      <c r="C926" s="709"/>
      <c r="D926" s="709"/>
      <c r="E926" s="692"/>
      <c r="F926" s="710"/>
      <c r="G926" s="575"/>
      <c r="H926" s="575"/>
      <c r="I926" s="575"/>
      <c r="J926" s="575"/>
      <c r="K926" s="575"/>
      <c r="L926" s="575"/>
      <c r="M926" s="575"/>
      <c r="N926" s="575"/>
      <c r="O926" s="575"/>
      <c r="P926" s="575"/>
      <c r="Q926" s="575"/>
      <c r="R926" s="575"/>
      <c r="S926" s="575"/>
      <c r="T926" s="575"/>
      <c r="U926" s="575"/>
      <c r="V926" s="575"/>
      <c r="W926" s="575"/>
      <c r="X926" s="575"/>
      <c r="Y926" s="575"/>
      <c r="Z926" s="575"/>
      <c r="AA926" s="575"/>
    </row>
    <row r="927">
      <c r="A927" s="575"/>
      <c r="B927" s="692"/>
      <c r="C927" s="709"/>
      <c r="D927" s="709"/>
      <c r="E927" s="692"/>
      <c r="F927" s="710"/>
      <c r="G927" s="575"/>
      <c r="H927" s="575"/>
      <c r="I927" s="575"/>
      <c r="J927" s="575"/>
      <c r="K927" s="575"/>
      <c r="L927" s="575"/>
      <c r="M927" s="575"/>
      <c r="N927" s="575"/>
      <c r="O927" s="575"/>
      <c r="P927" s="575"/>
      <c r="Q927" s="575"/>
      <c r="R927" s="575"/>
      <c r="S927" s="575"/>
      <c r="T927" s="575"/>
      <c r="U927" s="575"/>
      <c r="V927" s="575"/>
      <c r="W927" s="575"/>
      <c r="X927" s="575"/>
      <c r="Y927" s="575"/>
      <c r="Z927" s="575"/>
      <c r="AA927" s="575"/>
    </row>
    <row r="928">
      <c r="A928" s="575"/>
      <c r="B928" s="692"/>
      <c r="C928" s="709"/>
      <c r="D928" s="709"/>
      <c r="E928" s="692"/>
      <c r="F928" s="710"/>
      <c r="G928" s="575"/>
      <c r="H928" s="575"/>
      <c r="I928" s="575"/>
      <c r="J928" s="575"/>
      <c r="K928" s="575"/>
      <c r="L928" s="575"/>
      <c r="M928" s="575"/>
      <c r="N928" s="575"/>
      <c r="O928" s="575"/>
      <c r="P928" s="575"/>
      <c r="Q928" s="575"/>
      <c r="R928" s="575"/>
      <c r="S928" s="575"/>
      <c r="T928" s="575"/>
      <c r="U928" s="575"/>
      <c r="V928" s="575"/>
      <c r="W928" s="575"/>
      <c r="X928" s="575"/>
      <c r="Y928" s="575"/>
      <c r="Z928" s="575"/>
      <c r="AA928" s="575"/>
    </row>
    <row r="929">
      <c r="A929" s="575"/>
      <c r="B929" s="692"/>
      <c r="C929" s="709"/>
      <c r="D929" s="709"/>
      <c r="E929" s="692"/>
      <c r="F929" s="710"/>
      <c r="G929" s="575"/>
      <c r="H929" s="575"/>
      <c r="I929" s="575"/>
      <c r="J929" s="575"/>
      <c r="K929" s="575"/>
      <c r="L929" s="575"/>
      <c r="M929" s="575"/>
      <c r="N929" s="575"/>
      <c r="O929" s="575"/>
      <c r="P929" s="575"/>
      <c r="Q929" s="575"/>
      <c r="R929" s="575"/>
      <c r="S929" s="575"/>
      <c r="T929" s="575"/>
      <c r="U929" s="575"/>
      <c r="V929" s="575"/>
      <c r="W929" s="575"/>
      <c r="X929" s="575"/>
      <c r="Y929" s="575"/>
      <c r="Z929" s="575"/>
      <c r="AA929" s="575"/>
    </row>
    <row r="930">
      <c r="A930" s="575"/>
      <c r="B930" s="692"/>
      <c r="C930" s="709"/>
      <c r="D930" s="709"/>
      <c r="E930" s="692"/>
      <c r="F930" s="710"/>
      <c r="G930" s="575"/>
      <c r="H930" s="575"/>
      <c r="I930" s="575"/>
      <c r="J930" s="575"/>
      <c r="K930" s="575"/>
      <c r="L930" s="575"/>
      <c r="M930" s="575"/>
      <c r="N930" s="575"/>
      <c r="O930" s="575"/>
      <c r="P930" s="575"/>
      <c r="Q930" s="575"/>
      <c r="R930" s="575"/>
      <c r="S930" s="575"/>
      <c r="T930" s="575"/>
      <c r="U930" s="575"/>
      <c r="V930" s="575"/>
      <c r="W930" s="575"/>
      <c r="X930" s="575"/>
      <c r="Y930" s="575"/>
      <c r="Z930" s="575"/>
      <c r="AA930" s="575"/>
    </row>
    <row r="931">
      <c r="A931" s="575"/>
      <c r="B931" s="692"/>
      <c r="C931" s="709"/>
      <c r="D931" s="709"/>
      <c r="E931" s="692"/>
      <c r="F931" s="710"/>
      <c r="G931" s="575"/>
      <c r="H931" s="575"/>
      <c r="I931" s="575"/>
      <c r="J931" s="575"/>
      <c r="K931" s="575"/>
      <c r="L931" s="575"/>
      <c r="M931" s="575"/>
      <c r="N931" s="575"/>
      <c r="O931" s="575"/>
      <c r="P931" s="575"/>
      <c r="Q931" s="575"/>
      <c r="R931" s="575"/>
      <c r="S931" s="575"/>
      <c r="T931" s="575"/>
      <c r="U931" s="575"/>
      <c r="V931" s="575"/>
      <c r="W931" s="575"/>
      <c r="X931" s="575"/>
      <c r="Y931" s="575"/>
      <c r="Z931" s="575"/>
      <c r="AA931" s="575"/>
    </row>
    <row r="932">
      <c r="A932" s="575"/>
      <c r="B932" s="692"/>
      <c r="C932" s="709"/>
      <c r="D932" s="709"/>
      <c r="E932" s="692"/>
      <c r="F932" s="710"/>
      <c r="G932" s="575"/>
      <c r="H932" s="575"/>
      <c r="I932" s="575"/>
      <c r="J932" s="575"/>
      <c r="K932" s="575"/>
      <c r="L932" s="575"/>
      <c r="M932" s="575"/>
      <c r="N932" s="575"/>
      <c r="O932" s="575"/>
      <c r="P932" s="575"/>
      <c r="Q932" s="575"/>
      <c r="R932" s="575"/>
      <c r="S932" s="575"/>
      <c r="T932" s="575"/>
      <c r="U932" s="575"/>
      <c r="V932" s="575"/>
      <c r="W932" s="575"/>
      <c r="X932" s="575"/>
      <c r="Y932" s="575"/>
      <c r="Z932" s="575"/>
      <c r="AA932" s="575"/>
    </row>
    <row r="933">
      <c r="A933" s="575"/>
      <c r="B933" s="692"/>
      <c r="C933" s="709"/>
      <c r="D933" s="709"/>
      <c r="E933" s="692"/>
      <c r="F933" s="710"/>
      <c r="G933" s="575"/>
      <c r="H933" s="575"/>
      <c r="I933" s="575"/>
      <c r="J933" s="575"/>
      <c r="K933" s="575"/>
      <c r="L933" s="575"/>
      <c r="M933" s="575"/>
      <c r="N933" s="575"/>
      <c r="O933" s="575"/>
      <c r="P933" s="575"/>
      <c r="Q933" s="575"/>
      <c r="R933" s="575"/>
      <c r="S933" s="575"/>
      <c r="T933" s="575"/>
      <c r="U933" s="575"/>
      <c r="V933" s="575"/>
      <c r="W933" s="575"/>
      <c r="X933" s="575"/>
      <c r="Y933" s="575"/>
      <c r="Z933" s="575"/>
      <c r="AA933" s="575"/>
    </row>
    <row r="934">
      <c r="A934" s="575"/>
      <c r="B934" s="692"/>
      <c r="C934" s="709"/>
      <c r="D934" s="709"/>
      <c r="E934" s="692"/>
      <c r="F934" s="710"/>
      <c r="G934" s="575"/>
      <c r="H934" s="575"/>
      <c r="I934" s="575"/>
      <c r="J934" s="575"/>
      <c r="K934" s="575"/>
      <c r="L934" s="575"/>
      <c r="M934" s="575"/>
      <c r="N934" s="575"/>
      <c r="O934" s="575"/>
      <c r="P934" s="575"/>
      <c r="Q934" s="575"/>
      <c r="R934" s="575"/>
      <c r="S934" s="575"/>
      <c r="T934" s="575"/>
      <c r="U934" s="575"/>
      <c r="V934" s="575"/>
      <c r="W934" s="575"/>
      <c r="X934" s="575"/>
      <c r="Y934" s="575"/>
      <c r="Z934" s="575"/>
      <c r="AA934" s="575"/>
    </row>
    <row r="935">
      <c r="A935" s="575"/>
      <c r="B935" s="692"/>
      <c r="C935" s="709"/>
      <c r="D935" s="709"/>
      <c r="E935" s="692"/>
      <c r="F935" s="710"/>
      <c r="G935" s="575"/>
      <c r="H935" s="575"/>
      <c r="I935" s="575"/>
      <c r="J935" s="575"/>
      <c r="K935" s="575"/>
      <c r="L935" s="575"/>
      <c r="M935" s="575"/>
      <c r="N935" s="575"/>
      <c r="O935" s="575"/>
      <c r="P935" s="575"/>
      <c r="Q935" s="575"/>
      <c r="R935" s="575"/>
      <c r="S935" s="575"/>
      <c r="T935" s="575"/>
      <c r="U935" s="575"/>
      <c r="V935" s="575"/>
      <c r="W935" s="575"/>
      <c r="X935" s="575"/>
      <c r="Y935" s="575"/>
      <c r="Z935" s="575"/>
      <c r="AA935" s="575"/>
    </row>
    <row r="936">
      <c r="A936" s="575"/>
      <c r="B936" s="692"/>
      <c r="C936" s="709"/>
      <c r="D936" s="709"/>
      <c r="E936" s="692"/>
      <c r="F936" s="710"/>
      <c r="G936" s="575"/>
      <c r="H936" s="575"/>
      <c r="I936" s="575"/>
      <c r="J936" s="575"/>
      <c r="K936" s="575"/>
      <c r="L936" s="575"/>
      <c r="M936" s="575"/>
      <c r="N936" s="575"/>
      <c r="O936" s="575"/>
      <c r="P936" s="575"/>
      <c r="Q936" s="575"/>
      <c r="R936" s="575"/>
      <c r="S936" s="575"/>
      <c r="T936" s="575"/>
      <c r="U936" s="575"/>
      <c r="V936" s="575"/>
      <c r="W936" s="575"/>
      <c r="X936" s="575"/>
      <c r="Y936" s="575"/>
      <c r="Z936" s="575"/>
      <c r="AA936" s="575"/>
    </row>
    <row r="937">
      <c r="A937" s="575"/>
      <c r="B937" s="692"/>
      <c r="C937" s="709"/>
      <c r="D937" s="709"/>
      <c r="E937" s="692"/>
      <c r="F937" s="710"/>
      <c r="G937" s="575"/>
      <c r="H937" s="575"/>
      <c r="I937" s="575"/>
      <c r="J937" s="575"/>
      <c r="K937" s="575"/>
      <c r="L937" s="575"/>
      <c r="M937" s="575"/>
      <c r="N937" s="575"/>
      <c r="O937" s="575"/>
      <c r="P937" s="575"/>
      <c r="Q937" s="575"/>
      <c r="R937" s="575"/>
      <c r="S937" s="575"/>
      <c r="T937" s="575"/>
      <c r="U937" s="575"/>
      <c r="V937" s="575"/>
      <c r="W937" s="575"/>
      <c r="X937" s="575"/>
      <c r="Y937" s="575"/>
      <c r="Z937" s="575"/>
      <c r="AA937" s="575"/>
    </row>
    <row r="938">
      <c r="A938" s="575"/>
      <c r="B938" s="692"/>
      <c r="C938" s="709"/>
      <c r="D938" s="709"/>
      <c r="E938" s="692"/>
      <c r="F938" s="710"/>
      <c r="G938" s="575"/>
      <c r="H938" s="575"/>
      <c r="I938" s="575"/>
      <c r="J938" s="575"/>
      <c r="K938" s="575"/>
      <c r="L938" s="575"/>
      <c r="M938" s="575"/>
      <c r="N938" s="575"/>
      <c r="O938" s="575"/>
      <c r="P938" s="575"/>
      <c r="Q938" s="575"/>
      <c r="R938" s="575"/>
      <c r="S938" s="575"/>
      <c r="T938" s="575"/>
      <c r="U938" s="575"/>
      <c r="V938" s="575"/>
      <c r="W938" s="575"/>
      <c r="X938" s="575"/>
      <c r="Y938" s="575"/>
      <c r="Z938" s="575"/>
      <c r="AA938" s="575"/>
    </row>
    <row r="939">
      <c r="A939" s="575"/>
      <c r="B939" s="692"/>
      <c r="C939" s="709"/>
      <c r="D939" s="709"/>
      <c r="E939" s="692"/>
      <c r="F939" s="710"/>
      <c r="G939" s="575"/>
      <c r="H939" s="575"/>
      <c r="I939" s="575"/>
      <c r="J939" s="575"/>
      <c r="K939" s="575"/>
      <c r="L939" s="575"/>
      <c r="M939" s="575"/>
      <c r="N939" s="575"/>
      <c r="O939" s="575"/>
      <c r="P939" s="575"/>
      <c r="Q939" s="575"/>
      <c r="R939" s="575"/>
      <c r="S939" s="575"/>
      <c r="T939" s="575"/>
      <c r="U939" s="575"/>
      <c r="V939" s="575"/>
      <c r="W939" s="575"/>
      <c r="X939" s="575"/>
      <c r="Y939" s="575"/>
      <c r="Z939" s="575"/>
      <c r="AA939" s="575"/>
    </row>
    <row r="940">
      <c r="A940" s="575"/>
      <c r="B940" s="692"/>
      <c r="C940" s="709"/>
      <c r="D940" s="709"/>
      <c r="E940" s="692"/>
      <c r="F940" s="710"/>
      <c r="G940" s="575"/>
      <c r="H940" s="575"/>
      <c r="I940" s="575"/>
      <c r="J940" s="575"/>
      <c r="K940" s="575"/>
      <c r="L940" s="575"/>
      <c r="M940" s="575"/>
      <c r="N940" s="575"/>
      <c r="O940" s="575"/>
      <c r="P940" s="575"/>
      <c r="Q940" s="575"/>
      <c r="R940" s="575"/>
      <c r="S940" s="575"/>
      <c r="T940" s="575"/>
      <c r="U940" s="575"/>
      <c r="V940" s="575"/>
      <c r="W940" s="575"/>
      <c r="X940" s="575"/>
      <c r="Y940" s="575"/>
      <c r="Z940" s="575"/>
      <c r="AA940" s="575"/>
    </row>
    <row r="941">
      <c r="A941" s="575"/>
      <c r="B941" s="692"/>
      <c r="C941" s="709"/>
      <c r="D941" s="709"/>
      <c r="E941" s="692"/>
      <c r="F941" s="710"/>
      <c r="G941" s="575"/>
      <c r="H941" s="575"/>
      <c r="I941" s="575"/>
      <c r="J941" s="575"/>
      <c r="K941" s="575"/>
      <c r="L941" s="575"/>
      <c r="M941" s="575"/>
      <c r="N941" s="575"/>
      <c r="O941" s="575"/>
      <c r="P941" s="575"/>
      <c r="Q941" s="575"/>
      <c r="R941" s="575"/>
      <c r="S941" s="575"/>
      <c r="T941" s="575"/>
      <c r="U941" s="575"/>
      <c r="V941" s="575"/>
      <c r="W941" s="575"/>
      <c r="X941" s="575"/>
      <c r="Y941" s="575"/>
      <c r="Z941" s="575"/>
      <c r="AA941" s="575"/>
    </row>
    <row r="942">
      <c r="A942" s="575"/>
      <c r="B942" s="692"/>
      <c r="C942" s="709"/>
      <c r="D942" s="709"/>
      <c r="E942" s="692"/>
      <c r="F942" s="710"/>
      <c r="G942" s="575"/>
      <c r="H942" s="575"/>
      <c r="I942" s="575"/>
      <c r="J942" s="575"/>
      <c r="K942" s="575"/>
      <c r="L942" s="575"/>
      <c r="M942" s="575"/>
      <c r="N942" s="575"/>
      <c r="O942" s="575"/>
      <c r="P942" s="575"/>
      <c r="Q942" s="575"/>
      <c r="R942" s="575"/>
      <c r="S942" s="575"/>
      <c r="T942" s="575"/>
      <c r="U942" s="575"/>
      <c r="V942" s="575"/>
      <c r="W942" s="575"/>
      <c r="X942" s="575"/>
      <c r="Y942" s="575"/>
      <c r="Z942" s="575"/>
      <c r="AA942" s="575"/>
    </row>
    <row r="943">
      <c r="A943" s="575"/>
      <c r="B943" s="692"/>
      <c r="C943" s="709"/>
      <c r="D943" s="709"/>
      <c r="E943" s="692"/>
      <c r="F943" s="710"/>
      <c r="G943" s="575"/>
      <c r="H943" s="575"/>
      <c r="I943" s="575"/>
      <c r="J943" s="575"/>
      <c r="K943" s="575"/>
      <c r="L943" s="575"/>
      <c r="M943" s="575"/>
      <c r="N943" s="575"/>
      <c r="O943" s="575"/>
      <c r="P943" s="575"/>
      <c r="Q943" s="575"/>
      <c r="R943" s="575"/>
      <c r="S943" s="575"/>
      <c r="T943" s="575"/>
      <c r="U943" s="575"/>
      <c r="V943" s="575"/>
      <c r="W943" s="575"/>
      <c r="X943" s="575"/>
      <c r="Y943" s="575"/>
      <c r="Z943" s="575"/>
      <c r="AA943" s="575"/>
    </row>
    <row r="944">
      <c r="A944" s="575"/>
      <c r="B944" s="692"/>
      <c r="C944" s="709"/>
      <c r="D944" s="709"/>
      <c r="E944" s="692"/>
      <c r="F944" s="710"/>
      <c r="G944" s="575"/>
      <c r="H944" s="575"/>
      <c r="I944" s="575"/>
      <c r="J944" s="575"/>
      <c r="K944" s="575"/>
      <c r="L944" s="575"/>
      <c r="M944" s="575"/>
      <c r="N944" s="575"/>
      <c r="O944" s="575"/>
      <c r="P944" s="575"/>
      <c r="Q944" s="575"/>
      <c r="R944" s="575"/>
      <c r="S944" s="575"/>
      <c r="T944" s="575"/>
      <c r="U944" s="575"/>
      <c r="V944" s="575"/>
      <c r="W944" s="575"/>
      <c r="X944" s="575"/>
      <c r="Y944" s="575"/>
      <c r="Z944" s="575"/>
      <c r="AA944" s="575"/>
    </row>
    <row r="945">
      <c r="A945" s="575"/>
      <c r="B945" s="692"/>
      <c r="C945" s="709"/>
      <c r="D945" s="709"/>
      <c r="E945" s="692"/>
      <c r="F945" s="710"/>
      <c r="G945" s="575"/>
      <c r="H945" s="575"/>
      <c r="I945" s="575"/>
      <c r="J945" s="575"/>
      <c r="K945" s="575"/>
      <c r="L945" s="575"/>
      <c r="M945" s="575"/>
      <c r="N945" s="575"/>
      <c r="O945" s="575"/>
      <c r="P945" s="575"/>
      <c r="Q945" s="575"/>
      <c r="R945" s="575"/>
      <c r="S945" s="575"/>
      <c r="T945" s="575"/>
      <c r="U945" s="575"/>
      <c r="V945" s="575"/>
      <c r="W945" s="575"/>
      <c r="X945" s="575"/>
      <c r="Y945" s="575"/>
      <c r="Z945" s="575"/>
      <c r="AA945" s="575"/>
    </row>
    <row r="946">
      <c r="A946" s="575"/>
      <c r="B946" s="692"/>
      <c r="C946" s="709"/>
      <c r="D946" s="709"/>
      <c r="E946" s="692"/>
      <c r="F946" s="710"/>
      <c r="G946" s="575"/>
      <c r="H946" s="575"/>
      <c r="I946" s="575"/>
      <c r="J946" s="575"/>
      <c r="K946" s="575"/>
      <c r="L946" s="575"/>
      <c r="M946" s="575"/>
      <c r="N946" s="575"/>
      <c r="O946" s="575"/>
      <c r="P946" s="575"/>
      <c r="Q946" s="575"/>
      <c r="R946" s="575"/>
      <c r="S946" s="575"/>
      <c r="T946" s="575"/>
      <c r="U946" s="575"/>
      <c r="V946" s="575"/>
      <c r="W946" s="575"/>
      <c r="X946" s="575"/>
      <c r="Y946" s="575"/>
      <c r="Z946" s="575"/>
      <c r="AA946" s="575"/>
    </row>
    <row r="947">
      <c r="A947" s="575"/>
      <c r="B947" s="692"/>
      <c r="C947" s="709"/>
      <c r="D947" s="709"/>
      <c r="E947" s="692"/>
      <c r="F947" s="710"/>
      <c r="G947" s="575"/>
      <c r="H947" s="575"/>
      <c r="I947" s="575"/>
      <c r="J947" s="575"/>
      <c r="K947" s="575"/>
      <c r="L947" s="575"/>
      <c r="M947" s="575"/>
      <c r="N947" s="575"/>
      <c r="O947" s="575"/>
      <c r="P947" s="575"/>
      <c r="Q947" s="575"/>
      <c r="R947" s="575"/>
      <c r="S947" s="575"/>
      <c r="T947" s="575"/>
      <c r="U947" s="575"/>
      <c r="V947" s="575"/>
      <c r="W947" s="575"/>
      <c r="X947" s="575"/>
      <c r="Y947" s="575"/>
      <c r="Z947" s="575"/>
      <c r="AA947" s="575"/>
    </row>
    <row r="948">
      <c r="A948" s="575"/>
      <c r="B948" s="692"/>
      <c r="C948" s="709"/>
      <c r="D948" s="709"/>
      <c r="E948" s="692"/>
      <c r="F948" s="710"/>
      <c r="G948" s="575"/>
      <c r="H948" s="575"/>
      <c r="I948" s="575"/>
      <c r="J948" s="575"/>
      <c r="K948" s="575"/>
      <c r="L948" s="575"/>
      <c r="M948" s="575"/>
      <c r="N948" s="575"/>
      <c r="O948" s="575"/>
      <c r="P948" s="575"/>
      <c r="Q948" s="575"/>
      <c r="R948" s="575"/>
      <c r="S948" s="575"/>
      <c r="T948" s="575"/>
      <c r="U948" s="575"/>
      <c r="V948" s="575"/>
      <c r="W948" s="575"/>
      <c r="X948" s="575"/>
      <c r="Y948" s="575"/>
      <c r="Z948" s="575"/>
      <c r="AA948" s="575"/>
    </row>
    <row r="949">
      <c r="A949" s="575"/>
      <c r="B949" s="692"/>
      <c r="C949" s="709"/>
      <c r="D949" s="709"/>
      <c r="E949" s="692"/>
      <c r="F949" s="710"/>
      <c r="G949" s="575"/>
      <c r="H949" s="575"/>
      <c r="I949" s="575"/>
      <c r="J949" s="575"/>
      <c r="K949" s="575"/>
      <c r="L949" s="575"/>
      <c r="M949" s="575"/>
      <c r="N949" s="575"/>
      <c r="O949" s="575"/>
      <c r="P949" s="575"/>
      <c r="Q949" s="575"/>
      <c r="R949" s="575"/>
      <c r="S949" s="575"/>
      <c r="T949" s="575"/>
      <c r="U949" s="575"/>
      <c r="V949" s="575"/>
      <c r="W949" s="575"/>
      <c r="X949" s="575"/>
      <c r="Y949" s="575"/>
      <c r="Z949" s="575"/>
      <c r="AA949" s="575"/>
    </row>
    <row r="950">
      <c r="A950" s="575"/>
      <c r="B950" s="692"/>
      <c r="C950" s="709"/>
      <c r="D950" s="709"/>
      <c r="E950" s="692"/>
      <c r="F950" s="710"/>
      <c r="G950" s="575"/>
      <c r="H950" s="575"/>
      <c r="I950" s="575"/>
      <c r="J950" s="575"/>
      <c r="K950" s="575"/>
      <c r="L950" s="575"/>
      <c r="M950" s="575"/>
      <c r="N950" s="575"/>
      <c r="O950" s="575"/>
      <c r="P950" s="575"/>
      <c r="Q950" s="575"/>
      <c r="R950" s="575"/>
      <c r="S950" s="575"/>
      <c r="T950" s="575"/>
      <c r="U950" s="575"/>
      <c r="V950" s="575"/>
      <c r="W950" s="575"/>
      <c r="X950" s="575"/>
      <c r="Y950" s="575"/>
      <c r="Z950" s="575"/>
      <c r="AA950" s="575"/>
    </row>
    <row r="951">
      <c r="A951" s="575"/>
      <c r="B951" s="692"/>
      <c r="C951" s="709"/>
      <c r="D951" s="709"/>
      <c r="E951" s="692"/>
      <c r="F951" s="710"/>
      <c r="G951" s="575"/>
      <c r="H951" s="575"/>
      <c r="I951" s="575"/>
      <c r="J951" s="575"/>
      <c r="K951" s="575"/>
      <c r="L951" s="575"/>
      <c r="M951" s="575"/>
      <c r="N951" s="575"/>
      <c r="O951" s="575"/>
      <c r="P951" s="575"/>
      <c r="Q951" s="575"/>
      <c r="R951" s="575"/>
      <c r="S951" s="575"/>
      <c r="T951" s="575"/>
      <c r="U951" s="575"/>
      <c r="V951" s="575"/>
      <c r="W951" s="575"/>
      <c r="X951" s="575"/>
      <c r="Y951" s="575"/>
      <c r="Z951" s="575"/>
      <c r="AA951" s="575"/>
    </row>
    <row r="952">
      <c r="A952" s="575"/>
      <c r="B952" s="692"/>
      <c r="C952" s="709"/>
      <c r="D952" s="709"/>
      <c r="E952" s="692"/>
      <c r="F952" s="710"/>
      <c r="G952" s="575"/>
      <c r="H952" s="575"/>
      <c r="I952" s="575"/>
      <c r="J952" s="575"/>
      <c r="K952" s="575"/>
      <c r="L952" s="575"/>
      <c r="M952" s="575"/>
      <c r="N952" s="575"/>
      <c r="O952" s="575"/>
      <c r="P952" s="575"/>
      <c r="Q952" s="575"/>
      <c r="R952" s="575"/>
      <c r="S952" s="575"/>
      <c r="T952" s="575"/>
      <c r="U952" s="575"/>
      <c r="V952" s="575"/>
      <c r="W952" s="575"/>
      <c r="X952" s="575"/>
      <c r="Y952" s="575"/>
      <c r="Z952" s="575"/>
      <c r="AA952" s="575"/>
    </row>
    <row r="953">
      <c r="A953" s="575"/>
      <c r="B953" s="692"/>
      <c r="C953" s="709"/>
      <c r="D953" s="709"/>
      <c r="E953" s="692"/>
      <c r="F953" s="710"/>
      <c r="G953" s="575"/>
      <c r="H953" s="575"/>
      <c r="I953" s="575"/>
      <c r="J953" s="575"/>
      <c r="K953" s="575"/>
      <c r="L953" s="575"/>
      <c r="M953" s="575"/>
      <c r="N953" s="575"/>
      <c r="O953" s="575"/>
      <c r="P953" s="575"/>
      <c r="Q953" s="575"/>
      <c r="R953" s="575"/>
      <c r="S953" s="575"/>
      <c r="T953" s="575"/>
      <c r="U953" s="575"/>
      <c r="V953" s="575"/>
      <c r="W953" s="575"/>
      <c r="X953" s="575"/>
      <c r="Y953" s="575"/>
      <c r="Z953" s="575"/>
      <c r="AA953" s="575"/>
    </row>
    <row r="954">
      <c r="A954" s="575"/>
      <c r="B954" s="692"/>
      <c r="C954" s="709"/>
      <c r="D954" s="709"/>
      <c r="E954" s="692"/>
      <c r="F954" s="710"/>
      <c r="G954" s="575"/>
      <c r="H954" s="575"/>
      <c r="I954" s="575"/>
      <c r="J954" s="575"/>
      <c r="K954" s="575"/>
      <c r="L954" s="575"/>
      <c r="M954" s="575"/>
      <c r="N954" s="575"/>
      <c r="O954" s="575"/>
      <c r="P954" s="575"/>
      <c r="Q954" s="575"/>
      <c r="R954" s="575"/>
      <c r="S954" s="575"/>
      <c r="T954" s="575"/>
      <c r="U954" s="575"/>
      <c r="V954" s="575"/>
      <c r="W954" s="575"/>
      <c r="X954" s="575"/>
      <c r="Y954" s="575"/>
      <c r="Z954" s="575"/>
      <c r="AA954" s="575"/>
    </row>
    <row r="955">
      <c r="A955" s="575"/>
      <c r="B955" s="692"/>
      <c r="C955" s="709"/>
      <c r="D955" s="709"/>
      <c r="E955" s="692"/>
      <c r="F955" s="710"/>
      <c r="G955" s="575"/>
      <c r="H955" s="575"/>
      <c r="I955" s="575"/>
      <c r="J955" s="575"/>
      <c r="K955" s="575"/>
      <c r="L955" s="575"/>
      <c r="M955" s="575"/>
      <c r="N955" s="575"/>
      <c r="O955" s="575"/>
      <c r="P955" s="575"/>
      <c r="Q955" s="575"/>
      <c r="R955" s="575"/>
      <c r="S955" s="575"/>
      <c r="T955" s="575"/>
      <c r="U955" s="575"/>
      <c r="V955" s="575"/>
      <c r="W955" s="575"/>
      <c r="X955" s="575"/>
      <c r="Y955" s="575"/>
      <c r="Z955" s="575"/>
      <c r="AA955" s="575"/>
    </row>
    <row r="956">
      <c r="A956" s="575"/>
      <c r="B956" s="692"/>
      <c r="C956" s="709"/>
      <c r="D956" s="709"/>
      <c r="E956" s="692"/>
      <c r="F956" s="710"/>
      <c r="G956" s="575"/>
      <c r="H956" s="575"/>
      <c r="I956" s="575"/>
      <c r="J956" s="575"/>
      <c r="K956" s="575"/>
      <c r="L956" s="575"/>
      <c r="M956" s="575"/>
      <c r="N956" s="575"/>
      <c r="O956" s="575"/>
      <c r="P956" s="575"/>
      <c r="Q956" s="575"/>
      <c r="R956" s="575"/>
      <c r="S956" s="575"/>
      <c r="T956" s="575"/>
      <c r="U956" s="575"/>
      <c r="V956" s="575"/>
      <c r="W956" s="575"/>
      <c r="X956" s="575"/>
      <c r="Y956" s="575"/>
      <c r="Z956" s="575"/>
      <c r="AA956" s="575"/>
    </row>
    <row r="957">
      <c r="A957" s="575"/>
      <c r="B957" s="692"/>
      <c r="C957" s="709"/>
      <c r="D957" s="709"/>
      <c r="E957" s="692"/>
      <c r="F957" s="710"/>
      <c r="G957" s="575"/>
      <c r="H957" s="575"/>
      <c r="I957" s="575"/>
      <c r="J957" s="575"/>
      <c r="K957" s="575"/>
      <c r="L957" s="575"/>
      <c r="M957" s="575"/>
      <c r="N957" s="575"/>
      <c r="O957" s="575"/>
      <c r="P957" s="575"/>
      <c r="Q957" s="575"/>
      <c r="R957" s="575"/>
      <c r="S957" s="575"/>
      <c r="T957" s="575"/>
      <c r="U957" s="575"/>
      <c r="V957" s="575"/>
      <c r="W957" s="575"/>
      <c r="X957" s="575"/>
      <c r="Y957" s="575"/>
      <c r="Z957" s="575"/>
      <c r="AA957" s="575"/>
    </row>
    <row r="958">
      <c r="A958" s="575"/>
      <c r="B958" s="692"/>
      <c r="C958" s="709"/>
      <c r="D958" s="709"/>
      <c r="E958" s="692"/>
      <c r="F958" s="710"/>
      <c r="G958" s="575"/>
      <c r="H958" s="575"/>
      <c r="I958" s="575"/>
      <c r="J958" s="575"/>
      <c r="K958" s="575"/>
      <c r="L958" s="575"/>
      <c r="M958" s="575"/>
      <c r="N958" s="575"/>
      <c r="O958" s="575"/>
      <c r="P958" s="575"/>
      <c r="Q958" s="575"/>
      <c r="R958" s="575"/>
      <c r="S958" s="575"/>
      <c r="T958" s="575"/>
      <c r="U958" s="575"/>
      <c r="V958" s="575"/>
      <c r="W958" s="575"/>
      <c r="X958" s="575"/>
      <c r="Y958" s="575"/>
      <c r="Z958" s="575"/>
      <c r="AA958" s="575"/>
    </row>
    <row r="959">
      <c r="A959" s="575"/>
      <c r="B959" s="692"/>
      <c r="C959" s="709"/>
      <c r="D959" s="709"/>
      <c r="E959" s="692"/>
      <c r="F959" s="710"/>
      <c r="G959" s="575"/>
      <c r="H959" s="575"/>
      <c r="I959" s="575"/>
      <c r="J959" s="575"/>
      <c r="K959" s="575"/>
      <c r="L959" s="575"/>
      <c r="M959" s="575"/>
      <c r="N959" s="575"/>
      <c r="O959" s="575"/>
      <c r="P959" s="575"/>
      <c r="Q959" s="575"/>
      <c r="R959" s="575"/>
      <c r="S959" s="575"/>
      <c r="T959" s="575"/>
      <c r="U959" s="575"/>
      <c r="V959" s="575"/>
      <c r="W959" s="575"/>
      <c r="X959" s="575"/>
      <c r="Y959" s="575"/>
      <c r="Z959" s="575"/>
      <c r="AA959" s="575"/>
    </row>
    <row r="960">
      <c r="A960" s="575"/>
      <c r="B960" s="692"/>
      <c r="C960" s="709"/>
      <c r="D960" s="709"/>
      <c r="E960" s="692"/>
      <c r="F960" s="710"/>
      <c r="G960" s="575"/>
      <c r="H960" s="575"/>
      <c r="I960" s="575"/>
      <c r="J960" s="575"/>
      <c r="K960" s="575"/>
      <c r="L960" s="575"/>
      <c r="M960" s="575"/>
      <c r="N960" s="575"/>
      <c r="O960" s="575"/>
      <c r="P960" s="575"/>
      <c r="Q960" s="575"/>
      <c r="R960" s="575"/>
      <c r="S960" s="575"/>
      <c r="T960" s="575"/>
      <c r="U960" s="575"/>
      <c r="V960" s="575"/>
      <c r="W960" s="575"/>
      <c r="X960" s="575"/>
      <c r="Y960" s="575"/>
      <c r="Z960" s="575"/>
      <c r="AA960" s="575"/>
    </row>
    <row r="961">
      <c r="A961" s="575"/>
      <c r="B961" s="692"/>
      <c r="C961" s="709"/>
      <c r="D961" s="709"/>
      <c r="E961" s="692"/>
      <c r="F961" s="710"/>
      <c r="G961" s="575"/>
      <c r="H961" s="575"/>
      <c r="I961" s="575"/>
      <c r="J961" s="575"/>
      <c r="K961" s="575"/>
      <c r="L961" s="575"/>
      <c r="M961" s="575"/>
      <c r="N961" s="575"/>
      <c r="O961" s="575"/>
      <c r="P961" s="575"/>
      <c r="Q961" s="575"/>
      <c r="R961" s="575"/>
      <c r="S961" s="575"/>
      <c r="T961" s="575"/>
      <c r="U961" s="575"/>
      <c r="V961" s="575"/>
      <c r="W961" s="575"/>
      <c r="X961" s="575"/>
      <c r="Y961" s="575"/>
      <c r="Z961" s="575"/>
      <c r="AA961" s="575"/>
    </row>
    <row r="962">
      <c r="A962" s="575"/>
      <c r="B962" s="692"/>
      <c r="C962" s="709"/>
      <c r="D962" s="709"/>
      <c r="E962" s="692"/>
      <c r="F962" s="710"/>
      <c r="G962" s="575"/>
      <c r="H962" s="575"/>
      <c r="I962" s="575"/>
      <c r="J962" s="575"/>
      <c r="K962" s="575"/>
      <c r="L962" s="575"/>
      <c r="M962" s="575"/>
      <c r="N962" s="575"/>
      <c r="O962" s="575"/>
      <c r="P962" s="575"/>
      <c r="Q962" s="575"/>
      <c r="R962" s="575"/>
      <c r="S962" s="575"/>
      <c r="T962" s="575"/>
      <c r="U962" s="575"/>
      <c r="V962" s="575"/>
      <c r="W962" s="575"/>
      <c r="X962" s="575"/>
      <c r="Y962" s="575"/>
      <c r="Z962" s="575"/>
      <c r="AA962" s="575"/>
    </row>
    <row r="963">
      <c r="A963" s="575"/>
      <c r="B963" s="692"/>
      <c r="C963" s="709"/>
      <c r="D963" s="709"/>
      <c r="E963" s="692"/>
      <c r="F963" s="710"/>
      <c r="G963" s="575"/>
      <c r="H963" s="575"/>
      <c r="I963" s="575"/>
      <c r="J963" s="575"/>
      <c r="K963" s="575"/>
      <c r="L963" s="575"/>
      <c r="M963" s="575"/>
      <c r="N963" s="575"/>
      <c r="O963" s="575"/>
      <c r="P963" s="575"/>
      <c r="Q963" s="575"/>
      <c r="R963" s="575"/>
      <c r="S963" s="575"/>
      <c r="T963" s="575"/>
      <c r="U963" s="575"/>
      <c r="V963" s="575"/>
      <c r="W963" s="575"/>
      <c r="X963" s="575"/>
      <c r="Y963" s="575"/>
      <c r="Z963" s="575"/>
      <c r="AA963" s="575"/>
    </row>
    <row r="964">
      <c r="A964" s="575"/>
      <c r="B964" s="692"/>
      <c r="C964" s="709"/>
      <c r="D964" s="709"/>
      <c r="E964" s="692"/>
      <c r="F964" s="710"/>
      <c r="G964" s="575"/>
      <c r="H964" s="575"/>
      <c r="I964" s="575"/>
      <c r="J964" s="575"/>
      <c r="K964" s="575"/>
      <c r="L964" s="575"/>
      <c r="M964" s="575"/>
      <c r="N964" s="575"/>
      <c r="O964" s="575"/>
      <c r="P964" s="575"/>
      <c r="Q964" s="575"/>
      <c r="R964" s="575"/>
      <c r="S964" s="575"/>
      <c r="T964" s="575"/>
      <c r="U964" s="575"/>
      <c r="V964" s="575"/>
      <c r="W964" s="575"/>
      <c r="X964" s="575"/>
      <c r="Y964" s="575"/>
      <c r="Z964" s="575"/>
      <c r="AA964" s="575"/>
    </row>
    <row r="965">
      <c r="A965" s="575"/>
      <c r="B965" s="692"/>
      <c r="C965" s="709"/>
      <c r="D965" s="709"/>
      <c r="E965" s="692"/>
      <c r="F965" s="710"/>
      <c r="G965" s="575"/>
      <c r="H965" s="575"/>
      <c r="I965" s="575"/>
      <c r="J965" s="575"/>
      <c r="K965" s="575"/>
      <c r="L965" s="575"/>
      <c r="M965" s="575"/>
      <c r="N965" s="575"/>
      <c r="O965" s="575"/>
      <c r="P965" s="575"/>
      <c r="Q965" s="575"/>
      <c r="R965" s="575"/>
      <c r="S965" s="575"/>
      <c r="T965" s="575"/>
      <c r="U965" s="575"/>
      <c r="V965" s="575"/>
      <c r="W965" s="575"/>
      <c r="X965" s="575"/>
      <c r="Y965" s="575"/>
      <c r="Z965" s="575"/>
      <c r="AA965" s="575"/>
    </row>
    <row r="966">
      <c r="A966" s="575"/>
      <c r="B966" s="692"/>
      <c r="C966" s="709"/>
      <c r="D966" s="709"/>
      <c r="E966" s="692"/>
      <c r="F966" s="710"/>
      <c r="G966" s="575"/>
      <c r="H966" s="575"/>
      <c r="I966" s="575"/>
      <c r="J966" s="575"/>
      <c r="K966" s="575"/>
      <c r="L966" s="575"/>
      <c r="M966" s="575"/>
      <c r="N966" s="575"/>
      <c r="O966" s="575"/>
      <c r="P966" s="575"/>
      <c r="Q966" s="575"/>
      <c r="R966" s="575"/>
      <c r="S966" s="575"/>
      <c r="T966" s="575"/>
      <c r="U966" s="575"/>
      <c r="V966" s="575"/>
      <c r="W966" s="575"/>
      <c r="X966" s="575"/>
      <c r="Y966" s="575"/>
      <c r="Z966" s="575"/>
      <c r="AA966" s="575"/>
    </row>
    <row r="967">
      <c r="A967" s="575"/>
      <c r="B967" s="692"/>
      <c r="C967" s="709"/>
      <c r="D967" s="709"/>
      <c r="E967" s="692"/>
      <c r="F967" s="710"/>
      <c r="G967" s="575"/>
      <c r="H967" s="575"/>
      <c r="I967" s="575"/>
      <c r="J967" s="575"/>
      <c r="K967" s="575"/>
      <c r="L967" s="575"/>
      <c r="M967" s="575"/>
      <c r="N967" s="575"/>
      <c r="O967" s="575"/>
      <c r="P967" s="575"/>
      <c r="Q967" s="575"/>
      <c r="R967" s="575"/>
      <c r="S967" s="575"/>
      <c r="T967" s="575"/>
      <c r="U967" s="575"/>
      <c r="V967" s="575"/>
      <c r="W967" s="575"/>
      <c r="X967" s="575"/>
      <c r="Y967" s="575"/>
      <c r="Z967" s="575"/>
      <c r="AA967" s="575"/>
    </row>
    <row r="968">
      <c r="A968" s="575"/>
      <c r="B968" s="692"/>
      <c r="C968" s="709"/>
      <c r="D968" s="709"/>
      <c r="E968" s="692"/>
      <c r="F968" s="710"/>
      <c r="G968" s="575"/>
      <c r="H968" s="575"/>
      <c r="I968" s="575"/>
      <c r="J968" s="575"/>
      <c r="K968" s="575"/>
      <c r="L968" s="575"/>
      <c r="M968" s="575"/>
      <c r="N968" s="575"/>
      <c r="O968" s="575"/>
      <c r="P968" s="575"/>
      <c r="Q968" s="575"/>
      <c r="R968" s="575"/>
      <c r="S968" s="575"/>
      <c r="T968" s="575"/>
      <c r="U968" s="575"/>
      <c r="V968" s="575"/>
      <c r="W968" s="575"/>
      <c r="X968" s="575"/>
      <c r="Y968" s="575"/>
      <c r="Z968" s="575"/>
      <c r="AA968" s="575"/>
    </row>
    <row r="969">
      <c r="A969" s="575"/>
      <c r="B969" s="692"/>
      <c r="C969" s="709"/>
      <c r="D969" s="709"/>
      <c r="E969" s="692"/>
      <c r="F969" s="710"/>
      <c r="G969" s="575"/>
      <c r="H969" s="575"/>
      <c r="I969" s="575"/>
      <c r="J969" s="575"/>
      <c r="K969" s="575"/>
      <c r="L969" s="575"/>
      <c r="M969" s="575"/>
      <c r="N969" s="575"/>
      <c r="O969" s="575"/>
      <c r="P969" s="575"/>
      <c r="Q969" s="575"/>
      <c r="R969" s="575"/>
      <c r="S969" s="575"/>
      <c r="T969" s="575"/>
      <c r="U969" s="575"/>
      <c r="V969" s="575"/>
      <c r="W969" s="575"/>
      <c r="X969" s="575"/>
      <c r="Y969" s="575"/>
      <c r="Z969" s="575"/>
      <c r="AA969" s="575"/>
    </row>
    <row r="970">
      <c r="A970" s="575"/>
      <c r="B970" s="692"/>
      <c r="C970" s="709"/>
      <c r="D970" s="709"/>
      <c r="E970" s="692"/>
      <c r="F970" s="710"/>
      <c r="G970" s="575"/>
      <c r="H970" s="575"/>
      <c r="I970" s="575"/>
      <c r="J970" s="575"/>
      <c r="K970" s="575"/>
      <c r="L970" s="575"/>
      <c r="M970" s="575"/>
      <c r="N970" s="575"/>
      <c r="O970" s="575"/>
      <c r="P970" s="575"/>
      <c r="Q970" s="575"/>
      <c r="R970" s="575"/>
      <c r="S970" s="575"/>
      <c r="T970" s="575"/>
      <c r="U970" s="575"/>
      <c r="V970" s="575"/>
      <c r="W970" s="575"/>
      <c r="X970" s="575"/>
      <c r="Y970" s="575"/>
      <c r="Z970" s="575"/>
      <c r="AA970" s="575"/>
    </row>
    <row r="971">
      <c r="A971" s="575"/>
      <c r="B971" s="692"/>
      <c r="C971" s="709"/>
      <c r="D971" s="709"/>
      <c r="E971" s="692"/>
      <c r="F971" s="710"/>
      <c r="G971" s="575"/>
      <c r="H971" s="575"/>
      <c r="I971" s="575"/>
      <c r="J971" s="575"/>
      <c r="K971" s="575"/>
      <c r="L971" s="575"/>
      <c r="M971" s="575"/>
      <c r="N971" s="575"/>
      <c r="O971" s="575"/>
      <c r="P971" s="575"/>
      <c r="Q971" s="575"/>
      <c r="R971" s="575"/>
      <c r="S971" s="575"/>
      <c r="T971" s="575"/>
      <c r="U971" s="575"/>
      <c r="V971" s="575"/>
      <c r="W971" s="575"/>
      <c r="X971" s="575"/>
      <c r="Y971" s="575"/>
      <c r="Z971" s="575"/>
      <c r="AA971" s="575"/>
    </row>
    <row r="972">
      <c r="A972" s="575"/>
      <c r="B972" s="692"/>
      <c r="C972" s="709"/>
      <c r="D972" s="709"/>
      <c r="E972" s="692"/>
      <c r="F972" s="710"/>
      <c r="G972" s="575"/>
      <c r="H972" s="575"/>
      <c r="I972" s="575"/>
      <c r="J972" s="575"/>
      <c r="K972" s="575"/>
      <c r="L972" s="575"/>
      <c r="M972" s="575"/>
      <c r="N972" s="575"/>
      <c r="O972" s="575"/>
      <c r="P972" s="575"/>
      <c r="Q972" s="575"/>
      <c r="R972" s="575"/>
      <c r="S972" s="575"/>
      <c r="T972" s="575"/>
      <c r="U972" s="575"/>
      <c r="V972" s="575"/>
      <c r="W972" s="575"/>
      <c r="X972" s="575"/>
      <c r="Y972" s="575"/>
      <c r="Z972" s="575"/>
      <c r="AA972" s="575"/>
    </row>
    <row r="973">
      <c r="A973" s="575"/>
      <c r="B973" s="692"/>
      <c r="C973" s="709"/>
      <c r="D973" s="709"/>
      <c r="E973" s="692"/>
      <c r="F973" s="710"/>
      <c r="G973" s="575"/>
      <c r="H973" s="575"/>
      <c r="I973" s="575"/>
      <c r="J973" s="575"/>
      <c r="K973" s="575"/>
      <c r="L973" s="575"/>
      <c r="M973" s="575"/>
      <c r="N973" s="575"/>
      <c r="O973" s="575"/>
      <c r="P973" s="575"/>
      <c r="Q973" s="575"/>
      <c r="R973" s="575"/>
      <c r="S973" s="575"/>
      <c r="T973" s="575"/>
      <c r="U973" s="575"/>
      <c r="V973" s="575"/>
      <c r="W973" s="575"/>
      <c r="X973" s="575"/>
      <c r="Y973" s="575"/>
      <c r="Z973" s="575"/>
      <c r="AA973" s="575"/>
    </row>
    <row r="974">
      <c r="A974" s="575"/>
      <c r="B974" s="692"/>
      <c r="C974" s="709"/>
      <c r="D974" s="709"/>
      <c r="E974" s="692"/>
      <c r="F974" s="710"/>
      <c r="G974" s="575"/>
      <c r="H974" s="575"/>
      <c r="I974" s="575"/>
      <c r="J974" s="575"/>
      <c r="K974" s="575"/>
      <c r="L974" s="575"/>
      <c r="M974" s="575"/>
      <c r="N974" s="575"/>
      <c r="O974" s="575"/>
      <c r="P974" s="575"/>
      <c r="Q974" s="575"/>
      <c r="R974" s="575"/>
      <c r="S974" s="575"/>
      <c r="T974" s="575"/>
      <c r="U974" s="575"/>
      <c r="V974" s="575"/>
      <c r="W974" s="575"/>
      <c r="X974" s="575"/>
      <c r="Y974" s="575"/>
      <c r="Z974" s="575"/>
      <c r="AA974" s="575"/>
    </row>
    <row r="975">
      <c r="A975" s="575"/>
      <c r="B975" s="692"/>
      <c r="C975" s="709"/>
      <c r="D975" s="709"/>
      <c r="E975" s="692"/>
      <c r="F975" s="710"/>
      <c r="G975" s="575"/>
      <c r="H975" s="575"/>
      <c r="I975" s="575"/>
      <c r="J975" s="575"/>
      <c r="K975" s="575"/>
      <c r="L975" s="575"/>
      <c r="M975" s="575"/>
      <c r="N975" s="575"/>
      <c r="O975" s="575"/>
      <c r="P975" s="575"/>
      <c r="Q975" s="575"/>
      <c r="R975" s="575"/>
      <c r="S975" s="575"/>
      <c r="T975" s="575"/>
      <c r="U975" s="575"/>
      <c r="V975" s="575"/>
      <c r="W975" s="575"/>
      <c r="X975" s="575"/>
      <c r="Y975" s="575"/>
      <c r="Z975" s="575"/>
      <c r="AA975" s="575"/>
    </row>
    <row r="976">
      <c r="A976" s="575"/>
      <c r="B976" s="692"/>
      <c r="C976" s="709"/>
      <c r="D976" s="709"/>
      <c r="E976" s="692"/>
      <c r="F976" s="710"/>
      <c r="G976" s="575"/>
      <c r="H976" s="575"/>
      <c r="I976" s="575"/>
      <c r="J976" s="575"/>
      <c r="K976" s="575"/>
      <c r="L976" s="575"/>
      <c r="M976" s="575"/>
      <c r="N976" s="575"/>
      <c r="O976" s="575"/>
      <c r="P976" s="575"/>
      <c r="Q976" s="575"/>
      <c r="R976" s="575"/>
      <c r="S976" s="575"/>
      <c r="T976" s="575"/>
      <c r="U976" s="575"/>
      <c r="V976" s="575"/>
      <c r="W976" s="575"/>
      <c r="X976" s="575"/>
      <c r="Y976" s="575"/>
      <c r="Z976" s="575"/>
      <c r="AA976" s="575"/>
    </row>
    <row r="977">
      <c r="A977" s="575"/>
      <c r="B977" s="692"/>
      <c r="C977" s="709"/>
      <c r="D977" s="709"/>
      <c r="E977" s="692"/>
      <c r="F977" s="710"/>
      <c r="G977" s="575"/>
      <c r="H977" s="575"/>
      <c r="I977" s="575"/>
      <c r="J977" s="575"/>
      <c r="K977" s="575"/>
      <c r="L977" s="575"/>
      <c r="M977" s="575"/>
      <c r="N977" s="575"/>
      <c r="O977" s="575"/>
      <c r="P977" s="575"/>
      <c r="Q977" s="575"/>
      <c r="R977" s="575"/>
      <c r="S977" s="575"/>
      <c r="T977" s="575"/>
      <c r="U977" s="575"/>
      <c r="V977" s="575"/>
      <c r="W977" s="575"/>
      <c r="X977" s="575"/>
      <c r="Y977" s="575"/>
      <c r="Z977" s="575"/>
      <c r="AA977" s="575"/>
    </row>
    <row r="978">
      <c r="A978" s="575"/>
      <c r="B978" s="692"/>
      <c r="C978" s="709"/>
      <c r="D978" s="709"/>
      <c r="E978" s="692"/>
      <c r="F978" s="710"/>
      <c r="G978" s="575"/>
      <c r="H978" s="575"/>
      <c r="I978" s="575"/>
      <c r="J978" s="575"/>
      <c r="K978" s="575"/>
      <c r="L978" s="575"/>
      <c r="M978" s="575"/>
      <c r="N978" s="575"/>
      <c r="O978" s="575"/>
      <c r="P978" s="575"/>
      <c r="Q978" s="575"/>
      <c r="R978" s="575"/>
      <c r="S978" s="575"/>
      <c r="T978" s="575"/>
      <c r="U978" s="575"/>
      <c r="V978" s="575"/>
      <c r="W978" s="575"/>
      <c r="X978" s="575"/>
      <c r="Y978" s="575"/>
      <c r="Z978" s="575"/>
      <c r="AA978" s="575"/>
    </row>
    <row r="979">
      <c r="A979" s="575"/>
      <c r="B979" s="692"/>
      <c r="C979" s="709"/>
      <c r="D979" s="709"/>
      <c r="E979" s="692"/>
      <c r="F979" s="710"/>
      <c r="G979" s="575"/>
      <c r="H979" s="575"/>
      <c r="I979" s="575"/>
      <c r="J979" s="575"/>
      <c r="K979" s="575"/>
      <c r="L979" s="575"/>
      <c r="M979" s="575"/>
      <c r="N979" s="575"/>
      <c r="O979" s="575"/>
      <c r="P979" s="575"/>
      <c r="Q979" s="575"/>
      <c r="R979" s="575"/>
      <c r="S979" s="575"/>
      <c r="T979" s="575"/>
      <c r="U979" s="575"/>
      <c r="V979" s="575"/>
      <c r="W979" s="575"/>
      <c r="X979" s="575"/>
      <c r="Y979" s="575"/>
      <c r="Z979" s="575"/>
      <c r="AA979" s="575"/>
    </row>
    <row r="980">
      <c r="A980" s="575"/>
      <c r="B980" s="692"/>
      <c r="C980" s="709"/>
      <c r="D980" s="709"/>
      <c r="E980" s="692"/>
      <c r="F980" s="710"/>
      <c r="G980" s="575"/>
      <c r="H980" s="575"/>
      <c r="I980" s="575"/>
      <c r="J980" s="575"/>
      <c r="K980" s="575"/>
      <c r="L980" s="575"/>
      <c r="M980" s="575"/>
      <c r="N980" s="575"/>
      <c r="O980" s="575"/>
      <c r="P980" s="575"/>
      <c r="Q980" s="575"/>
      <c r="R980" s="575"/>
      <c r="S980" s="575"/>
      <c r="T980" s="575"/>
      <c r="U980" s="575"/>
      <c r="V980" s="575"/>
      <c r="W980" s="575"/>
      <c r="X980" s="575"/>
      <c r="Y980" s="575"/>
      <c r="Z980" s="575"/>
      <c r="AA980" s="575"/>
    </row>
    <row r="981">
      <c r="A981" s="575"/>
      <c r="B981" s="692"/>
      <c r="C981" s="709"/>
      <c r="D981" s="709"/>
      <c r="E981" s="692"/>
      <c r="F981" s="710"/>
      <c r="G981" s="575"/>
      <c r="H981" s="575"/>
      <c r="I981" s="575"/>
      <c r="J981" s="575"/>
      <c r="K981" s="575"/>
      <c r="L981" s="575"/>
      <c r="M981" s="575"/>
      <c r="N981" s="575"/>
      <c r="O981" s="575"/>
      <c r="P981" s="575"/>
      <c r="Q981" s="575"/>
      <c r="R981" s="575"/>
      <c r="S981" s="575"/>
      <c r="T981" s="575"/>
      <c r="U981" s="575"/>
      <c r="V981" s="575"/>
      <c r="W981" s="575"/>
      <c r="X981" s="575"/>
      <c r="Y981" s="575"/>
      <c r="Z981" s="575"/>
      <c r="AA981" s="575"/>
    </row>
    <row r="982">
      <c r="A982" s="575"/>
      <c r="B982" s="692"/>
      <c r="C982" s="709"/>
      <c r="D982" s="709"/>
      <c r="E982" s="692"/>
      <c r="F982" s="710"/>
      <c r="G982" s="575"/>
      <c r="H982" s="575"/>
      <c r="I982" s="575"/>
      <c r="J982" s="575"/>
      <c r="K982" s="575"/>
      <c r="L982" s="575"/>
      <c r="M982" s="575"/>
      <c r="N982" s="575"/>
      <c r="O982" s="575"/>
      <c r="P982" s="575"/>
      <c r="Q982" s="575"/>
      <c r="R982" s="575"/>
      <c r="S982" s="575"/>
      <c r="T982" s="575"/>
      <c r="U982" s="575"/>
      <c r="V982" s="575"/>
      <c r="W982" s="575"/>
      <c r="X982" s="575"/>
      <c r="Y982" s="575"/>
      <c r="Z982" s="575"/>
      <c r="AA982" s="575"/>
    </row>
    <row r="983">
      <c r="A983" s="575"/>
      <c r="B983" s="692"/>
      <c r="C983" s="709"/>
      <c r="D983" s="709"/>
      <c r="E983" s="692"/>
      <c r="F983" s="710"/>
      <c r="G983" s="575"/>
      <c r="H983" s="575"/>
      <c r="I983" s="575"/>
      <c r="J983" s="575"/>
      <c r="K983" s="575"/>
      <c r="L983" s="575"/>
      <c r="M983" s="575"/>
      <c r="N983" s="575"/>
      <c r="O983" s="575"/>
      <c r="P983" s="575"/>
      <c r="Q983" s="575"/>
      <c r="R983" s="575"/>
      <c r="S983" s="575"/>
      <c r="T983" s="575"/>
      <c r="U983" s="575"/>
      <c r="V983" s="575"/>
      <c r="W983" s="575"/>
      <c r="X983" s="575"/>
      <c r="Y983" s="575"/>
      <c r="Z983" s="575"/>
      <c r="AA983" s="575"/>
    </row>
    <row r="984">
      <c r="A984" s="575"/>
      <c r="B984" s="692"/>
      <c r="C984" s="709"/>
      <c r="D984" s="709"/>
      <c r="E984" s="692"/>
      <c r="F984" s="710"/>
      <c r="G984" s="575"/>
      <c r="H984" s="575"/>
      <c r="I984" s="575"/>
      <c r="J984" s="575"/>
      <c r="K984" s="575"/>
      <c r="L984" s="575"/>
      <c r="M984" s="575"/>
      <c r="N984" s="575"/>
      <c r="O984" s="575"/>
      <c r="P984" s="575"/>
      <c r="Q984" s="575"/>
      <c r="R984" s="575"/>
      <c r="S984" s="575"/>
      <c r="T984" s="575"/>
      <c r="U984" s="575"/>
      <c r="V984" s="575"/>
      <c r="W984" s="575"/>
      <c r="X984" s="575"/>
      <c r="Y984" s="575"/>
      <c r="Z984" s="575"/>
      <c r="AA984" s="575"/>
    </row>
    <row r="985">
      <c r="A985" s="575"/>
      <c r="B985" s="692"/>
      <c r="C985" s="709"/>
      <c r="D985" s="709"/>
      <c r="E985" s="692"/>
      <c r="F985" s="710"/>
      <c r="G985" s="575"/>
      <c r="H985" s="575"/>
      <c r="I985" s="575"/>
      <c r="J985" s="575"/>
      <c r="K985" s="575"/>
      <c r="L985" s="575"/>
      <c r="M985" s="575"/>
      <c r="N985" s="575"/>
      <c r="O985" s="575"/>
      <c r="P985" s="575"/>
      <c r="Q985" s="575"/>
      <c r="R985" s="575"/>
      <c r="S985" s="575"/>
      <c r="T985" s="575"/>
      <c r="U985" s="575"/>
      <c r="V985" s="575"/>
      <c r="W985" s="575"/>
      <c r="X985" s="575"/>
      <c r="Y985" s="575"/>
      <c r="Z985" s="575"/>
      <c r="AA985" s="575"/>
    </row>
    <row r="986">
      <c r="A986" s="575"/>
      <c r="B986" s="692"/>
      <c r="C986" s="709"/>
      <c r="D986" s="709"/>
      <c r="E986" s="692"/>
      <c r="F986" s="710"/>
      <c r="G986" s="575"/>
      <c r="H986" s="575"/>
      <c r="I986" s="575"/>
      <c r="J986" s="575"/>
      <c r="K986" s="575"/>
      <c r="L986" s="575"/>
      <c r="M986" s="575"/>
      <c r="N986" s="575"/>
      <c r="O986" s="575"/>
      <c r="P986" s="575"/>
      <c r="Q986" s="575"/>
      <c r="R986" s="575"/>
      <c r="S986" s="575"/>
      <c r="T986" s="575"/>
      <c r="U986" s="575"/>
      <c r="V986" s="575"/>
      <c r="W986" s="575"/>
      <c r="X986" s="575"/>
      <c r="Y986" s="575"/>
      <c r="Z986" s="575"/>
      <c r="AA986" s="575"/>
    </row>
    <row r="987">
      <c r="A987" s="575"/>
      <c r="B987" s="692"/>
      <c r="C987" s="709"/>
      <c r="D987" s="709"/>
      <c r="E987" s="692"/>
      <c r="F987" s="710"/>
      <c r="G987" s="575"/>
      <c r="H987" s="575"/>
      <c r="I987" s="575"/>
      <c r="J987" s="575"/>
      <c r="K987" s="575"/>
      <c r="L987" s="575"/>
      <c r="M987" s="575"/>
      <c r="N987" s="575"/>
      <c r="O987" s="575"/>
      <c r="P987" s="575"/>
      <c r="Q987" s="575"/>
      <c r="R987" s="575"/>
      <c r="S987" s="575"/>
      <c r="T987" s="575"/>
      <c r="U987" s="575"/>
      <c r="V987" s="575"/>
      <c r="W987" s="575"/>
      <c r="X987" s="575"/>
      <c r="Y987" s="575"/>
      <c r="Z987" s="575"/>
      <c r="AA987" s="575"/>
    </row>
    <row r="988">
      <c r="A988" s="575"/>
      <c r="B988" s="692"/>
      <c r="C988" s="709"/>
      <c r="D988" s="709"/>
      <c r="E988" s="692"/>
      <c r="F988" s="710"/>
      <c r="G988" s="575"/>
      <c r="H988" s="575"/>
      <c r="I988" s="575"/>
      <c r="J988" s="575"/>
      <c r="K988" s="575"/>
      <c r="L988" s="575"/>
      <c r="M988" s="575"/>
      <c r="N988" s="575"/>
      <c r="O988" s="575"/>
      <c r="P988" s="575"/>
      <c r="Q988" s="575"/>
      <c r="R988" s="575"/>
      <c r="S988" s="575"/>
      <c r="T988" s="575"/>
      <c r="U988" s="575"/>
      <c r="V988" s="575"/>
      <c r="W988" s="575"/>
      <c r="X988" s="575"/>
      <c r="Y988" s="575"/>
      <c r="Z988" s="575"/>
      <c r="AA988" s="575"/>
    </row>
  </sheetData>
  <mergeCells count="4">
    <mergeCell ref="B1:F1"/>
    <mergeCell ref="B3:B9"/>
    <mergeCell ref="B10:B15"/>
    <mergeCell ref="B16:B27"/>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s>
  <drawing r:id="rId2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16.13"/>
    <col customWidth="1" min="3" max="3" width="4.5"/>
    <col customWidth="1" min="4" max="4" width="85.75"/>
    <col customWidth="1" min="5" max="5" width="35.88"/>
    <col customWidth="1" min="6" max="6" width="12.75"/>
  </cols>
  <sheetData>
    <row r="1" ht="33.0" customHeight="1">
      <c r="A1" s="573"/>
      <c r="B1" s="573" t="s">
        <v>1910</v>
      </c>
      <c r="F1" s="574"/>
      <c r="G1" s="575"/>
      <c r="H1" s="575"/>
      <c r="I1" s="575"/>
      <c r="J1" s="575"/>
      <c r="K1" s="575"/>
      <c r="L1" s="575"/>
      <c r="M1" s="575"/>
      <c r="N1" s="575"/>
      <c r="O1" s="575"/>
      <c r="P1" s="575"/>
      <c r="Q1" s="575"/>
      <c r="R1" s="575"/>
      <c r="S1" s="575"/>
      <c r="T1" s="575"/>
      <c r="U1" s="575"/>
      <c r="V1" s="575"/>
      <c r="W1" s="575"/>
      <c r="X1" s="575"/>
    </row>
    <row r="2" ht="18.75" customHeight="1">
      <c r="A2" s="711" t="s">
        <v>1526</v>
      </c>
      <c r="B2" s="576" t="s">
        <v>1432</v>
      </c>
      <c r="C2" s="711"/>
      <c r="D2" s="577" t="s">
        <v>1433</v>
      </c>
      <c r="E2" s="576" t="s">
        <v>1434</v>
      </c>
      <c r="F2" s="578"/>
      <c r="G2" s="575"/>
      <c r="H2" s="575"/>
      <c r="I2" s="575"/>
      <c r="J2" s="575"/>
      <c r="K2" s="575"/>
      <c r="L2" s="575"/>
      <c r="M2" s="575"/>
      <c r="N2" s="575"/>
      <c r="O2" s="575"/>
      <c r="P2" s="575"/>
      <c r="Q2" s="575"/>
      <c r="R2" s="575"/>
      <c r="S2" s="575"/>
      <c r="T2" s="575"/>
      <c r="U2" s="575"/>
      <c r="V2" s="575"/>
      <c r="W2" s="575"/>
      <c r="X2" s="575"/>
    </row>
    <row r="3" ht="18.75" customHeight="1">
      <c r="A3" s="712" t="s">
        <v>1911</v>
      </c>
      <c r="B3" s="579" t="s">
        <v>1912</v>
      </c>
      <c r="C3" s="579" t="b">
        <v>0</v>
      </c>
      <c r="D3" s="713" t="s">
        <v>1913</v>
      </c>
      <c r="E3" s="714" t="s">
        <v>1914</v>
      </c>
      <c r="F3" s="575"/>
      <c r="G3" s="575"/>
      <c r="H3" s="575"/>
      <c r="I3" s="575"/>
      <c r="J3" s="575"/>
      <c r="K3" s="575"/>
      <c r="L3" s="575"/>
      <c r="M3" s="575"/>
      <c r="N3" s="575"/>
      <c r="O3" s="575"/>
      <c r="P3" s="575"/>
      <c r="Q3" s="575"/>
      <c r="R3" s="575"/>
      <c r="S3" s="575"/>
      <c r="T3" s="575"/>
      <c r="U3" s="575"/>
      <c r="V3" s="575"/>
      <c r="W3" s="575"/>
      <c r="X3" s="575"/>
    </row>
    <row r="4" ht="18.75" customHeight="1">
      <c r="A4" s="95"/>
      <c r="B4" s="579" t="s">
        <v>1915</v>
      </c>
      <c r="C4" s="579" t="b">
        <v>0</v>
      </c>
      <c r="D4" s="715" t="s">
        <v>1916</v>
      </c>
      <c r="E4" s="716" t="s">
        <v>1917</v>
      </c>
      <c r="F4" s="575"/>
      <c r="G4" s="575"/>
      <c r="H4" s="575"/>
      <c r="I4" s="575"/>
      <c r="J4" s="575"/>
      <c r="K4" s="575"/>
      <c r="L4" s="575"/>
      <c r="M4" s="575"/>
      <c r="N4" s="575"/>
      <c r="O4" s="575"/>
      <c r="P4" s="575"/>
      <c r="Q4" s="575"/>
      <c r="R4" s="575"/>
      <c r="S4" s="575"/>
      <c r="T4" s="575"/>
      <c r="U4" s="575"/>
      <c r="V4" s="575"/>
      <c r="W4" s="575"/>
      <c r="X4" s="575"/>
    </row>
    <row r="5" ht="18.75" customHeight="1">
      <c r="A5" s="95"/>
      <c r="B5" s="579" t="s">
        <v>1918</v>
      </c>
      <c r="C5" s="579" t="b">
        <v>0</v>
      </c>
      <c r="D5" s="715" t="s">
        <v>1919</v>
      </c>
      <c r="E5" s="717" t="s">
        <v>1920</v>
      </c>
      <c r="F5" s="575"/>
      <c r="G5" s="575"/>
      <c r="H5" s="575"/>
      <c r="I5" s="575"/>
      <c r="J5" s="575"/>
      <c r="K5" s="575"/>
      <c r="L5" s="575"/>
      <c r="M5" s="575"/>
      <c r="N5" s="575"/>
      <c r="O5" s="575"/>
      <c r="P5" s="575"/>
      <c r="Q5" s="575"/>
      <c r="R5" s="575"/>
      <c r="S5" s="575"/>
      <c r="T5" s="575"/>
      <c r="U5" s="575"/>
      <c r="V5" s="575"/>
      <c r="W5" s="575"/>
      <c r="X5" s="575"/>
    </row>
    <row r="6" ht="18.75" customHeight="1">
      <c r="A6" s="95"/>
      <c r="B6" s="579" t="s">
        <v>1921</v>
      </c>
      <c r="C6" s="579" t="b">
        <v>0</v>
      </c>
      <c r="D6" s="718" t="s">
        <v>1922</v>
      </c>
      <c r="E6" s="719" t="s">
        <v>1923</v>
      </c>
      <c r="F6" s="575"/>
      <c r="G6" s="575"/>
      <c r="H6" s="575"/>
      <c r="I6" s="575"/>
      <c r="J6" s="575"/>
      <c r="K6" s="575"/>
      <c r="L6" s="575"/>
      <c r="M6" s="575"/>
      <c r="N6" s="575"/>
      <c r="O6" s="575"/>
      <c r="P6" s="575"/>
      <c r="Q6" s="575"/>
      <c r="R6" s="575"/>
      <c r="S6" s="575"/>
      <c r="T6" s="575"/>
      <c r="U6" s="575"/>
      <c r="V6" s="575"/>
      <c r="W6" s="575"/>
      <c r="X6" s="575"/>
    </row>
    <row r="7" ht="18.75" customHeight="1">
      <c r="A7" s="164"/>
      <c r="B7" s="579" t="s">
        <v>1924</v>
      </c>
      <c r="C7" s="579" t="b">
        <v>0</v>
      </c>
      <c r="D7" s="718" t="s">
        <v>1925</v>
      </c>
      <c r="E7" s="719" t="s">
        <v>1926</v>
      </c>
      <c r="F7" s="575"/>
      <c r="G7" s="575"/>
      <c r="H7" s="575"/>
      <c r="I7" s="575"/>
      <c r="J7" s="575"/>
      <c r="K7" s="575"/>
      <c r="L7" s="575"/>
      <c r="M7" s="575"/>
      <c r="N7" s="575"/>
      <c r="O7" s="575"/>
      <c r="P7" s="575"/>
      <c r="Q7" s="575"/>
      <c r="R7" s="575"/>
      <c r="S7" s="575"/>
      <c r="T7" s="575"/>
      <c r="U7" s="575"/>
      <c r="V7" s="575"/>
      <c r="W7" s="575"/>
      <c r="X7" s="575"/>
    </row>
    <row r="8" ht="18.75" customHeight="1">
      <c r="A8" s="720" t="s">
        <v>1927</v>
      </c>
      <c r="B8" s="608" t="s">
        <v>1928</v>
      </c>
      <c r="C8" s="608" t="b">
        <v>0</v>
      </c>
      <c r="D8" s="609" t="s">
        <v>1929</v>
      </c>
      <c r="E8" s="721" t="s">
        <v>1588</v>
      </c>
      <c r="F8" s="575"/>
      <c r="G8" s="575"/>
      <c r="H8" s="575"/>
      <c r="I8" s="575"/>
      <c r="J8" s="575"/>
      <c r="K8" s="575"/>
      <c r="L8" s="575"/>
      <c r="M8" s="575"/>
      <c r="N8" s="575"/>
      <c r="O8" s="575"/>
      <c r="P8" s="575"/>
      <c r="Q8" s="575"/>
      <c r="R8" s="575"/>
      <c r="S8" s="575"/>
      <c r="T8" s="575"/>
      <c r="U8" s="575"/>
      <c r="V8" s="575"/>
      <c r="W8" s="575"/>
      <c r="X8" s="575"/>
    </row>
    <row r="9" ht="18.75" customHeight="1">
      <c r="A9" s="95"/>
      <c r="B9" s="608" t="s">
        <v>1930</v>
      </c>
      <c r="C9" s="608" t="b">
        <v>0</v>
      </c>
      <c r="D9" s="609" t="s">
        <v>1931</v>
      </c>
      <c r="E9" s="721" t="s">
        <v>1932</v>
      </c>
      <c r="F9" s="575"/>
      <c r="G9" s="575"/>
      <c r="H9" s="575"/>
      <c r="I9" s="575"/>
      <c r="J9" s="575"/>
      <c r="K9" s="575"/>
      <c r="L9" s="575"/>
      <c r="M9" s="575"/>
      <c r="N9" s="575"/>
      <c r="O9" s="575"/>
      <c r="P9" s="575"/>
      <c r="Q9" s="575"/>
      <c r="R9" s="575"/>
      <c r="S9" s="575"/>
      <c r="T9" s="575"/>
      <c r="U9" s="575"/>
      <c r="V9" s="575"/>
      <c r="W9" s="575"/>
      <c r="X9" s="575"/>
    </row>
    <row r="10" ht="18.75" customHeight="1">
      <c r="A10" s="95"/>
      <c r="B10" s="722" t="s">
        <v>1933</v>
      </c>
      <c r="C10" s="722" t="b">
        <v>0</v>
      </c>
      <c r="D10" s="723" t="s">
        <v>1934</v>
      </c>
      <c r="E10" s="724" t="s">
        <v>1935</v>
      </c>
      <c r="F10" s="575"/>
      <c r="G10" s="575"/>
      <c r="H10" s="575"/>
      <c r="I10" s="575"/>
      <c r="J10" s="575"/>
      <c r="K10" s="575"/>
      <c r="L10" s="575"/>
      <c r="M10" s="575"/>
      <c r="N10" s="575"/>
      <c r="O10" s="575"/>
      <c r="P10" s="575"/>
      <c r="Q10" s="575"/>
      <c r="R10" s="575"/>
      <c r="S10" s="575"/>
      <c r="T10" s="575"/>
      <c r="U10" s="575"/>
      <c r="V10" s="575"/>
      <c r="W10" s="575"/>
      <c r="X10" s="575"/>
    </row>
    <row r="11" ht="18.75" customHeight="1">
      <c r="A11" s="95"/>
      <c r="B11" s="722" t="s">
        <v>1933</v>
      </c>
      <c r="C11" s="722" t="b">
        <v>0</v>
      </c>
      <c r="D11" s="723" t="s">
        <v>1936</v>
      </c>
      <c r="E11" s="724" t="s">
        <v>1937</v>
      </c>
      <c r="F11" s="575"/>
      <c r="G11" s="575"/>
      <c r="H11" s="575"/>
      <c r="I11" s="575"/>
      <c r="J11" s="575"/>
      <c r="K11" s="575"/>
      <c r="L11" s="575"/>
      <c r="M11" s="575"/>
      <c r="N11" s="575"/>
      <c r="O11" s="575"/>
      <c r="P11" s="575"/>
      <c r="Q11" s="575"/>
      <c r="R11" s="575"/>
      <c r="S11" s="575"/>
      <c r="T11" s="575"/>
      <c r="U11" s="575"/>
      <c r="V11" s="575"/>
      <c r="W11" s="575"/>
      <c r="X11" s="575"/>
    </row>
    <row r="12" ht="18.75" customHeight="1">
      <c r="A12" s="95"/>
      <c r="B12" s="722" t="s">
        <v>1938</v>
      </c>
      <c r="C12" s="722" t="b">
        <v>0</v>
      </c>
      <c r="D12" s="723" t="s">
        <v>1939</v>
      </c>
      <c r="E12" s="725" t="s">
        <v>1940</v>
      </c>
      <c r="F12" s="575"/>
      <c r="G12" s="575"/>
      <c r="H12" s="575"/>
      <c r="I12" s="575"/>
      <c r="J12" s="575"/>
      <c r="K12" s="575"/>
      <c r="L12" s="575"/>
      <c r="M12" s="575"/>
      <c r="N12" s="575"/>
      <c r="O12" s="575"/>
      <c r="P12" s="575"/>
      <c r="Q12" s="575"/>
      <c r="R12" s="575"/>
      <c r="S12" s="575"/>
      <c r="T12" s="575"/>
      <c r="U12" s="575"/>
      <c r="V12" s="575"/>
      <c r="W12" s="575"/>
      <c r="X12" s="575"/>
    </row>
    <row r="13">
      <c r="A13" s="95"/>
      <c r="B13" s="722" t="s">
        <v>1941</v>
      </c>
      <c r="C13" s="722" t="b">
        <v>0</v>
      </c>
      <c r="D13" s="723" t="s">
        <v>1942</v>
      </c>
      <c r="E13" s="725" t="s">
        <v>1935</v>
      </c>
      <c r="F13" s="575"/>
      <c r="G13" s="575"/>
      <c r="H13" s="575"/>
      <c r="I13" s="575"/>
      <c r="J13" s="575"/>
      <c r="K13" s="575"/>
      <c r="L13" s="575"/>
      <c r="M13" s="575"/>
      <c r="N13" s="575"/>
      <c r="O13" s="575"/>
      <c r="P13" s="575"/>
      <c r="Q13" s="575"/>
      <c r="R13" s="575"/>
      <c r="S13" s="575"/>
      <c r="T13" s="575"/>
      <c r="U13" s="575"/>
      <c r="V13" s="575"/>
      <c r="W13" s="575"/>
      <c r="X13" s="575"/>
    </row>
    <row r="14">
      <c r="A14" s="95"/>
      <c r="B14" s="722" t="s">
        <v>1938</v>
      </c>
      <c r="C14" s="722" t="b">
        <v>0</v>
      </c>
      <c r="D14" s="723" t="s">
        <v>1943</v>
      </c>
      <c r="E14" s="726" t="s">
        <v>1940</v>
      </c>
      <c r="F14" s="575"/>
      <c r="G14" s="575"/>
      <c r="H14" s="575"/>
      <c r="I14" s="575"/>
      <c r="J14" s="575"/>
      <c r="K14" s="575"/>
      <c r="L14" s="575"/>
      <c r="M14" s="575"/>
      <c r="N14" s="575"/>
      <c r="O14" s="575"/>
      <c r="P14" s="575"/>
      <c r="Q14" s="575"/>
      <c r="R14" s="575"/>
      <c r="S14" s="575"/>
      <c r="T14" s="575"/>
      <c r="U14" s="575"/>
      <c r="V14" s="575"/>
      <c r="W14" s="575"/>
      <c r="X14" s="575"/>
    </row>
    <row r="15">
      <c r="A15" s="164"/>
      <c r="B15" s="722" t="s">
        <v>1944</v>
      </c>
      <c r="C15" s="722" t="b">
        <v>0</v>
      </c>
      <c r="D15" s="723" t="s">
        <v>1592</v>
      </c>
      <c r="E15" s="725" t="s">
        <v>1593</v>
      </c>
      <c r="F15" s="575"/>
      <c r="G15" s="575"/>
      <c r="H15" s="575"/>
      <c r="I15" s="575"/>
      <c r="J15" s="575"/>
      <c r="K15" s="575"/>
      <c r="L15" s="575"/>
      <c r="M15" s="575"/>
      <c r="N15" s="575"/>
      <c r="O15" s="575"/>
      <c r="P15" s="575"/>
      <c r="Q15" s="575"/>
      <c r="R15" s="575"/>
      <c r="S15" s="575"/>
      <c r="T15" s="575"/>
      <c r="U15" s="575"/>
      <c r="V15" s="575"/>
      <c r="W15" s="575"/>
      <c r="X15" s="575"/>
    </row>
    <row r="16">
      <c r="A16" s="727" t="s">
        <v>1589</v>
      </c>
      <c r="B16" s="727" t="s">
        <v>1513</v>
      </c>
      <c r="C16" s="728" t="b">
        <v>0</v>
      </c>
      <c r="D16" s="729" t="s">
        <v>1590</v>
      </c>
      <c r="E16" s="730" t="s">
        <v>1591</v>
      </c>
      <c r="F16" s="575"/>
      <c r="G16" s="575"/>
      <c r="H16" s="575"/>
      <c r="I16" s="575"/>
      <c r="J16" s="575"/>
      <c r="K16" s="575"/>
      <c r="L16" s="575"/>
      <c r="M16" s="575"/>
      <c r="N16" s="575"/>
      <c r="O16" s="575"/>
      <c r="P16" s="575"/>
      <c r="Q16" s="575"/>
      <c r="R16" s="575"/>
      <c r="S16" s="575"/>
      <c r="T16" s="575"/>
      <c r="U16" s="575"/>
      <c r="V16" s="575"/>
      <c r="W16" s="575"/>
      <c r="X16" s="575"/>
    </row>
    <row r="17" ht="18.75" customHeight="1">
      <c r="A17" s="720" t="s">
        <v>1425</v>
      </c>
      <c r="B17" s="731" t="s">
        <v>1716</v>
      </c>
      <c r="C17" s="732" t="b">
        <v>0</v>
      </c>
      <c r="D17" s="733" t="s">
        <v>1945</v>
      </c>
      <c r="E17" s="734" t="s">
        <v>1946</v>
      </c>
      <c r="F17" s="575"/>
      <c r="G17" s="575"/>
      <c r="H17" s="575"/>
      <c r="I17" s="575"/>
      <c r="J17" s="575"/>
      <c r="K17" s="575"/>
      <c r="L17" s="575"/>
      <c r="M17" s="575"/>
      <c r="N17" s="575"/>
      <c r="O17" s="575"/>
      <c r="P17" s="575"/>
      <c r="Q17" s="575"/>
      <c r="R17" s="575"/>
      <c r="S17" s="575"/>
      <c r="T17" s="575"/>
      <c r="U17" s="575"/>
      <c r="V17" s="575"/>
      <c r="W17" s="575"/>
      <c r="X17" s="575"/>
    </row>
    <row r="18" ht="18.75" customHeight="1">
      <c r="A18" s="95"/>
      <c r="B18" s="731" t="s">
        <v>1625</v>
      </c>
      <c r="C18" s="732" t="b">
        <v>0</v>
      </c>
      <c r="D18" s="733" t="s">
        <v>1719</v>
      </c>
      <c r="E18" s="734" t="s">
        <v>1720</v>
      </c>
      <c r="F18" s="575"/>
      <c r="G18" s="575"/>
      <c r="H18" s="575"/>
      <c r="I18" s="575"/>
      <c r="J18" s="575"/>
      <c r="K18" s="575"/>
      <c r="L18" s="575"/>
      <c r="M18" s="575"/>
      <c r="N18" s="575"/>
      <c r="O18" s="575"/>
      <c r="P18" s="575"/>
      <c r="Q18" s="575"/>
      <c r="R18" s="575"/>
      <c r="S18" s="575"/>
      <c r="T18" s="575"/>
      <c r="U18" s="575"/>
      <c r="V18" s="575"/>
      <c r="W18" s="575"/>
      <c r="X18" s="575"/>
    </row>
    <row r="19" ht="18.75" customHeight="1">
      <c r="A19" s="95"/>
      <c r="B19" s="722" t="s">
        <v>1882</v>
      </c>
      <c r="C19" s="722" t="b">
        <v>0</v>
      </c>
      <c r="D19" s="723" t="s">
        <v>1947</v>
      </c>
      <c r="E19" s="726" t="s">
        <v>1948</v>
      </c>
      <c r="F19" s="575"/>
      <c r="G19" s="575"/>
      <c r="H19" s="575"/>
      <c r="I19" s="575"/>
      <c r="J19" s="575"/>
      <c r="K19" s="575"/>
      <c r="L19" s="575"/>
      <c r="M19" s="575"/>
      <c r="N19" s="575"/>
      <c r="O19" s="575"/>
      <c r="P19" s="575"/>
      <c r="Q19" s="575"/>
      <c r="R19" s="575"/>
      <c r="S19" s="575"/>
      <c r="T19" s="575"/>
      <c r="U19" s="575"/>
      <c r="V19" s="575"/>
      <c r="W19" s="575"/>
      <c r="X19" s="575"/>
    </row>
    <row r="20" ht="18.75" customHeight="1">
      <c r="A20" s="95"/>
      <c r="B20" s="727" t="s">
        <v>1949</v>
      </c>
      <c r="C20" s="727" t="b">
        <v>0</v>
      </c>
      <c r="D20" s="729" t="s">
        <v>1950</v>
      </c>
      <c r="E20" s="730" t="s">
        <v>1951</v>
      </c>
      <c r="F20" s="575"/>
      <c r="G20" s="575"/>
      <c r="H20" s="575"/>
      <c r="I20" s="575"/>
      <c r="J20" s="575"/>
      <c r="K20" s="575"/>
      <c r="L20" s="575"/>
      <c r="M20" s="575"/>
      <c r="N20" s="575"/>
      <c r="O20" s="575"/>
      <c r="P20" s="575"/>
      <c r="Q20" s="575"/>
      <c r="R20" s="575"/>
      <c r="S20" s="575"/>
      <c r="T20" s="575"/>
      <c r="U20" s="575"/>
      <c r="V20" s="575"/>
      <c r="W20" s="575"/>
      <c r="X20" s="575"/>
    </row>
    <row r="21" ht="18.75" customHeight="1">
      <c r="A21" s="164"/>
      <c r="B21" s="722" t="s">
        <v>1444</v>
      </c>
      <c r="C21" s="722" t="b">
        <v>0</v>
      </c>
      <c r="D21" s="609" t="s">
        <v>1724</v>
      </c>
      <c r="E21" s="726" t="s">
        <v>1725</v>
      </c>
      <c r="F21" s="575"/>
      <c r="G21" s="575"/>
      <c r="H21" s="575"/>
      <c r="I21" s="575"/>
      <c r="J21" s="575"/>
      <c r="K21" s="575"/>
      <c r="L21" s="575"/>
      <c r="M21" s="575"/>
      <c r="N21" s="575"/>
      <c r="O21" s="575"/>
      <c r="P21" s="575"/>
      <c r="Q21" s="575"/>
      <c r="R21" s="575"/>
      <c r="S21" s="575"/>
      <c r="T21" s="575"/>
      <c r="U21" s="575"/>
      <c r="V21" s="575"/>
      <c r="W21" s="575"/>
      <c r="X21" s="575"/>
    </row>
    <row r="22" ht="18.75" customHeight="1">
      <c r="A22" s="727" t="s">
        <v>1952</v>
      </c>
      <c r="B22" s="727" t="s">
        <v>1703</v>
      </c>
      <c r="C22" s="735" t="b">
        <v>0</v>
      </c>
      <c r="D22" s="729" t="s">
        <v>1953</v>
      </c>
      <c r="E22" s="736" t="s">
        <v>1954</v>
      </c>
      <c r="F22" s="575"/>
      <c r="G22" s="575"/>
      <c r="H22" s="575"/>
      <c r="I22" s="575"/>
      <c r="J22" s="575"/>
      <c r="K22" s="575"/>
      <c r="L22" s="575"/>
      <c r="M22" s="575"/>
      <c r="N22" s="575"/>
      <c r="O22" s="575"/>
      <c r="P22" s="575"/>
      <c r="Q22" s="575"/>
      <c r="R22" s="575"/>
      <c r="S22" s="575"/>
      <c r="T22" s="575"/>
      <c r="U22" s="575"/>
      <c r="V22" s="575"/>
      <c r="W22" s="575"/>
      <c r="X22" s="575"/>
    </row>
    <row r="23" ht="18.75" customHeight="1">
      <c r="A23" s="720" t="s">
        <v>1955</v>
      </c>
      <c r="B23" s="608" t="s">
        <v>1956</v>
      </c>
      <c r="C23" s="601" t="b">
        <v>0</v>
      </c>
      <c r="D23" s="609" t="s">
        <v>1957</v>
      </c>
      <c r="E23" s="737" t="s">
        <v>1958</v>
      </c>
      <c r="F23" s="575"/>
      <c r="G23" s="575"/>
      <c r="H23" s="575"/>
      <c r="I23" s="575"/>
      <c r="J23" s="575"/>
      <c r="K23" s="575"/>
      <c r="L23" s="575"/>
      <c r="M23" s="575"/>
      <c r="N23" s="575"/>
      <c r="O23" s="575"/>
      <c r="P23" s="575"/>
      <c r="Q23" s="575"/>
      <c r="R23" s="575"/>
      <c r="S23" s="575"/>
      <c r="T23" s="575"/>
      <c r="U23" s="575"/>
      <c r="V23" s="575"/>
      <c r="W23" s="575"/>
      <c r="X23" s="575"/>
    </row>
    <row r="24" ht="18.75" customHeight="1">
      <c r="A24" s="95"/>
      <c r="B24" s="601"/>
      <c r="C24" s="601" t="b">
        <v>0</v>
      </c>
      <c r="D24" s="609" t="s">
        <v>1959</v>
      </c>
      <c r="E24" s="737" t="s">
        <v>1960</v>
      </c>
      <c r="F24" s="575"/>
      <c r="G24" s="575"/>
      <c r="H24" s="575"/>
      <c r="I24" s="575"/>
      <c r="J24" s="575"/>
      <c r="K24" s="575"/>
      <c r="L24" s="575"/>
      <c r="M24" s="575"/>
      <c r="N24" s="575"/>
      <c r="O24" s="575"/>
      <c r="P24" s="575"/>
      <c r="Q24" s="575"/>
      <c r="R24" s="575"/>
      <c r="S24" s="575"/>
      <c r="T24" s="575"/>
      <c r="U24" s="575"/>
      <c r="V24" s="575"/>
      <c r="W24" s="575"/>
      <c r="X24" s="575"/>
    </row>
    <row r="25" ht="18.75" customHeight="1">
      <c r="A25" s="164"/>
      <c r="B25" s="608" t="s">
        <v>1661</v>
      </c>
      <c r="C25" s="601" t="b">
        <v>0</v>
      </c>
      <c r="D25" s="609" t="s">
        <v>1961</v>
      </c>
      <c r="E25" s="737" t="s">
        <v>1962</v>
      </c>
      <c r="F25" s="575"/>
      <c r="G25" s="575"/>
      <c r="H25" s="575"/>
      <c r="I25" s="575"/>
      <c r="J25" s="575"/>
      <c r="K25" s="575"/>
      <c r="L25" s="575"/>
      <c r="M25" s="575"/>
      <c r="N25" s="575"/>
      <c r="O25" s="575"/>
      <c r="P25" s="575"/>
      <c r="Q25" s="575"/>
      <c r="R25" s="575"/>
      <c r="S25" s="575"/>
      <c r="T25" s="575"/>
      <c r="U25" s="575"/>
      <c r="V25" s="575"/>
      <c r="W25" s="575"/>
      <c r="X25" s="575"/>
    </row>
    <row r="26" ht="18.75" customHeight="1">
      <c r="A26" s="712" t="s">
        <v>1963</v>
      </c>
      <c r="B26" s="727" t="s">
        <v>1631</v>
      </c>
      <c r="C26" s="727" t="b">
        <v>0</v>
      </c>
      <c r="D26" s="729" t="s">
        <v>1632</v>
      </c>
      <c r="E26" s="738" t="s">
        <v>1633</v>
      </c>
      <c r="F26" s="575"/>
      <c r="G26" s="575"/>
      <c r="H26" s="575"/>
      <c r="I26" s="575"/>
      <c r="J26" s="575"/>
      <c r="K26" s="575"/>
      <c r="L26" s="575"/>
      <c r="M26" s="575"/>
      <c r="N26" s="575"/>
      <c r="O26" s="575"/>
      <c r="P26" s="575"/>
      <c r="Q26" s="575"/>
      <c r="R26" s="575"/>
      <c r="S26" s="575"/>
      <c r="T26" s="575"/>
      <c r="U26" s="575"/>
      <c r="V26" s="575"/>
      <c r="W26" s="575"/>
      <c r="X26" s="575"/>
    </row>
    <row r="27" ht="18.75" customHeight="1">
      <c r="A27" s="95"/>
      <c r="B27" s="727" t="s">
        <v>1634</v>
      </c>
      <c r="C27" s="727" t="b">
        <v>0</v>
      </c>
      <c r="D27" s="729" t="s">
        <v>1635</v>
      </c>
      <c r="E27" s="738" t="s">
        <v>1636</v>
      </c>
      <c r="F27" s="575"/>
      <c r="G27" s="575"/>
      <c r="H27" s="575"/>
      <c r="I27" s="575"/>
      <c r="J27" s="575"/>
      <c r="K27" s="575"/>
      <c r="L27" s="575"/>
      <c r="M27" s="575"/>
      <c r="N27" s="575"/>
      <c r="O27" s="575"/>
      <c r="P27" s="575"/>
      <c r="Q27" s="575"/>
      <c r="R27" s="575"/>
      <c r="S27" s="575"/>
      <c r="T27" s="575"/>
      <c r="U27" s="575"/>
      <c r="V27" s="575"/>
      <c r="W27" s="575"/>
      <c r="X27" s="575"/>
    </row>
    <row r="28" ht="18.75" customHeight="1">
      <c r="A28" s="95"/>
      <c r="B28" s="727" t="s">
        <v>1637</v>
      </c>
      <c r="C28" s="727" t="b">
        <v>0</v>
      </c>
      <c r="D28" s="729" t="s">
        <v>1638</v>
      </c>
      <c r="E28" s="738" t="s">
        <v>1639</v>
      </c>
      <c r="F28" s="575"/>
      <c r="G28" s="575"/>
      <c r="H28" s="575"/>
      <c r="I28" s="575"/>
      <c r="J28" s="575"/>
      <c r="K28" s="575"/>
      <c r="L28" s="575"/>
      <c r="M28" s="575"/>
      <c r="N28" s="575"/>
      <c r="O28" s="575"/>
      <c r="P28" s="575"/>
      <c r="Q28" s="575"/>
      <c r="R28" s="575"/>
      <c r="S28" s="575"/>
      <c r="T28" s="575"/>
      <c r="U28" s="575"/>
      <c r="V28" s="575"/>
      <c r="W28" s="575"/>
      <c r="X28" s="575"/>
    </row>
    <row r="29" ht="18.75" customHeight="1">
      <c r="A29" s="95"/>
      <c r="B29" s="727" t="s">
        <v>1619</v>
      </c>
      <c r="C29" s="727" t="b">
        <v>0</v>
      </c>
      <c r="D29" s="729" t="s">
        <v>1640</v>
      </c>
      <c r="E29" s="738" t="s">
        <v>1641</v>
      </c>
      <c r="F29" s="575"/>
      <c r="G29" s="575"/>
      <c r="H29" s="575"/>
      <c r="I29" s="575"/>
      <c r="J29" s="575"/>
      <c r="K29" s="575"/>
      <c r="L29" s="575"/>
      <c r="M29" s="575"/>
      <c r="N29" s="575"/>
      <c r="O29" s="575"/>
      <c r="P29" s="575"/>
      <c r="Q29" s="575"/>
      <c r="R29" s="575"/>
      <c r="S29" s="575"/>
      <c r="T29" s="575"/>
      <c r="U29" s="575"/>
      <c r="V29" s="575"/>
      <c r="W29" s="575"/>
      <c r="X29" s="575"/>
    </row>
    <row r="30" ht="18.75" customHeight="1">
      <c r="A30" s="95"/>
      <c r="B30" s="727" t="s">
        <v>1479</v>
      </c>
      <c r="C30" s="727" t="b">
        <v>0</v>
      </c>
      <c r="D30" s="729" t="s">
        <v>1642</v>
      </c>
      <c r="E30" s="738" t="s">
        <v>1643</v>
      </c>
      <c r="F30" s="575"/>
      <c r="G30" s="575"/>
      <c r="H30" s="575"/>
      <c r="I30" s="575"/>
      <c r="J30" s="575"/>
      <c r="K30" s="575"/>
      <c r="L30" s="575"/>
      <c r="M30" s="575"/>
      <c r="N30" s="575"/>
      <c r="O30" s="575"/>
      <c r="P30" s="575"/>
      <c r="Q30" s="575"/>
      <c r="R30" s="575"/>
      <c r="S30" s="575"/>
      <c r="T30" s="575"/>
      <c r="U30" s="575"/>
      <c r="V30" s="575"/>
      <c r="W30" s="575"/>
      <c r="X30" s="575"/>
    </row>
    <row r="31" ht="18.75" customHeight="1">
      <c r="A31" s="95"/>
      <c r="B31" s="590" t="s">
        <v>1964</v>
      </c>
      <c r="C31" s="590" t="b">
        <v>0</v>
      </c>
      <c r="D31" s="591" t="s">
        <v>1965</v>
      </c>
      <c r="E31" s="739" t="s">
        <v>1966</v>
      </c>
      <c r="F31" s="575"/>
      <c r="G31" s="575"/>
      <c r="H31" s="575"/>
      <c r="I31" s="575"/>
      <c r="J31" s="575"/>
      <c r="K31" s="575"/>
      <c r="L31" s="575"/>
      <c r="M31" s="575"/>
      <c r="N31" s="575"/>
      <c r="O31" s="575"/>
      <c r="P31" s="575"/>
      <c r="Q31" s="575"/>
      <c r="R31" s="575"/>
      <c r="S31" s="575"/>
      <c r="T31" s="575"/>
      <c r="U31" s="575"/>
      <c r="V31" s="575"/>
      <c r="W31" s="575"/>
      <c r="X31" s="575"/>
    </row>
    <row r="32" ht="18.75" customHeight="1">
      <c r="A32" s="95"/>
      <c r="B32" s="590" t="s">
        <v>1435</v>
      </c>
      <c r="C32" s="590" t="b">
        <v>0</v>
      </c>
      <c r="D32" s="591" t="s">
        <v>1967</v>
      </c>
      <c r="E32" s="739" t="s">
        <v>1968</v>
      </c>
      <c r="F32" s="575"/>
      <c r="G32" s="575"/>
      <c r="H32" s="575"/>
      <c r="I32" s="575"/>
      <c r="J32" s="575"/>
      <c r="K32" s="575"/>
      <c r="L32" s="575"/>
      <c r="M32" s="575"/>
      <c r="N32" s="575"/>
      <c r="O32" s="575"/>
      <c r="P32" s="575"/>
      <c r="Q32" s="575"/>
      <c r="R32" s="575"/>
      <c r="S32" s="575"/>
      <c r="T32" s="575"/>
      <c r="U32" s="575"/>
      <c r="V32" s="575"/>
      <c r="W32" s="575"/>
      <c r="X32" s="575"/>
    </row>
    <row r="33">
      <c r="A33" s="164"/>
      <c r="B33" s="590" t="s">
        <v>1969</v>
      </c>
      <c r="C33" s="590" t="b">
        <v>0</v>
      </c>
      <c r="D33" s="591" t="s">
        <v>1970</v>
      </c>
      <c r="E33" s="739" t="s">
        <v>1971</v>
      </c>
      <c r="F33" s="575"/>
      <c r="G33" s="575"/>
      <c r="H33" s="575"/>
      <c r="I33" s="575"/>
      <c r="J33" s="575"/>
      <c r="K33" s="575"/>
      <c r="L33" s="575"/>
      <c r="M33" s="575"/>
      <c r="N33" s="575"/>
      <c r="O33" s="575"/>
      <c r="P33" s="575"/>
      <c r="Q33" s="575"/>
      <c r="R33" s="575"/>
      <c r="S33" s="575"/>
      <c r="T33" s="575"/>
      <c r="U33" s="575"/>
      <c r="V33" s="575"/>
      <c r="W33" s="575"/>
      <c r="X33" s="575"/>
    </row>
    <row r="34">
      <c r="A34" s="720" t="s">
        <v>1972</v>
      </c>
      <c r="B34" s="601" t="s">
        <v>1973</v>
      </c>
      <c r="C34" s="601" t="b">
        <v>0</v>
      </c>
      <c r="D34" s="602" t="s">
        <v>1974</v>
      </c>
      <c r="E34" s="740" t="s">
        <v>1975</v>
      </c>
      <c r="F34" s="575"/>
      <c r="G34" s="575"/>
      <c r="H34" s="575"/>
      <c r="I34" s="575"/>
      <c r="J34" s="575"/>
      <c r="K34" s="575"/>
      <c r="L34" s="575"/>
      <c r="M34" s="575"/>
      <c r="N34" s="575"/>
      <c r="O34" s="575"/>
      <c r="P34" s="575"/>
      <c r="Q34" s="575"/>
      <c r="R34" s="575"/>
      <c r="S34" s="575"/>
      <c r="T34" s="575"/>
      <c r="U34" s="575"/>
      <c r="V34" s="575"/>
      <c r="W34" s="575"/>
      <c r="X34" s="575"/>
    </row>
    <row r="35">
      <c r="A35" s="95"/>
      <c r="B35" s="601" t="s">
        <v>1976</v>
      </c>
      <c r="C35" s="601" t="b">
        <v>0</v>
      </c>
      <c r="D35" s="602" t="s">
        <v>1977</v>
      </c>
      <c r="E35" s="741" t="s">
        <v>1978</v>
      </c>
      <c r="F35" s="575"/>
      <c r="G35" s="575"/>
      <c r="H35" s="575"/>
      <c r="I35" s="575"/>
      <c r="J35" s="575"/>
      <c r="K35" s="575"/>
      <c r="L35" s="575"/>
      <c r="M35" s="575"/>
      <c r="N35" s="575"/>
      <c r="O35" s="575"/>
      <c r="P35" s="575"/>
      <c r="Q35" s="575"/>
      <c r="R35" s="575"/>
      <c r="S35" s="575"/>
      <c r="T35" s="575"/>
      <c r="U35" s="575"/>
      <c r="V35" s="575"/>
      <c r="W35" s="575"/>
      <c r="X35" s="575"/>
    </row>
    <row r="36">
      <c r="A36" s="95"/>
      <c r="B36" s="601" t="s">
        <v>1782</v>
      </c>
      <c r="C36" s="601" t="b">
        <v>0</v>
      </c>
      <c r="D36" s="602" t="s">
        <v>1979</v>
      </c>
      <c r="E36" s="740" t="s">
        <v>1980</v>
      </c>
      <c r="F36" s="575"/>
      <c r="G36" s="575"/>
      <c r="H36" s="575"/>
      <c r="I36" s="575"/>
      <c r="J36" s="575"/>
      <c r="K36" s="575"/>
      <c r="L36" s="575"/>
      <c r="M36" s="575"/>
      <c r="N36" s="575"/>
      <c r="O36" s="575"/>
      <c r="P36" s="575"/>
      <c r="Q36" s="575"/>
      <c r="R36" s="575"/>
      <c r="S36" s="575"/>
      <c r="T36" s="575"/>
      <c r="U36" s="575"/>
      <c r="V36" s="575"/>
      <c r="W36" s="575"/>
      <c r="X36" s="575"/>
    </row>
    <row r="37">
      <c r="A37" s="95"/>
      <c r="B37" s="601" t="s">
        <v>1444</v>
      </c>
      <c r="C37" s="601" t="b">
        <v>0</v>
      </c>
      <c r="D37" s="602" t="s">
        <v>1981</v>
      </c>
      <c r="E37" s="740" t="s">
        <v>1982</v>
      </c>
      <c r="F37" s="575"/>
      <c r="G37" s="575"/>
      <c r="H37" s="575"/>
      <c r="I37" s="575"/>
      <c r="J37" s="575"/>
      <c r="K37" s="575"/>
      <c r="L37" s="575"/>
      <c r="M37" s="575"/>
      <c r="N37" s="575"/>
      <c r="O37" s="575"/>
      <c r="P37" s="575"/>
      <c r="Q37" s="575"/>
      <c r="R37" s="575"/>
      <c r="S37" s="575"/>
      <c r="T37" s="575"/>
      <c r="U37" s="575"/>
      <c r="V37" s="575"/>
      <c r="W37" s="575"/>
      <c r="X37" s="575"/>
    </row>
    <row r="38">
      <c r="A38" s="95"/>
      <c r="B38" s="601" t="s">
        <v>1444</v>
      </c>
      <c r="C38" s="601" t="b">
        <v>0</v>
      </c>
      <c r="D38" s="602" t="s">
        <v>1983</v>
      </c>
      <c r="E38" s="740" t="s">
        <v>1984</v>
      </c>
      <c r="F38" s="575"/>
      <c r="G38" s="575"/>
      <c r="H38" s="575"/>
      <c r="I38" s="575"/>
      <c r="J38" s="575"/>
      <c r="K38" s="575"/>
      <c r="L38" s="575"/>
      <c r="M38" s="575"/>
      <c r="N38" s="575"/>
      <c r="O38" s="575"/>
      <c r="P38" s="575"/>
      <c r="Q38" s="575"/>
      <c r="R38" s="575"/>
      <c r="S38" s="575"/>
      <c r="T38" s="575"/>
      <c r="U38" s="575"/>
      <c r="V38" s="575"/>
      <c r="W38" s="575"/>
      <c r="X38" s="575"/>
    </row>
    <row r="39">
      <c r="A39" s="95"/>
      <c r="B39" s="601" t="s">
        <v>1574</v>
      </c>
      <c r="C39" s="601" t="b">
        <v>0</v>
      </c>
      <c r="D39" s="602" t="s">
        <v>1985</v>
      </c>
      <c r="E39" s="740" t="s">
        <v>1986</v>
      </c>
      <c r="F39" s="575"/>
      <c r="G39" s="575"/>
      <c r="H39" s="575"/>
      <c r="I39" s="575"/>
      <c r="J39" s="575"/>
      <c r="K39" s="575"/>
      <c r="L39" s="575"/>
      <c r="M39" s="575"/>
      <c r="N39" s="575"/>
      <c r="O39" s="575"/>
      <c r="P39" s="575"/>
      <c r="Q39" s="575"/>
      <c r="R39" s="575"/>
      <c r="S39" s="575"/>
      <c r="T39" s="575"/>
      <c r="U39" s="575"/>
      <c r="V39" s="575"/>
      <c r="W39" s="575"/>
      <c r="X39" s="575"/>
    </row>
    <row r="40">
      <c r="A40" s="95"/>
      <c r="B40" s="601" t="s">
        <v>1969</v>
      </c>
      <c r="C40" s="601" t="b">
        <v>0</v>
      </c>
      <c r="D40" s="602" t="s">
        <v>1987</v>
      </c>
      <c r="E40" s="740" t="s">
        <v>1988</v>
      </c>
      <c r="F40" s="575"/>
      <c r="G40" s="575"/>
      <c r="H40" s="575"/>
      <c r="I40" s="575"/>
      <c r="J40" s="575"/>
      <c r="K40" s="575"/>
      <c r="L40" s="575"/>
      <c r="M40" s="575"/>
      <c r="N40" s="575"/>
      <c r="O40" s="575"/>
      <c r="P40" s="575"/>
      <c r="Q40" s="575"/>
      <c r="R40" s="575"/>
      <c r="S40" s="575"/>
      <c r="T40" s="575"/>
      <c r="U40" s="575"/>
      <c r="V40" s="575"/>
      <c r="W40" s="575"/>
      <c r="X40" s="575"/>
    </row>
    <row r="41">
      <c r="A41" s="95"/>
      <c r="B41" s="601" t="s">
        <v>1989</v>
      </c>
      <c r="C41" s="601" t="b">
        <v>0</v>
      </c>
      <c r="D41" s="602" t="s">
        <v>1990</v>
      </c>
      <c r="E41" s="740" t="s">
        <v>1991</v>
      </c>
      <c r="F41" s="575"/>
      <c r="G41" s="575"/>
      <c r="H41" s="575"/>
      <c r="I41" s="575"/>
      <c r="J41" s="575"/>
      <c r="K41" s="575"/>
      <c r="L41" s="575"/>
      <c r="M41" s="575"/>
      <c r="N41" s="575"/>
      <c r="O41" s="575"/>
      <c r="P41" s="575"/>
      <c r="Q41" s="575"/>
      <c r="R41" s="575"/>
      <c r="S41" s="575"/>
      <c r="T41" s="575"/>
      <c r="U41" s="575"/>
      <c r="V41" s="575"/>
      <c r="W41" s="575"/>
      <c r="X41" s="575"/>
    </row>
    <row r="42">
      <c r="A42" s="164"/>
      <c r="B42" s="601" t="s">
        <v>1992</v>
      </c>
      <c r="C42" s="601" t="b">
        <v>0</v>
      </c>
      <c r="D42" s="602" t="s">
        <v>1993</v>
      </c>
      <c r="E42" s="740" t="s">
        <v>1991</v>
      </c>
      <c r="F42" s="575"/>
      <c r="G42" s="575"/>
      <c r="H42" s="575"/>
      <c r="I42" s="575"/>
      <c r="J42" s="575"/>
      <c r="K42" s="575"/>
      <c r="L42" s="575"/>
      <c r="M42" s="575"/>
      <c r="N42" s="575"/>
      <c r="O42" s="575"/>
      <c r="P42" s="575"/>
      <c r="Q42" s="575"/>
      <c r="R42" s="575"/>
      <c r="S42" s="575"/>
      <c r="T42" s="575"/>
      <c r="U42" s="575"/>
      <c r="V42" s="575"/>
      <c r="W42" s="575"/>
      <c r="X42" s="575"/>
    </row>
    <row r="43">
      <c r="A43" s="712" t="s">
        <v>1600</v>
      </c>
      <c r="B43" s="727" t="s">
        <v>1604</v>
      </c>
      <c r="C43" s="727" t="b">
        <v>0</v>
      </c>
      <c r="D43" s="729" t="s">
        <v>1605</v>
      </c>
      <c r="E43" s="730" t="s">
        <v>1606</v>
      </c>
      <c r="F43" s="575"/>
      <c r="G43" s="575"/>
      <c r="H43" s="575"/>
      <c r="I43" s="575"/>
      <c r="J43" s="575"/>
      <c r="K43" s="575"/>
      <c r="L43" s="575"/>
      <c r="M43" s="575"/>
      <c r="N43" s="575"/>
      <c r="O43" s="575"/>
      <c r="P43" s="575"/>
      <c r="Q43" s="575"/>
      <c r="R43" s="575"/>
      <c r="S43" s="575"/>
      <c r="T43" s="575"/>
      <c r="U43" s="575"/>
      <c r="V43" s="575"/>
      <c r="W43" s="575"/>
      <c r="X43" s="575"/>
    </row>
    <row r="44">
      <c r="A44" s="95"/>
      <c r="B44" s="727" t="s">
        <v>1604</v>
      </c>
      <c r="C44" s="727" t="b">
        <v>0</v>
      </c>
      <c r="D44" s="729" t="s">
        <v>1607</v>
      </c>
      <c r="E44" s="730" t="s">
        <v>1608</v>
      </c>
      <c r="F44" s="575"/>
      <c r="G44" s="575"/>
      <c r="H44" s="575"/>
      <c r="I44" s="575"/>
      <c r="J44" s="575"/>
      <c r="K44" s="575"/>
      <c r="L44" s="575"/>
      <c r="M44" s="575"/>
      <c r="N44" s="575"/>
      <c r="O44" s="575"/>
      <c r="P44" s="575"/>
      <c r="Q44" s="575"/>
      <c r="R44" s="575"/>
      <c r="S44" s="575"/>
      <c r="T44" s="575"/>
      <c r="U44" s="575"/>
      <c r="V44" s="575"/>
      <c r="W44" s="575"/>
      <c r="X44" s="575"/>
    </row>
    <row r="45">
      <c r="A45" s="95"/>
      <c r="B45" s="727" t="s">
        <v>1604</v>
      </c>
      <c r="C45" s="727" t="b">
        <v>0</v>
      </c>
      <c r="D45" s="729" t="s">
        <v>1609</v>
      </c>
      <c r="E45" s="730" t="s">
        <v>1610</v>
      </c>
      <c r="F45" s="575"/>
      <c r="G45" s="575"/>
      <c r="H45" s="575"/>
      <c r="I45" s="575"/>
      <c r="J45" s="575"/>
      <c r="K45" s="575"/>
      <c r="L45" s="575"/>
      <c r="M45" s="575"/>
      <c r="N45" s="575"/>
      <c r="O45" s="575"/>
      <c r="P45" s="575"/>
      <c r="Q45" s="575"/>
      <c r="R45" s="575"/>
      <c r="S45" s="575"/>
      <c r="T45" s="575"/>
      <c r="U45" s="575"/>
      <c r="V45" s="575"/>
      <c r="W45" s="575"/>
      <c r="X45" s="575"/>
    </row>
    <row r="46">
      <c r="A46" s="95"/>
      <c r="B46" s="727" t="s">
        <v>1622</v>
      </c>
      <c r="C46" s="727" t="b">
        <v>0</v>
      </c>
      <c r="D46" s="729" t="s">
        <v>1994</v>
      </c>
      <c r="E46" s="730" t="s">
        <v>1995</v>
      </c>
      <c r="F46" s="575"/>
      <c r="G46" s="575"/>
      <c r="H46" s="575"/>
      <c r="I46" s="575"/>
      <c r="J46" s="575"/>
      <c r="K46" s="575"/>
      <c r="L46" s="575"/>
      <c r="M46" s="575"/>
      <c r="N46" s="575"/>
      <c r="O46" s="575"/>
      <c r="P46" s="575"/>
      <c r="Q46" s="575"/>
      <c r="R46" s="575"/>
      <c r="S46" s="575"/>
      <c r="T46" s="575"/>
      <c r="U46" s="575"/>
      <c r="V46" s="575"/>
      <c r="W46" s="575"/>
      <c r="X46" s="575"/>
    </row>
    <row r="47">
      <c r="A47" s="95"/>
      <c r="B47" s="727" t="s">
        <v>1743</v>
      </c>
      <c r="C47" s="727" t="b">
        <v>0</v>
      </c>
      <c r="D47" s="729" t="s">
        <v>1996</v>
      </c>
      <c r="E47" s="730" t="s">
        <v>1997</v>
      </c>
      <c r="F47" s="575"/>
      <c r="G47" s="575"/>
      <c r="H47" s="575"/>
      <c r="I47" s="575"/>
      <c r="J47" s="575"/>
      <c r="K47" s="575"/>
      <c r="L47" s="575"/>
      <c r="M47" s="575"/>
      <c r="N47" s="575"/>
      <c r="O47" s="575"/>
      <c r="P47" s="575"/>
      <c r="Q47" s="575"/>
      <c r="R47" s="575"/>
      <c r="S47" s="575"/>
      <c r="T47" s="575"/>
      <c r="U47" s="575"/>
      <c r="V47" s="575"/>
      <c r="W47" s="575"/>
      <c r="X47" s="575"/>
    </row>
    <row r="48">
      <c r="A48" s="95"/>
      <c r="B48" s="727" t="s">
        <v>1611</v>
      </c>
      <c r="C48" s="727" t="b">
        <v>0</v>
      </c>
      <c r="D48" s="729" t="s">
        <v>1614</v>
      </c>
      <c r="E48" s="730" t="s">
        <v>1615</v>
      </c>
      <c r="F48" s="575"/>
      <c r="G48" s="575"/>
      <c r="H48" s="575"/>
      <c r="I48" s="575"/>
      <c r="J48" s="575"/>
      <c r="K48" s="575"/>
      <c r="L48" s="575"/>
      <c r="M48" s="575"/>
      <c r="N48" s="575"/>
      <c r="O48" s="575"/>
      <c r="P48" s="575"/>
      <c r="Q48" s="575"/>
      <c r="R48" s="575"/>
      <c r="S48" s="575"/>
      <c r="T48" s="575"/>
      <c r="U48" s="575"/>
      <c r="V48" s="575"/>
      <c r="W48" s="575"/>
      <c r="X48" s="575"/>
    </row>
    <row r="49">
      <c r="A49" s="95"/>
      <c r="B49" s="727" t="s">
        <v>1611</v>
      </c>
      <c r="C49" s="727" t="b">
        <v>0</v>
      </c>
      <c r="D49" s="729" t="s">
        <v>1612</v>
      </c>
      <c r="E49" s="742" t="s">
        <v>1613</v>
      </c>
      <c r="F49" s="575"/>
      <c r="G49" s="575"/>
      <c r="H49" s="575"/>
      <c r="I49" s="575"/>
      <c r="J49" s="575"/>
      <c r="K49" s="575"/>
      <c r="L49" s="575"/>
      <c r="M49" s="575"/>
      <c r="N49" s="575"/>
      <c r="O49" s="575"/>
      <c r="P49" s="575"/>
      <c r="Q49" s="575"/>
      <c r="R49" s="575"/>
      <c r="S49" s="575"/>
      <c r="T49" s="575"/>
      <c r="U49" s="575"/>
      <c r="V49" s="575"/>
      <c r="W49" s="575"/>
      <c r="X49" s="575"/>
    </row>
    <row r="50">
      <c r="A50" s="95"/>
      <c r="B50" s="727" t="s">
        <v>1622</v>
      </c>
      <c r="C50" s="727" t="b">
        <v>0</v>
      </c>
      <c r="D50" s="729" t="s">
        <v>1998</v>
      </c>
      <c r="E50" s="730" t="s">
        <v>1995</v>
      </c>
      <c r="F50" s="575"/>
      <c r="G50" s="575"/>
      <c r="H50" s="575"/>
      <c r="I50" s="575"/>
      <c r="J50" s="575"/>
      <c r="K50" s="575"/>
      <c r="L50" s="575"/>
      <c r="M50" s="575"/>
      <c r="N50" s="575"/>
      <c r="O50" s="575"/>
      <c r="P50" s="575"/>
      <c r="Q50" s="575"/>
      <c r="R50" s="575"/>
      <c r="S50" s="575"/>
      <c r="T50" s="575"/>
      <c r="U50" s="575"/>
      <c r="V50" s="575"/>
      <c r="W50" s="575"/>
      <c r="X50" s="575"/>
    </row>
    <row r="51">
      <c r="A51" s="164"/>
      <c r="B51" s="727" t="s">
        <v>1999</v>
      </c>
      <c r="C51" s="727" t="b">
        <v>0</v>
      </c>
      <c r="D51" s="729" t="s">
        <v>2000</v>
      </c>
      <c r="E51" s="730" t="s">
        <v>2001</v>
      </c>
      <c r="F51" s="575"/>
      <c r="G51" s="575"/>
      <c r="H51" s="575"/>
      <c r="I51" s="575"/>
      <c r="J51" s="575"/>
      <c r="K51" s="575"/>
      <c r="L51" s="575"/>
      <c r="M51" s="575"/>
      <c r="N51" s="575"/>
      <c r="O51" s="575"/>
      <c r="P51" s="575"/>
      <c r="Q51" s="575"/>
      <c r="R51" s="575"/>
      <c r="S51" s="575"/>
      <c r="T51" s="575"/>
      <c r="U51" s="575"/>
      <c r="V51" s="575"/>
      <c r="W51" s="575"/>
      <c r="X51" s="575"/>
    </row>
    <row r="52">
      <c r="A52" s="731" t="s">
        <v>2002</v>
      </c>
      <c r="B52" s="731" t="s">
        <v>2003</v>
      </c>
      <c r="C52" s="731" t="b">
        <v>0</v>
      </c>
      <c r="D52" s="733" t="s">
        <v>2004</v>
      </c>
      <c r="E52" s="743" t="s">
        <v>2005</v>
      </c>
      <c r="F52" s="575"/>
      <c r="G52" s="575"/>
      <c r="H52" s="575"/>
      <c r="I52" s="575"/>
      <c r="J52" s="575"/>
      <c r="K52" s="575"/>
      <c r="L52" s="575"/>
      <c r="M52" s="575"/>
      <c r="N52" s="575"/>
      <c r="O52" s="575"/>
      <c r="P52" s="575"/>
      <c r="Q52" s="575"/>
      <c r="R52" s="575"/>
      <c r="S52" s="575"/>
      <c r="T52" s="575"/>
      <c r="U52" s="575"/>
      <c r="V52" s="575"/>
      <c r="W52" s="575"/>
      <c r="X52" s="575"/>
    </row>
    <row r="53">
      <c r="A53" s="727" t="s">
        <v>2006</v>
      </c>
      <c r="B53" s="590" t="s">
        <v>1706</v>
      </c>
      <c r="C53" s="590" t="b">
        <v>0</v>
      </c>
      <c r="D53" s="591" t="s">
        <v>2007</v>
      </c>
      <c r="E53" s="739" t="s">
        <v>1708</v>
      </c>
      <c r="F53" s="575"/>
      <c r="G53" s="575"/>
      <c r="H53" s="575"/>
      <c r="I53" s="575"/>
      <c r="J53" s="575"/>
      <c r="K53" s="575"/>
      <c r="L53" s="575"/>
      <c r="M53" s="575"/>
      <c r="N53" s="575"/>
      <c r="O53" s="575"/>
      <c r="P53" s="575"/>
      <c r="Q53" s="575"/>
      <c r="R53" s="575"/>
      <c r="S53" s="575"/>
      <c r="T53" s="575"/>
      <c r="U53" s="575"/>
      <c r="V53" s="575"/>
      <c r="W53" s="575"/>
      <c r="X53" s="575"/>
    </row>
    <row r="54">
      <c r="A54" s="720" t="s">
        <v>2008</v>
      </c>
      <c r="B54" s="601" t="s">
        <v>2009</v>
      </c>
      <c r="C54" s="601" t="b">
        <v>0</v>
      </c>
      <c r="D54" s="602" t="s">
        <v>2010</v>
      </c>
      <c r="E54" s="740" t="s">
        <v>2011</v>
      </c>
      <c r="F54" s="575"/>
      <c r="G54" s="575"/>
      <c r="H54" s="575"/>
      <c r="I54" s="575"/>
      <c r="J54" s="575"/>
      <c r="K54" s="575"/>
      <c r="L54" s="575"/>
      <c r="M54" s="575"/>
      <c r="N54" s="575"/>
      <c r="O54" s="575"/>
      <c r="P54" s="575"/>
      <c r="Q54" s="575"/>
      <c r="R54" s="575"/>
      <c r="S54" s="575"/>
      <c r="T54" s="575"/>
      <c r="U54" s="575"/>
      <c r="V54" s="575"/>
      <c r="W54" s="575"/>
      <c r="X54" s="575"/>
    </row>
    <row r="55">
      <c r="A55" s="95"/>
      <c r="B55" s="601" t="s">
        <v>1435</v>
      </c>
      <c r="C55" s="601" t="b">
        <v>0</v>
      </c>
      <c r="D55" s="602" t="s">
        <v>2012</v>
      </c>
      <c r="E55" s="741" t="s">
        <v>1968</v>
      </c>
      <c r="F55" s="575"/>
      <c r="G55" s="575"/>
      <c r="H55" s="575"/>
      <c r="I55" s="575"/>
      <c r="J55" s="575"/>
      <c r="K55" s="575"/>
      <c r="L55" s="575"/>
      <c r="M55" s="575"/>
      <c r="N55" s="575"/>
      <c r="O55" s="575"/>
      <c r="P55" s="575"/>
      <c r="Q55" s="575"/>
      <c r="R55" s="575"/>
      <c r="S55" s="575"/>
      <c r="T55" s="575"/>
      <c r="U55" s="575"/>
      <c r="V55" s="575"/>
      <c r="W55" s="575"/>
      <c r="X55" s="575"/>
    </row>
    <row r="56">
      <c r="A56" s="95"/>
      <c r="B56" s="601" t="s">
        <v>2013</v>
      </c>
      <c r="C56" s="601" t="b">
        <v>0</v>
      </c>
      <c r="D56" s="602" t="s">
        <v>2014</v>
      </c>
      <c r="E56" s="740" t="s">
        <v>2015</v>
      </c>
      <c r="F56" s="575"/>
      <c r="G56" s="575"/>
      <c r="H56" s="575"/>
      <c r="I56" s="575"/>
      <c r="J56" s="575"/>
      <c r="K56" s="575"/>
      <c r="L56" s="575"/>
      <c r="M56" s="575"/>
      <c r="N56" s="575"/>
      <c r="O56" s="575"/>
      <c r="P56" s="575"/>
      <c r="Q56" s="575"/>
      <c r="R56" s="575"/>
      <c r="S56" s="575"/>
      <c r="T56" s="575"/>
      <c r="U56" s="575"/>
      <c r="V56" s="575"/>
      <c r="W56" s="575"/>
      <c r="X56" s="575"/>
    </row>
    <row r="57">
      <c r="A57" s="95"/>
      <c r="B57" s="601" t="s">
        <v>2013</v>
      </c>
      <c r="C57" s="601" t="b">
        <v>0</v>
      </c>
      <c r="D57" s="602" t="s">
        <v>2016</v>
      </c>
      <c r="E57" s="740" t="s">
        <v>2017</v>
      </c>
      <c r="F57" s="575"/>
      <c r="G57" s="575"/>
      <c r="H57" s="575"/>
      <c r="I57" s="575"/>
      <c r="J57" s="575"/>
      <c r="K57" s="575"/>
      <c r="L57" s="575"/>
      <c r="M57" s="575"/>
      <c r="N57" s="575"/>
      <c r="O57" s="575"/>
      <c r="P57" s="575"/>
      <c r="Q57" s="575"/>
      <c r="R57" s="575"/>
      <c r="S57" s="575"/>
      <c r="T57" s="575"/>
      <c r="U57" s="575"/>
      <c r="V57" s="575"/>
      <c r="W57" s="575"/>
      <c r="X57" s="575"/>
    </row>
    <row r="58">
      <c r="A58" s="164"/>
      <c r="B58" s="601" t="s">
        <v>1879</v>
      </c>
      <c r="C58" s="601" t="b">
        <v>0</v>
      </c>
      <c r="D58" s="602" t="s">
        <v>2018</v>
      </c>
      <c r="E58" s="740" t="s">
        <v>2019</v>
      </c>
      <c r="F58" s="575"/>
      <c r="G58" s="575"/>
      <c r="H58" s="575"/>
      <c r="I58" s="575"/>
      <c r="J58" s="575"/>
      <c r="K58" s="575"/>
      <c r="L58" s="575"/>
      <c r="M58" s="575"/>
      <c r="N58" s="575"/>
      <c r="O58" s="575"/>
      <c r="P58" s="575"/>
      <c r="Q58" s="575"/>
      <c r="R58" s="575"/>
      <c r="S58" s="575"/>
      <c r="T58" s="575"/>
      <c r="U58" s="575"/>
      <c r="V58" s="575"/>
      <c r="W58" s="575"/>
      <c r="X58" s="575"/>
    </row>
    <row r="59">
      <c r="A59" s="712" t="s">
        <v>2020</v>
      </c>
      <c r="B59" s="727" t="s">
        <v>1611</v>
      </c>
      <c r="C59" s="727" t="b">
        <v>0</v>
      </c>
      <c r="D59" s="729" t="s">
        <v>1644</v>
      </c>
      <c r="E59" s="744" t="s">
        <v>1645</v>
      </c>
      <c r="F59" s="575"/>
      <c r="G59" s="575"/>
      <c r="H59" s="575"/>
      <c r="I59" s="575"/>
      <c r="J59" s="575"/>
      <c r="K59" s="575"/>
      <c r="L59" s="575"/>
      <c r="M59" s="575"/>
      <c r="N59" s="575"/>
      <c r="O59" s="575"/>
      <c r="P59" s="575"/>
      <c r="Q59" s="575"/>
      <c r="R59" s="575"/>
      <c r="S59" s="575"/>
      <c r="T59" s="575"/>
      <c r="U59" s="575"/>
      <c r="V59" s="575"/>
      <c r="W59" s="575"/>
      <c r="X59" s="575"/>
    </row>
    <row r="60">
      <c r="A60" s="95"/>
      <c r="B60" s="727" t="s">
        <v>1619</v>
      </c>
      <c r="C60" s="727" t="b">
        <v>0</v>
      </c>
      <c r="D60" s="729" t="s">
        <v>1620</v>
      </c>
      <c r="E60" s="744" t="s">
        <v>1621</v>
      </c>
      <c r="F60" s="575"/>
      <c r="G60" s="575"/>
      <c r="H60" s="575"/>
      <c r="I60" s="575"/>
      <c r="J60" s="575"/>
      <c r="K60" s="575"/>
      <c r="L60" s="575"/>
      <c r="M60" s="575"/>
      <c r="N60" s="575"/>
      <c r="O60" s="575"/>
      <c r="P60" s="575"/>
      <c r="Q60" s="575"/>
      <c r="R60" s="575"/>
      <c r="S60" s="575"/>
      <c r="T60" s="575"/>
      <c r="U60" s="575"/>
      <c r="V60" s="575"/>
      <c r="W60" s="575"/>
      <c r="X60" s="575"/>
    </row>
    <row r="61">
      <c r="A61" s="95"/>
      <c r="B61" s="727" t="s">
        <v>2021</v>
      </c>
      <c r="C61" s="727" t="b">
        <v>0</v>
      </c>
      <c r="D61" s="729" t="s">
        <v>2022</v>
      </c>
      <c r="E61" s="745" t="s">
        <v>2023</v>
      </c>
      <c r="F61" s="575"/>
      <c r="G61" s="575"/>
      <c r="H61" s="575"/>
      <c r="I61" s="575"/>
      <c r="J61" s="575"/>
      <c r="K61" s="575"/>
      <c r="L61" s="575"/>
      <c r="M61" s="575"/>
      <c r="N61" s="575"/>
      <c r="O61" s="575"/>
      <c r="P61" s="575"/>
      <c r="Q61" s="575"/>
      <c r="R61" s="575"/>
      <c r="S61" s="575"/>
      <c r="T61" s="575"/>
      <c r="U61" s="575"/>
      <c r="V61" s="575"/>
      <c r="W61" s="575"/>
      <c r="X61" s="575"/>
    </row>
    <row r="62">
      <c r="A62" s="95"/>
      <c r="B62" s="727" t="s">
        <v>1667</v>
      </c>
      <c r="C62" s="727" t="b">
        <v>0</v>
      </c>
      <c r="D62" s="729" t="s">
        <v>1668</v>
      </c>
      <c r="E62" s="746" t="s">
        <v>1669</v>
      </c>
      <c r="F62" s="575"/>
      <c r="G62" s="575"/>
      <c r="H62" s="575"/>
      <c r="I62" s="575"/>
      <c r="J62" s="575"/>
      <c r="K62" s="575"/>
      <c r="L62" s="575"/>
      <c r="M62" s="575"/>
      <c r="N62" s="575"/>
      <c r="O62" s="575"/>
      <c r="P62" s="575"/>
      <c r="Q62" s="575"/>
      <c r="R62" s="575"/>
      <c r="S62" s="575"/>
      <c r="T62" s="575"/>
      <c r="U62" s="575"/>
      <c r="V62" s="575"/>
      <c r="W62" s="575"/>
      <c r="X62" s="575"/>
    </row>
    <row r="63">
      <c r="A63" s="95"/>
      <c r="B63" s="727" t="s">
        <v>1622</v>
      </c>
      <c r="C63" s="727" t="b">
        <v>0</v>
      </c>
      <c r="D63" s="729" t="s">
        <v>1623</v>
      </c>
      <c r="E63" s="744" t="s">
        <v>1624</v>
      </c>
      <c r="F63" s="575"/>
      <c r="G63" s="575"/>
      <c r="H63" s="575"/>
      <c r="I63" s="575"/>
      <c r="J63" s="575"/>
      <c r="K63" s="575"/>
      <c r="L63" s="575"/>
      <c r="M63" s="575"/>
      <c r="N63" s="575"/>
      <c r="O63" s="575"/>
      <c r="P63" s="575"/>
      <c r="Q63" s="575"/>
      <c r="R63" s="575"/>
      <c r="S63" s="575"/>
      <c r="T63" s="575"/>
      <c r="U63" s="575"/>
      <c r="V63" s="575"/>
      <c r="W63" s="575"/>
      <c r="X63" s="575"/>
    </row>
    <row r="64">
      <c r="A64" s="95"/>
      <c r="B64" s="727" t="s">
        <v>2024</v>
      </c>
      <c r="C64" s="727" t="b">
        <v>0</v>
      </c>
      <c r="D64" s="729" t="s">
        <v>2025</v>
      </c>
      <c r="E64" s="744" t="s">
        <v>2026</v>
      </c>
      <c r="F64" s="575"/>
      <c r="G64" s="575"/>
      <c r="H64" s="575"/>
      <c r="I64" s="575"/>
      <c r="J64" s="575"/>
      <c r="K64" s="575"/>
      <c r="L64" s="575"/>
      <c r="M64" s="575"/>
      <c r="N64" s="575"/>
      <c r="O64" s="575"/>
      <c r="P64" s="575"/>
      <c r="Q64" s="575"/>
      <c r="R64" s="575"/>
      <c r="S64" s="575"/>
      <c r="T64" s="575"/>
      <c r="U64" s="575"/>
      <c r="V64" s="575"/>
      <c r="W64" s="575"/>
      <c r="X64" s="575"/>
    </row>
    <row r="65">
      <c r="A65" s="95"/>
      <c r="B65" s="727" t="s">
        <v>1670</v>
      </c>
      <c r="C65" s="727" t="b">
        <v>0</v>
      </c>
      <c r="D65" s="729" t="s">
        <v>1671</v>
      </c>
      <c r="E65" s="747" t="s">
        <v>1672</v>
      </c>
      <c r="F65" s="575"/>
      <c r="G65" s="575"/>
      <c r="H65" s="575"/>
      <c r="I65" s="575"/>
      <c r="J65" s="575"/>
      <c r="K65" s="575"/>
      <c r="L65" s="575"/>
      <c r="M65" s="575"/>
      <c r="N65" s="575"/>
      <c r="O65" s="575"/>
      <c r="P65" s="575"/>
      <c r="Q65" s="575"/>
      <c r="R65" s="575"/>
      <c r="S65" s="575"/>
      <c r="T65" s="575"/>
      <c r="U65" s="575"/>
      <c r="V65" s="575"/>
      <c r="W65" s="575"/>
      <c r="X65" s="575"/>
    </row>
    <row r="66">
      <c r="A66" s="95"/>
      <c r="B66" s="727" t="s">
        <v>1649</v>
      </c>
      <c r="C66" s="727" t="b">
        <v>0</v>
      </c>
      <c r="D66" s="729" t="s">
        <v>2027</v>
      </c>
      <c r="E66" s="747" t="s">
        <v>2028</v>
      </c>
      <c r="F66" s="575"/>
      <c r="G66" s="575"/>
      <c r="H66" s="575"/>
      <c r="I66" s="575"/>
      <c r="J66" s="575"/>
      <c r="K66" s="575"/>
      <c r="L66" s="575"/>
      <c r="M66" s="575"/>
      <c r="N66" s="575"/>
      <c r="O66" s="575"/>
      <c r="P66" s="575"/>
      <c r="Q66" s="575"/>
      <c r="R66" s="575"/>
      <c r="S66" s="575"/>
      <c r="T66" s="575"/>
      <c r="U66" s="575"/>
      <c r="V66" s="575"/>
      <c r="W66" s="575"/>
      <c r="X66" s="575"/>
    </row>
    <row r="67">
      <c r="A67" s="95"/>
      <c r="B67" s="367" t="s">
        <v>2029</v>
      </c>
      <c r="C67" s="367" t="b">
        <v>0</v>
      </c>
      <c r="D67" s="748" t="s">
        <v>2030</v>
      </c>
      <c r="E67" s="745" t="s">
        <v>2031</v>
      </c>
      <c r="F67" s="575"/>
      <c r="G67" s="575"/>
      <c r="H67" s="575"/>
      <c r="I67" s="575"/>
      <c r="J67" s="575"/>
      <c r="K67" s="575"/>
      <c r="L67" s="575"/>
      <c r="M67" s="575"/>
      <c r="N67" s="575"/>
      <c r="O67" s="575"/>
      <c r="P67" s="575"/>
      <c r="Q67" s="575"/>
      <c r="R67" s="575"/>
      <c r="S67" s="575"/>
      <c r="T67" s="575"/>
      <c r="U67" s="575"/>
      <c r="V67" s="575"/>
      <c r="W67" s="575"/>
      <c r="X67" s="575"/>
    </row>
    <row r="68">
      <c r="A68" s="95"/>
      <c r="B68" s="367" t="s">
        <v>2032</v>
      </c>
      <c r="C68" s="367" t="b">
        <v>0</v>
      </c>
      <c r="D68" s="748" t="s">
        <v>2033</v>
      </c>
      <c r="E68" s="744" t="s">
        <v>2034</v>
      </c>
      <c r="F68" s="575"/>
      <c r="G68" s="575"/>
      <c r="H68" s="575"/>
      <c r="I68" s="575"/>
      <c r="J68" s="575"/>
      <c r="K68" s="575"/>
      <c r="L68" s="575"/>
      <c r="M68" s="575"/>
      <c r="N68" s="575"/>
      <c r="O68" s="575"/>
      <c r="P68" s="575"/>
      <c r="Q68" s="575"/>
      <c r="R68" s="575"/>
      <c r="S68" s="575"/>
      <c r="T68" s="575"/>
      <c r="U68" s="575"/>
      <c r="V68" s="575"/>
      <c r="W68" s="575"/>
      <c r="X68" s="575"/>
    </row>
    <row r="69">
      <c r="A69" s="95"/>
      <c r="B69" s="590" t="s">
        <v>1435</v>
      </c>
      <c r="C69" s="590" t="b">
        <v>0</v>
      </c>
      <c r="D69" s="591" t="s">
        <v>2035</v>
      </c>
      <c r="E69" s="739" t="s">
        <v>2036</v>
      </c>
      <c r="F69" s="575"/>
      <c r="G69" s="575"/>
      <c r="H69" s="575"/>
      <c r="I69" s="575"/>
      <c r="J69" s="575"/>
      <c r="K69" s="575"/>
      <c r="L69" s="575"/>
      <c r="M69" s="575"/>
      <c r="N69" s="575"/>
      <c r="O69" s="575"/>
      <c r="P69" s="575"/>
      <c r="Q69" s="575"/>
      <c r="R69" s="575"/>
      <c r="S69" s="575"/>
      <c r="T69" s="575"/>
      <c r="U69" s="575"/>
      <c r="V69" s="575"/>
      <c r="W69" s="575"/>
      <c r="X69" s="575"/>
    </row>
    <row r="70">
      <c r="A70" s="95"/>
      <c r="B70" s="590" t="s">
        <v>1969</v>
      </c>
      <c r="C70" s="590" t="b">
        <v>0</v>
      </c>
      <c r="D70" s="591" t="s">
        <v>2037</v>
      </c>
      <c r="E70" s="749" t="s">
        <v>1971</v>
      </c>
      <c r="F70" s="575"/>
      <c r="G70" s="575"/>
      <c r="H70" s="575"/>
      <c r="I70" s="575"/>
      <c r="J70" s="575"/>
      <c r="K70" s="575"/>
      <c r="L70" s="575"/>
      <c r="M70" s="575"/>
      <c r="N70" s="575"/>
      <c r="O70" s="575"/>
      <c r="P70" s="575"/>
      <c r="Q70" s="575"/>
      <c r="R70" s="575"/>
      <c r="S70" s="575"/>
      <c r="T70" s="575"/>
      <c r="U70" s="575"/>
      <c r="V70" s="575"/>
      <c r="W70" s="575"/>
      <c r="X70" s="575"/>
    </row>
    <row r="71">
      <c r="A71" s="164"/>
      <c r="B71" s="590" t="s">
        <v>1969</v>
      </c>
      <c r="C71" s="590" t="b">
        <v>0</v>
      </c>
      <c r="D71" s="591" t="s">
        <v>2038</v>
      </c>
      <c r="E71" s="749" t="s">
        <v>2039</v>
      </c>
      <c r="F71" s="575"/>
      <c r="G71" s="575"/>
      <c r="H71" s="575"/>
      <c r="I71" s="575"/>
      <c r="J71" s="575"/>
      <c r="K71" s="575"/>
      <c r="L71" s="575"/>
      <c r="M71" s="575"/>
      <c r="N71" s="575"/>
      <c r="O71" s="575"/>
      <c r="P71" s="575"/>
      <c r="Q71" s="575"/>
      <c r="R71" s="575"/>
      <c r="S71" s="575"/>
      <c r="T71" s="575"/>
      <c r="U71" s="575"/>
      <c r="V71" s="575"/>
      <c r="W71" s="575"/>
      <c r="X71" s="575"/>
    </row>
    <row r="72">
      <c r="A72" s="720" t="s">
        <v>1421</v>
      </c>
      <c r="B72" s="731" t="s">
        <v>1687</v>
      </c>
      <c r="C72" s="731" t="b">
        <v>0</v>
      </c>
      <c r="D72" s="733" t="s">
        <v>1688</v>
      </c>
      <c r="E72" s="734" t="s">
        <v>1689</v>
      </c>
      <c r="F72" s="575"/>
      <c r="G72" s="575"/>
      <c r="H72" s="575"/>
      <c r="I72" s="575"/>
      <c r="J72" s="575"/>
      <c r="K72" s="575"/>
      <c r="L72" s="575"/>
      <c r="M72" s="575"/>
      <c r="N72" s="575"/>
      <c r="O72" s="575"/>
      <c r="P72" s="575"/>
      <c r="Q72" s="575"/>
      <c r="R72" s="575"/>
      <c r="S72" s="575"/>
      <c r="T72" s="575"/>
      <c r="U72" s="575"/>
      <c r="V72" s="575"/>
      <c r="W72" s="575"/>
      <c r="X72" s="575"/>
    </row>
    <row r="73">
      <c r="A73" s="95"/>
      <c r="B73" s="731" t="s">
        <v>1628</v>
      </c>
      <c r="C73" s="731" t="b">
        <v>0</v>
      </c>
      <c r="D73" s="733" t="s">
        <v>1692</v>
      </c>
      <c r="E73" s="734" t="s">
        <v>1693</v>
      </c>
      <c r="F73" s="575"/>
      <c r="G73" s="575"/>
      <c r="H73" s="575"/>
      <c r="I73" s="575"/>
      <c r="J73" s="575"/>
      <c r="K73" s="575"/>
      <c r="L73" s="575"/>
      <c r="M73" s="575"/>
      <c r="N73" s="575"/>
      <c r="O73" s="575"/>
      <c r="P73" s="575"/>
      <c r="Q73" s="575"/>
      <c r="R73" s="575"/>
      <c r="S73" s="575"/>
      <c r="T73" s="575"/>
      <c r="U73" s="575"/>
      <c r="V73" s="575"/>
      <c r="W73" s="575"/>
      <c r="X73" s="575"/>
    </row>
    <row r="74">
      <c r="A74" s="95"/>
      <c r="B74" s="601" t="s">
        <v>2040</v>
      </c>
      <c r="C74" s="601" t="b">
        <v>0</v>
      </c>
      <c r="D74" s="602" t="s">
        <v>2041</v>
      </c>
      <c r="E74" s="740" t="s">
        <v>2042</v>
      </c>
      <c r="F74" s="575"/>
      <c r="G74" s="575"/>
      <c r="H74" s="575"/>
      <c r="I74" s="575"/>
      <c r="J74" s="575"/>
      <c r="K74" s="575"/>
      <c r="L74" s="575"/>
      <c r="M74" s="575"/>
      <c r="N74" s="575"/>
      <c r="O74" s="575"/>
      <c r="P74" s="575"/>
      <c r="Q74" s="575"/>
      <c r="R74" s="575"/>
      <c r="S74" s="575"/>
      <c r="T74" s="575"/>
      <c r="U74" s="575"/>
      <c r="V74" s="575"/>
      <c r="W74" s="575"/>
      <c r="X74" s="575"/>
    </row>
    <row r="75">
      <c r="A75" s="95"/>
      <c r="B75" s="601" t="s">
        <v>2040</v>
      </c>
      <c r="C75" s="601" t="b">
        <v>0</v>
      </c>
      <c r="D75" s="602" t="s">
        <v>2043</v>
      </c>
      <c r="E75" s="740" t="s">
        <v>2044</v>
      </c>
      <c r="F75" s="575"/>
      <c r="G75" s="575"/>
      <c r="H75" s="575"/>
      <c r="I75" s="575"/>
      <c r="J75" s="575"/>
      <c r="K75" s="575"/>
      <c r="L75" s="575"/>
      <c r="M75" s="575"/>
      <c r="N75" s="575"/>
      <c r="O75" s="575"/>
      <c r="P75" s="575"/>
      <c r="Q75" s="575"/>
      <c r="R75" s="575"/>
      <c r="S75" s="575"/>
      <c r="T75" s="575"/>
      <c r="U75" s="575"/>
      <c r="V75" s="575"/>
      <c r="W75" s="575"/>
      <c r="X75" s="575"/>
    </row>
    <row r="76">
      <c r="A76" s="95"/>
      <c r="B76" s="601" t="s">
        <v>1435</v>
      </c>
      <c r="C76" s="601" t="b">
        <v>0</v>
      </c>
      <c r="D76" s="602" t="s">
        <v>2045</v>
      </c>
      <c r="E76" s="740" t="s">
        <v>2046</v>
      </c>
      <c r="F76" s="575"/>
      <c r="G76" s="575"/>
      <c r="H76" s="575"/>
      <c r="I76" s="575"/>
      <c r="J76" s="575"/>
      <c r="K76" s="575"/>
      <c r="L76" s="575"/>
      <c r="M76" s="575"/>
      <c r="N76" s="575"/>
      <c r="O76" s="575"/>
      <c r="P76" s="575"/>
      <c r="Q76" s="575"/>
      <c r="R76" s="575"/>
      <c r="S76" s="575"/>
      <c r="T76" s="575"/>
      <c r="U76" s="575"/>
      <c r="V76" s="575"/>
      <c r="W76" s="575"/>
      <c r="X76" s="575"/>
    </row>
    <row r="77">
      <c r="A77" s="95"/>
      <c r="B77" s="601" t="s">
        <v>2047</v>
      </c>
      <c r="C77" s="601" t="b">
        <v>0</v>
      </c>
      <c r="D77" s="602" t="s">
        <v>2048</v>
      </c>
      <c r="E77" s="741" t="s">
        <v>2049</v>
      </c>
      <c r="F77" s="575"/>
      <c r="G77" s="575"/>
      <c r="H77" s="575"/>
      <c r="I77" s="575"/>
      <c r="J77" s="575"/>
      <c r="K77" s="575"/>
      <c r="L77" s="575"/>
      <c r="M77" s="575"/>
      <c r="N77" s="575"/>
      <c r="O77" s="575"/>
      <c r="P77" s="575"/>
      <c r="Q77" s="575"/>
      <c r="R77" s="575"/>
      <c r="S77" s="575"/>
      <c r="T77" s="575"/>
      <c r="U77" s="575"/>
      <c r="V77" s="575"/>
      <c r="W77" s="575"/>
      <c r="X77" s="575"/>
    </row>
    <row r="78">
      <c r="A78" s="95"/>
      <c r="B78" s="601" t="s">
        <v>2050</v>
      </c>
      <c r="C78" s="601" t="b">
        <v>0</v>
      </c>
      <c r="D78" s="602" t="s">
        <v>2051</v>
      </c>
      <c r="E78" s="740" t="s">
        <v>2052</v>
      </c>
      <c r="F78" s="575"/>
      <c r="G78" s="575"/>
      <c r="H78" s="575"/>
      <c r="I78" s="575"/>
      <c r="J78" s="575"/>
      <c r="K78" s="575"/>
      <c r="L78" s="575"/>
      <c r="M78" s="575"/>
      <c r="N78" s="575"/>
      <c r="O78" s="575"/>
      <c r="P78" s="575"/>
      <c r="Q78" s="575"/>
      <c r="R78" s="575"/>
      <c r="S78" s="575"/>
      <c r="T78" s="575"/>
      <c r="U78" s="575"/>
      <c r="V78" s="575"/>
      <c r="W78" s="575"/>
      <c r="X78" s="575"/>
    </row>
    <row r="79">
      <c r="A79" s="95"/>
      <c r="B79" s="601" t="s">
        <v>1879</v>
      </c>
      <c r="C79" s="601" t="b">
        <v>0</v>
      </c>
      <c r="D79" s="602" t="s">
        <v>2053</v>
      </c>
      <c r="E79" s="741" t="s">
        <v>2054</v>
      </c>
      <c r="F79" s="575"/>
      <c r="G79" s="575"/>
      <c r="H79" s="575"/>
      <c r="I79" s="575"/>
      <c r="J79" s="575"/>
      <c r="K79" s="575"/>
      <c r="L79" s="575"/>
      <c r="M79" s="575"/>
      <c r="N79" s="575"/>
      <c r="O79" s="575"/>
      <c r="P79" s="575"/>
      <c r="Q79" s="575"/>
      <c r="R79" s="575"/>
      <c r="S79" s="575"/>
      <c r="T79" s="575"/>
      <c r="U79" s="575"/>
      <c r="V79" s="575"/>
      <c r="W79" s="575"/>
      <c r="X79" s="575"/>
    </row>
    <row r="80">
      <c r="A80" s="95"/>
      <c r="B80" s="601" t="s">
        <v>2055</v>
      </c>
      <c r="C80" s="601" t="b">
        <v>0</v>
      </c>
      <c r="D80" s="602" t="s">
        <v>2056</v>
      </c>
      <c r="E80" s="740" t="s">
        <v>2057</v>
      </c>
      <c r="F80" s="575"/>
      <c r="G80" s="575"/>
      <c r="H80" s="575"/>
      <c r="I80" s="575"/>
      <c r="J80" s="575"/>
      <c r="K80" s="575"/>
      <c r="L80" s="575"/>
      <c r="M80" s="575"/>
      <c r="N80" s="575"/>
      <c r="O80" s="575"/>
      <c r="P80" s="575"/>
      <c r="Q80" s="575"/>
      <c r="R80" s="575"/>
      <c r="S80" s="575"/>
      <c r="T80" s="575"/>
      <c r="U80" s="575"/>
      <c r="V80" s="575"/>
      <c r="W80" s="575"/>
      <c r="X80" s="575"/>
    </row>
    <row r="81">
      <c r="A81" s="164"/>
      <c r="B81" s="601" t="s">
        <v>2058</v>
      </c>
      <c r="C81" s="601" t="b">
        <v>0</v>
      </c>
      <c r="D81" s="602" t="s">
        <v>2059</v>
      </c>
      <c r="E81" s="741" t="s">
        <v>2060</v>
      </c>
      <c r="F81" s="575"/>
      <c r="G81" s="575"/>
      <c r="H81" s="575"/>
      <c r="I81" s="575"/>
      <c r="J81" s="575"/>
      <c r="K81" s="575"/>
      <c r="L81" s="575"/>
      <c r="M81" s="575"/>
      <c r="N81" s="575"/>
      <c r="O81" s="575"/>
      <c r="P81" s="575"/>
      <c r="Q81" s="575"/>
      <c r="R81" s="575"/>
      <c r="S81" s="575"/>
      <c r="T81" s="575"/>
      <c r="U81" s="575"/>
      <c r="V81" s="575"/>
      <c r="W81" s="575"/>
      <c r="X81" s="575"/>
    </row>
    <row r="82">
      <c r="A82" s="712" t="s">
        <v>1694</v>
      </c>
      <c r="B82" s="590" t="s">
        <v>1706</v>
      </c>
      <c r="C82" s="590" t="b">
        <v>0</v>
      </c>
      <c r="D82" s="591" t="s">
        <v>2061</v>
      </c>
      <c r="E82" s="749" t="s">
        <v>1708</v>
      </c>
      <c r="F82" s="575"/>
      <c r="G82" s="575"/>
      <c r="H82" s="575"/>
      <c r="I82" s="575"/>
      <c r="J82" s="575"/>
      <c r="K82" s="575"/>
      <c r="L82" s="575"/>
      <c r="M82" s="575"/>
      <c r="N82" s="575"/>
      <c r="O82" s="575"/>
      <c r="P82" s="575"/>
      <c r="Q82" s="575"/>
      <c r="R82" s="575"/>
      <c r="S82" s="575"/>
      <c r="T82" s="575"/>
      <c r="U82" s="575"/>
      <c r="V82" s="575"/>
      <c r="W82" s="575"/>
      <c r="X82" s="575"/>
    </row>
    <row r="83">
      <c r="A83" s="95"/>
      <c r="B83" s="590" t="s">
        <v>1711</v>
      </c>
      <c r="C83" s="590" t="b">
        <v>0</v>
      </c>
      <c r="D83" s="591" t="s">
        <v>2062</v>
      </c>
      <c r="E83" s="749" t="s">
        <v>1713</v>
      </c>
      <c r="F83" s="575"/>
      <c r="G83" s="575"/>
      <c r="H83" s="575"/>
      <c r="I83" s="575"/>
      <c r="J83" s="575"/>
      <c r="K83" s="575"/>
      <c r="L83" s="575"/>
      <c r="M83" s="575"/>
      <c r="N83" s="575"/>
      <c r="O83" s="575"/>
      <c r="P83" s="575"/>
      <c r="Q83" s="575"/>
      <c r="R83" s="575"/>
      <c r="S83" s="575"/>
      <c r="T83" s="575"/>
      <c r="U83" s="575"/>
      <c r="V83" s="575"/>
      <c r="W83" s="575"/>
      <c r="X83" s="575"/>
    </row>
    <row r="84">
      <c r="A84" s="95"/>
      <c r="B84" s="590" t="s">
        <v>1711</v>
      </c>
      <c r="C84" s="590" t="b">
        <v>0</v>
      </c>
      <c r="D84" s="591" t="s">
        <v>2063</v>
      </c>
      <c r="E84" s="749" t="s">
        <v>1715</v>
      </c>
      <c r="F84" s="575"/>
      <c r="G84" s="575"/>
      <c r="H84" s="575"/>
      <c r="I84" s="575"/>
      <c r="J84" s="575"/>
      <c r="K84" s="575"/>
      <c r="L84" s="575"/>
      <c r="M84" s="575"/>
      <c r="N84" s="575"/>
      <c r="O84" s="575"/>
      <c r="P84" s="575"/>
      <c r="Q84" s="575"/>
      <c r="R84" s="575"/>
      <c r="S84" s="575"/>
      <c r="T84" s="575"/>
      <c r="U84" s="575"/>
      <c r="V84" s="575"/>
      <c r="W84" s="575"/>
      <c r="X84" s="575"/>
    </row>
    <row r="85">
      <c r="A85" s="95"/>
      <c r="B85" s="590" t="s">
        <v>1698</v>
      </c>
      <c r="C85" s="590" t="b">
        <v>0</v>
      </c>
      <c r="D85" s="748" t="s">
        <v>2064</v>
      </c>
      <c r="E85" s="744" t="s">
        <v>2065</v>
      </c>
      <c r="F85" s="575"/>
      <c r="G85" s="575"/>
      <c r="H85" s="575"/>
      <c r="I85" s="575"/>
      <c r="J85" s="575"/>
      <c r="K85" s="575"/>
      <c r="L85" s="575"/>
      <c r="M85" s="575"/>
      <c r="N85" s="575"/>
      <c r="O85" s="575"/>
      <c r="P85" s="575"/>
      <c r="Q85" s="575"/>
      <c r="R85" s="575"/>
      <c r="S85" s="575"/>
      <c r="T85" s="575"/>
      <c r="U85" s="575"/>
      <c r="V85" s="575"/>
      <c r="W85" s="575"/>
      <c r="X85" s="575"/>
    </row>
    <row r="86">
      <c r="A86" s="164"/>
      <c r="B86" s="590" t="s">
        <v>2066</v>
      </c>
      <c r="C86" s="590" t="b">
        <v>0</v>
      </c>
      <c r="D86" s="591" t="s">
        <v>2067</v>
      </c>
      <c r="E86" s="749" t="s">
        <v>2068</v>
      </c>
      <c r="F86" s="575"/>
      <c r="G86" s="575"/>
      <c r="H86" s="575"/>
      <c r="I86" s="575"/>
      <c r="J86" s="575"/>
      <c r="K86" s="575"/>
      <c r="L86" s="575"/>
      <c r="M86" s="575"/>
      <c r="N86" s="575"/>
      <c r="O86" s="575"/>
      <c r="P86" s="575"/>
      <c r="Q86" s="575"/>
      <c r="R86" s="575"/>
      <c r="S86" s="575"/>
      <c r="T86" s="575"/>
      <c r="U86" s="575"/>
      <c r="V86" s="575"/>
      <c r="W86" s="575"/>
      <c r="X86" s="575"/>
    </row>
    <row r="87">
      <c r="A87" s="731" t="s">
        <v>1419</v>
      </c>
      <c r="B87" s="731" t="s">
        <v>1681</v>
      </c>
      <c r="C87" s="750" t="b">
        <v>0</v>
      </c>
      <c r="D87" s="733" t="s">
        <v>2069</v>
      </c>
      <c r="E87" s="751" t="s">
        <v>1683</v>
      </c>
      <c r="F87" s="575"/>
      <c r="G87" s="575"/>
      <c r="H87" s="575"/>
      <c r="I87" s="575"/>
      <c r="J87" s="575"/>
      <c r="K87" s="575"/>
      <c r="L87" s="575"/>
      <c r="M87" s="575"/>
      <c r="N87" s="575"/>
      <c r="O87" s="575"/>
      <c r="P87" s="575"/>
      <c r="Q87" s="575"/>
      <c r="R87" s="575"/>
      <c r="S87" s="575"/>
      <c r="T87" s="575"/>
      <c r="U87" s="575"/>
      <c r="V87" s="575"/>
      <c r="W87" s="575"/>
      <c r="X87" s="575"/>
    </row>
    <row r="88">
      <c r="A88" s="712" t="s">
        <v>2070</v>
      </c>
      <c r="B88" s="727" t="s">
        <v>1730</v>
      </c>
      <c r="C88" s="727" t="b">
        <v>0</v>
      </c>
      <c r="D88" s="729" t="s">
        <v>1731</v>
      </c>
      <c r="E88" s="744" t="s">
        <v>1732</v>
      </c>
      <c r="F88" s="575"/>
      <c r="G88" s="575"/>
      <c r="H88" s="575"/>
      <c r="I88" s="575"/>
      <c r="J88" s="575"/>
      <c r="K88" s="575"/>
      <c r="L88" s="575"/>
      <c r="M88" s="575"/>
      <c r="N88" s="575"/>
      <c r="O88" s="575"/>
      <c r="P88" s="575"/>
      <c r="Q88" s="575"/>
      <c r="R88" s="575"/>
      <c r="S88" s="575"/>
      <c r="T88" s="575"/>
      <c r="U88" s="575"/>
      <c r="V88" s="575"/>
      <c r="W88" s="575"/>
      <c r="X88" s="575"/>
    </row>
    <row r="89">
      <c r="A89" s="95"/>
      <c r="B89" s="727" t="s">
        <v>1733</v>
      </c>
      <c r="C89" s="727" t="b">
        <v>0</v>
      </c>
      <c r="D89" s="729" t="s">
        <v>1734</v>
      </c>
      <c r="E89" s="744" t="s">
        <v>1735</v>
      </c>
      <c r="F89" s="575"/>
      <c r="G89" s="575"/>
      <c r="H89" s="575"/>
      <c r="I89" s="575"/>
      <c r="J89" s="575"/>
      <c r="K89" s="575"/>
      <c r="L89" s="575"/>
      <c r="M89" s="575"/>
      <c r="N89" s="575"/>
      <c r="O89" s="575"/>
      <c r="P89" s="575"/>
      <c r="Q89" s="575"/>
      <c r="R89" s="575"/>
      <c r="S89" s="575"/>
      <c r="T89" s="575"/>
      <c r="U89" s="575"/>
      <c r="V89" s="575"/>
      <c r="W89" s="575"/>
      <c r="X89" s="575"/>
    </row>
    <row r="90">
      <c r="A90" s="95"/>
      <c r="B90" s="727" t="s">
        <v>1736</v>
      </c>
      <c r="C90" s="727" t="b">
        <v>0</v>
      </c>
      <c r="D90" s="729" t="s">
        <v>1737</v>
      </c>
      <c r="E90" s="744" t="s">
        <v>1738</v>
      </c>
      <c r="F90" s="575"/>
      <c r="G90" s="575"/>
      <c r="H90" s="575"/>
      <c r="I90" s="575"/>
      <c r="J90" s="575"/>
      <c r="K90" s="575"/>
      <c r="L90" s="575"/>
      <c r="M90" s="575"/>
      <c r="N90" s="575"/>
      <c r="O90" s="575"/>
      <c r="P90" s="575"/>
      <c r="Q90" s="575"/>
      <c r="R90" s="575"/>
      <c r="S90" s="575"/>
      <c r="T90" s="575"/>
      <c r="U90" s="575"/>
      <c r="V90" s="575"/>
      <c r="W90" s="575"/>
      <c r="X90" s="575"/>
    </row>
    <row r="91">
      <c r="A91" s="95"/>
      <c r="B91" s="727" t="s">
        <v>1611</v>
      </c>
      <c r="C91" s="727" t="b">
        <v>0</v>
      </c>
      <c r="D91" s="729" t="s">
        <v>1739</v>
      </c>
      <c r="E91" s="744" t="s">
        <v>1740</v>
      </c>
      <c r="F91" s="575"/>
      <c r="G91" s="575"/>
      <c r="H91" s="575"/>
      <c r="I91" s="575"/>
      <c r="J91" s="575"/>
      <c r="K91" s="575"/>
      <c r="L91" s="575"/>
      <c r="M91" s="575"/>
      <c r="N91" s="575"/>
      <c r="O91" s="575"/>
      <c r="P91" s="575"/>
      <c r="Q91" s="575"/>
      <c r="R91" s="575"/>
      <c r="S91" s="575"/>
      <c r="T91" s="575"/>
      <c r="U91" s="575"/>
      <c r="V91" s="575"/>
      <c r="W91" s="575"/>
      <c r="X91" s="575"/>
    </row>
    <row r="92">
      <c r="A92" s="95"/>
      <c r="B92" s="727" t="s">
        <v>1611</v>
      </c>
      <c r="C92" s="727" t="b">
        <v>0</v>
      </c>
      <c r="D92" s="729" t="s">
        <v>1741</v>
      </c>
      <c r="E92" s="744" t="s">
        <v>1742</v>
      </c>
      <c r="F92" s="575"/>
      <c r="G92" s="575"/>
      <c r="H92" s="575"/>
      <c r="I92" s="575"/>
      <c r="J92" s="575"/>
      <c r="K92" s="575"/>
      <c r="L92" s="575"/>
      <c r="M92" s="575"/>
      <c r="N92" s="575"/>
      <c r="O92" s="575"/>
      <c r="P92" s="575"/>
      <c r="Q92" s="575"/>
      <c r="R92" s="575"/>
      <c r="S92" s="575"/>
      <c r="T92" s="575"/>
      <c r="U92" s="575"/>
      <c r="V92" s="575"/>
      <c r="W92" s="575"/>
      <c r="X92" s="575"/>
    </row>
    <row r="93">
      <c r="A93" s="95"/>
      <c r="B93" s="727" t="s">
        <v>1743</v>
      </c>
      <c r="C93" s="727" t="b">
        <v>0</v>
      </c>
      <c r="D93" s="729" t="s">
        <v>1744</v>
      </c>
      <c r="E93" s="744" t="s">
        <v>1745</v>
      </c>
      <c r="F93" s="575"/>
      <c r="G93" s="575"/>
      <c r="H93" s="575"/>
      <c r="I93" s="575"/>
      <c r="J93" s="575"/>
      <c r="K93" s="575"/>
      <c r="L93" s="575"/>
      <c r="M93" s="575"/>
      <c r="N93" s="575"/>
      <c r="O93" s="575"/>
      <c r="P93" s="575"/>
      <c r="Q93" s="575"/>
      <c r="R93" s="575"/>
      <c r="S93" s="575"/>
      <c r="T93" s="575"/>
      <c r="U93" s="575"/>
      <c r="V93" s="575"/>
      <c r="W93" s="575"/>
      <c r="X93" s="575"/>
    </row>
    <row r="94">
      <c r="A94" s="95"/>
      <c r="B94" s="727" t="s">
        <v>1628</v>
      </c>
      <c r="C94" s="727" t="b">
        <v>0</v>
      </c>
      <c r="D94" s="729" t="s">
        <v>2071</v>
      </c>
      <c r="E94" s="744" t="s">
        <v>2072</v>
      </c>
      <c r="F94" s="575"/>
      <c r="G94" s="575"/>
      <c r="H94" s="575"/>
      <c r="I94" s="575"/>
      <c r="J94" s="575"/>
      <c r="K94" s="575"/>
      <c r="L94" s="575"/>
      <c r="M94" s="575"/>
      <c r="N94" s="575"/>
      <c r="O94" s="575"/>
      <c r="P94" s="575"/>
      <c r="Q94" s="575"/>
      <c r="R94" s="575"/>
      <c r="S94" s="575"/>
      <c r="T94" s="575"/>
      <c r="U94" s="575"/>
      <c r="V94" s="575"/>
      <c r="W94" s="575"/>
      <c r="X94" s="575"/>
    </row>
    <row r="95">
      <c r="A95" s="95"/>
      <c r="B95" s="727" t="s">
        <v>2073</v>
      </c>
      <c r="C95" s="727" t="b">
        <v>0</v>
      </c>
      <c r="D95" s="729" t="s">
        <v>2074</v>
      </c>
      <c r="E95" s="744" t="s">
        <v>2075</v>
      </c>
      <c r="F95" s="575"/>
      <c r="G95" s="575"/>
      <c r="H95" s="575"/>
      <c r="I95" s="575"/>
      <c r="J95" s="575"/>
      <c r="K95" s="575"/>
      <c r="L95" s="575"/>
      <c r="M95" s="575"/>
      <c r="N95" s="575"/>
      <c r="O95" s="575"/>
      <c r="P95" s="575"/>
      <c r="Q95" s="575"/>
      <c r="R95" s="575"/>
      <c r="S95" s="575"/>
      <c r="T95" s="575"/>
      <c r="U95" s="575"/>
      <c r="V95" s="575"/>
      <c r="W95" s="575"/>
      <c r="X95" s="575"/>
    </row>
    <row r="96">
      <c r="A96" s="95"/>
      <c r="B96" s="727" t="s">
        <v>2076</v>
      </c>
      <c r="C96" s="727" t="b">
        <v>0</v>
      </c>
      <c r="D96" s="729" t="s">
        <v>2077</v>
      </c>
      <c r="E96" s="744" t="s">
        <v>2078</v>
      </c>
      <c r="F96" s="575"/>
      <c r="G96" s="575"/>
      <c r="H96" s="575"/>
      <c r="I96" s="575"/>
      <c r="J96" s="575"/>
      <c r="K96" s="575"/>
      <c r="L96" s="575"/>
      <c r="M96" s="575"/>
      <c r="N96" s="575"/>
      <c r="O96" s="575"/>
      <c r="P96" s="575"/>
      <c r="Q96" s="575"/>
      <c r="R96" s="575"/>
      <c r="S96" s="575"/>
      <c r="T96" s="575"/>
      <c r="U96" s="575"/>
      <c r="V96" s="575"/>
      <c r="W96" s="575"/>
      <c r="X96" s="575"/>
    </row>
    <row r="97">
      <c r="A97" s="95"/>
      <c r="B97" s="727" t="s">
        <v>1730</v>
      </c>
      <c r="C97" s="727" t="b">
        <v>0</v>
      </c>
      <c r="D97" s="729" t="s">
        <v>2079</v>
      </c>
      <c r="E97" s="744" t="s">
        <v>2080</v>
      </c>
      <c r="F97" s="575"/>
      <c r="G97" s="575"/>
      <c r="H97" s="575"/>
      <c r="I97" s="575"/>
      <c r="J97" s="575"/>
      <c r="K97" s="575"/>
      <c r="L97" s="575"/>
      <c r="M97" s="575"/>
      <c r="N97" s="575"/>
      <c r="O97" s="575"/>
      <c r="P97" s="575"/>
      <c r="Q97" s="575"/>
      <c r="R97" s="575"/>
      <c r="S97" s="575"/>
      <c r="T97" s="575"/>
      <c r="U97" s="575"/>
      <c r="V97" s="575"/>
      <c r="W97" s="575"/>
      <c r="X97" s="575"/>
    </row>
    <row r="98">
      <c r="A98" s="164"/>
      <c r="B98" s="727" t="s">
        <v>1583</v>
      </c>
      <c r="C98" s="727" t="b">
        <v>0</v>
      </c>
      <c r="D98" s="729" t="s">
        <v>2081</v>
      </c>
      <c r="E98" s="744" t="s">
        <v>2082</v>
      </c>
      <c r="F98" s="575"/>
      <c r="G98" s="575"/>
      <c r="H98" s="575"/>
      <c r="I98" s="575"/>
      <c r="J98" s="575"/>
      <c r="K98" s="575"/>
      <c r="L98" s="575"/>
      <c r="M98" s="575"/>
      <c r="N98" s="575"/>
      <c r="O98" s="575"/>
      <c r="P98" s="575"/>
      <c r="Q98" s="575"/>
      <c r="R98" s="575"/>
      <c r="S98" s="575"/>
      <c r="T98" s="575"/>
      <c r="U98" s="575"/>
      <c r="V98" s="575"/>
      <c r="W98" s="575"/>
      <c r="X98" s="575"/>
    </row>
    <row r="99">
      <c r="A99" s="700" t="s">
        <v>2083</v>
      </c>
      <c r="B99" s="752" t="s">
        <v>1752</v>
      </c>
      <c r="C99" s="752" t="b">
        <v>0</v>
      </c>
      <c r="D99" s="753" t="s">
        <v>1753</v>
      </c>
      <c r="E99" s="754" t="s">
        <v>1754</v>
      </c>
      <c r="F99" s="575"/>
      <c r="G99" s="575"/>
      <c r="H99" s="575"/>
      <c r="I99" s="575"/>
      <c r="J99" s="575"/>
      <c r="K99" s="575"/>
      <c r="L99" s="575"/>
      <c r="M99" s="575"/>
      <c r="N99" s="575"/>
      <c r="O99" s="575"/>
      <c r="P99" s="575"/>
      <c r="Q99" s="575"/>
      <c r="R99" s="575"/>
      <c r="S99" s="575"/>
      <c r="T99" s="575"/>
      <c r="U99" s="575"/>
      <c r="V99" s="575"/>
      <c r="W99" s="575"/>
      <c r="X99" s="575"/>
    </row>
    <row r="100">
      <c r="A100" s="95"/>
      <c r="B100" s="752" t="s">
        <v>1755</v>
      </c>
      <c r="C100" s="752" t="b">
        <v>0</v>
      </c>
      <c r="D100" s="753" t="s">
        <v>1756</v>
      </c>
      <c r="E100" s="754" t="s">
        <v>1757</v>
      </c>
      <c r="F100" s="575"/>
      <c r="G100" s="575"/>
      <c r="H100" s="575"/>
      <c r="I100" s="575"/>
      <c r="J100" s="575"/>
      <c r="K100" s="575"/>
      <c r="L100" s="575"/>
      <c r="M100" s="575"/>
      <c r="N100" s="575"/>
      <c r="O100" s="575"/>
      <c r="P100" s="575"/>
      <c r="Q100" s="575"/>
      <c r="R100" s="575"/>
      <c r="S100" s="575"/>
      <c r="T100" s="575"/>
      <c r="U100" s="575"/>
      <c r="V100" s="575"/>
      <c r="W100" s="575"/>
      <c r="X100" s="575"/>
    </row>
    <row r="101">
      <c r="A101" s="164"/>
      <c r="B101" s="752" t="s">
        <v>1661</v>
      </c>
      <c r="C101" s="752" t="b">
        <v>0</v>
      </c>
      <c r="D101" s="753" t="s">
        <v>1758</v>
      </c>
      <c r="E101" s="754" t="s">
        <v>1759</v>
      </c>
      <c r="F101" s="575"/>
      <c r="G101" s="575"/>
      <c r="H101" s="575"/>
      <c r="I101" s="575"/>
      <c r="J101" s="575"/>
      <c r="K101" s="575"/>
      <c r="L101" s="575"/>
      <c r="M101" s="575"/>
      <c r="N101" s="575"/>
      <c r="O101" s="575"/>
      <c r="P101" s="575"/>
      <c r="Q101" s="575"/>
      <c r="R101" s="575"/>
      <c r="S101" s="575"/>
      <c r="T101" s="575"/>
      <c r="U101" s="575"/>
      <c r="V101" s="575"/>
      <c r="W101" s="575"/>
      <c r="X101" s="575"/>
    </row>
    <row r="102">
      <c r="A102" s="695" t="s">
        <v>2084</v>
      </c>
      <c r="B102" s="755" t="s">
        <v>1790</v>
      </c>
      <c r="C102" s="756" t="b">
        <v>0</v>
      </c>
      <c r="D102" s="757" t="s">
        <v>1791</v>
      </c>
      <c r="E102" s="758" t="s">
        <v>1792</v>
      </c>
      <c r="F102" s="575"/>
      <c r="G102" s="575"/>
      <c r="H102" s="575"/>
      <c r="I102" s="575"/>
      <c r="J102" s="575"/>
      <c r="K102" s="575"/>
      <c r="L102" s="575"/>
      <c r="M102" s="575"/>
      <c r="N102" s="575"/>
      <c r="O102" s="575"/>
      <c r="P102" s="575"/>
      <c r="Q102" s="575"/>
      <c r="R102" s="575"/>
      <c r="S102" s="575"/>
      <c r="T102" s="575"/>
      <c r="U102" s="575"/>
      <c r="V102" s="575"/>
      <c r="W102" s="575"/>
      <c r="X102" s="575"/>
    </row>
    <row r="103">
      <c r="A103" s="95"/>
      <c r="B103" s="755" t="s">
        <v>1793</v>
      </c>
      <c r="C103" s="756" t="b">
        <v>0</v>
      </c>
      <c r="D103" s="757" t="s">
        <v>1794</v>
      </c>
      <c r="E103" s="759" t="s">
        <v>1795</v>
      </c>
      <c r="F103" s="575"/>
      <c r="G103" s="575"/>
      <c r="H103" s="575"/>
      <c r="I103" s="575"/>
      <c r="J103" s="575"/>
      <c r="K103" s="575"/>
      <c r="L103" s="575"/>
      <c r="M103" s="575"/>
      <c r="N103" s="575"/>
      <c r="O103" s="575"/>
      <c r="P103" s="575"/>
      <c r="Q103" s="575"/>
      <c r="R103" s="575"/>
      <c r="S103" s="575"/>
      <c r="T103" s="575"/>
      <c r="U103" s="575"/>
      <c r="V103" s="575"/>
      <c r="W103" s="575"/>
      <c r="X103" s="575"/>
    </row>
    <row r="104">
      <c r="A104" s="95"/>
      <c r="B104" s="755" t="s">
        <v>1796</v>
      </c>
      <c r="C104" s="756" t="b">
        <v>0</v>
      </c>
      <c r="D104" s="757" t="s">
        <v>1797</v>
      </c>
      <c r="E104" s="760" t="s">
        <v>1798</v>
      </c>
      <c r="F104" s="575"/>
      <c r="G104" s="575"/>
      <c r="H104" s="575"/>
      <c r="I104" s="575"/>
      <c r="J104" s="575"/>
      <c r="K104" s="575"/>
      <c r="L104" s="575"/>
      <c r="M104" s="575"/>
      <c r="N104" s="575"/>
      <c r="O104" s="575"/>
      <c r="P104" s="575"/>
      <c r="Q104" s="575"/>
      <c r="R104" s="575"/>
      <c r="S104" s="575"/>
      <c r="T104" s="575"/>
      <c r="U104" s="575"/>
      <c r="V104" s="575"/>
      <c r="W104" s="575"/>
      <c r="X104" s="575"/>
    </row>
    <row r="105">
      <c r="A105" s="164"/>
      <c r="B105" s="755" t="s">
        <v>1799</v>
      </c>
      <c r="C105" s="756" t="b">
        <v>0</v>
      </c>
      <c r="D105" s="757" t="s">
        <v>1800</v>
      </c>
      <c r="E105" s="760" t="s">
        <v>1801</v>
      </c>
      <c r="F105" s="575"/>
      <c r="G105" s="575"/>
      <c r="H105" s="575"/>
      <c r="I105" s="575"/>
      <c r="J105" s="575"/>
      <c r="K105" s="575"/>
      <c r="L105" s="575"/>
      <c r="M105" s="575"/>
      <c r="N105" s="575"/>
      <c r="O105" s="575"/>
      <c r="P105" s="575"/>
      <c r="Q105" s="575"/>
      <c r="R105" s="575"/>
      <c r="S105" s="575"/>
      <c r="T105" s="575"/>
      <c r="U105" s="575"/>
      <c r="V105" s="575"/>
      <c r="W105" s="575"/>
      <c r="X105" s="575"/>
    </row>
  </sheetData>
  <mergeCells count="15">
    <mergeCell ref="A43:A51"/>
    <mergeCell ref="A54:A58"/>
    <mergeCell ref="A59:A71"/>
    <mergeCell ref="A72:A81"/>
    <mergeCell ref="A82:A86"/>
    <mergeCell ref="A88:A98"/>
    <mergeCell ref="A99:A101"/>
    <mergeCell ref="A102:A105"/>
    <mergeCell ref="B1:E1"/>
    <mergeCell ref="A3:A7"/>
    <mergeCell ref="A8:A15"/>
    <mergeCell ref="A17:A21"/>
    <mergeCell ref="A23:A25"/>
    <mergeCell ref="A26:A33"/>
    <mergeCell ref="A34:A42"/>
  </mergeCells>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s>
  <drawing r:id="rId104"/>
</worksheet>
</file>